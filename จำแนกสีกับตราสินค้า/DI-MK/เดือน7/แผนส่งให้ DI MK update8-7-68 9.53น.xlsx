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8_{3B4BBFD2-8341-47FF-B3F8-47CF945018E8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3-7-68" sheetId="4475" r:id="rId10"/>
    <sheet name="8-7-68" sheetId="4479" r:id="rId11"/>
    <sheet name="7-7-68" sheetId="4478" r:id="rId12"/>
    <sheet name="5-7-68" sheetId="4477" r:id="rId13"/>
    <sheet name="4-7-68" sheetId="4476" r:id="rId14"/>
    <sheet name="3-7-68.1" sheetId="4473" r:id="rId15"/>
    <sheet name="3-7-68" sheetId="4472" r:id="rId16"/>
    <sheet name="2-7-68" sheetId="4471" r:id="rId17"/>
    <sheet name="1-7-68" sheetId="4470" r:id="rId18"/>
  </sheets>
  <externalReferences>
    <externalReference r:id="rId19"/>
    <externalReference r:id="rId20"/>
    <externalReference r:id="rId21"/>
  </externalReferences>
  <definedNames>
    <definedName name="_xlnm._FilterDatabase" localSheetId="17" hidden="1">'1-7-68'!$A$5:$BD$143</definedName>
    <definedName name="_xlnm._FilterDatabase" localSheetId="16" hidden="1">'2-7-68'!$A$5:$BD$162</definedName>
    <definedName name="_xlnm._FilterDatabase" localSheetId="15" hidden="1">'3-7-68'!$A$5:$BD$154</definedName>
    <definedName name="_xlnm._FilterDatabase" localSheetId="14" hidden="1">'3-7-68.1'!$A$5:$BD$160</definedName>
    <definedName name="_xlnm._FilterDatabase" localSheetId="13" hidden="1">'4-7-68'!$A$5:$BD$154</definedName>
    <definedName name="_xlnm._FilterDatabase" localSheetId="12" hidden="1">'5-7-68'!$A$5:$BD$158</definedName>
    <definedName name="_xlnm._FilterDatabase" localSheetId="11" hidden="1">'7-7-68'!$A$5:$BD$154</definedName>
    <definedName name="_xlnm._FilterDatabase" localSheetId="10" hidden="1">'8-7-68'!$A$5:$BD$149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7" hidden="1">'1-7-68'!$A:$A,'1-7-68'!$AG:$AG</definedName>
    <definedName name="Z_A35135A6_BB02_445F_B09B_908EF37AECE2_.wvu.Cols" localSheetId="16" hidden="1">'2-7-68'!$A:$A,'2-7-68'!$AG:$AG</definedName>
    <definedName name="Z_A35135A6_BB02_445F_B09B_908EF37AECE2_.wvu.Cols" localSheetId="15" hidden="1">'3-7-68'!$A:$A,'3-7-68'!$AG:$AG</definedName>
    <definedName name="Z_A35135A6_BB02_445F_B09B_908EF37AECE2_.wvu.Cols" localSheetId="14" hidden="1">'3-7-68.1'!$A:$A,'3-7-68.1'!$AG:$AG</definedName>
    <definedName name="Z_A35135A6_BB02_445F_B09B_908EF37AECE2_.wvu.Cols" localSheetId="13" hidden="1">'4-7-68'!$A:$A,'4-7-68'!$AG:$AG</definedName>
    <definedName name="Z_A35135A6_BB02_445F_B09B_908EF37AECE2_.wvu.Cols" localSheetId="12" hidden="1">'5-7-68'!$A:$A,'5-7-68'!$AG:$AG</definedName>
    <definedName name="Z_A35135A6_BB02_445F_B09B_908EF37AECE2_.wvu.Cols" localSheetId="11" hidden="1">'7-7-68'!$A:$A,'7-7-68'!$AG:$AG</definedName>
    <definedName name="Z_A35135A6_BB02_445F_B09B_908EF37AECE2_.wvu.Cols" localSheetId="10" hidden="1">'8-7-68'!$A:$A,'8-7-68'!$AG:$AG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7" hidden="1">'1-7-68'!$B$5:$AC$143</definedName>
    <definedName name="Z_A35135A6_BB02_445F_B09B_908EF37AECE2_.wvu.FilterData" localSheetId="16" hidden="1">'2-7-68'!$B$5:$AC$162</definedName>
    <definedName name="Z_A35135A6_BB02_445F_B09B_908EF37AECE2_.wvu.FilterData" localSheetId="15" hidden="1">'3-7-68'!$B$5:$AC$154</definedName>
    <definedName name="Z_A35135A6_BB02_445F_B09B_908EF37AECE2_.wvu.FilterData" localSheetId="14" hidden="1">'3-7-68.1'!$B$5:$AC$160</definedName>
    <definedName name="Z_A35135A6_BB02_445F_B09B_908EF37AECE2_.wvu.FilterData" localSheetId="13" hidden="1">'4-7-68'!$B$5:$AC$154</definedName>
    <definedName name="Z_A35135A6_BB02_445F_B09B_908EF37AECE2_.wvu.FilterData" localSheetId="12" hidden="1">'5-7-68'!$B$5:$AC$158</definedName>
    <definedName name="Z_A35135A6_BB02_445F_B09B_908EF37AECE2_.wvu.FilterData" localSheetId="11" hidden="1">'7-7-68'!$B$5:$AC$154</definedName>
    <definedName name="Z_A35135A6_BB02_445F_B09B_908EF37AECE2_.wvu.FilterData" localSheetId="10" hidden="1">'8-7-68'!$B$5:$AC$149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7" hidden="1">'1-7-68'!$2:$2</definedName>
    <definedName name="Z_A35135A6_BB02_445F_B09B_908EF37AECE2_.wvu.Rows" localSheetId="16" hidden="1">'2-7-68'!$2:$2</definedName>
    <definedName name="Z_A35135A6_BB02_445F_B09B_908EF37AECE2_.wvu.Rows" localSheetId="15" hidden="1">'3-7-68'!$2:$2</definedName>
    <definedName name="Z_A35135A6_BB02_445F_B09B_908EF37AECE2_.wvu.Rows" localSheetId="14" hidden="1">'3-7-68.1'!$2:$2</definedName>
    <definedName name="Z_A35135A6_BB02_445F_B09B_908EF37AECE2_.wvu.Rows" localSheetId="13" hidden="1">'4-7-68'!$2:$2</definedName>
    <definedName name="Z_A35135A6_BB02_445F_B09B_908EF37AECE2_.wvu.Rows" localSheetId="12" hidden="1">'5-7-68'!$2:$2</definedName>
    <definedName name="Z_A35135A6_BB02_445F_B09B_908EF37AECE2_.wvu.Rows" localSheetId="11" hidden="1">'7-7-68'!$2:$2</definedName>
    <definedName name="Z_A35135A6_BB02_445F_B09B_908EF37AECE2_.wvu.Rows" localSheetId="10" hidden="1">'8-7-68'!$2:$2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15" r:id="rId22"/>
    <pivotCache cacheId="116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B40" i="4475"/>
  <c r="P6" i="4475"/>
  <c r="P7" i="4475"/>
  <c r="P8" i="4475"/>
  <c r="P9" i="4475"/>
  <c r="P10" i="4475"/>
  <c r="P11" i="4475"/>
  <c r="P12" i="4475"/>
  <c r="P13" i="4475"/>
  <c r="P14" i="4475"/>
  <c r="P15" i="4475"/>
  <c r="P16" i="4475"/>
  <c r="P17" i="4475"/>
  <c r="P5" i="4475"/>
  <c r="C18" i="4475"/>
  <c r="D18" i="4475"/>
  <c r="E18" i="4475"/>
  <c r="F18" i="4475"/>
  <c r="G18" i="4475"/>
  <c r="H18" i="4475"/>
  <c r="I18" i="4475"/>
  <c r="J18" i="4475"/>
  <c r="K18" i="4475"/>
  <c r="L18" i="4475"/>
  <c r="M18" i="4475"/>
  <c r="N18" i="4475"/>
  <c r="O18" i="4475"/>
  <c r="B18" i="4475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P18" i="4475" l="1"/>
  <c r="L11" i="4223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<sst xmlns="http://schemas.openxmlformats.org/spreadsheetml/2006/main" count="17709" uniqueCount="480">
  <si>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</si>
  <si>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</si>
  <si>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</si>
  <si>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</si>
  <si>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</si>
  <si>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</si>
  <si>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</si>
  <si>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</si>
  <si>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</si>
  <si>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</si>
  <si>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</si>
  <si>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</si>
  <si>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</si>
  <si>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</si>
  <si>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</si>
  <si>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</si>
  <si>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</si>
  <si>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</si>
  <si>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</si>
  <si>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</si>
  <si>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</si>
  <si>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</si>
  <si>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</si>
  <si>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</si>
  <si>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</si>
  <si>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</si>
  <si>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</si>
  <si>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</si>
  <si>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</si>
  <si>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</si>
  <si>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</si>
  <si>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</si>
  <si>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</si>
  <si>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</si>
  <si>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</si>
  <si>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</si>
  <si>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</si>
  <si>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</si>
  <si>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</si>
  <si>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</si>
  <si>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</si>
  <si>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</si>
  <si>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</si>
  <si>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</si>
  <si>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</si>
  <si>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</si>
  <si>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</si>
  <si>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</si>
  <si>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</si>
  <si>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</si>
  <si>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</si>
  <si>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</si>
  <si>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</si>
  <si>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</si>
  <si>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</si>
  <si>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</si>
  <si>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</si>
  <si>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</si>
  <si>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</si>
  <si>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</si>
  <si>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</si>
  <si>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</si>
  <si>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</si>
  <si>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</si>
  <si>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</si>
  <si>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</si>
  <si>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</si>
  <si>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</si>
  <si>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</si>
  <si>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</si>
  <si>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</si>
  <si>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</si>
  <si>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</si>
  <si>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</si>
  <si>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</si>
  <si>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</si>
  <si>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</si>
  <si>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</si>
  <si>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</si>
  <si>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</si>
  <si>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</si>
  <si>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</si>
  <si>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</si>
  <si>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</si>
  <si>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</si>
  <si>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</si>
  <si>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</si>
  <si>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</si>
  <si>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</si>
  <si>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</si>
  <si>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</si>
  <si>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</si>
  <si>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</si>
  <si>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</si>
  <si>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</si>
  <si>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</si>
  <si>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</si>
  <si>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</si>
  <si>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</si>
  <si>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</si>
  <si>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</si>
  <si>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</si>
  <si>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</si>
  <si>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</si>
  <si>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</si>
  <si>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</si>
  <si>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</si>
  <si>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</si>
  <si>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</si>
  <si>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</si>
  <si>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</si>
  <si>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</si>
  <si>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</si>
  <si>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</si>
  <si>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</si>
  <si>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</si>
  <si>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</si>
  <si>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</si>
  <si>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</si>
  <si>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</si>
  <si>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</si>
  <si>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</si>
  <si>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</si>
  <si>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</si>
  <si>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</si>
  <si>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</si>
  <si>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</si>
  <si>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</si>
  <si>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</si>
  <si>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</si>
  <si>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</si>
  <si>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</si>
  <si>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</si>
  <si>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</si>
  <si>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</si>
  <si>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</si>
  <si>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</si>
  <si>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</si>
  <si>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</si>
  <si>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</si>
  <si>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</si>
  <si>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</si>
  <si>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</si>
  <si>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</si>
  <si>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</si>
  <si>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</si>
  <si>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</si>
  <si>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</si>
  <si>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</si>
  <si>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</si>
  <si>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</si>
  <si>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</si>
  <si>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</si>
  <si>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</si>
  <si>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</si>
  <si>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</si>
  <si>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</si>
  <si>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</si>
  <si>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</si>
  <si>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</si>
  <si>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</si>
  <si>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</si>
  <si>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</si>
  <si>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</si>
  <si>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</si>
  <si>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</si>
  <si>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</si>
  <si>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</si>
  <si>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</si>
  <si>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</si>
  <si>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</si>
  <si>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</si>
  <si>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</si>
  <si>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</si>
  <si>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</si>
  <si>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</si>
  <si>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</si>
  <si>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</si>
  <si>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</si>
  <si>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</si>
  <si>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</si>
  <si>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</si>
  <si>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</si>
  <si>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</si>
  <si>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</si>
  <si>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</si>
  <si>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</si>
  <si>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</si>
  <si>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</si>
  <si>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</si>
  <si>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</si>
  <si>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</si>
  <si>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</si>
  <si>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</si>
  <si>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</si>
  <si>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</si>
  <si>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</si>
  <si>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</si>
  <si>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</si>
  <si>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</si>
  <si>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</si>
  <si>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</si>
  <si>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</si>
  <si>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</si>
  <si>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</si>
  <si>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</si>
  <si>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</si>
  <si>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</si>
  <si>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</si>
  <si>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</si>
  <si>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</si>
  <si>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</si>
  <si>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</si>
  <si>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</si>
  <si>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</si>
  <si>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</si>
  <si>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</si>
  <si>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</si>
  <si>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</si>
  <si>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</si>
  <si>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</si>
  <si>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</si>
  <si>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</si>
  <si>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</si>
  <si>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</si>
  <si>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</si>
  <si>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</si>
  <si>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</si>
  <si>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</si>
  <si>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</si>
  <si>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</si>
  <si>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</si>
  <si>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</si>
  <si>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</si>
  <si>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</si>
  <si>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</si>
  <si>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</si>
  <si>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</si>
  <si>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</si>
  <si>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</si>
  <si>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</si>
  <si>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</si>
  <si>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</si>
  <si>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</si>
  <si>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</si>
  <si>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</si>
  <si>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</si>
  <si>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</si>
  <si>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</si>
  <si>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</si>
  <si>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</si>
  <si>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</si>
  <si>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</si>
  <si>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</si>
  <si>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</si>
  <si>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</si>
  <si>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</si>
  <si>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</si>
  <si>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</si>
  <si>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</si>
  <si>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</si>
  <si>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</si>
  <si>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</si>
  <si>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</si>
  <si>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</si>
  <si>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</si>
  <si>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</si>
  <si>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</si>
  <si>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</si>
  <si>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</si>
  <si>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</si>
  <si>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</si>
  <si>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</si>
  <si>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</si>
  <si>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</si>
  <si>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</si>
  <si>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</si>
  <si>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</si>
  <si>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</si>
  <si>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</si>
  <si>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</si>
  <si>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</si>
  <si>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</si>
  <si>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</si>
  <si>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</si>
  <si>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</si>
  <si>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</si>
  <si>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</si>
  <si>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</si>
  <si>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</si>
  <si>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</si>
  <si>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</si>
  <si>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</si>
  <si>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</si>
  <si>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</si>
  <si>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</si>
  <si>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</si>
  <si>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</si>
  <si>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</si>
  <si>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</si>
  <si>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</si>
  <si>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</si>
  <si>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</si>
  <si>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</si>
  <si>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</si>
  <si>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</si>
  <si>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</si>
  <si>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</si>
  <si>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</si>
  <si>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</si>
  <si>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</si>
  <si>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</si>
  <si>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</si>
  <si>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</si>
  <si>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</si>
  <si>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</si>
  <si>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</si>
  <si>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</si>
  <si>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</si>
  <si>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</si>
  <si>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</si>
  <si>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</si>
  <si>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</si>
  <si>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</si>
  <si>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</si>
  <si>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</si>
  <si>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</si>
  <si>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</si>
  <si>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</si>
  <si>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</si>
  <si>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</si>
  <si>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</si>
  <si>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</si>
  <si>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</si>
  <si>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</si>
  <si>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</si>
  <si>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</si>
  <si>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</si>
  <si>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</si>
  <si>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</si>
  <si>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</si>
  <si>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</si>
  <si>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</si>
  <si>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</si>
  <si>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</si>
  <si>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</si>
  <si>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</si>
  <si>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</si>
  <si>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</si>
  <si>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</si>
  <si>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</si>
  <si>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</si>
  <si>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</si>
  <si>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</si>
  <si>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</si>
  <si>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</si>
  <si>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</si>
  <si>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</si>
  <si>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</si>
  <si>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</si>
  <si>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</si>
  <si>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</si>
  <si>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</si>
  <si>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</si>
  <si>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</si>
  <si>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</si>
  <si>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</si>
  <si>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</si>
  <si>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</si>
  <si>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</si>
  <si>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</si>
  <si>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</si>
  <si>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</si>
  <si>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</si>
  <si>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</si>
  <si>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</si>
  <si>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</si>
  <si>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</si>
  <si>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</si>
  <si>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</si>
  <si>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</si>
  <si>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</si>
  <si>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</si>
  <si>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</si>
  <si>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</si>
  <si>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</si>
  <si>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</si>
  <si>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</si>
  <si>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</si>
  <si>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</si>
  <si>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</si>
  <si>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</si>
  <si>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</si>
  <si>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</si>
  <si>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</si>
  <si>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</si>
  <si>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</si>
  <si>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</si>
  <si>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</si>
  <si>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</si>
  <si>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</si>
  <si>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</si>
  <si>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</si>
  <si>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</si>
  <si>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</si>
  <si>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</si>
  <si>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</si>
  <si>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</si>
  <si>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</si>
  <si>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</si>
  <si>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</si>
  <si>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</si>
  <si>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</si>
  <si>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</si>
  <si>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</si>
  <si>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</si>
  <si>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</si>
  <si>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</si>
  <si>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</si>
  <si>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</si>
  <si>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</si>
  <si>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</si>
  <si>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</si>
  <si>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</si>
  <si>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</si>
  <si>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</si>
  <si>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</si>
  <si>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</si>
  <si>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</si>
  <si>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</si>
  <si>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</si>
  <si>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</si>
  <si>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</si>
  <si>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</si>
  <si>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</si>
  <si>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</si>
  <si>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</si>
  <si>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</si>
  <si>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</si>
  <si>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</si>
  <si>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</si>
  <si>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</si>
  <si>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</si>
  <si>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</si>
  <si>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</si>
  <si>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</si>
  <si>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</si>
  <si>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</si>
  <si>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</si>
  <si>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</si>
  <si>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ป้ายชื่อคอลัมน์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</si>
  <si>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</si>
  <si>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</si>
  <si>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</si>
  <si>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</si>
  <si>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</si>
  <si>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</si>
  <si>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</si>
  <si>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</si>
  <si>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</si>
  <si>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</si>
  <si>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</si>
  <si>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</si>
  <si>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</si>
  <si>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</si>
  <si>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</si>
  <si>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</si>
  <si>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</si>
  <si>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</si>
  <si>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</si>
  <si>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</si>
  <si>
    <t>MK68-000868</t>
  </si>
  <si>
    <t>เย็น 12/7</t>
  </si>
  <si>
    <t>MK68-000869</t>
  </si>
  <si>
    <t>บจก.เคมีแมน</t>
  </si>
  <si>
    <t>CHEMEMAN CAL100 50KG(ฟ้า)</t>
  </si>
  <si>
    <t>เย็น24/7</t>
  </si>
  <si>
    <t>ยูนิคอร์นฟิช 103</t>
  </si>
  <si>
    <t>บจก.หนองบัว อโกรฟอรืไลฟ์</t>
  </si>
  <si>
    <t>โอดิน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</si>
</sst>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5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MK68-000834</v>
          </cell>
          <cell r="C16">
            <v>45833</v>
          </cell>
          <cell r="E16" t="str">
            <v>บจก.น้ำตาลทิพย์สุโขทัย</v>
          </cell>
          <cell r="F16" t="str">
            <v>ไม่พิมพ์</v>
          </cell>
          <cell r="G16">
            <v>14</v>
          </cell>
          <cell r="H16">
            <v>20</v>
          </cell>
          <cell r="I16" t="str">
            <v>ขาว</v>
          </cell>
          <cell r="J16"/>
          <cell r="L16">
            <v>32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22</v>
          </cell>
          <cell r="V16">
            <v>40</v>
          </cell>
          <cell r="X16">
            <v>45848</v>
          </cell>
          <cell r="Z16" t="str">
            <v>500กระสอบแบน</v>
          </cell>
          <cell r="AA16">
            <v>6000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6000</v>
          </cell>
          <cell r="AL16">
            <v>0</v>
          </cell>
          <cell r="AM16"/>
          <cell r="AN16">
            <v>0</v>
          </cell>
          <cell r="AO16" t="str">
            <v>WSWT1425800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P13</v>
          </cell>
          <cell r="DM16">
            <v>2</v>
          </cell>
          <cell r="DN16">
            <v>45848</v>
          </cell>
          <cell r="DP16">
            <v>45843</v>
          </cell>
          <cell r="DQ16"/>
          <cell r="DR16"/>
          <cell r="DS16"/>
          <cell r="DT16"/>
          <cell r="DU16">
            <v>45846</v>
          </cell>
          <cell r="DW16">
            <v>45847</v>
          </cell>
          <cell r="DX16"/>
          <cell r="DY16"/>
          <cell r="DZ16"/>
          <cell r="EA16"/>
          <cell r="EB16"/>
          <cell r="EC16" t="str">
            <v>ตัด</v>
          </cell>
          <cell r="ED16"/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MK68-000868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45855</v>
          </cell>
          <cell r="Z18" t="str">
            <v>500กระสอบ</v>
          </cell>
          <cell r="AA18">
            <v>5000</v>
          </cell>
          <cell r="AB18">
            <v>72.655854687999991</v>
          </cell>
          <cell r="AC18">
            <v>0</v>
          </cell>
          <cell r="AD18">
            <v>72.655854687999991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4121.1500000000005</v>
          </cell>
          <cell r="AR18">
            <v>4121.1500000000005</v>
          </cell>
          <cell r="AS18">
            <v>0</v>
          </cell>
          <cell r="AT18">
            <v>4121.1500000000005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>
            <v>45855</v>
          </cell>
          <cell r="DP18">
            <v>45850</v>
          </cell>
          <cell r="DQ18">
            <v>45851</v>
          </cell>
          <cell r="DR18">
            <v>45845</v>
          </cell>
          <cell r="DS18">
            <v>45852</v>
          </cell>
          <cell r="DT18">
            <v>45853</v>
          </cell>
          <cell r="DU18">
            <v>45853</v>
          </cell>
          <cell r="DW18">
            <v>45854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7823.2000000000007</v>
          </cell>
          <cell r="AR20">
            <v>4121.1500000000005</v>
          </cell>
          <cell r="AS20">
            <v>3702.0499999999997</v>
          </cell>
          <cell r="AT20">
            <v>4121.1500000000005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45868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45868</v>
          </cell>
          <cell r="DP24">
            <v>45863</v>
          </cell>
          <cell r="DQ24"/>
          <cell r="DR24">
            <v>45858</v>
          </cell>
          <cell r="DS24">
            <v>45865</v>
          </cell>
          <cell r="DT24">
            <v>45866</v>
          </cell>
          <cell r="DU24">
            <v>45866</v>
          </cell>
          <cell r="DW24">
            <v>45867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MK68-000830</v>
          </cell>
          <cell r="C26">
            <v>45831</v>
          </cell>
          <cell r="E26" t="str">
            <v>บจก.2เอ็ม อโกร เท็ค</v>
          </cell>
          <cell r="F26" t="str">
            <v>เลิฟซอยล์26-6-6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45846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 t="str">
            <v>ขาด-เกินได้5%</v>
          </cell>
          <cell r="AJ26">
            <v>0</v>
          </cell>
          <cell r="AL26">
            <v>5000</v>
          </cell>
          <cell r="AM26">
            <v>5404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P8</v>
          </cell>
          <cell r="DM26">
            <v>4</v>
          </cell>
          <cell r="DN26">
            <v>45846</v>
          </cell>
          <cell r="DP26">
            <v>45841</v>
          </cell>
          <cell r="DQ26">
            <v>45842</v>
          </cell>
          <cell r="DR26">
            <v>45836</v>
          </cell>
          <cell r="DS26">
            <v>45843</v>
          </cell>
          <cell r="DT26">
            <v>45844</v>
          </cell>
          <cell r="DU26">
            <v>45844</v>
          </cell>
          <cell r="DW26">
            <v>45845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MK68-000811</v>
          </cell>
          <cell r="C28">
            <v>45827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45852</v>
          </cell>
          <cell r="Z28" t="str">
            <v>500กระสอบแบน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เย็น8/7</v>
          </cell>
          <cell r="AI28"/>
          <cell r="AJ28">
            <v>16500</v>
          </cell>
          <cell r="AL28">
            <v>33500</v>
          </cell>
          <cell r="AM28">
            <v>48362</v>
          </cell>
          <cell r="AN28">
            <v>1719.9</v>
          </cell>
          <cell r="AO28" t="str">
            <v>WSWT1925800</v>
          </cell>
          <cell r="AQ28">
            <v>1513.7011890000001</v>
          </cell>
          <cell r="AR28">
            <v>1513.7011890000001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45852</v>
          </cell>
          <cell r="DP28">
            <v>45847</v>
          </cell>
          <cell r="DQ28"/>
          <cell r="DR28">
            <v>45843</v>
          </cell>
          <cell r="DS28">
            <v>45850</v>
          </cell>
          <cell r="DT28">
            <v>45851</v>
          </cell>
          <cell r="DU28">
            <v>45851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MK68-000812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45852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เย็น16/7</v>
          </cell>
          <cell r="AI29"/>
          <cell r="AJ29">
            <v>20071</v>
          </cell>
          <cell r="AL29">
            <v>0</v>
          </cell>
          <cell r="AM29">
            <v>20900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45852</v>
          </cell>
          <cell r="DP29">
            <v>45847</v>
          </cell>
          <cell r="DQ29"/>
          <cell r="DR29">
            <v>45843</v>
          </cell>
          <cell r="DS29">
            <v>45850</v>
          </cell>
          <cell r="DT29">
            <v>45851</v>
          </cell>
          <cell r="DU29">
            <v>45851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บจก.ซีแมน</v>
          </cell>
          <cell r="F30" t="str">
            <v>รอแบบ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45868</v>
          </cell>
          <cell r="Z30" t="str">
            <v>มัด100</v>
          </cell>
          <cell r="AA30">
            <v>60000</v>
          </cell>
          <cell r="AB30">
            <v>1998.3443903999996</v>
          </cell>
          <cell r="AC30">
            <v>0</v>
          </cell>
          <cell r="AD30">
            <v>1998.3443903999996</v>
          </cell>
          <cell r="AG30"/>
          <cell r="AI30"/>
          <cell r="AJ30">
            <v>0</v>
          </cell>
          <cell r="AL30">
            <v>60000</v>
          </cell>
          <cell r="AM30"/>
          <cell r="AN30">
            <v>63000</v>
          </cell>
          <cell r="AO30" t="str">
            <v>WSWT1925800</v>
          </cell>
          <cell r="AQ30">
            <v>49453.8</v>
          </cell>
          <cell r="AR30">
            <v>38050</v>
          </cell>
          <cell r="AS30">
            <v>11403.800000000003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828.16929777777807</v>
          </cell>
          <cell r="DL30" t="str">
            <v>P9</v>
          </cell>
          <cell r="DM30">
            <v>3</v>
          </cell>
          <cell r="DN30">
            <v>45868</v>
          </cell>
          <cell r="DP30">
            <v>45863</v>
          </cell>
          <cell r="DQ30"/>
          <cell r="DR30">
            <v>45858</v>
          </cell>
          <cell r="DS30">
            <v>45865</v>
          </cell>
          <cell r="DT30">
            <v>45866</v>
          </cell>
          <cell r="DU30">
            <v>45866</v>
          </cell>
          <cell r="DW30">
            <v>45867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45868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45868</v>
          </cell>
          <cell r="DP31">
            <v>45863</v>
          </cell>
          <cell r="DQ31"/>
          <cell r="DR31">
            <v>45859</v>
          </cell>
          <cell r="DS31">
            <v>45866</v>
          </cell>
          <cell r="DT31">
            <v>45867</v>
          </cell>
          <cell r="DU31">
            <v>45867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45868</v>
          </cell>
          <cell r="Z32" t="str">
            <v>500กระสอบแบน</v>
          </cell>
          <cell r="AA32">
            <v>20000</v>
          </cell>
          <cell r="AB32">
            <v>345.39285759999996</v>
          </cell>
          <cell r="AC32">
            <v>0</v>
          </cell>
          <cell r="AD32">
            <v>345.39285759999996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18719.800000000003</v>
          </cell>
          <cell r="AR32">
            <v>0</v>
          </cell>
          <cell r="AS32">
            <v>18719.800000000003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1359.4734755555558</v>
          </cell>
          <cell r="DL32" t="str">
            <v>P9</v>
          </cell>
          <cell r="DM32">
            <v>3</v>
          </cell>
          <cell r="DN32">
            <v>45868</v>
          </cell>
          <cell r="DP32">
            <v>45863</v>
          </cell>
          <cell r="DQ32"/>
          <cell r="DR32">
            <v>45858</v>
          </cell>
          <cell r="DS32">
            <v>45865</v>
          </cell>
          <cell r="DT32">
            <v>45866</v>
          </cell>
          <cell r="DU32">
            <v>45866</v>
          </cell>
          <cell r="DW32">
            <v>45867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104891.701189</v>
          </cell>
          <cell r="AR33">
            <v>39563.701188999999</v>
          </cell>
          <cell r="AS33">
            <v>65328.000000000007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MK68-000861</v>
          </cell>
          <cell r="C34">
            <v>45842</v>
          </cell>
          <cell r="E34" t="str">
            <v>บจก.เคอรี่ฟลาวมิลล์</v>
          </cell>
          <cell r="F34" t="str">
            <v>ไม่พิมพ์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63</v>
          </cell>
          <cell r="M34" t="str">
            <v>+</v>
          </cell>
          <cell r="N34">
            <v>5</v>
          </cell>
          <cell r="R34" t="str">
            <v>ไม่</v>
          </cell>
          <cell r="T34" t="str">
            <v>ไม่สวมถุงใน</v>
          </cell>
          <cell r="U34"/>
          <cell r="V34"/>
          <cell r="X34">
            <v>45853</v>
          </cell>
          <cell r="Z34" t="str">
            <v>ห่ออัดเบลแบน501</v>
          </cell>
          <cell r="AA34">
            <v>20000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20000</v>
          </cell>
          <cell r="AL34">
            <v>0</v>
          </cell>
          <cell r="AM34"/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P3</v>
          </cell>
          <cell r="DM34">
            <v>1</v>
          </cell>
          <cell r="DN34">
            <v>45853</v>
          </cell>
          <cell r="DP34">
            <v>45848</v>
          </cell>
          <cell r="DQ34"/>
          <cell r="DR34"/>
          <cell r="DS34"/>
          <cell r="DT34"/>
          <cell r="DU34">
            <v>45852</v>
          </cell>
          <cell r="DW34"/>
          <cell r="DX34"/>
          <cell r="DY34"/>
          <cell r="DZ34"/>
          <cell r="EB34"/>
          <cell r="EC34" t="str">
            <v>ตัด</v>
          </cell>
          <cell r="ED34"/>
          <cell r="EG34"/>
          <cell r="EH34"/>
          <cell r="EI34"/>
        </row>
        <row r="35">
          <cell r="B35" t="str">
            <v>MK68-000862</v>
          </cell>
          <cell r="C35">
            <v>45842</v>
          </cell>
          <cell r="E35" t="str">
            <v>บจก.เคอรี่ฟลาวมิลล์</v>
          </cell>
          <cell r="F35" t="str">
            <v>ไม่พิมพ์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45853</v>
          </cell>
          <cell r="Z35" t="str">
            <v>ห่ออัดเบลแบน501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10000</v>
          </cell>
          <cell r="AL35">
            <v>10000</v>
          </cell>
          <cell r="AM35"/>
          <cell r="AN35">
            <v>0</v>
          </cell>
          <cell r="AO35" t="str">
            <v>WSWT1921720</v>
          </cell>
          <cell r="AQ35">
            <v>8801.1</v>
          </cell>
          <cell r="AR35">
            <v>8801.1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P3</v>
          </cell>
          <cell r="DM35">
            <v>1</v>
          </cell>
          <cell r="DN35">
            <v>45853</v>
          </cell>
          <cell r="DP35">
            <v>45848</v>
          </cell>
          <cell r="DQ35"/>
          <cell r="DR35"/>
          <cell r="DS35"/>
          <cell r="DT35"/>
          <cell r="DU35">
            <v>45852</v>
          </cell>
          <cell r="DW35"/>
          <cell r="DX35"/>
          <cell r="DY35"/>
          <cell r="DZ35"/>
          <cell r="EA35"/>
          <cell r="EB35"/>
          <cell r="EC35" t="str">
            <v>ตัด</v>
          </cell>
          <cell r="ED35"/>
          <cell r="EG35"/>
          <cell r="EH35"/>
          <cell r="EI35"/>
        </row>
        <row r="36">
          <cell r="B36" t="str">
            <v>MK68-000866</v>
          </cell>
          <cell r="C36">
            <v>45843</v>
          </cell>
          <cell r="E36" t="str">
            <v>บจก.เคอรี่ฟลาวมิลล์</v>
          </cell>
          <cell r="F36" t="str">
            <v>ปลาโลมาเทา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45864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PDR250212</v>
          </cell>
          <cell r="AJ36">
            <v>0</v>
          </cell>
          <cell r="AL36">
            <v>5000</v>
          </cell>
          <cell r="AM36"/>
          <cell r="AN36">
            <v>5250</v>
          </cell>
          <cell r="AO36" t="str">
            <v>WSWT1921720</v>
          </cell>
          <cell r="AQ36">
            <v>4679.9500000000007</v>
          </cell>
          <cell r="AR36">
            <v>4679.9500000000007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45864</v>
          </cell>
          <cell r="DP36">
            <v>45859</v>
          </cell>
          <cell r="DQ36"/>
          <cell r="DR36">
            <v>45855</v>
          </cell>
          <cell r="DS36">
            <v>45862</v>
          </cell>
          <cell r="DT36">
            <v>45863</v>
          </cell>
          <cell r="DU36">
            <v>45863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MK68-000866</v>
          </cell>
          <cell r="C37">
            <v>45843</v>
          </cell>
          <cell r="E37" t="str">
            <v>บจก.เคอรี่ฟลาวมิลล์</v>
          </cell>
          <cell r="F37" t="str">
            <v>ถุงเงิน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45864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PDR250212</v>
          </cell>
          <cell r="AJ37">
            <v>0</v>
          </cell>
          <cell r="AL37">
            <v>5000</v>
          </cell>
          <cell r="AM37"/>
          <cell r="AN37">
            <v>5250</v>
          </cell>
          <cell r="AO37" t="str">
            <v>WSWT1921720</v>
          </cell>
          <cell r="AQ37">
            <v>4679.9500000000007</v>
          </cell>
          <cell r="AR37">
            <v>4679.9500000000007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45864</v>
          </cell>
          <cell r="DP37">
            <v>45859</v>
          </cell>
          <cell r="DQ37"/>
          <cell r="DR37">
            <v>45855</v>
          </cell>
          <cell r="DS37">
            <v>45862</v>
          </cell>
          <cell r="DT37">
            <v>45863</v>
          </cell>
          <cell r="DU37">
            <v>45863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MK68-000866</v>
          </cell>
          <cell r="C38">
            <v>45843</v>
          </cell>
          <cell r="E38" t="str">
            <v>บจก.เคอรี่ฟลาวมิลล์</v>
          </cell>
          <cell r="F38" t="str">
            <v>ปลาโลมาแดง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45864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PDR250212</v>
          </cell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45864</v>
          </cell>
          <cell r="DP38">
            <v>45859</v>
          </cell>
          <cell r="DQ38"/>
          <cell r="DR38">
            <v>45855</v>
          </cell>
          <cell r="DS38">
            <v>45862</v>
          </cell>
          <cell r="DT38">
            <v>45863</v>
          </cell>
          <cell r="DU38">
            <v>45863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MK68-000866</v>
          </cell>
          <cell r="C39">
            <v>45843</v>
          </cell>
          <cell r="E39" t="str">
            <v>บจก.เคอรี่ฟลาวมิลล์</v>
          </cell>
          <cell r="F39" t="str">
            <v xml:space="preserve">แปดแต้มแดง  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45864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PDR250212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4679.9500000000007</v>
          </cell>
          <cell r="AR39">
            <v>4679.9500000000007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45864</v>
          </cell>
          <cell r="DP39">
            <v>45859</v>
          </cell>
          <cell r="DQ39"/>
          <cell r="DR39">
            <v>45855</v>
          </cell>
          <cell r="DS39">
            <v>45862</v>
          </cell>
          <cell r="DT39">
            <v>45863</v>
          </cell>
          <cell r="DU39">
            <v>45863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MK68-000866</v>
          </cell>
          <cell r="C40">
            <v>45843</v>
          </cell>
          <cell r="E40" t="str">
            <v>บจก.เคอรี่ฟลาวมิลล์</v>
          </cell>
          <cell r="F40" t="str">
            <v>ดอกไม้เขียว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45864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PDR250212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45864</v>
          </cell>
          <cell r="DP40">
            <v>45859</v>
          </cell>
          <cell r="DQ40"/>
          <cell r="DR40">
            <v>45855</v>
          </cell>
          <cell r="DS40">
            <v>45862</v>
          </cell>
          <cell r="DT40">
            <v>45863</v>
          </cell>
          <cell r="DU40">
            <v>45863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MK68-000866</v>
          </cell>
          <cell r="C41">
            <v>45843</v>
          </cell>
          <cell r="E41" t="str">
            <v>บจก.เคอรี่ฟลาวมิลล์</v>
          </cell>
          <cell r="F41" t="str">
            <v>แต้มแดง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45867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PDR250213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4679.9500000000007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45867</v>
          </cell>
          <cell r="DP41">
            <v>45862</v>
          </cell>
          <cell r="DQ41"/>
          <cell r="DR41">
            <v>45858</v>
          </cell>
          <cell r="DS41">
            <v>45865</v>
          </cell>
          <cell r="DT41">
            <v>45866</v>
          </cell>
          <cell r="DU41">
            <v>45866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MK68-000866</v>
          </cell>
          <cell r="C42">
            <v>45843</v>
          </cell>
          <cell r="E42" t="str">
            <v>บจก.เคอรี่ฟลาวมิลล์</v>
          </cell>
          <cell r="F42" t="str">
            <v>ดอกไม้แดง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45867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PDR250213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45867</v>
          </cell>
          <cell r="DP42">
            <v>45862</v>
          </cell>
          <cell r="DQ42"/>
          <cell r="DR42">
            <v>45858</v>
          </cell>
          <cell r="DS42">
            <v>45865</v>
          </cell>
          <cell r="DT42">
            <v>45866</v>
          </cell>
          <cell r="DU42">
            <v>45866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MK68-000866</v>
          </cell>
          <cell r="C43">
            <v>45843</v>
          </cell>
          <cell r="E43" t="str">
            <v>บจก.เคอรี่ฟลาวมิลล์</v>
          </cell>
          <cell r="F43" t="str">
            <v>หีบเพลงฟ้า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45867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PDR250213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45867</v>
          </cell>
          <cell r="DP43">
            <v>45862</v>
          </cell>
          <cell r="DQ43"/>
          <cell r="DR43">
            <v>45858</v>
          </cell>
          <cell r="DS43">
            <v>45865</v>
          </cell>
          <cell r="DT43">
            <v>45866</v>
          </cell>
          <cell r="DU43">
            <v>45866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ประมาณการ</v>
          </cell>
          <cell r="C44" t="str">
            <v>ประมาณการ</v>
          </cell>
          <cell r="E44" t="str">
            <v>บจก.เคอรี่ฟลาวมิลล์</v>
          </cell>
          <cell r="F44" t="str">
            <v>รอแบบ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45868</v>
          </cell>
          <cell r="Z44" t="str">
            <v>ห่ออัดเบลแบน500</v>
          </cell>
          <cell r="AA44">
            <v>572000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572000</v>
          </cell>
          <cell r="AM44"/>
          <cell r="AN44">
            <v>600600</v>
          </cell>
          <cell r="AO44" t="str">
            <v>WSWT1921720</v>
          </cell>
          <cell r="AQ44">
            <v>535386.28</v>
          </cell>
          <cell r="AR44">
            <v>54369</v>
          </cell>
          <cell r="AS44">
            <v>481017.28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36232.359384177777</v>
          </cell>
          <cell r="DL44" t="str">
            <v>P7</v>
          </cell>
          <cell r="DM44">
            <v>2</v>
          </cell>
          <cell r="DN44">
            <v>45868</v>
          </cell>
          <cell r="DP44">
            <v>45863</v>
          </cell>
          <cell r="DQ44"/>
          <cell r="DR44">
            <v>45859</v>
          </cell>
          <cell r="DS44">
            <v>45866</v>
          </cell>
          <cell r="DT44">
            <v>45867</v>
          </cell>
          <cell r="DU44">
            <v>45867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>
            <v>0</v>
          </cell>
          <cell r="C45"/>
          <cell r="E45"/>
          <cell r="F45"/>
          <cell r="G45">
            <v>19</v>
          </cell>
          <cell r="H45">
            <v>30</v>
          </cell>
          <cell r="I45"/>
          <cell r="J45"/>
          <cell r="L45">
            <v>63</v>
          </cell>
          <cell r="M45" t="str">
            <v>+</v>
          </cell>
          <cell r="N45">
            <v>5</v>
          </cell>
          <cell r="R45"/>
          <cell r="T45"/>
          <cell r="U45"/>
          <cell r="V45"/>
          <cell r="X45"/>
          <cell r="Z45"/>
          <cell r="AA45">
            <v>0</v>
          </cell>
          <cell r="AB45"/>
          <cell r="AC45">
            <v>0</v>
          </cell>
          <cell r="AD45"/>
          <cell r="AG45"/>
          <cell r="AI45" t="str">
            <v>ระบุในSD</v>
          </cell>
          <cell r="AJ45">
            <v>0</v>
          </cell>
          <cell r="AL45">
            <v>0</v>
          </cell>
          <cell r="AM45"/>
          <cell r="AN45">
            <v>0</v>
          </cell>
          <cell r="AO45" t="str">
            <v>WSWT1921720</v>
          </cell>
          <cell r="AQ45">
            <v>581626.98</v>
          </cell>
          <cell r="AR45">
            <v>100609.7</v>
          </cell>
          <cell r="AS45">
            <v>481017.28</v>
          </cell>
          <cell r="AT45">
            <v>0</v>
          </cell>
          <cell r="AU45">
            <v>0</v>
          </cell>
          <cell r="BZ45" t="str">
            <v>WRWT190720/WRWT25800</v>
          </cell>
          <cell r="CA45">
            <v>0</v>
          </cell>
          <cell r="DL45"/>
          <cell r="DM45" t="str">
            <v>Lead time</v>
          </cell>
          <cell r="DN45"/>
          <cell r="DP45"/>
          <cell r="DQ45"/>
          <cell r="DR45"/>
          <cell r="DS45"/>
          <cell r="DT45"/>
          <cell r="DU45"/>
          <cell r="DW45"/>
          <cell r="DX45"/>
          <cell r="DY45"/>
          <cell r="DZ45"/>
          <cell r="EA45"/>
          <cell r="EB45"/>
          <cell r="EC45"/>
          <cell r="ED45"/>
          <cell r="EG45"/>
          <cell r="EH45">
            <v>0</v>
          </cell>
          <cell r="EI45">
            <v>0</v>
          </cell>
        </row>
        <row r="46">
          <cell r="B46" t="str">
            <v>ประมาณการ</v>
          </cell>
          <cell r="C46" t="str">
            <v>ประมาณการ</v>
          </cell>
          <cell r="E46" t="str">
            <v>บจก.เอเชี่ยนเคมิคัล</v>
          </cell>
          <cell r="F46" t="str">
            <v>A.C.C.</v>
          </cell>
          <cell r="G46">
            <v>19</v>
          </cell>
          <cell r="H46">
            <v>26</v>
          </cell>
          <cell r="I46" t="str">
            <v>ขาว</v>
          </cell>
          <cell r="J46" t="str">
            <v>ด้าน</v>
          </cell>
          <cell r="L46">
            <v>70</v>
          </cell>
          <cell r="M46" t="str">
            <v>±</v>
          </cell>
          <cell r="N46">
            <v>5</v>
          </cell>
          <cell r="R46" t="str">
            <v>ไม่</v>
          </cell>
          <cell r="T46">
            <v>20</v>
          </cell>
          <cell r="U46">
            <v>28</v>
          </cell>
          <cell r="V46">
            <v>50</v>
          </cell>
          <cell r="X46">
            <v>45868</v>
          </cell>
          <cell r="Z46" t="str">
            <v>มัด100</v>
          </cell>
          <cell r="AA46">
            <v>15000</v>
          </cell>
          <cell r="AB46">
            <v>259.04464319999994</v>
          </cell>
          <cell r="AC46">
            <v>0</v>
          </cell>
          <cell r="AD46">
            <v>259.04464319999994</v>
          </cell>
          <cell r="AG46"/>
          <cell r="AI46"/>
          <cell r="AJ46">
            <v>0</v>
          </cell>
          <cell r="AL46">
            <v>15000</v>
          </cell>
          <cell r="AM46"/>
          <cell r="AN46">
            <v>15750</v>
          </cell>
          <cell r="AO46" t="str">
            <v>WSWT1925800SM</v>
          </cell>
          <cell r="AQ46">
            <v>11525.250000000002</v>
          </cell>
          <cell r="AR46">
            <v>11525.250000000002</v>
          </cell>
          <cell r="AS46">
            <v>0</v>
          </cell>
          <cell r="AT46">
            <v>0</v>
          </cell>
          <cell r="AU46">
            <v>11525.250000000002</v>
          </cell>
          <cell r="BZ46" t="str">
            <v>WRWT25800/WRWT25800</v>
          </cell>
          <cell r="CA46">
            <v>0</v>
          </cell>
          <cell r="DL46" t="str">
            <v>P8</v>
          </cell>
          <cell r="DM46">
            <v>4</v>
          </cell>
          <cell r="DN46">
            <v>45868</v>
          </cell>
          <cell r="DP46">
            <v>45863</v>
          </cell>
          <cell r="DQ46">
            <v>45864</v>
          </cell>
          <cell r="DR46">
            <v>45858</v>
          </cell>
          <cell r="DS46">
            <v>45865</v>
          </cell>
          <cell r="DT46">
            <v>45866</v>
          </cell>
          <cell r="DU46">
            <v>45866</v>
          </cell>
          <cell r="DW46">
            <v>45867</v>
          </cell>
          <cell r="DX46"/>
          <cell r="DY46"/>
          <cell r="DZ46"/>
          <cell r="EA46"/>
          <cell r="EB46"/>
          <cell r="EC46" t="str">
            <v>งานเคลือบ+พิมพ์</v>
          </cell>
          <cell r="ED46"/>
          <cell r="EG46"/>
          <cell r="EH46"/>
          <cell r="EI46"/>
        </row>
        <row r="47">
          <cell r="B47">
            <v>0</v>
          </cell>
          <cell r="C47"/>
          <cell r="E47"/>
          <cell r="F47"/>
          <cell r="G47">
            <v>19</v>
          </cell>
          <cell r="H47">
            <v>30</v>
          </cell>
          <cell r="I47"/>
          <cell r="J47"/>
          <cell r="L47">
            <v>56</v>
          </cell>
          <cell r="M47" t="str">
            <v>±</v>
          </cell>
          <cell r="N47">
            <v>5</v>
          </cell>
          <cell r="R47"/>
          <cell r="T47"/>
          <cell r="U47"/>
          <cell r="V47"/>
          <cell r="X47"/>
          <cell r="Z47"/>
          <cell r="AA47">
            <v>0</v>
          </cell>
          <cell r="AB47"/>
          <cell r="AC47">
            <v>0</v>
          </cell>
          <cell r="AD47"/>
          <cell r="AG47"/>
          <cell r="AI47" t="str">
            <v>ระบุในSD</v>
          </cell>
          <cell r="AJ47" t="str">
            <v xml:space="preserve"> </v>
          </cell>
          <cell r="AL47">
            <v>0</v>
          </cell>
          <cell r="AM47"/>
          <cell r="AN47">
            <v>0</v>
          </cell>
          <cell r="AO47" t="str">
            <v>WSWT1925800SM</v>
          </cell>
          <cell r="AQ47">
            <v>11525.250000000002</v>
          </cell>
          <cell r="AR47">
            <v>11525.250000000002</v>
          </cell>
          <cell r="AS47">
            <v>0</v>
          </cell>
          <cell r="AT47">
            <v>0</v>
          </cell>
          <cell r="AU47">
            <v>11525.250000000002</v>
          </cell>
          <cell r="BZ47" t="str">
            <v>WRWT190800/WRWT25800</v>
          </cell>
          <cell r="CA47">
            <v>0</v>
          </cell>
          <cell r="DL47"/>
          <cell r="DM47" t="str">
            <v>Lead time</v>
          </cell>
          <cell r="DN47"/>
          <cell r="DP47"/>
          <cell r="DQ47"/>
          <cell r="DR47"/>
          <cell r="DS47"/>
          <cell r="DT47"/>
          <cell r="DU47"/>
          <cell r="DW47"/>
          <cell r="DX47"/>
          <cell r="DY47"/>
          <cell r="DZ47"/>
          <cell r="EA47"/>
          <cell r="EB47"/>
          <cell r="EC47"/>
          <cell r="ED47"/>
          <cell r="EG47"/>
          <cell r="EH47">
            <v>0</v>
          </cell>
          <cell r="EI47">
            <v>0</v>
          </cell>
        </row>
        <row r="48">
          <cell r="B48" t="str">
            <v>MK68-000680</v>
          </cell>
          <cell r="C48">
            <v>45796</v>
          </cell>
          <cell r="E48" t="str">
            <v>บจก.อินเทคค์ โกลบอล</v>
          </cell>
          <cell r="F48" t="str">
            <v>เพอเฟคค์103P โกลด์</v>
          </cell>
          <cell r="G48">
            <v>19</v>
          </cell>
          <cell r="H48">
            <v>34</v>
          </cell>
          <cell r="I48" t="str">
            <v>ขาว</v>
          </cell>
          <cell r="J48" t="str">
            <v>ด้าน</v>
          </cell>
          <cell r="L48">
            <v>100</v>
          </cell>
          <cell r="M48" t="str">
            <v>±</v>
          </cell>
          <cell r="N48">
            <v>5</v>
          </cell>
          <cell r="R48" t="str">
            <v>จับจีบ4"</v>
          </cell>
          <cell r="T48" t="str">
            <v>ไม่สวมถุงใน</v>
          </cell>
          <cell r="U48"/>
          <cell r="V48"/>
          <cell r="X48" t="str">
            <v>รอแจ้ง</v>
          </cell>
          <cell r="Z48" t="str">
            <v>มัด80 ใช้สายรัด</v>
          </cell>
          <cell r="AA48">
            <v>503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503</v>
          </cell>
          <cell r="AM48">
            <v>5250</v>
          </cell>
          <cell r="AN48">
            <v>0</v>
          </cell>
          <cell r="AO48" t="str">
            <v>WSWT19251000SM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WRWT251000/WRWT251000</v>
          </cell>
          <cell r="CA48">
            <v>0</v>
          </cell>
          <cell r="DL48" t="str">
            <v>P6</v>
          </cell>
          <cell r="DM48">
            <v>4</v>
          </cell>
          <cell r="DN48" t="str">
            <v>รอแจ้ง</v>
          </cell>
          <cell r="DP48" t="e">
            <v>#VALUE!</v>
          </cell>
          <cell r="DQ48" t="e">
            <v>#VALUE!</v>
          </cell>
          <cell r="DR48" t="e">
            <v>#VALUE!</v>
          </cell>
          <cell r="DS48" t="e">
            <v>#VALUE!</v>
          </cell>
          <cell r="DT48" t="e">
            <v>#VALUE!</v>
          </cell>
          <cell r="DU48" t="e">
            <v>#VALUE!</v>
          </cell>
          <cell r="DW48"/>
          <cell r="DX48"/>
          <cell r="DY48"/>
          <cell r="DZ48"/>
          <cell r="EA48"/>
          <cell r="EB48"/>
          <cell r="EC48" t="str">
            <v>งานเคลือบ+พิมพ์</v>
          </cell>
          <cell r="ED48" t="str">
            <v xml:space="preserve"> /</v>
          </cell>
          <cell r="EG48"/>
          <cell r="EH48"/>
          <cell r="EI48"/>
        </row>
        <row r="49">
          <cell r="B49">
            <v>0</v>
          </cell>
          <cell r="C49"/>
          <cell r="E49"/>
          <cell r="F49"/>
          <cell r="G49">
            <v>19</v>
          </cell>
          <cell r="H49">
            <v>34</v>
          </cell>
          <cell r="I49" t="str">
            <v>ขาว</v>
          </cell>
          <cell r="J49"/>
          <cell r="L49">
            <v>80</v>
          </cell>
          <cell r="M49" t="str">
            <v>±</v>
          </cell>
          <cell r="N49">
            <v>5</v>
          </cell>
          <cell r="R49"/>
          <cell r="T49"/>
          <cell r="U49"/>
          <cell r="V49"/>
          <cell r="X49"/>
          <cell r="Z49"/>
          <cell r="AA49"/>
          <cell r="AB49">
            <v>0</v>
          </cell>
          <cell r="AC49">
            <v>0</v>
          </cell>
          <cell r="AD49"/>
          <cell r="AG49"/>
          <cell r="AI49" t="str">
            <v>ระบุในSD</v>
          </cell>
          <cell r="AJ49"/>
          <cell r="AL49">
            <v>0</v>
          </cell>
          <cell r="AM49"/>
          <cell r="AN49">
            <v>0</v>
          </cell>
          <cell r="AO49" t="str">
            <v>WSWT19251000SM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WRWT251000/WRYL251000</v>
          </cell>
          <cell r="CA49">
            <v>0</v>
          </cell>
          <cell r="DL49"/>
          <cell r="DM49" t="str">
            <v>Lead time</v>
          </cell>
          <cell r="DN49"/>
          <cell r="DP49"/>
          <cell r="DQ49"/>
          <cell r="DR49"/>
          <cell r="DS49"/>
          <cell r="DT49"/>
          <cell r="DU49"/>
          <cell r="DW49"/>
          <cell r="DX49"/>
          <cell r="DY49"/>
          <cell r="DZ49"/>
          <cell r="EA49"/>
          <cell r="EB49"/>
          <cell r="EC49"/>
          <cell r="ED49"/>
          <cell r="EG49"/>
          <cell r="EH49"/>
          <cell r="EI49">
            <v>0</v>
          </cell>
        </row>
        <row r="50">
          <cell r="B50" t="str">
            <v>ประมาณการ</v>
          </cell>
          <cell r="C50" t="str">
            <v>ประมาณการ</v>
          </cell>
          <cell r="E50" t="str">
            <v>บจก.หนองบัวฟีดมิลล์</v>
          </cell>
          <cell r="F50" t="str">
            <v>ไม่พิมพ์</v>
          </cell>
          <cell r="G50">
            <v>20</v>
          </cell>
          <cell r="H50">
            <v>30</v>
          </cell>
          <cell r="I50" t="str">
            <v>ขาว</v>
          </cell>
          <cell r="J50"/>
          <cell r="L50">
            <v>53</v>
          </cell>
          <cell r="M50" t="str">
            <v>±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45868</v>
          </cell>
          <cell r="Z50" t="str">
            <v>500กระสอบ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20000</v>
          </cell>
          <cell r="AM50"/>
          <cell r="AN50">
            <v>0</v>
          </cell>
          <cell r="AO50" t="str">
            <v>WSWT2025650</v>
          </cell>
          <cell r="AQ50">
            <v>17602.2</v>
          </cell>
          <cell r="AR50">
            <v>5242</v>
          </cell>
          <cell r="AS50">
            <v>12360.2</v>
          </cell>
          <cell r="AT50">
            <v>0</v>
          </cell>
          <cell r="AU50">
            <v>0</v>
          </cell>
          <cell r="BZ50" t="str">
            <v>WRWT25650/WRWT25650</v>
          </cell>
          <cell r="CA50">
            <v>758.77894444444439</v>
          </cell>
          <cell r="DL50" t="str">
            <v>P3</v>
          </cell>
          <cell r="DM50">
            <v>1</v>
          </cell>
          <cell r="DN50">
            <v>45868</v>
          </cell>
          <cell r="DP50">
            <v>45863</v>
          </cell>
          <cell r="DQ50"/>
          <cell r="DR50"/>
          <cell r="DS50"/>
          <cell r="DT50"/>
          <cell r="DU50">
            <v>45867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MK68-000851</v>
          </cell>
          <cell r="C51">
            <v>45839</v>
          </cell>
          <cell r="E51" t="str">
            <v>สหกรณ์โคนมพิมาย</v>
          </cell>
          <cell r="F51" t="str">
            <v>พ.ม.21 ผงใช้ในฟาร์ม(แถบบานเย็น)</v>
          </cell>
          <cell r="G51">
            <v>20</v>
          </cell>
          <cell r="H51">
            <v>37</v>
          </cell>
          <cell r="I51" t="str">
            <v>ขาว</v>
          </cell>
          <cell r="J51"/>
          <cell r="L51">
            <v>65</v>
          </cell>
          <cell r="M51" t="str">
            <v>±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45847</v>
          </cell>
          <cell r="Z51" t="str">
            <v>500กระสอบ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10000</v>
          </cell>
          <cell r="AM51">
            <v>10560</v>
          </cell>
          <cell r="AN51">
            <v>0</v>
          </cell>
          <cell r="AO51" t="str">
            <v>WSWT2025650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WRWT25650/WRWT25650</v>
          </cell>
          <cell r="CA51">
            <v>0</v>
          </cell>
          <cell r="DL51" t="str">
            <v>P7</v>
          </cell>
          <cell r="DM51">
            <v>2</v>
          </cell>
          <cell r="DN51">
            <v>45847</v>
          </cell>
          <cell r="DP51">
            <v>45842</v>
          </cell>
          <cell r="DQ51"/>
          <cell r="DR51">
            <v>45838</v>
          </cell>
          <cell r="DS51">
            <v>45845</v>
          </cell>
          <cell r="DT51">
            <v>45846</v>
          </cell>
          <cell r="DU51">
            <v>45846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/>
          <cell r="EG51"/>
          <cell r="EH51"/>
          <cell r="EI51"/>
        </row>
        <row r="52">
          <cell r="B52">
            <v>0</v>
          </cell>
          <cell r="C52"/>
          <cell r="E52"/>
          <cell r="F52"/>
          <cell r="G52">
            <v>20</v>
          </cell>
          <cell r="H52">
            <v>37</v>
          </cell>
          <cell r="I52" t="str">
            <v>ขาว</v>
          </cell>
          <cell r="J52"/>
          <cell r="L52">
            <v>65</v>
          </cell>
          <cell r="M52" t="str">
            <v>±</v>
          </cell>
          <cell r="N52">
            <v>5</v>
          </cell>
          <cell r="R52"/>
          <cell r="T52"/>
          <cell r="U52"/>
          <cell r="V52"/>
          <cell r="X52"/>
          <cell r="Z52"/>
          <cell r="AA52"/>
          <cell r="AB52">
            <v>0</v>
          </cell>
          <cell r="AC52">
            <v>0</v>
          </cell>
          <cell r="AD52"/>
          <cell r="AG52"/>
          <cell r="AI52" t="str">
            <v>ระบุในSD</v>
          </cell>
          <cell r="AJ52"/>
          <cell r="AL52">
            <v>0</v>
          </cell>
          <cell r="AM52"/>
          <cell r="AN52">
            <v>0</v>
          </cell>
          <cell r="AO52" t="str">
            <v>WSWT2025650</v>
          </cell>
          <cell r="AQ52">
            <v>17602.2</v>
          </cell>
          <cell r="AR52">
            <v>5242</v>
          </cell>
          <cell r="AS52">
            <v>12360.2</v>
          </cell>
          <cell r="AT52">
            <v>0</v>
          </cell>
          <cell r="AU52">
            <v>0</v>
          </cell>
          <cell r="BZ52" t="str">
            <v>WRWT25650/WRWT25650</v>
          </cell>
          <cell r="CA52">
            <v>0</v>
          </cell>
          <cell r="DL52"/>
          <cell r="DM52" t="str">
            <v>Lead time</v>
          </cell>
          <cell r="DN52"/>
          <cell r="DP52"/>
          <cell r="DQ52"/>
          <cell r="DR52"/>
          <cell r="DS52"/>
          <cell r="DT52"/>
          <cell r="DU52"/>
          <cell r="DW52"/>
          <cell r="DX52"/>
          <cell r="DY52"/>
          <cell r="DZ52"/>
          <cell r="EA52"/>
          <cell r="EB52"/>
          <cell r="EC52"/>
          <cell r="ED52"/>
          <cell r="EG52"/>
          <cell r="EH52"/>
          <cell r="EI52">
            <v>0</v>
          </cell>
        </row>
        <row r="53">
          <cell r="B53">
            <v>0</v>
          </cell>
          <cell r="C53"/>
          <cell r="E53"/>
          <cell r="F53"/>
          <cell r="G53">
            <v>20</v>
          </cell>
          <cell r="H53">
            <v>37</v>
          </cell>
          <cell r="I53" t="str">
            <v>ขาว</v>
          </cell>
          <cell r="J53"/>
          <cell r="L53">
            <v>70</v>
          </cell>
          <cell r="M53" t="str">
            <v>±</v>
          </cell>
          <cell r="N53">
            <v>5</v>
          </cell>
          <cell r="R53"/>
          <cell r="T53"/>
          <cell r="U53"/>
          <cell r="V53"/>
          <cell r="X53"/>
          <cell r="Z53"/>
          <cell r="AA53"/>
          <cell r="AB53">
            <v>0</v>
          </cell>
          <cell r="AC53">
            <v>0</v>
          </cell>
          <cell r="AD53"/>
          <cell r="AG53"/>
          <cell r="AI53" t="str">
            <v>ระบุในSD</v>
          </cell>
          <cell r="AJ53"/>
          <cell r="AL53">
            <v>0</v>
          </cell>
          <cell r="AM53"/>
          <cell r="AN53">
            <v>0</v>
          </cell>
          <cell r="AO53" t="str">
            <v>WSWT2025700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BZ53" t="str">
            <v>WRWT25800/WRWT25650</v>
          </cell>
          <cell r="CA53">
            <v>0</v>
          </cell>
          <cell r="DL53"/>
          <cell r="DM53" t="str">
            <v>Lead time</v>
          </cell>
          <cell r="DN53"/>
          <cell r="DP53"/>
          <cell r="DQ53"/>
          <cell r="DR53"/>
          <cell r="DS53"/>
          <cell r="DT53"/>
          <cell r="DU53"/>
          <cell r="DW53"/>
          <cell r="DX53"/>
          <cell r="DY53"/>
          <cell r="DZ53"/>
          <cell r="EA53"/>
          <cell r="EB53"/>
          <cell r="EC53"/>
          <cell r="ED53"/>
          <cell r="EG53"/>
          <cell r="EH53"/>
          <cell r="EI53">
            <v>0</v>
          </cell>
        </row>
        <row r="54">
          <cell r="B54" t="str">
            <v>MK68-000796</v>
          </cell>
          <cell r="C54">
            <v>45825</v>
          </cell>
          <cell r="E54" t="str">
            <v>บจก.อินเทคค์ โกลบอล</v>
          </cell>
          <cell r="F54" t="str">
            <v>เฟิร์สช้อย 911</v>
          </cell>
          <cell r="G54">
            <v>20</v>
          </cell>
          <cell r="H54">
            <v>36</v>
          </cell>
          <cell r="I54" t="str">
            <v>ขาว</v>
          </cell>
          <cell r="J54" t="str">
            <v>ด้าน</v>
          </cell>
          <cell r="L54">
            <v>100</v>
          </cell>
          <cell r="M54" t="str">
            <v>±</v>
          </cell>
          <cell r="N54">
            <v>5</v>
          </cell>
          <cell r="R54" t="str">
            <v>จับจีบ4"</v>
          </cell>
          <cell r="T54" t="str">
            <v>ไม่สวมถุงใน</v>
          </cell>
          <cell r="U54"/>
          <cell r="V54"/>
          <cell r="X54">
            <v>45843</v>
          </cell>
          <cell r="Z54" t="str">
            <v>มัด80 ใช้สายรัด</v>
          </cell>
          <cell r="AA54">
            <v>127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127</v>
          </cell>
          <cell r="AM54">
            <v>6000</v>
          </cell>
          <cell r="AN54">
            <v>0</v>
          </cell>
          <cell r="AO54" t="str">
            <v>WSWT2025800SM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WRWT25850/WRWT25850</v>
          </cell>
          <cell r="CA54">
            <v>0</v>
          </cell>
          <cell r="DL54" t="str">
            <v>P6</v>
          </cell>
          <cell r="DM54">
            <v>4</v>
          </cell>
          <cell r="DN54">
            <v>45843</v>
          </cell>
          <cell r="DP54">
            <v>45838</v>
          </cell>
          <cell r="DQ54">
            <v>45839</v>
          </cell>
          <cell r="DR54">
            <v>45832</v>
          </cell>
          <cell r="DS54">
            <v>45840</v>
          </cell>
          <cell r="DT54">
            <v>45841</v>
          </cell>
          <cell r="DU54">
            <v>45842</v>
          </cell>
          <cell r="DW54"/>
          <cell r="DX54"/>
          <cell r="DY54"/>
          <cell r="DZ54"/>
          <cell r="EA54"/>
          <cell r="EB54"/>
          <cell r="EC54" t="str">
            <v>งานเคลือบ+พิมพ์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MK68-000609</v>
          </cell>
          <cell r="C55">
            <v>45782</v>
          </cell>
          <cell r="E55" t="str">
            <v>บจก.เอสพีเอ็ม อาหารสัตว์</v>
          </cell>
          <cell r="F55" t="str">
            <v xml:space="preserve">SW 441 </v>
          </cell>
          <cell r="G55">
            <v>20</v>
          </cell>
          <cell r="H55">
            <v>38</v>
          </cell>
          <cell r="I55" t="str">
            <v>ขาว</v>
          </cell>
          <cell r="J55" t="str">
            <v>ใส</v>
          </cell>
          <cell r="L55">
            <v>100</v>
          </cell>
          <cell r="M55" t="str">
            <v>±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45846</v>
          </cell>
          <cell r="Z55" t="str">
            <v>500กระสอบแบน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3318</v>
          </cell>
          <cell r="AL55">
            <v>1682</v>
          </cell>
          <cell r="AM55">
            <v>5538</v>
          </cell>
          <cell r="AN55">
            <v>0</v>
          </cell>
          <cell r="AO55" t="str">
            <v>WSWT2025800SM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WRWT25850/WRWT25850</v>
          </cell>
          <cell r="CA55">
            <v>0</v>
          </cell>
          <cell r="DL55" t="str">
            <v>P6</v>
          </cell>
          <cell r="DM55">
            <v>4</v>
          </cell>
          <cell r="DN55">
            <v>45846</v>
          </cell>
          <cell r="DP55">
            <v>45841</v>
          </cell>
          <cell r="DQ55">
            <v>45842</v>
          </cell>
          <cell r="DR55">
            <v>45835</v>
          </cell>
          <cell r="DS55">
            <v>45843</v>
          </cell>
          <cell r="DT55">
            <v>45844</v>
          </cell>
          <cell r="DU55">
            <v>45845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MK68-000741</v>
          </cell>
          <cell r="C56">
            <v>45810</v>
          </cell>
          <cell r="E56" t="str">
            <v>บจก.เอสพีเอ็ม อาหารสัตว์</v>
          </cell>
          <cell r="F56" t="str">
            <v>SPM 915</v>
          </cell>
          <cell r="G56">
            <v>20</v>
          </cell>
          <cell r="H56">
            <v>38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45846</v>
          </cell>
          <cell r="Z56" t="str">
            <v>500กระสอบแบน</v>
          </cell>
          <cell r="AA56">
            <v>3000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3000</v>
          </cell>
          <cell r="AM56">
            <v>3250</v>
          </cell>
          <cell r="AN56">
            <v>0</v>
          </cell>
          <cell r="AO56" t="str">
            <v>WSWT2025800SM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45846</v>
          </cell>
          <cell r="DP56">
            <v>45841</v>
          </cell>
          <cell r="DQ56">
            <v>45842</v>
          </cell>
          <cell r="DR56">
            <v>45835</v>
          </cell>
          <cell r="DS56">
            <v>45843</v>
          </cell>
          <cell r="DT56">
            <v>45844</v>
          </cell>
          <cell r="DU56">
            <v>45845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MK68-000854</v>
          </cell>
          <cell r="C57">
            <v>45839</v>
          </cell>
          <cell r="E57" t="str">
            <v>บจก.วีซีเอฟ</v>
          </cell>
          <cell r="F57" t="str">
            <v>VC 181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45847</v>
          </cell>
          <cell r="Z57" t="str">
            <v>500กระสอบแบน</v>
          </cell>
          <cell r="AA57">
            <v>20000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20000</v>
          </cell>
          <cell r="AM57">
            <v>20200</v>
          </cell>
          <cell r="AN57">
            <v>0</v>
          </cell>
          <cell r="AO57" t="str">
            <v>WSWT2025800SM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WRWT25850/WRWT25850</v>
          </cell>
          <cell r="CA57">
            <v>0</v>
          </cell>
          <cell r="DL57" t="str">
            <v>P6</v>
          </cell>
          <cell r="DM57">
            <v>4</v>
          </cell>
          <cell r="DN57">
            <v>45847</v>
          </cell>
          <cell r="DP57">
            <v>45842</v>
          </cell>
          <cell r="DQ57">
            <v>45843</v>
          </cell>
          <cell r="DR57">
            <v>45836</v>
          </cell>
          <cell r="DS57">
            <v>45844</v>
          </cell>
          <cell r="DT57">
            <v>45845</v>
          </cell>
          <cell r="DU57">
            <v>45846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MK68-000853</v>
          </cell>
          <cell r="C58">
            <v>45839</v>
          </cell>
          <cell r="E58" t="str">
            <v>บจก.วีซีเอฟ</v>
          </cell>
          <cell r="F58" t="str">
            <v>JET 153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100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45852</v>
          </cell>
          <cell r="Z58" t="str">
            <v>500กระสอบแบน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>
            <v>5250</v>
          </cell>
          <cell r="AN58">
            <v>4987.5</v>
          </cell>
          <cell r="AO58" t="str">
            <v>WSWT2025800SM</v>
          </cell>
          <cell r="AQ58">
            <v>5365.0038750000003</v>
          </cell>
          <cell r="AR58">
            <v>5365.0038750000003</v>
          </cell>
          <cell r="AS58">
            <v>0</v>
          </cell>
          <cell r="AT58">
            <v>5365.0038750000003</v>
          </cell>
          <cell r="AU58">
            <v>0</v>
          </cell>
          <cell r="BZ58" t="str">
            <v>WRWT25850/WRWT25850</v>
          </cell>
          <cell r="CA58">
            <v>0</v>
          </cell>
          <cell r="DL58" t="str">
            <v>P6</v>
          </cell>
          <cell r="DM58">
            <v>4</v>
          </cell>
          <cell r="DN58">
            <v>45852</v>
          </cell>
          <cell r="DP58">
            <v>45847</v>
          </cell>
          <cell r="DQ58">
            <v>45848</v>
          </cell>
          <cell r="DR58">
            <v>45841</v>
          </cell>
          <cell r="DS58">
            <v>45849</v>
          </cell>
          <cell r="DT58">
            <v>45850</v>
          </cell>
          <cell r="DU58">
            <v>45851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MK68-000853</v>
          </cell>
          <cell r="C59">
            <v>45839</v>
          </cell>
          <cell r="E59" t="str">
            <v>บจก.วีซีเอฟ</v>
          </cell>
          <cell r="F59" t="str">
            <v>SPEED PLUS 333 เขมร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45852</v>
          </cell>
          <cell r="Z59" t="str">
            <v>500กระสอบแบน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WSWT2025800SM</v>
          </cell>
          <cell r="AQ59">
            <v>5378.4500000000007</v>
          </cell>
          <cell r="AR59">
            <v>5378.4500000000007</v>
          </cell>
          <cell r="AS59">
            <v>0</v>
          </cell>
          <cell r="AT59">
            <v>5378.4500000000007</v>
          </cell>
          <cell r="AU59">
            <v>0</v>
          </cell>
          <cell r="BZ59" t="str">
            <v>WRWT25850/WRWT25850</v>
          </cell>
          <cell r="CA59">
            <v>0</v>
          </cell>
          <cell r="DL59" t="str">
            <v>P6</v>
          </cell>
          <cell r="DM59">
            <v>4</v>
          </cell>
          <cell r="DN59">
            <v>45852</v>
          </cell>
          <cell r="DP59">
            <v>45847</v>
          </cell>
          <cell r="DQ59">
            <v>45848</v>
          </cell>
          <cell r="DR59">
            <v>45841</v>
          </cell>
          <cell r="DS59">
            <v>45849</v>
          </cell>
          <cell r="DT59">
            <v>45850</v>
          </cell>
          <cell r="DU59">
            <v>45851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MK68-000806</v>
          </cell>
          <cell r="C60">
            <v>45826</v>
          </cell>
          <cell r="E60" t="str">
            <v>บจก.เอพีเอ็ม อะโกร</v>
          </cell>
          <cell r="F60" t="str">
            <v>ฟีล กู๊ด พี6</v>
          </cell>
          <cell r="G60">
            <v>20</v>
          </cell>
          <cell r="H60">
            <v>38</v>
          </cell>
          <cell r="I60" t="str">
            <v>ขาว</v>
          </cell>
          <cell r="J60" t="str">
            <v>ใส</v>
          </cell>
          <cell r="L60">
            <v>100</v>
          </cell>
          <cell r="M60" t="str">
            <v>±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45856</v>
          </cell>
          <cell r="Z60" t="str">
            <v>500กระสอบแบน</v>
          </cell>
          <cell r="AA60">
            <v>3000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3000</v>
          </cell>
          <cell r="AM60">
            <v>3395</v>
          </cell>
          <cell r="AN60">
            <v>0</v>
          </cell>
          <cell r="AO60" t="str">
            <v>WSWT2025800SM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WRWT25850/WRWT25850</v>
          </cell>
          <cell r="CA60">
            <v>0</v>
          </cell>
          <cell r="DL60" t="str">
            <v>P6</v>
          </cell>
          <cell r="DM60">
            <v>4</v>
          </cell>
          <cell r="DN60">
            <v>45856</v>
          </cell>
          <cell r="DP60">
            <v>45851</v>
          </cell>
          <cell r="DQ60">
            <v>45852</v>
          </cell>
          <cell r="DR60">
            <v>45845</v>
          </cell>
          <cell r="DS60">
            <v>45853</v>
          </cell>
          <cell r="DT60">
            <v>45854</v>
          </cell>
          <cell r="DU60">
            <v>45855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MK68-000853</v>
          </cell>
          <cell r="C61">
            <v>45839</v>
          </cell>
          <cell r="E61" t="str">
            <v>บจก.วีซีเอฟ</v>
          </cell>
          <cell r="F61" t="str">
            <v>R FEED 405A</v>
          </cell>
          <cell r="G61">
            <v>20</v>
          </cell>
          <cell r="H61">
            <v>37</v>
          </cell>
          <cell r="I61" t="str">
            <v>ขาว</v>
          </cell>
          <cell r="J61" t="str">
            <v>ใส</v>
          </cell>
          <cell r="L61">
            <v>100</v>
          </cell>
          <cell r="M61" t="str">
            <v>±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45861</v>
          </cell>
          <cell r="Z61" t="str">
            <v>500กระสอบแบน</v>
          </cell>
          <cell r="AA61">
            <v>10000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10000</v>
          </cell>
          <cell r="AM61"/>
          <cell r="AN61">
            <v>10500</v>
          </cell>
          <cell r="AO61" t="str">
            <v>WSWT2025800SM</v>
          </cell>
          <cell r="AQ61">
            <v>10756.900000000001</v>
          </cell>
          <cell r="AR61">
            <v>10756.900000000001</v>
          </cell>
          <cell r="AS61">
            <v>0</v>
          </cell>
          <cell r="AT61">
            <v>10756.900000000001</v>
          </cell>
          <cell r="AU61">
            <v>0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>
            <v>45861</v>
          </cell>
          <cell r="DP61">
            <v>45856</v>
          </cell>
          <cell r="DQ61">
            <v>45857</v>
          </cell>
          <cell r="DR61">
            <v>45850</v>
          </cell>
          <cell r="DS61">
            <v>45858</v>
          </cell>
          <cell r="DT61">
            <v>45859</v>
          </cell>
          <cell r="DU61">
            <v>45860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บจก.อินเทคค์ โกลบอล</v>
          </cell>
          <cell r="F62" t="str">
            <v>รอแบบ</v>
          </cell>
          <cell r="G62">
            <v>20</v>
          </cell>
          <cell r="H62">
            <v>36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</v>
          </cell>
          <cell r="T62" t="str">
            <v>ไม่สวมถุงใน</v>
          </cell>
          <cell r="U62"/>
          <cell r="V62"/>
          <cell r="X62">
            <v>45868</v>
          </cell>
          <cell r="Z62" t="str">
            <v>มัด80 ใช้สายรัด</v>
          </cell>
          <cell r="AA62">
            <v>100000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100000</v>
          </cell>
          <cell r="AM62"/>
          <cell r="AN62">
            <v>105000</v>
          </cell>
          <cell r="AO62" t="str">
            <v>WSWT2025800SM</v>
          </cell>
          <cell r="AQ62">
            <v>104775.00000000001</v>
          </cell>
          <cell r="AR62">
            <v>34956</v>
          </cell>
          <cell r="AS62">
            <v>69819.000000000015</v>
          </cell>
          <cell r="AT62">
            <v>0</v>
          </cell>
          <cell r="AU62">
            <v>104775.00000000001</v>
          </cell>
          <cell r="BZ62" t="str">
            <v>WRWT25850/WRWT25850</v>
          </cell>
          <cell r="CA62">
            <v>5275.213333333334</v>
          </cell>
          <cell r="DL62" t="str">
            <v>P6</v>
          </cell>
          <cell r="DM62">
            <v>4</v>
          </cell>
          <cell r="DN62">
            <v>45868</v>
          </cell>
          <cell r="DP62">
            <v>45863</v>
          </cell>
          <cell r="DQ62">
            <v>45864</v>
          </cell>
          <cell r="DR62">
            <v>45857</v>
          </cell>
          <cell r="DS62">
            <v>45865</v>
          </cell>
          <cell r="DT62">
            <v>45866</v>
          </cell>
          <cell r="DU62">
            <v>45867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>รอART</v>
          </cell>
          <cell r="EG62"/>
          <cell r="EH62"/>
          <cell r="EI62"/>
        </row>
        <row r="63">
          <cell r="B63" t="str">
            <v>ประมาณการ</v>
          </cell>
          <cell r="C63" t="str">
            <v>ประมาณการ</v>
          </cell>
          <cell r="E63" t="str">
            <v>บจก.เอสพีเอ็ม อาหารสัตว์</v>
          </cell>
          <cell r="F63" t="str">
            <v>รอแบบ</v>
          </cell>
          <cell r="G63">
            <v>20</v>
          </cell>
          <cell r="H63">
            <v>38</v>
          </cell>
          <cell r="I63" t="str">
            <v>ขาว</v>
          </cell>
          <cell r="J63" t="str">
            <v>ใส</v>
          </cell>
          <cell r="L63">
            <v>100</v>
          </cell>
          <cell r="M63" t="str">
            <v>±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45868</v>
          </cell>
          <cell r="Z63" t="str">
            <v>500กระสอบแบน</v>
          </cell>
          <cell r="AA63">
            <v>20000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20000</v>
          </cell>
          <cell r="AM63"/>
          <cell r="AN63">
            <v>21000</v>
          </cell>
          <cell r="AO63" t="str">
            <v>WSWT2025800SM</v>
          </cell>
          <cell r="AQ63">
            <v>22072.6</v>
          </cell>
          <cell r="AR63">
            <v>0</v>
          </cell>
          <cell r="AS63">
            <v>22072.6</v>
          </cell>
          <cell r="AT63">
            <v>0</v>
          </cell>
          <cell r="AU63">
            <v>22072.6</v>
          </cell>
          <cell r="BZ63" t="str">
            <v>WRWT25850/WRWT25850</v>
          </cell>
          <cell r="CA63">
            <v>1667.7075555555555</v>
          </cell>
          <cell r="DL63" t="str">
            <v>P6</v>
          </cell>
          <cell r="DM63">
            <v>4</v>
          </cell>
          <cell r="DN63">
            <v>45868</v>
          </cell>
          <cell r="DP63">
            <v>45863</v>
          </cell>
          <cell r="DQ63">
            <v>45864</v>
          </cell>
          <cell r="DR63">
            <v>45857</v>
          </cell>
          <cell r="DS63">
            <v>45865</v>
          </cell>
          <cell r="DT63">
            <v>45866</v>
          </cell>
          <cell r="DU63">
            <v>45867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บจก.ไทยธรรมดี</v>
          </cell>
          <cell r="F64" t="str">
            <v>รอแบบ</v>
          </cell>
          <cell r="G64">
            <v>20</v>
          </cell>
          <cell r="H64">
            <v>37</v>
          </cell>
          <cell r="I64" t="str">
            <v>ขาว</v>
          </cell>
          <cell r="J64" t="str">
            <v>ด้าน</v>
          </cell>
          <cell r="L64">
            <v>97</v>
          </cell>
          <cell r="M64" t="str">
            <v>±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45868</v>
          </cell>
          <cell r="Z64" t="str">
            <v>500กระสอบ</v>
          </cell>
          <cell r="AA64">
            <v>20000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20000</v>
          </cell>
          <cell r="AM64"/>
          <cell r="AN64">
            <v>21000</v>
          </cell>
          <cell r="AO64" t="str">
            <v>WSWT2025800SM</v>
          </cell>
          <cell r="AQ64">
            <v>21513.800000000003</v>
          </cell>
          <cell r="AR64">
            <v>0</v>
          </cell>
          <cell r="AS64">
            <v>21513.800000000003</v>
          </cell>
          <cell r="AT64">
            <v>0</v>
          </cell>
          <cell r="AU64">
            <v>21513.800000000003</v>
          </cell>
          <cell r="BZ64" t="str">
            <v>WRWT25850/WRWT25850</v>
          </cell>
          <cell r="CA64">
            <v>1625.4871111111113</v>
          </cell>
          <cell r="DL64" t="str">
            <v>P6</v>
          </cell>
          <cell r="DM64">
            <v>4</v>
          </cell>
          <cell r="DN64">
            <v>45868</v>
          </cell>
          <cell r="DP64">
            <v>45863</v>
          </cell>
          <cell r="DQ64">
            <v>45864</v>
          </cell>
          <cell r="DR64">
            <v>45857</v>
          </cell>
          <cell r="DS64">
            <v>45865</v>
          </cell>
          <cell r="DT64">
            <v>45866</v>
          </cell>
          <cell r="DU64">
            <v>45867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ประมาณการ</v>
          </cell>
          <cell r="C65" t="str">
            <v>ประมาณการ</v>
          </cell>
          <cell r="E65" t="str">
            <v>บจก.ซันฟีด</v>
          </cell>
          <cell r="F65" t="str">
            <v>รอแบบ</v>
          </cell>
          <cell r="G65">
            <v>20</v>
          </cell>
          <cell r="H65">
            <v>38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+</v>
          </cell>
          <cell r="N65"/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45868</v>
          </cell>
          <cell r="Z65" t="str">
            <v xml:space="preserve">300กระสอบแบนเต็มใบ </v>
          </cell>
          <cell r="AA65">
            <v>100000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100000</v>
          </cell>
          <cell r="AM65"/>
          <cell r="AN65">
            <v>105000</v>
          </cell>
          <cell r="AO65" t="str">
            <v>WSWT2025800SM</v>
          </cell>
          <cell r="AQ65">
            <v>110363</v>
          </cell>
          <cell r="AR65">
            <v>0</v>
          </cell>
          <cell r="AS65">
            <v>110363</v>
          </cell>
          <cell r="AT65">
            <v>0</v>
          </cell>
          <cell r="AU65">
            <v>110363</v>
          </cell>
          <cell r="BZ65" t="str">
            <v>WRWT25850/WRWT25850</v>
          </cell>
          <cell r="CA65">
            <v>8338.5377777777776</v>
          </cell>
          <cell r="DL65" t="str">
            <v>P6</v>
          </cell>
          <cell r="DM65">
            <v>4</v>
          </cell>
          <cell r="DN65">
            <v>45868</v>
          </cell>
          <cell r="DP65">
            <v>45863</v>
          </cell>
          <cell r="DQ65">
            <v>45864</v>
          </cell>
          <cell r="DR65">
            <v>45857</v>
          </cell>
          <cell r="DS65">
            <v>45865</v>
          </cell>
          <cell r="DT65">
            <v>45866</v>
          </cell>
          <cell r="DU65">
            <v>45867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MK68-000801</v>
          </cell>
          <cell r="C66">
            <v>45825</v>
          </cell>
          <cell r="E66" t="str">
            <v>บจก.อินเทคค์ โกลบอล</v>
          </cell>
          <cell r="F66" t="str">
            <v>สุบรรณ 111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จับจีบ3.5"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894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894</v>
          </cell>
          <cell r="AM66">
            <v>6000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 </v>
          </cell>
          <cell r="EG66"/>
          <cell r="EH66"/>
          <cell r="EI66"/>
        </row>
        <row r="67">
          <cell r="B67" t="str">
            <v>MK68-000810</v>
          </cell>
          <cell r="C67">
            <v>45827</v>
          </cell>
          <cell r="E67" t="str">
            <v>บจก.อินเทคค์ โกลบอล</v>
          </cell>
          <cell r="F67" t="str">
            <v>เฟิร์สคลาส 912</v>
          </cell>
          <cell r="G67">
            <v>20</v>
          </cell>
          <cell r="H67">
            <v>35</v>
          </cell>
          <cell r="I67" t="str">
            <v>ขาว</v>
          </cell>
          <cell r="J67" t="str">
            <v>ด้าน</v>
          </cell>
          <cell r="L67">
            <v>97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455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455</v>
          </cell>
          <cell r="AM67">
            <v>6000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MK68-000609</v>
          </cell>
          <cell r="C68">
            <v>45782</v>
          </cell>
          <cell r="E68" t="str">
            <v>บจก.เอสพีเอ็ม อาหารสัตว์</v>
          </cell>
          <cell r="F68" t="str">
            <v xml:space="preserve">SW 441 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ใส</v>
          </cell>
          <cell r="L68">
            <v>100</v>
          </cell>
          <cell r="M68" t="str">
            <v>±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500กระสอบแบน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5000</v>
          </cell>
          <cell r="AM68">
            <v>5250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 </v>
          </cell>
          <cell r="EG68"/>
          <cell r="EH68"/>
          <cell r="EI68"/>
        </row>
        <row r="69">
          <cell r="B69" t="str">
            <v>MK68-000694</v>
          </cell>
          <cell r="C69">
            <v>45799</v>
          </cell>
          <cell r="E69" t="str">
            <v>บจก.เอ.เจ.ฟาร์ม่าแล็บ</v>
          </cell>
          <cell r="F69" t="str">
            <v>เบส-มิน</v>
          </cell>
          <cell r="G69">
            <v>20</v>
          </cell>
          <cell r="H69">
            <v>34</v>
          </cell>
          <cell r="I69" t="str">
            <v>ขาว</v>
          </cell>
          <cell r="J69" t="str">
            <v>ใส</v>
          </cell>
          <cell r="L69">
            <v>95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 t="str">
            <v>รอส่ง</v>
          </cell>
          <cell r="Z69" t="str">
            <v>500กระสอบ</v>
          </cell>
          <cell r="AA69">
            <v>8000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ห้ามขาด-ห้ามเกิน</v>
          </cell>
          <cell r="AJ69">
            <v>7840</v>
          </cell>
          <cell r="AL69">
            <v>160</v>
          </cell>
          <cell r="AM69">
            <v>8450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รอส่ง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MK68-000672</v>
          </cell>
          <cell r="C70">
            <v>45796</v>
          </cell>
          <cell r="E70" t="str">
            <v>บจก.อินเทคค์ โกลบอล</v>
          </cell>
          <cell r="F70" t="str">
            <v>เฟิร์สช้อย 912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มัด80 ใช้สายรัด</v>
          </cell>
          <cell r="AA70">
            <v>3853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3853</v>
          </cell>
          <cell r="AM70">
            <v>15401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MK68-000675</v>
          </cell>
          <cell r="C71">
            <v>45796</v>
          </cell>
          <cell r="E71" t="str">
            <v>บจก.อินเทคค์ โกลบอล</v>
          </cell>
          <cell r="F71" t="str">
            <v>เพอเฟคค์ 914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3360</v>
          </cell>
          <cell r="AB71">
            <v>0</v>
          </cell>
          <cell r="AC71">
            <v>0</v>
          </cell>
          <cell r="AD71">
            <v>0</v>
          </cell>
          <cell r="AG71" t="str">
            <v>2/6---6/6</v>
          </cell>
          <cell r="AI71"/>
          <cell r="AJ71">
            <v>0</v>
          </cell>
          <cell r="AL71">
            <v>3360</v>
          </cell>
          <cell r="AM71">
            <v>35200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MK68-000676</v>
          </cell>
          <cell r="C72">
            <v>45796</v>
          </cell>
          <cell r="E72" t="str">
            <v>บจก.อินเทคค์ โกลบอล</v>
          </cell>
          <cell r="F72" t="str">
            <v>เพอเฟคค์ 916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614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614</v>
          </cell>
          <cell r="AM72">
            <v>12101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MK68-000671</v>
          </cell>
          <cell r="C73">
            <v>45796</v>
          </cell>
          <cell r="E73" t="str">
            <v>บจก.อินเทคค์ โกลบอล</v>
          </cell>
          <cell r="F73" t="str">
            <v>เฟิร์สช้อย 902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มัด80 ใช้สายรัด</v>
          </cell>
          <cell r="AA73">
            <v>366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366</v>
          </cell>
          <cell r="AM73">
            <v>5113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MK68-000673</v>
          </cell>
          <cell r="C74">
            <v>45796</v>
          </cell>
          <cell r="E74" t="str">
            <v>บจก.อินเทคค์ โกลบอล</v>
          </cell>
          <cell r="F74" t="str">
            <v>เพอเฟคค์ 000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 t="str">
            <v>รอแจ้ง</v>
          </cell>
          <cell r="Z74" t="str">
            <v>มัด80 ใช้สายรัด</v>
          </cell>
          <cell r="AA74">
            <v>179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179</v>
          </cell>
          <cell r="AM74">
            <v>11000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 t="str">
            <v>รอแจ้ง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MK68-000673</v>
          </cell>
          <cell r="C75">
            <v>45796</v>
          </cell>
          <cell r="E75" t="str">
            <v>บจก.อินเทคค์ โกลบอล</v>
          </cell>
          <cell r="F75" t="str">
            <v>เพอเฟคค์ 902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 t="str">
            <v>รอแจ้ง</v>
          </cell>
          <cell r="Z75" t="str">
            <v>มัด80 ใช้สายรัด</v>
          </cell>
          <cell r="AA75">
            <v>302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302</v>
          </cell>
          <cell r="AM75">
            <v>5300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 t="str">
            <v>รอแจ้ง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MK68-000674</v>
          </cell>
          <cell r="C76">
            <v>45796</v>
          </cell>
          <cell r="E76" t="str">
            <v>บจก.อินเทคค์ โกลบอล</v>
          </cell>
          <cell r="F76" t="str">
            <v>เพอเฟคค์ 913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1200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1200</v>
          </cell>
          <cell r="AM76">
            <v>10700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MK68-000693</v>
          </cell>
          <cell r="C77">
            <v>45798</v>
          </cell>
          <cell r="E77" t="str">
            <v>บจก.เอพีเอ็ม อะโกร</v>
          </cell>
          <cell r="F77" t="str">
            <v>ฟีล กู๊ด พี07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500กระสอบแบน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WSWT2025800SM</v>
          </cell>
          <cell r="AQ77">
            <v>5518.15</v>
          </cell>
          <cell r="AR77">
            <v>0</v>
          </cell>
          <cell r="AS77">
            <v>5518.15</v>
          </cell>
          <cell r="AT77">
            <v>0</v>
          </cell>
          <cell r="AU77">
            <v>5518.15</v>
          </cell>
          <cell r="BZ77" t="str">
            <v>WRWT25850/WRWT25850</v>
          </cell>
          <cell r="CA77">
            <v>416.92688888888887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 </v>
          </cell>
          <cell r="EG77"/>
          <cell r="EH77"/>
          <cell r="EI77"/>
        </row>
        <row r="78">
          <cell r="B78" t="str">
            <v>MK68-000609</v>
          </cell>
          <cell r="C78">
            <v>45782</v>
          </cell>
          <cell r="E78" t="str">
            <v>บจก.เอสพีเอ็ม อาหารสัตว์</v>
          </cell>
          <cell r="F78" t="str">
            <v xml:space="preserve">SW 441 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500กระสอบแบน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10000</v>
          </cell>
          <cell r="AM78">
            <v>0</v>
          </cell>
          <cell r="AN78">
            <v>10500</v>
          </cell>
          <cell r="AO78" t="str">
            <v>WSWT2025800SM</v>
          </cell>
          <cell r="AQ78">
            <v>11036.3</v>
          </cell>
          <cell r="AR78">
            <v>0</v>
          </cell>
          <cell r="AS78">
            <v>11036.3</v>
          </cell>
          <cell r="AT78">
            <v>0</v>
          </cell>
          <cell r="AU78">
            <v>11036.3</v>
          </cell>
          <cell r="BZ78" t="str">
            <v>WRWT25850/WRWT25850</v>
          </cell>
          <cell r="CA78">
            <v>833.85377777777774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 </v>
          </cell>
          <cell r="EG78"/>
          <cell r="EH78"/>
          <cell r="EI78"/>
        </row>
        <row r="79">
          <cell r="B79" t="str">
            <v>MK68-000742</v>
          </cell>
          <cell r="C79">
            <v>45810</v>
          </cell>
          <cell r="E79" t="str">
            <v>บจก.เอสพีเอ็ม อาหารสัตว์</v>
          </cell>
          <cell r="F79" t="str">
            <v>นีโอ 05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500กระสอบแบน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WSWT2025800SM</v>
          </cell>
          <cell r="AQ79">
            <v>5518.15</v>
          </cell>
          <cell r="AR79">
            <v>0</v>
          </cell>
          <cell r="AS79">
            <v>5518.15</v>
          </cell>
          <cell r="AT79">
            <v>0</v>
          </cell>
          <cell r="AU79">
            <v>5518.15</v>
          </cell>
          <cell r="BZ79" t="str">
            <v>WRWT25850/WRWT25850</v>
          </cell>
          <cell r="CA79">
            <v>416.92688888888887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MK68-000122</v>
          </cell>
          <cell r="C80">
            <v>45681</v>
          </cell>
          <cell r="E80" t="str">
            <v>บจก.เอสพีเอ็ม อาหารสัตว์</v>
          </cell>
          <cell r="F80" t="str">
            <v>SPM 212</v>
          </cell>
          <cell r="G80">
            <v>20</v>
          </cell>
          <cell r="H80">
            <v>40</v>
          </cell>
          <cell r="I80" t="str">
            <v>ขาว</v>
          </cell>
          <cell r="J80" t="str">
            <v>ด้าน</v>
          </cell>
          <cell r="L80">
            <v>108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3000</v>
          </cell>
          <cell r="AM80"/>
          <cell r="AN80">
            <v>3150</v>
          </cell>
          <cell r="AO80" t="str">
            <v>WSWT2025800SM</v>
          </cell>
          <cell r="AQ80">
            <v>3478.5300000000007</v>
          </cell>
          <cell r="AR80">
            <v>0</v>
          </cell>
          <cell r="AS80">
            <v>3478.5300000000007</v>
          </cell>
          <cell r="AT80">
            <v>0</v>
          </cell>
          <cell r="AU80">
            <v>3478.5300000000007</v>
          </cell>
          <cell r="BZ80" t="str">
            <v>WRWT25850/WRWT25850</v>
          </cell>
          <cell r="CA80">
            <v>262.82226666666674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MK68-000093</v>
          </cell>
          <cell r="C81">
            <v>45674</v>
          </cell>
          <cell r="E81" t="str">
            <v>บจก.อินเทคค์ โกลบอล</v>
          </cell>
          <cell r="F81" t="str">
            <v>เฟิร์สคลาส 902</v>
          </cell>
          <cell r="G81">
            <v>20</v>
          </cell>
          <cell r="H81">
            <v>35</v>
          </cell>
          <cell r="I81" t="str">
            <v>ขาว</v>
          </cell>
          <cell r="J81" t="str">
            <v>ด้าน</v>
          </cell>
          <cell r="L81">
            <v>97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มัด80 ใช้สายรัด</v>
          </cell>
          <cell r="AA81">
            <v>152</v>
          </cell>
          <cell r="AB81">
            <v>0</v>
          </cell>
          <cell r="AC81">
            <v>0</v>
          </cell>
          <cell r="AD81">
            <v>0</v>
          </cell>
          <cell r="AG81" t="str">
            <v>ลบสี 5040</v>
          </cell>
          <cell r="AI81">
            <v>5987</v>
          </cell>
          <cell r="AJ81">
            <v>0</v>
          </cell>
          <cell r="AL81">
            <v>152</v>
          </cell>
          <cell r="AM81">
            <v>6000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MK67-001532</v>
          </cell>
          <cell r="C82">
            <v>45611</v>
          </cell>
          <cell r="E82" t="str">
            <v>บจก.อินเทคค์ โกลบอล</v>
          </cell>
          <cell r="F82" t="str">
            <v>เฟิร์สช้อย 903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มัด80 ใช้สายรัด</v>
          </cell>
          <cell r="AA82">
            <v>117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117</v>
          </cell>
          <cell r="AM82">
            <v>10065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MK67-001153</v>
          </cell>
          <cell r="C83">
            <v>45523</v>
          </cell>
          <cell r="E83" t="str">
            <v>บจก.อินเทคค์ โกลบอล</v>
          </cell>
          <cell r="F83" t="str">
            <v>สุบรรณ 777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มัด80 ใช้สายรัด</v>
          </cell>
          <cell r="AA83">
            <v>1260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1260</v>
          </cell>
          <cell r="AM83">
            <v>11095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MK67-001153</v>
          </cell>
          <cell r="C84">
            <v>45523</v>
          </cell>
          <cell r="E84" t="str">
            <v>บจก.อินเทคค์ โกลบอล</v>
          </cell>
          <cell r="F84" t="str">
            <v>สุบรรณ 666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89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89</v>
          </cell>
          <cell r="AM84">
            <v>11180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MK68-000452</v>
          </cell>
          <cell r="C85">
            <v>45741</v>
          </cell>
          <cell r="E85" t="str">
            <v>บจก.เอพีเอ็ม อะโกร</v>
          </cell>
          <cell r="F85" t="str">
            <v>วี-ฟีด วี 07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 t="str">
            <v>รอส่ง</v>
          </cell>
          <cell r="Z85" t="str">
            <v>500กระสอบแบน</v>
          </cell>
          <cell r="AA85">
            <v>4000</v>
          </cell>
          <cell r="AB85">
            <v>0</v>
          </cell>
          <cell r="AC85">
            <v>0</v>
          </cell>
          <cell r="AD85">
            <v>0</v>
          </cell>
          <cell r="AG85" t="str">
            <v>มีลบสี</v>
          </cell>
          <cell r="AI85"/>
          <cell r="AJ85">
            <v>3857</v>
          </cell>
          <cell r="AL85">
            <v>143</v>
          </cell>
          <cell r="AM85">
            <v>4200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รอส่ง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ใบรับคำสั่งซื้อ</v>
          </cell>
          <cell r="C86">
            <v>45720</v>
          </cell>
          <cell r="E86" t="str">
            <v>บจก.เอพีเอ็ม อะโกร</v>
          </cell>
          <cell r="F86" t="str">
            <v>นีโอ พี3(เอส)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 t="str">
            <v>รอส่ง</v>
          </cell>
          <cell r="Z86" t="str">
            <v>500กระสอบแบน</v>
          </cell>
          <cell r="AA86">
            <v>4000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4010</v>
          </cell>
          <cell r="AL86">
            <v>0</v>
          </cell>
          <cell r="AM86">
            <v>4470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 t="str">
            <v>รอส่ง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ใบรับคำสั่งซื้อ</v>
          </cell>
          <cell r="C87">
            <v>45720</v>
          </cell>
          <cell r="E87" t="str">
            <v>บจก.เอพีเอ็ม อะโกร</v>
          </cell>
          <cell r="F87" t="str">
            <v>นีโอ พี4(เอส)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 t="str">
            <v>รอส่ง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3065</v>
          </cell>
          <cell r="AL87">
            <v>0</v>
          </cell>
          <cell r="AM87">
            <v>3300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รอส่ง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MK67-001236</v>
          </cell>
          <cell r="C88">
            <v>45541</v>
          </cell>
          <cell r="E88" t="str">
            <v>บจก.เอพีเอ็ม อะโกร</v>
          </cell>
          <cell r="F88" t="str">
            <v>ยูฟีด รวมไก่ วัว</v>
          </cell>
          <cell r="G88">
            <v>20</v>
          </cell>
          <cell r="H88">
            <v>40</v>
          </cell>
          <cell r="I88" t="str">
            <v>ขาว</v>
          </cell>
          <cell r="J88" t="str">
            <v>ด้าน</v>
          </cell>
          <cell r="L88">
            <v>108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 t="str">
            <v>รอส่ง</v>
          </cell>
          <cell r="Z88" t="str">
            <v>500กระสอบแบน</v>
          </cell>
          <cell r="AA88">
            <v>3000</v>
          </cell>
          <cell r="AB88">
            <v>0</v>
          </cell>
          <cell r="AC88">
            <v>0</v>
          </cell>
          <cell r="AD88">
            <v>0</v>
          </cell>
          <cell r="AG88" t="str">
            <v>ลูกค้าต้องการเคลือบใส แต่เปิดมาเคลือบด้าน</v>
          </cell>
          <cell r="AI88" t="str">
            <v>ลูกค้าสั่งผิดเอาไปส่งเดือน10</v>
          </cell>
          <cell r="AJ88">
            <v>3318</v>
          </cell>
          <cell r="AL88">
            <v>0</v>
          </cell>
          <cell r="AM88"/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รอส่ง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/>
          <cell r="EG88"/>
          <cell r="EH88"/>
          <cell r="EI88"/>
        </row>
        <row r="89">
          <cell r="B89" t="str">
            <v>MK67-001396</v>
          </cell>
          <cell r="C89">
            <v>45581</v>
          </cell>
          <cell r="E89" t="str">
            <v>บจก.เอพีเอ็ม อะโกร</v>
          </cell>
          <cell r="F89" t="str">
            <v>นีโอ พี4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รอส่ง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3194</v>
          </cell>
          <cell r="AL89">
            <v>0</v>
          </cell>
          <cell r="AM89">
            <v>5632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รอส่ง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20</v>
          </cell>
          <cell r="H90">
            <v>38</v>
          </cell>
          <cell r="I90"/>
          <cell r="J90"/>
          <cell r="L90">
            <v>84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X90"/>
          <cell r="Z90"/>
          <cell r="AA90"/>
          <cell r="AB90">
            <v>0</v>
          </cell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WSWT2025800SM</v>
          </cell>
          <cell r="AQ90">
            <v>305775.88387500006</v>
          </cell>
          <cell r="AR90">
            <v>56456.353875000001</v>
          </cell>
          <cell r="AS90">
            <v>249319.53</v>
          </cell>
          <cell r="AT90">
            <v>21500.353875000001</v>
          </cell>
          <cell r="AU90">
            <v>284275.53000000009</v>
          </cell>
          <cell r="BZ90" t="str">
            <v>WRWT25850/WRWT25850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>
            <v>0</v>
          </cell>
          <cell r="EI90">
            <v>0</v>
          </cell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บจก.ซันฟีด</v>
          </cell>
          <cell r="F91" t="str">
            <v>รอแบบ</v>
          </cell>
          <cell r="G91">
            <v>20</v>
          </cell>
          <cell r="H91">
            <v>39</v>
          </cell>
          <cell r="I91" t="str">
            <v>ขาว</v>
          </cell>
          <cell r="J91"/>
          <cell r="L91">
            <v>84</v>
          </cell>
          <cell r="M91" t="str">
            <v>+</v>
          </cell>
          <cell r="N91"/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45868</v>
          </cell>
          <cell r="Z91" t="str">
            <v xml:space="preserve">300กระสอบแบนเต็มใบ </v>
          </cell>
          <cell r="AA91">
            <v>100000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100000</v>
          </cell>
          <cell r="AM91"/>
          <cell r="AN91">
            <v>105000</v>
          </cell>
          <cell r="AO91" t="str">
            <v>WSWT2025850</v>
          </cell>
          <cell r="AQ91">
            <v>113157.00000000001</v>
          </cell>
          <cell r="AR91">
            <v>32082</v>
          </cell>
          <cell r="AS91">
            <v>81075.000000000015</v>
          </cell>
          <cell r="AT91">
            <v>0</v>
          </cell>
          <cell r="AU91">
            <v>0</v>
          </cell>
          <cell r="BZ91" t="str">
            <v>WRWT25850/WRWT25800</v>
          </cell>
          <cell r="CA91">
            <v>6386.9083333333356</v>
          </cell>
          <cell r="DL91" t="str">
            <v>P7</v>
          </cell>
          <cell r="DM91">
            <v>2</v>
          </cell>
          <cell r="DN91">
            <v>45868</v>
          </cell>
          <cell r="DP91">
            <v>45863</v>
          </cell>
          <cell r="DQ91"/>
          <cell r="DR91">
            <v>45859</v>
          </cell>
          <cell r="DS91">
            <v>45866</v>
          </cell>
          <cell r="DT91">
            <v>45867</v>
          </cell>
          <cell r="DU91">
            <v>45867</v>
          </cell>
          <cell r="DW91"/>
          <cell r="DX91"/>
          <cell r="DY91"/>
          <cell r="DZ91"/>
          <cell r="EA91"/>
          <cell r="EB91"/>
          <cell r="EC91" t="str">
            <v>งานพิมพ์</v>
          </cell>
          <cell r="ED91" t="str">
            <v>รอART</v>
          </cell>
          <cell r="EG91"/>
          <cell r="EH91"/>
          <cell r="EI91"/>
        </row>
        <row r="92">
          <cell r="B92">
            <v>0</v>
          </cell>
          <cell r="C92"/>
          <cell r="E92"/>
          <cell r="F92"/>
          <cell r="G92">
            <v>20</v>
          </cell>
          <cell r="H92">
            <v>38</v>
          </cell>
          <cell r="I92"/>
          <cell r="J92"/>
          <cell r="L92">
            <v>82</v>
          </cell>
          <cell r="M92" t="str">
            <v>+</v>
          </cell>
          <cell r="N92">
            <v>2</v>
          </cell>
          <cell r="R92"/>
          <cell r="T92"/>
          <cell r="U92"/>
          <cell r="V92"/>
          <cell r="X92"/>
          <cell r="Z92"/>
          <cell r="AA92"/>
          <cell r="AB92"/>
          <cell r="AC92">
            <v>0</v>
          </cell>
          <cell r="AD92"/>
          <cell r="AG92"/>
          <cell r="AI92" t="str">
            <v>ระบุในSD</v>
          </cell>
          <cell r="AJ92"/>
          <cell r="AL92">
            <v>0</v>
          </cell>
          <cell r="AM92"/>
          <cell r="AN92">
            <v>0</v>
          </cell>
          <cell r="AO92" t="str">
            <v>WSWT2025850</v>
          </cell>
          <cell r="AQ92">
            <v>113157.00000000001</v>
          </cell>
          <cell r="AR92">
            <v>32082</v>
          </cell>
          <cell r="AS92">
            <v>81075.000000000015</v>
          </cell>
          <cell r="AT92">
            <v>0</v>
          </cell>
          <cell r="AU92">
            <v>0</v>
          </cell>
          <cell r="BZ92" t="str">
            <v>WRWT200850/WRWT25800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/>
          <cell r="EI92"/>
        </row>
        <row r="93">
          <cell r="B93">
            <v>0</v>
          </cell>
          <cell r="C93"/>
          <cell r="E93"/>
          <cell r="F93"/>
          <cell r="G93">
            <v>20</v>
          </cell>
          <cell r="H93">
            <v>37</v>
          </cell>
          <cell r="I93"/>
          <cell r="J93"/>
          <cell r="L93">
            <v>82</v>
          </cell>
          <cell r="M93" t="str">
            <v>±</v>
          </cell>
          <cell r="N93">
            <v>5</v>
          </cell>
          <cell r="R93"/>
          <cell r="T93"/>
          <cell r="U93"/>
          <cell r="V93"/>
          <cell r="X93"/>
          <cell r="Z93"/>
          <cell r="AA93"/>
          <cell r="AB93"/>
          <cell r="AC93">
            <v>0</v>
          </cell>
          <cell r="AD93"/>
          <cell r="AG93"/>
          <cell r="AI93" t="str">
            <v>ระบุในSD</v>
          </cell>
          <cell r="AJ93"/>
          <cell r="AL93">
            <v>0</v>
          </cell>
          <cell r="AM93"/>
          <cell r="AN93">
            <v>0</v>
          </cell>
          <cell r="AO93" t="str">
            <v>WSWT2021750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BZ93" t="str">
            <v>WRWT200750/WRWT21750</v>
          </cell>
          <cell r="CA93">
            <v>0</v>
          </cell>
          <cell r="DL93"/>
          <cell r="DM93" t="str">
            <v>Lead time</v>
          </cell>
          <cell r="DN93"/>
          <cell r="DP93"/>
          <cell r="DQ93"/>
          <cell r="DR93"/>
          <cell r="DS93"/>
          <cell r="DT93"/>
          <cell r="DU93"/>
          <cell r="DW93"/>
          <cell r="DX93"/>
          <cell r="DY93"/>
          <cell r="DZ93"/>
          <cell r="EA93"/>
          <cell r="EB93"/>
          <cell r="EC93"/>
          <cell r="ED93"/>
          <cell r="EG93"/>
          <cell r="EH93">
            <v>0</v>
          </cell>
          <cell r="EI93">
            <v>0</v>
          </cell>
        </row>
        <row r="94">
          <cell r="B94" t="str">
            <v>MK68-000798</v>
          </cell>
          <cell r="C94">
            <v>45825</v>
          </cell>
          <cell r="E94" t="str">
            <v>บจก.อินเทคค์ โกลบอล</v>
          </cell>
          <cell r="F94" t="str">
            <v>เพอเฟคค์ 664</v>
          </cell>
          <cell r="G94">
            <v>20</v>
          </cell>
          <cell r="H94">
            <v>36</v>
          </cell>
          <cell r="I94" t="str">
            <v>ขาว</v>
          </cell>
          <cell r="J94"/>
          <cell r="L94">
            <v>78</v>
          </cell>
          <cell r="M94" t="str">
            <v>±</v>
          </cell>
          <cell r="N94">
            <v>5</v>
          </cell>
          <cell r="R94" t="str">
            <v>จับจีบ4"</v>
          </cell>
          <cell r="T94" t="str">
            <v>ไม่สวมถุงใน</v>
          </cell>
          <cell r="U94"/>
          <cell r="V94"/>
          <cell r="X94">
            <v>45847</v>
          </cell>
          <cell r="Z94" t="str">
            <v>มัด80 ใช้สายรัด</v>
          </cell>
          <cell r="AA94">
            <v>19280</v>
          </cell>
          <cell r="AB94">
            <v>0</v>
          </cell>
          <cell r="AC94">
            <v>0</v>
          </cell>
          <cell r="AD94">
            <v>0</v>
          </cell>
          <cell r="AG94" t="str">
            <v>3/7 5/7 9/7 12/7</v>
          </cell>
          <cell r="AI94" t="str">
            <v>ห้ามขาด-ห้ามเกิน</v>
          </cell>
          <cell r="AJ94">
            <v>0</v>
          </cell>
          <cell r="AL94">
            <v>19280</v>
          </cell>
          <cell r="AM94">
            <v>41600</v>
          </cell>
          <cell r="AN94">
            <v>0</v>
          </cell>
          <cell r="AO94" t="str">
            <v>WSWT2025800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WRWT25800/WRWT25800</v>
          </cell>
          <cell r="CA94">
            <v>0</v>
          </cell>
          <cell r="DL94" t="str">
            <v>P7</v>
          </cell>
          <cell r="DM94">
            <v>2</v>
          </cell>
          <cell r="DN94">
            <v>45847</v>
          </cell>
          <cell r="DP94">
            <v>45842</v>
          </cell>
          <cell r="DQ94"/>
          <cell r="DR94">
            <v>45838</v>
          </cell>
          <cell r="DS94">
            <v>45845</v>
          </cell>
          <cell r="DT94">
            <v>45846</v>
          </cell>
          <cell r="DU94">
            <v>45846</v>
          </cell>
          <cell r="DW94"/>
          <cell r="DX94"/>
          <cell r="DY94"/>
          <cell r="DZ94"/>
          <cell r="EA94"/>
          <cell r="EB94"/>
          <cell r="EC94" t="str">
            <v>งานพิมพ์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MK68-000799</v>
          </cell>
          <cell r="C95">
            <v>45825</v>
          </cell>
          <cell r="E95" t="str">
            <v>บจก.อินเทคค์ โกลบอล</v>
          </cell>
          <cell r="F95" t="str">
            <v>เพอเฟคค์ 664HP</v>
          </cell>
          <cell r="G95">
            <v>20</v>
          </cell>
          <cell r="H95">
            <v>36</v>
          </cell>
          <cell r="I95" t="str">
            <v>ขาว</v>
          </cell>
          <cell r="J95"/>
          <cell r="L95">
            <v>78</v>
          </cell>
          <cell r="M95" t="str">
            <v>±</v>
          </cell>
          <cell r="N95">
            <v>5</v>
          </cell>
          <cell r="R95" t="str">
            <v>จับจีบ4"</v>
          </cell>
          <cell r="T95" t="str">
            <v>ไม่สวมถุงใน</v>
          </cell>
          <cell r="U95"/>
          <cell r="V95"/>
          <cell r="X95">
            <v>45847</v>
          </cell>
          <cell r="Z95" t="str">
            <v>มัด80 ใช้สายรัด</v>
          </cell>
          <cell r="AA95">
            <v>6827</v>
          </cell>
          <cell r="AB95">
            <v>0</v>
          </cell>
          <cell r="AC95">
            <v>0</v>
          </cell>
          <cell r="AD95">
            <v>0</v>
          </cell>
          <cell r="AG95" t="str">
            <v>1/7 5/7 7/7  12/7 14/7 19/7</v>
          </cell>
          <cell r="AI95" t="str">
            <v>ห้ามขาด-ห้ามเกิน</v>
          </cell>
          <cell r="AJ95">
            <v>0</v>
          </cell>
          <cell r="AL95">
            <v>6827</v>
          </cell>
          <cell r="AM95">
            <v>0</v>
          </cell>
          <cell r="AN95">
            <v>7168.35</v>
          </cell>
          <cell r="AO95" t="str">
            <v>WSWT2025800</v>
          </cell>
          <cell r="AQ95">
            <v>7152.9892500000005</v>
          </cell>
          <cell r="AR95">
            <v>7152.9892500000005</v>
          </cell>
          <cell r="AS95">
            <v>0</v>
          </cell>
          <cell r="AT95">
            <v>0</v>
          </cell>
          <cell r="AU95">
            <v>0</v>
          </cell>
          <cell r="BZ95" t="str">
            <v>WRWT25800/WRWT25800</v>
          </cell>
          <cell r="CA95">
            <v>0</v>
          </cell>
          <cell r="DL95" t="str">
            <v>P7</v>
          </cell>
          <cell r="DM95">
            <v>2</v>
          </cell>
          <cell r="DN95">
            <v>45847</v>
          </cell>
          <cell r="DP95">
            <v>45842</v>
          </cell>
          <cell r="DQ95"/>
          <cell r="DR95">
            <v>45838</v>
          </cell>
          <cell r="DS95">
            <v>45845</v>
          </cell>
          <cell r="DT95">
            <v>45846</v>
          </cell>
          <cell r="DU95">
            <v>45846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MK68-000789</v>
          </cell>
          <cell r="C96">
            <v>45821</v>
          </cell>
          <cell r="E96" t="str">
            <v>บจก.เบทาโกร</v>
          </cell>
          <cell r="F96" t="str">
            <v>WB ฟาร์ม F992 30kg LR</v>
          </cell>
          <cell r="G96">
            <v>20</v>
          </cell>
          <cell r="H96">
            <v>37</v>
          </cell>
          <cell r="I96" t="str">
            <v>ขาว</v>
          </cell>
          <cell r="J96"/>
          <cell r="L96">
            <v>80</v>
          </cell>
          <cell r="M96" t="str">
            <v>±</v>
          </cell>
          <cell r="N96">
            <v>3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45852</v>
          </cell>
          <cell r="Z96" t="str">
            <v>500กระสอบแบน พร้อมระบุชื่อบริษัท รายการสินค้า จำนวนแต่ละแพ็ค</v>
          </cell>
          <cell r="AA96">
            <v>80000</v>
          </cell>
          <cell r="AB96">
            <v>0</v>
          </cell>
          <cell r="AC96">
            <v>0</v>
          </cell>
          <cell r="AD96">
            <v>0</v>
          </cell>
          <cell r="AG96" t="str">
            <v>เย็น 12/7</v>
          </cell>
          <cell r="AI96" t="str">
            <v>ลพบุรี3</v>
          </cell>
          <cell r="AJ96">
            <v>0</v>
          </cell>
          <cell r="AL96">
            <v>80000</v>
          </cell>
          <cell r="AM96">
            <v>61250</v>
          </cell>
          <cell r="AN96">
            <v>19687.5</v>
          </cell>
          <cell r="AO96" t="str">
            <v>WSWT2025800</v>
          </cell>
          <cell r="AQ96">
            <v>21177.646875000002</v>
          </cell>
          <cell r="AR96">
            <v>21177.646875000002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WRWT25800/WRWT25800</v>
          </cell>
          <cell r="CA96">
            <v>0</v>
          </cell>
          <cell r="DL96" t="str">
            <v>P7</v>
          </cell>
          <cell r="DM96">
            <v>2</v>
          </cell>
          <cell r="DN96">
            <v>45852</v>
          </cell>
          <cell r="DP96">
            <v>45847</v>
          </cell>
          <cell r="DQ96"/>
          <cell r="DR96">
            <v>45843</v>
          </cell>
          <cell r="DS96">
            <v>45850</v>
          </cell>
          <cell r="DT96">
            <v>45851</v>
          </cell>
          <cell r="DU96">
            <v>45851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MK68-000768</v>
          </cell>
          <cell r="C97">
            <v>45818</v>
          </cell>
          <cell r="E97" t="str">
            <v>บจก.เบทาโกร</v>
          </cell>
          <cell r="F97" t="str">
            <v>WB ฟาร์ม F992 30kg LR</v>
          </cell>
          <cell r="G97">
            <v>20</v>
          </cell>
          <cell r="H97">
            <v>37</v>
          </cell>
          <cell r="I97" t="str">
            <v>ขาว</v>
          </cell>
          <cell r="J97"/>
          <cell r="L97">
            <v>80</v>
          </cell>
          <cell r="M97" t="str">
            <v>±</v>
          </cell>
          <cell r="N97">
            <v>3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45859</v>
          </cell>
          <cell r="Z97" t="str">
            <v>500กระสอบแบน พร้อมระบุชื่อบริษัท รายการสินค้า จำนวนแต่ละแพ็ค</v>
          </cell>
          <cell r="AA97">
            <v>50000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ลพบุรี1</v>
          </cell>
          <cell r="AJ97">
            <v>0</v>
          </cell>
          <cell r="AL97">
            <v>50000</v>
          </cell>
          <cell r="AM97"/>
          <cell r="AN97">
            <v>52500</v>
          </cell>
          <cell r="AO97" t="str">
            <v>WSWT2025800</v>
          </cell>
          <cell r="AQ97">
            <v>53784.500000000007</v>
          </cell>
          <cell r="AR97">
            <v>49717</v>
          </cell>
          <cell r="AS97">
            <v>4067.5000000000073</v>
          </cell>
          <cell r="AT97">
            <v>0</v>
          </cell>
          <cell r="AU97">
            <v>0</v>
          </cell>
          <cell r="BZ97" t="str">
            <v>WRWT25800/WRWT25800</v>
          </cell>
          <cell r="CA97">
            <v>310.93777777777831</v>
          </cell>
          <cell r="DL97" t="str">
            <v>P7</v>
          </cell>
          <cell r="DM97">
            <v>2</v>
          </cell>
          <cell r="DN97">
            <v>45859</v>
          </cell>
          <cell r="DP97">
            <v>45854</v>
          </cell>
          <cell r="DQ97"/>
          <cell r="DR97">
            <v>45850</v>
          </cell>
          <cell r="DS97">
            <v>45857</v>
          </cell>
          <cell r="DT97">
            <v>45858</v>
          </cell>
          <cell r="DU97">
            <v>45858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MK68-000769</v>
          </cell>
          <cell r="C98">
            <v>45818</v>
          </cell>
          <cell r="E98" t="str">
            <v>บจก.เบทาโกร</v>
          </cell>
          <cell r="F98" t="str">
            <v xml:space="preserve">WB ฟาร์ม F931L 30kg </v>
          </cell>
          <cell r="G98">
            <v>20</v>
          </cell>
          <cell r="H98">
            <v>37</v>
          </cell>
          <cell r="I98" t="str">
            <v>ขาว</v>
          </cell>
          <cell r="J98"/>
          <cell r="L98">
            <v>80</v>
          </cell>
          <cell r="M98" t="str">
            <v>±</v>
          </cell>
          <cell r="N98">
            <v>3</v>
          </cell>
          <cell r="R98" t="str">
            <v>ไม่</v>
          </cell>
          <cell r="T98" t="str">
            <v>ไม่สวมถุงใน</v>
          </cell>
          <cell r="U98"/>
          <cell r="V98"/>
          <cell r="X98">
            <v>45859</v>
          </cell>
          <cell r="Z98" t="str">
            <v>500กระสอบแบน พร้อมระบุชื่อบริษัท รายการสินค้า จำนวนแต่ละแพ็ค</v>
          </cell>
          <cell r="AA98">
            <v>30000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ลพบุรี1</v>
          </cell>
          <cell r="AJ98">
            <v>0</v>
          </cell>
          <cell r="AL98">
            <v>30000</v>
          </cell>
          <cell r="AM98"/>
          <cell r="AN98">
            <v>31500</v>
          </cell>
          <cell r="AO98" t="str">
            <v>WSWT2025800</v>
          </cell>
          <cell r="AQ98">
            <v>32270.700000000004</v>
          </cell>
          <cell r="AR98">
            <v>0</v>
          </cell>
          <cell r="AS98">
            <v>32270.700000000004</v>
          </cell>
          <cell r="AT98">
            <v>0</v>
          </cell>
          <cell r="AU98">
            <v>0</v>
          </cell>
          <cell r="BZ98" t="str">
            <v>WRWT25800/WRWT25800</v>
          </cell>
          <cell r="CA98">
            <v>2466.9157333333337</v>
          </cell>
          <cell r="DL98" t="str">
            <v>P7</v>
          </cell>
          <cell r="DM98">
            <v>2</v>
          </cell>
          <cell r="DN98">
            <v>45859</v>
          </cell>
          <cell r="DP98">
            <v>45854</v>
          </cell>
          <cell r="DQ98"/>
          <cell r="DR98">
            <v>45850</v>
          </cell>
          <cell r="DS98">
            <v>45857</v>
          </cell>
          <cell r="DT98">
            <v>45858</v>
          </cell>
          <cell r="DU98">
            <v>45858</v>
          </cell>
          <cell r="DW98"/>
          <cell r="DX98"/>
          <cell r="DY98"/>
          <cell r="DZ98"/>
          <cell r="EA98"/>
          <cell r="EB98"/>
          <cell r="EC98" t="str">
            <v>งานพิมพ์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MK68-000827</v>
          </cell>
          <cell r="C99">
            <v>45831</v>
          </cell>
          <cell r="E99" t="str">
            <v>บจก.เบทาโกร</v>
          </cell>
          <cell r="F99" t="str">
            <v>มาสเตอร์ 5556</v>
          </cell>
          <cell r="G99">
            <v>20</v>
          </cell>
          <cell r="H99">
            <v>37</v>
          </cell>
          <cell r="I99" t="str">
            <v>ขาว</v>
          </cell>
          <cell r="J99"/>
          <cell r="L99">
            <v>80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45862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ลพบุรี3</v>
          </cell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</v>
          </cell>
          <cell r="AQ99">
            <v>5378.4500000000007</v>
          </cell>
          <cell r="AR99">
            <v>0</v>
          </cell>
          <cell r="AS99">
            <v>5378.4500000000007</v>
          </cell>
          <cell r="AT99">
            <v>0</v>
          </cell>
          <cell r="AU99">
            <v>0</v>
          </cell>
          <cell r="BZ99" t="str">
            <v>WRWT25800/WRWT25800</v>
          </cell>
          <cell r="CA99">
            <v>411.15262222222225</v>
          </cell>
          <cell r="DL99" t="str">
            <v>P7</v>
          </cell>
          <cell r="DM99">
            <v>2</v>
          </cell>
          <cell r="DN99">
            <v>45862</v>
          </cell>
          <cell r="DP99">
            <v>45857</v>
          </cell>
          <cell r="DQ99"/>
          <cell r="DR99">
            <v>45853</v>
          </cell>
          <cell r="DS99">
            <v>45860</v>
          </cell>
          <cell r="DT99">
            <v>45861</v>
          </cell>
          <cell r="DU99">
            <v>45861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MK68-000827</v>
          </cell>
          <cell r="C100">
            <v>45831</v>
          </cell>
          <cell r="E100" t="str">
            <v>บจก.เบทาโกร</v>
          </cell>
          <cell r="F100" t="str">
            <v>เบทาโกร 405</v>
          </cell>
          <cell r="G100">
            <v>20</v>
          </cell>
          <cell r="H100">
            <v>37</v>
          </cell>
          <cell r="I100" t="str">
            <v>ขาว</v>
          </cell>
          <cell r="J100"/>
          <cell r="L100">
            <v>80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45862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40000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ลพบุรี3</v>
          </cell>
          <cell r="AJ100">
            <v>0</v>
          </cell>
          <cell r="AL100">
            <v>40000</v>
          </cell>
          <cell r="AM100"/>
          <cell r="AN100">
            <v>42000</v>
          </cell>
          <cell r="AO100" t="str">
            <v>WSWT2025800</v>
          </cell>
          <cell r="AQ100">
            <v>43027.600000000006</v>
          </cell>
          <cell r="AR100">
            <v>0</v>
          </cell>
          <cell r="AS100">
            <v>43027.600000000006</v>
          </cell>
          <cell r="AT100">
            <v>0</v>
          </cell>
          <cell r="AU100">
            <v>0</v>
          </cell>
          <cell r="BZ100" t="str">
            <v>WRWT25800/WRWT25800</v>
          </cell>
          <cell r="CA100">
            <v>3289.220977777778</v>
          </cell>
          <cell r="DL100" t="str">
            <v>P7</v>
          </cell>
          <cell r="DM100">
            <v>2</v>
          </cell>
          <cell r="DN100">
            <v>45862</v>
          </cell>
          <cell r="DP100">
            <v>45857</v>
          </cell>
          <cell r="DQ100"/>
          <cell r="DR100">
            <v>45853</v>
          </cell>
          <cell r="DS100">
            <v>45860</v>
          </cell>
          <cell r="DT100">
            <v>45861</v>
          </cell>
          <cell r="DU100">
            <v>45861</v>
          </cell>
          <cell r="DW100"/>
          <cell r="DX100"/>
          <cell r="DY100"/>
          <cell r="DZ100"/>
          <cell r="EA100"/>
          <cell r="EB100"/>
          <cell r="EC100" t="str">
            <v>งานพิมพ์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MK68-000869</v>
          </cell>
          <cell r="C101">
            <v>45845</v>
          </cell>
          <cell r="E101" t="str">
            <v>บจก.อินเทคค์ โกลบอล</v>
          </cell>
          <cell r="F101" t="str">
            <v>เพอเฟคค์ 664HP</v>
          </cell>
          <cell r="G101">
            <v>20</v>
          </cell>
          <cell r="H101">
            <v>36</v>
          </cell>
          <cell r="I101" t="str">
            <v>ขาว</v>
          </cell>
          <cell r="J101"/>
          <cell r="L101">
            <v>78</v>
          </cell>
          <cell r="M101" t="str">
            <v>±</v>
          </cell>
          <cell r="N101">
            <v>5</v>
          </cell>
          <cell r="R101" t="str">
            <v>จับจีบ4"</v>
          </cell>
          <cell r="T101" t="str">
            <v>ไม่สวมถุงใน</v>
          </cell>
          <cell r="U101"/>
          <cell r="V101"/>
          <cell r="X101">
            <v>45867</v>
          </cell>
          <cell r="Z101" t="str">
            <v>มัด80 ใช้สายรัด</v>
          </cell>
          <cell r="AA101">
            <v>30000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ห้ามขาด-ห้ามเกิน</v>
          </cell>
          <cell r="AJ101">
            <v>0</v>
          </cell>
          <cell r="AL101">
            <v>30000</v>
          </cell>
          <cell r="AM101"/>
          <cell r="AN101">
            <v>31500</v>
          </cell>
          <cell r="AO101" t="str">
            <v>WSWT2025800</v>
          </cell>
          <cell r="AQ101">
            <v>31432.500000000004</v>
          </cell>
          <cell r="AR101">
            <v>0</v>
          </cell>
          <cell r="AS101">
            <v>31432.500000000004</v>
          </cell>
          <cell r="AT101">
            <v>0</v>
          </cell>
          <cell r="AU101">
            <v>0</v>
          </cell>
          <cell r="BZ101" t="str">
            <v>WRWT25800/WRWT25800</v>
          </cell>
          <cell r="CA101">
            <v>2402.84</v>
          </cell>
          <cell r="DL101" t="str">
            <v>P7</v>
          </cell>
          <cell r="DM101">
            <v>2</v>
          </cell>
          <cell r="DN101">
            <v>45867</v>
          </cell>
          <cell r="DP101">
            <v>45862</v>
          </cell>
          <cell r="DQ101"/>
          <cell r="DR101">
            <v>45858</v>
          </cell>
          <cell r="DS101">
            <v>45865</v>
          </cell>
          <cell r="DT101">
            <v>45866</v>
          </cell>
          <cell r="DU101">
            <v>45866</v>
          </cell>
          <cell r="DW101"/>
          <cell r="DX101"/>
          <cell r="DY101"/>
          <cell r="DZ101"/>
          <cell r="EA101"/>
          <cell r="EB101"/>
          <cell r="EC101" t="str">
            <v>งานพิมพ์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MK68-000867</v>
          </cell>
          <cell r="C102">
            <v>45842</v>
          </cell>
          <cell r="E102" t="str">
            <v>บจก.เคอรี่ฟลาวมิลล์</v>
          </cell>
          <cell r="F102" t="str">
            <v>แปดแต้มแดง 25กก.</v>
          </cell>
          <cell r="G102">
            <v>20</v>
          </cell>
          <cell r="H102">
            <v>32</v>
          </cell>
          <cell r="I102" t="str">
            <v>ขาว</v>
          </cell>
          <cell r="J102"/>
          <cell r="L102">
            <v>72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45867</v>
          </cell>
          <cell r="Z102" t="str">
            <v>ห่ออัดเบลแบน500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</v>
          </cell>
          <cell r="AQ102">
            <v>4679.9500000000007</v>
          </cell>
          <cell r="AR102">
            <v>0</v>
          </cell>
          <cell r="AS102">
            <v>4679.9500000000007</v>
          </cell>
          <cell r="AT102">
            <v>0</v>
          </cell>
          <cell r="AU102">
            <v>0</v>
          </cell>
          <cell r="BZ102" t="str">
            <v>WRWT25800/WRWT25800</v>
          </cell>
          <cell r="CA102">
            <v>357.75617777777779</v>
          </cell>
          <cell r="DL102" t="str">
            <v>P7</v>
          </cell>
          <cell r="DM102">
            <v>2</v>
          </cell>
          <cell r="DN102">
            <v>45867</v>
          </cell>
          <cell r="DP102">
            <v>45862</v>
          </cell>
          <cell r="DQ102"/>
          <cell r="DR102">
            <v>45858</v>
          </cell>
          <cell r="DS102">
            <v>45865</v>
          </cell>
          <cell r="DT102">
            <v>45866</v>
          </cell>
          <cell r="DU102">
            <v>45866</v>
          </cell>
          <cell r="DW102"/>
          <cell r="DX102"/>
          <cell r="DY102"/>
          <cell r="DZ102"/>
          <cell r="EA102"/>
          <cell r="EB102"/>
          <cell r="EC102" t="str">
            <v>งานพิมพ์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ประมาณการ</v>
          </cell>
          <cell r="C103" t="str">
            <v>ประมาณการ</v>
          </cell>
          <cell r="E103" t="str">
            <v>บจก.อินเทคค์ โกลบอล</v>
          </cell>
          <cell r="F103" t="str">
            <v>รอแบบ</v>
          </cell>
          <cell r="G103">
            <v>20</v>
          </cell>
          <cell r="H103">
            <v>36</v>
          </cell>
          <cell r="I103" t="str">
            <v>ขาว</v>
          </cell>
          <cell r="J103"/>
          <cell r="L103">
            <v>78</v>
          </cell>
          <cell r="M103" t="str">
            <v>±</v>
          </cell>
          <cell r="N103">
            <v>5</v>
          </cell>
          <cell r="R103" t="str">
            <v>จับจีบ4"</v>
          </cell>
          <cell r="T103" t="str">
            <v>ไม่สวมถุงใน</v>
          </cell>
          <cell r="U103"/>
          <cell r="V103"/>
          <cell r="X103">
            <v>45868</v>
          </cell>
          <cell r="Z103" t="str">
            <v>มัด80 ใช้สายรัด</v>
          </cell>
          <cell r="AA103">
            <v>55000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ห้ามขาด-ห้ามเกิน</v>
          </cell>
          <cell r="AJ103">
            <v>0</v>
          </cell>
          <cell r="AL103">
            <v>55000</v>
          </cell>
          <cell r="AM103">
            <v>0</v>
          </cell>
          <cell r="AN103">
            <v>57750</v>
          </cell>
          <cell r="AO103" t="str">
            <v>WSWT2025800</v>
          </cell>
          <cell r="AQ103">
            <v>57626.250000000007</v>
          </cell>
          <cell r="AR103">
            <v>0</v>
          </cell>
          <cell r="AS103">
            <v>57626.250000000007</v>
          </cell>
          <cell r="AT103">
            <v>0</v>
          </cell>
          <cell r="AU103">
            <v>0</v>
          </cell>
          <cell r="BZ103" t="str">
            <v>WRWT25800/WRWT25800</v>
          </cell>
          <cell r="CA103">
            <v>4405.2066666666669</v>
          </cell>
          <cell r="DL103" t="str">
            <v>P7</v>
          </cell>
          <cell r="DM103">
            <v>2</v>
          </cell>
          <cell r="DN103">
            <v>45868</v>
          </cell>
          <cell r="DP103">
            <v>45863</v>
          </cell>
          <cell r="DQ103"/>
          <cell r="DR103">
            <v>45859</v>
          </cell>
          <cell r="DS103">
            <v>45866</v>
          </cell>
          <cell r="DT103">
            <v>45867</v>
          </cell>
          <cell r="DU103">
            <v>45867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MK68-000857</v>
          </cell>
          <cell r="C104">
            <v>45840</v>
          </cell>
          <cell r="E104" t="str">
            <v>บจก.เบทาโกร</v>
          </cell>
          <cell r="F104" t="str">
            <v>WB ฟาร์ม F914M 30kg.NM</v>
          </cell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80</v>
          </cell>
          <cell r="M104" t="str">
            <v>±</v>
          </cell>
          <cell r="N104">
            <v>3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45875</v>
          </cell>
          <cell r="Z104" t="str">
            <v>500กระสอบแบน พร้อมระบุชื่อบริษัท รายการสินค้า จำนวนแต่ละแพ็ค</v>
          </cell>
          <cell r="AA104">
            <v>13000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หนองบุญมาก</v>
          </cell>
          <cell r="AJ104">
            <v>0</v>
          </cell>
          <cell r="AL104">
            <v>13000</v>
          </cell>
          <cell r="AM104"/>
          <cell r="AN104">
            <v>13650</v>
          </cell>
          <cell r="AO104" t="str">
            <v>WSWT2025800</v>
          </cell>
          <cell r="AQ104">
            <v>13983.970000000001</v>
          </cell>
          <cell r="AR104">
            <v>0</v>
          </cell>
          <cell r="AS104">
            <v>13983.970000000001</v>
          </cell>
          <cell r="AT104">
            <v>0</v>
          </cell>
          <cell r="AU104">
            <v>0</v>
          </cell>
          <cell r="BZ104" t="str">
            <v>WRWT25800/WRWT25800</v>
          </cell>
          <cell r="CA104">
            <v>1068.996817777778</v>
          </cell>
          <cell r="DL104" t="str">
            <v>P7</v>
          </cell>
          <cell r="DM104">
            <v>2</v>
          </cell>
          <cell r="DN104">
            <v>45875</v>
          </cell>
          <cell r="DP104">
            <v>45870</v>
          </cell>
          <cell r="DQ104"/>
          <cell r="DR104">
            <v>45866</v>
          </cell>
          <cell r="DS104">
            <v>45873</v>
          </cell>
          <cell r="DT104">
            <v>45874</v>
          </cell>
          <cell r="DU104">
            <v>45874</v>
          </cell>
          <cell r="DW104"/>
          <cell r="DX104"/>
          <cell r="DY104"/>
          <cell r="DZ104"/>
          <cell r="EA104"/>
          <cell r="EB104"/>
          <cell r="EC104" t="str">
            <v>งานพิมพ์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MK68-000838</v>
          </cell>
          <cell r="C105">
            <v>45834</v>
          </cell>
          <cell r="E105" t="str">
            <v>บจก.เบทาโกร</v>
          </cell>
          <cell r="F105" t="str">
            <v>WB ฟาร์ม F914M 30kg.</v>
          </cell>
          <cell r="G105">
            <v>20</v>
          </cell>
          <cell r="H105">
            <v>37</v>
          </cell>
          <cell r="I105" t="str">
            <v>ขาว</v>
          </cell>
          <cell r="J105"/>
          <cell r="L105">
            <v>80</v>
          </cell>
          <cell r="M105" t="str">
            <v>±</v>
          </cell>
          <cell r="N105">
            <v>3</v>
          </cell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45897</v>
          </cell>
          <cell r="Z105" t="str">
            <v>500กระสอบ พร้อมระบุชื่อบริษัท รายการสินค้า จำนวนแต่ละแพ็ค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พระประแดง</v>
          </cell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</v>
          </cell>
          <cell r="AQ105">
            <v>5378.4500000000007</v>
          </cell>
          <cell r="AR105">
            <v>0</v>
          </cell>
          <cell r="AS105">
            <v>5378.4500000000007</v>
          </cell>
          <cell r="AT105">
            <v>0</v>
          </cell>
          <cell r="AU105">
            <v>0</v>
          </cell>
          <cell r="BZ105" t="str">
            <v>WRWT25800/WRWT25800</v>
          </cell>
          <cell r="CA105">
            <v>411.15262222222225</v>
          </cell>
          <cell r="DL105" t="str">
            <v>P7</v>
          </cell>
          <cell r="DM105">
            <v>2</v>
          </cell>
          <cell r="DN105">
            <v>45897</v>
          </cell>
          <cell r="DP105">
            <v>45892</v>
          </cell>
          <cell r="DQ105"/>
          <cell r="DR105">
            <v>45888</v>
          </cell>
          <cell r="DS105">
            <v>45895</v>
          </cell>
          <cell r="DT105">
            <v>45896</v>
          </cell>
          <cell r="DU105">
            <v>45896</v>
          </cell>
          <cell r="DW105"/>
          <cell r="DX105"/>
          <cell r="DY105"/>
          <cell r="DZ105"/>
          <cell r="EA105"/>
          <cell r="EB105"/>
          <cell r="EC105" t="str">
            <v>งานพิมพ์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MK68-000838</v>
          </cell>
          <cell r="C106">
            <v>45834</v>
          </cell>
          <cell r="E106" t="str">
            <v>บจก.เบทาโกร</v>
          </cell>
          <cell r="F106" t="str">
            <v>WB ฟาร์ม F911 30kg.</v>
          </cell>
          <cell r="G106">
            <v>20</v>
          </cell>
          <cell r="H106">
            <v>37</v>
          </cell>
          <cell r="I106" t="str">
            <v>ขาว</v>
          </cell>
          <cell r="J106"/>
          <cell r="L106">
            <v>80</v>
          </cell>
          <cell r="M106" t="str">
            <v>±</v>
          </cell>
          <cell r="N106">
            <v>3</v>
          </cell>
          <cell r="R106" t="str">
            <v>ไม่</v>
          </cell>
          <cell r="T106" t="str">
            <v>ไม่สวมถุงใน</v>
          </cell>
          <cell r="U106"/>
          <cell r="V106"/>
          <cell r="X106">
            <v>45897</v>
          </cell>
          <cell r="Z106" t="str">
            <v>500กระสอบ พร้อมระบุชื่อบริษัท รายการสินค้า จำนวนแต่ละแพ็ค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พระประแดง</v>
          </cell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</v>
          </cell>
          <cell r="AQ106">
            <v>5378.4500000000007</v>
          </cell>
          <cell r="AR106">
            <v>0</v>
          </cell>
          <cell r="AS106">
            <v>5378.4500000000007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411.15262222222225</v>
          </cell>
          <cell r="DL106" t="str">
            <v>P7</v>
          </cell>
          <cell r="DM106">
            <v>2</v>
          </cell>
          <cell r="DN106">
            <v>45897</v>
          </cell>
          <cell r="DP106">
            <v>45892</v>
          </cell>
          <cell r="DQ106"/>
          <cell r="DR106">
            <v>45888</v>
          </cell>
          <cell r="DS106">
            <v>45895</v>
          </cell>
          <cell r="DT106">
            <v>45896</v>
          </cell>
          <cell r="DU106">
            <v>45896</v>
          </cell>
          <cell r="DW106"/>
          <cell r="DX106"/>
          <cell r="DY106"/>
          <cell r="DZ106"/>
          <cell r="EA106"/>
          <cell r="EB106"/>
          <cell r="EC106" t="str">
            <v>งานพิมพ์</v>
          </cell>
          <cell r="ED106" t="str">
            <v xml:space="preserve"> /</v>
          </cell>
          <cell r="EG106"/>
          <cell r="EH106"/>
          <cell r="EI106"/>
        </row>
        <row r="107">
          <cell r="B107">
            <v>0</v>
          </cell>
          <cell r="C107"/>
          <cell r="E107"/>
          <cell r="F107"/>
          <cell r="G107">
            <v>20</v>
          </cell>
          <cell r="H107">
            <v>37</v>
          </cell>
          <cell r="I107"/>
          <cell r="J107"/>
          <cell r="L107">
            <v>80</v>
          </cell>
          <cell r="M107" t="str">
            <v>±</v>
          </cell>
          <cell r="N107">
            <v>3</v>
          </cell>
          <cell r="R107"/>
          <cell r="T107"/>
          <cell r="U107"/>
          <cell r="V107"/>
          <cell r="X107"/>
          <cell r="Z107"/>
          <cell r="AA107"/>
          <cell r="AB107">
            <v>0</v>
          </cell>
          <cell r="AC107">
            <v>0</v>
          </cell>
          <cell r="AD107"/>
          <cell r="AG107"/>
          <cell r="AI107" t="str">
            <v>ระบุในSD</v>
          </cell>
          <cell r="AJ107"/>
          <cell r="AL107">
            <v>0</v>
          </cell>
          <cell r="AM107"/>
          <cell r="AN107">
            <v>0</v>
          </cell>
          <cell r="AO107" t="str">
            <v>WSWT2025800</v>
          </cell>
          <cell r="AQ107">
            <v>281271.45612500003</v>
          </cell>
          <cell r="AR107">
            <v>78047.636125000005</v>
          </cell>
          <cell r="AS107">
            <v>203223.82000000004</v>
          </cell>
          <cell r="AT107">
            <v>0</v>
          </cell>
          <cell r="AU107">
            <v>0</v>
          </cell>
          <cell r="BZ107" t="str">
            <v>WRWT25800/WRWT25800</v>
          </cell>
          <cell r="CA107">
            <v>0</v>
          </cell>
          <cell r="DL107"/>
          <cell r="DM107" t="str">
            <v>Lead time</v>
          </cell>
          <cell r="DN107"/>
          <cell r="DP107"/>
          <cell r="DQ107"/>
          <cell r="DR107"/>
          <cell r="DS107"/>
          <cell r="DT107"/>
          <cell r="DU107"/>
          <cell r="DW107"/>
          <cell r="DX107"/>
          <cell r="DY107"/>
          <cell r="DZ107"/>
          <cell r="EA107"/>
          <cell r="EB107"/>
          <cell r="EC107"/>
          <cell r="ED107"/>
          <cell r="EG107"/>
          <cell r="EH107"/>
          <cell r="EI107">
            <v>0</v>
          </cell>
        </row>
        <row r="108">
          <cell r="B108">
            <v>0</v>
          </cell>
          <cell r="C108"/>
          <cell r="E108"/>
          <cell r="F108"/>
          <cell r="G108">
            <v>20</v>
          </cell>
          <cell r="H108">
            <v>34</v>
          </cell>
          <cell r="I108"/>
          <cell r="J108"/>
          <cell r="L108">
            <v>98</v>
          </cell>
          <cell r="M108" t="str">
            <v>±</v>
          </cell>
          <cell r="N108">
            <v>5</v>
          </cell>
          <cell r="R108"/>
          <cell r="T108"/>
          <cell r="U108"/>
          <cell r="V108"/>
          <cell r="X108"/>
          <cell r="Z108"/>
          <cell r="AA108"/>
          <cell r="AB108"/>
          <cell r="AC108">
            <v>0</v>
          </cell>
          <cell r="AD108"/>
          <cell r="AG108"/>
          <cell r="AI108" t="str">
            <v>ระบุในSD</v>
          </cell>
          <cell r="AJ108"/>
          <cell r="AL108">
            <v>0</v>
          </cell>
          <cell r="AM108"/>
          <cell r="AN108">
            <v>0</v>
          </cell>
          <cell r="AO108" t="str">
            <v>WSWT2021950UV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BZ108" t="str">
            <v>WRWT200950/WRWT21950</v>
          </cell>
          <cell r="CA108">
            <v>0</v>
          </cell>
          <cell r="DL108"/>
          <cell r="DM108" t="str">
            <v>Lead time</v>
          </cell>
          <cell r="DN108"/>
          <cell r="DP108"/>
          <cell r="DQ108"/>
          <cell r="DR108"/>
          <cell r="DS108"/>
          <cell r="DT108"/>
          <cell r="DU108"/>
          <cell r="DW108"/>
          <cell r="DX108"/>
          <cell r="DY108"/>
          <cell r="DZ108"/>
          <cell r="EA108"/>
          <cell r="EB108"/>
          <cell r="EC108"/>
          <cell r="ED108"/>
          <cell r="EG108"/>
          <cell r="EH108"/>
          <cell r="EI108"/>
        </row>
        <row r="109">
          <cell r="B109">
            <v>0</v>
          </cell>
          <cell r="C109"/>
          <cell r="E109"/>
          <cell r="F109"/>
          <cell r="G109">
            <v>20</v>
          </cell>
          <cell r="H109">
            <v>34</v>
          </cell>
          <cell r="I109"/>
          <cell r="J109"/>
          <cell r="L109">
            <v>95</v>
          </cell>
          <cell r="M109" t="str">
            <v>±</v>
          </cell>
          <cell r="N109">
            <v>5</v>
          </cell>
          <cell r="R109"/>
          <cell r="T109"/>
          <cell r="U109"/>
          <cell r="V109"/>
          <cell r="X109"/>
          <cell r="Z109"/>
          <cell r="AA109"/>
          <cell r="AB109"/>
          <cell r="AC109">
            <v>0</v>
          </cell>
          <cell r="AD109"/>
          <cell r="AG109"/>
          <cell r="AI109" t="str">
            <v>ระบุในSD</v>
          </cell>
          <cell r="AJ109"/>
          <cell r="AL109">
            <v>0</v>
          </cell>
          <cell r="AM109"/>
          <cell r="AN109">
            <v>0</v>
          </cell>
          <cell r="AO109" t="str">
            <v>WSWT2021900UV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BZ109" t="str">
            <v>WRWT200900/WRWT21900</v>
          </cell>
          <cell r="CA109">
            <v>0</v>
          </cell>
          <cell r="DL109"/>
          <cell r="DM109" t="str">
            <v>Lead time</v>
          </cell>
          <cell r="DN109"/>
          <cell r="DP109"/>
          <cell r="DQ109"/>
          <cell r="DR109"/>
          <cell r="DS109"/>
          <cell r="DT109"/>
          <cell r="DU109"/>
          <cell r="DW109"/>
          <cell r="DX109"/>
          <cell r="DY109"/>
          <cell r="DZ109"/>
          <cell r="EA109"/>
          <cell r="EB109"/>
          <cell r="EC109"/>
          <cell r="ED109"/>
          <cell r="EG109"/>
          <cell r="EH109"/>
          <cell r="EI109"/>
        </row>
        <row r="110">
          <cell r="B110">
            <v>0</v>
          </cell>
          <cell r="C110"/>
          <cell r="E110"/>
          <cell r="F110"/>
          <cell r="G110">
            <v>20</v>
          </cell>
          <cell r="H110">
            <v>34</v>
          </cell>
          <cell r="I110"/>
          <cell r="J110"/>
          <cell r="L110">
            <v>80</v>
          </cell>
          <cell r="M110" t="str">
            <v>±</v>
          </cell>
          <cell r="N110">
            <v>5</v>
          </cell>
          <cell r="R110"/>
          <cell r="T110"/>
          <cell r="U110"/>
          <cell r="V110"/>
          <cell r="X110"/>
          <cell r="Z110"/>
          <cell r="AA110"/>
          <cell r="AB110"/>
          <cell r="AC110">
            <v>0</v>
          </cell>
          <cell r="AD110"/>
          <cell r="AG110"/>
          <cell r="AI110" t="str">
            <v>ระบุในSD</v>
          </cell>
          <cell r="AJ110"/>
          <cell r="AL110">
            <v>0</v>
          </cell>
          <cell r="AM110"/>
          <cell r="AN110">
            <v>0</v>
          </cell>
          <cell r="AO110" t="str">
            <v>WSWT2021750UV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BZ110" t="str">
            <v>WRWT200750/WRWT21750</v>
          </cell>
          <cell r="CA110">
            <v>0</v>
          </cell>
          <cell r="DL110"/>
          <cell r="DM110" t="str">
            <v>Lead time</v>
          </cell>
          <cell r="DN110"/>
          <cell r="DP110"/>
          <cell r="DQ110"/>
          <cell r="DR110"/>
          <cell r="DS110"/>
          <cell r="DT110"/>
          <cell r="DU110"/>
          <cell r="DW110"/>
          <cell r="DX110"/>
          <cell r="DY110"/>
          <cell r="DZ110"/>
          <cell r="EA110"/>
          <cell r="EB110"/>
          <cell r="EC110"/>
          <cell r="ED110"/>
          <cell r="EG110"/>
          <cell r="EH110"/>
          <cell r="EI110"/>
        </row>
        <row r="111">
          <cell r="B111">
            <v>0</v>
          </cell>
          <cell r="C111"/>
          <cell r="E111"/>
          <cell r="F111"/>
          <cell r="G111">
            <v>20</v>
          </cell>
          <cell r="H111">
            <v>34</v>
          </cell>
          <cell r="I111"/>
          <cell r="J111"/>
          <cell r="L111">
            <v>80</v>
          </cell>
          <cell r="M111" t="str">
            <v>±</v>
          </cell>
          <cell r="N111">
            <v>5</v>
          </cell>
          <cell r="R111"/>
          <cell r="T111"/>
          <cell r="U111"/>
          <cell r="V111"/>
          <cell r="X111"/>
          <cell r="Z111"/>
          <cell r="AA111"/>
          <cell r="AB111"/>
          <cell r="AC111">
            <v>0</v>
          </cell>
          <cell r="AD111"/>
          <cell r="AG111"/>
          <cell r="AI111" t="str">
            <v>ระบุในSD</v>
          </cell>
          <cell r="AJ111"/>
          <cell r="AL111">
            <v>0</v>
          </cell>
          <cell r="AM111"/>
          <cell r="AN111">
            <v>0</v>
          </cell>
          <cell r="AO111" t="str">
            <v>WSWT2021800UV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BZ111" t="str">
            <v>WRWT200800/WRWT21800</v>
          </cell>
          <cell r="CA111">
            <v>0</v>
          </cell>
          <cell r="DL111"/>
          <cell r="DM111" t="str">
            <v>Lead time</v>
          </cell>
          <cell r="DN111"/>
          <cell r="DP111"/>
          <cell r="DQ111"/>
          <cell r="DR111"/>
          <cell r="DS111"/>
          <cell r="DT111"/>
          <cell r="DU111"/>
          <cell r="DW111"/>
          <cell r="DX111"/>
          <cell r="DY111"/>
          <cell r="DZ111"/>
          <cell r="EA111"/>
          <cell r="EB111"/>
          <cell r="EC111"/>
          <cell r="ED111"/>
          <cell r="EG111"/>
          <cell r="EH111">
            <v>0</v>
          </cell>
          <cell r="EI111"/>
        </row>
        <row r="112">
          <cell r="B112">
            <v>0</v>
          </cell>
          <cell r="C112"/>
          <cell r="E112"/>
          <cell r="F112"/>
          <cell r="G112">
            <v>20</v>
          </cell>
          <cell r="H112">
            <v>37</v>
          </cell>
          <cell r="I112" t="str">
            <v>ขาว</v>
          </cell>
          <cell r="J112"/>
          <cell r="L112">
            <v>70</v>
          </cell>
          <cell r="M112" t="str">
            <v>±</v>
          </cell>
          <cell r="N112">
            <v>5</v>
          </cell>
          <cell r="R112"/>
          <cell r="T112"/>
          <cell r="U112"/>
          <cell r="V112"/>
          <cell r="X112"/>
          <cell r="Z112"/>
          <cell r="AA112"/>
          <cell r="AB112"/>
          <cell r="AC112">
            <v>0</v>
          </cell>
          <cell r="AD112"/>
          <cell r="AG112"/>
          <cell r="AI112" t="str">
            <v>ระบุในSD</v>
          </cell>
          <cell r="AJ112"/>
          <cell r="AL112">
            <v>0</v>
          </cell>
          <cell r="AM112"/>
          <cell r="AN112">
            <v>0</v>
          </cell>
          <cell r="AO112" t="str">
            <v>WSWT2025700(1)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BZ112" t="str">
            <v>WRWT200800/WRWT25650</v>
          </cell>
          <cell r="CA112">
            <v>0</v>
          </cell>
          <cell r="DL112"/>
          <cell r="DM112" t="str">
            <v>Lead time</v>
          </cell>
          <cell r="DN112"/>
          <cell r="DP112"/>
          <cell r="DQ112"/>
          <cell r="DR112"/>
          <cell r="DS112"/>
          <cell r="DT112"/>
          <cell r="DU112"/>
          <cell r="DW112"/>
          <cell r="DX112"/>
          <cell r="DY112"/>
          <cell r="DZ112"/>
          <cell r="EA112"/>
          <cell r="EB112"/>
          <cell r="EC112"/>
          <cell r="ED112"/>
          <cell r="EG112"/>
          <cell r="EH112"/>
          <cell r="EI112"/>
        </row>
        <row r="113">
          <cell r="B113">
            <v>0</v>
          </cell>
          <cell r="C113"/>
          <cell r="E113"/>
          <cell r="F113"/>
          <cell r="G113">
            <v>20</v>
          </cell>
          <cell r="H113">
            <v>34</v>
          </cell>
          <cell r="I113"/>
          <cell r="J113"/>
          <cell r="L113">
            <v>85</v>
          </cell>
          <cell r="M113" t="str">
            <v>±</v>
          </cell>
          <cell r="N113">
            <v>5</v>
          </cell>
          <cell r="R113"/>
          <cell r="T113"/>
          <cell r="U113"/>
          <cell r="V113"/>
          <cell r="X113"/>
          <cell r="Z113"/>
          <cell r="AA113"/>
          <cell r="AB113"/>
          <cell r="AC113">
            <v>0</v>
          </cell>
          <cell r="AD113"/>
          <cell r="AG113"/>
          <cell r="AI113" t="str">
            <v>ระบุในSD</v>
          </cell>
          <cell r="AJ113"/>
          <cell r="AL113">
            <v>0</v>
          </cell>
          <cell r="AM113"/>
          <cell r="AN113">
            <v>0</v>
          </cell>
          <cell r="AO113" t="str">
            <v>WSWT2021850UV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BZ113" t="str">
            <v>WRWT200850/WRWT21850</v>
          </cell>
          <cell r="CA113">
            <v>0</v>
          </cell>
          <cell r="DL113"/>
          <cell r="DM113"/>
          <cell r="DN113"/>
          <cell r="DP113"/>
          <cell r="DQ113"/>
          <cell r="DR113"/>
          <cell r="DS113"/>
          <cell r="DT113"/>
          <cell r="DU113"/>
          <cell r="DW113"/>
          <cell r="DX113"/>
          <cell r="DY113"/>
          <cell r="DZ113"/>
          <cell r="EA113"/>
          <cell r="EB113"/>
          <cell r="EC113"/>
          <cell r="ED113"/>
          <cell r="EG113"/>
          <cell r="EH113">
            <v>0</v>
          </cell>
          <cell r="EI113"/>
        </row>
        <row r="114">
          <cell r="B114">
            <v>0</v>
          </cell>
          <cell r="C114"/>
          <cell r="E114"/>
          <cell r="F114"/>
          <cell r="G114">
            <v>20</v>
          </cell>
          <cell r="H114">
            <v>34</v>
          </cell>
          <cell r="I114"/>
          <cell r="J114"/>
          <cell r="L114">
            <v>80</v>
          </cell>
          <cell r="M114" t="str">
            <v>±</v>
          </cell>
          <cell r="N114">
            <v>5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WSWT2021750UV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BZ114" t="str">
            <v>WRWT200750/WRWT21750</v>
          </cell>
          <cell r="CA114">
            <v>0</v>
          </cell>
          <cell r="DL114"/>
          <cell r="DM114"/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>
            <v>0</v>
          </cell>
          <cell r="EI114"/>
        </row>
        <row r="115">
          <cell r="B115">
            <v>0</v>
          </cell>
          <cell r="C115"/>
          <cell r="E115"/>
          <cell r="F115"/>
          <cell r="G115">
            <v>21</v>
          </cell>
          <cell r="H115">
            <v>39</v>
          </cell>
          <cell r="I115"/>
          <cell r="J115"/>
          <cell r="L115">
            <v>78</v>
          </cell>
          <cell r="M115" t="str">
            <v>±</v>
          </cell>
          <cell r="N115">
            <v>3</v>
          </cell>
          <cell r="R115"/>
          <cell r="T115"/>
          <cell r="U115"/>
          <cell r="V115"/>
          <cell r="X115"/>
          <cell r="Z115"/>
          <cell r="AA115"/>
          <cell r="AB115"/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WSWT2125700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BZ115" t="str">
            <v>WRWT210800/WRWT25650</v>
          </cell>
          <cell r="CA115">
            <v>0</v>
          </cell>
          <cell r="DL115"/>
          <cell r="DM115"/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>
            <v>0</v>
          </cell>
          <cell r="EI115"/>
        </row>
        <row r="116">
          <cell r="B116" t="str">
            <v>MK68-000860</v>
          </cell>
          <cell r="C116">
            <v>45841</v>
          </cell>
          <cell r="E116" t="str">
            <v>บจก.หนองบัวฟีดมิลล์</v>
          </cell>
          <cell r="F116" t="str">
            <v>ไม่พิมพ์</v>
          </cell>
          <cell r="G116">
            <v>21</v>
          </cell>
          <cell r="H116">
            <v>38</v>
          </cell>
          <cell r="I116" t="str">
            <v>ขาว</v>
          </cell>
          <cell r="J116"/>
          <cell r="L116">
            <v>69</v>
          </cell>
          <cell r="M116" t="str">
            <v>±</v>
          </cell>
          <cell r="N116">
            <v>5</v>
          </cell>
          <cell r="R116" t="str">
            <v>ไม่</v>
          </cell>
          <cell r="T116">
            <v>22</v>
          </cell>
          <cell r="U116">
            <v>41</v>
          </cell>
          <cell r="V116">
            <v>40</v>
          </cell>
          <cell r="X116">
            <v>45852</v>
          </cell>
          <cell r="Z116" t="str">
            <v>500กระสอบ</v>
          </cell>
          <cell r="AA116">
            <v>20000</v>
          </cell>
          <cell r="AB116">
            <v>445.06336793599996</v>
          </cell>
          <cell r="AC116">
            <v>0</v>
          </cell>
          <cell r="AD116">
            <v>445.06336793599996</v>
          </cell>
          <cell r="AG116"/>
          <cell r="AI116"/>
          <cell r="AJ116">
            <v>0</v>
          </cell>
          <cell r="AL116">
            <v>20000</v>
          </cell>
          <cell r="AM116"/>
          <cell r="AN116">
            <v>0</v>
          </cell>
          <cell r="AO116" t="str">
            <v>WSWT2125650</v>
          </cell>
          <cell r="AQ116">
            <v>22072.6</v>
          </cell>
          <cell r="AR116">
            <v>20621</v>
          </cell>
          <cell r="AS116">
            <v>1451.5999999999985</v>
          </cell>
          <cell r="AT116">
            <v>0</v>
          </cell>
          <cell r="AU116">
            <v>0</v>
          </cell>
          <cell r="BZ116" t="str">
            <v>WRWT25650/WRWT25650</v>
          </cell>
          <cell r="CA116">
            <v>99.071699999999879</v>
          </cell>
          <cell r="DL116" t="str">
            <v>P13</v>
          </cell>
          <cell r="DM116">
            <v>2</v>
          </cell>
          <cell r="DN116">
            <v>45852</v>
          </cell>
          <cell r="DP116">
            <v>45847</v>
          </cell>
          <cell r="DQ116"/>
          <cell r="DR116"/>
          <cell r="DS116"/>
          <cell r="DT116"/>
          <cell r="DU116">
            <v>45850</v>
          </cell>
          <cell r="DW116">
            <v>45851</v>
          </cell>
          <cell r="DX116"/>
          <cell r="DY116"/>
          <cell r="DZ116"/>
          <cell r="EA116"/>
          <cell r="EB116"/>
          <cell r="EC116" t="str">
            <v>ตัด</v>
          </cell>
          <cell r="ED116"/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45846</v>
          </cell>
          <cell r="E117" t="str">
            <v>บจก.เคมีแมน</v>
          </cell>
          <cell r="F117" t="str">
            <v>CHEMEMAN CAL100 50KG(ฟ้า)</v>
          </cell>
          <cell r="G117">
            <v>21</v>
          </cell>
          <cell r="H117">
            <v>36</v>
          </cell>
          <cell r="I117" t="str">
            <v>ขาว</v>
          </cell>
          <cell r="J117"/>
          <cell r="L117">
            <v>65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45863</v>
          </cell>
          <cell r="Z117" t="str">
            <v>500กระสอบ</v>
          </cell>
          <cell r="AA117">
            <v>17000</v>
          </cell>
          <cell r="AB117">
            <v>0</v>
          </cell>
          <cell r="AC117">
            <v>0</v>
          </cell>
          <cell r="AD117">
            <v>0</v>
          </cell>
          <cell r="AG117" t="str">
            <v>เย็น24/7</v>
          </cell>
          <cell r="AI117" t="str">
            <v>ห้ามขาด-ห้ามเกิน</v>
          </cell>
          <cell r="AJ117">
            <v>0</v>
          </cell>
          <cell r="AL117">
            <v>17000</v>
          </cell>
          <cell r="AM117"/>
          <cell r="AN117">
            <v>17850</v>
          </cell>
          <cell r="AO117" t="str">
            <v>WSWT2125650</v>
          </cell>
          <cell r="AQ117">
            <v>17811.75</v>
          </cell>
          <cell r="AR117">
            <v>0</v>
          </cell>
          <cell r="AS117">
            <v>17811.75</v>
          </cell>
          <cell r="AT117">
            <v>0</v>
          </cell>
          <cell r="AU117">
            <v>0</v>
          </cell>
          <cell r="BZ117" t="str">
            <v>WRWT25650/WRWT25650</v>
          </cell>
          <cell r="CA117">
            <v>1215.6519374999996</v>
          </cell>
          <cell r="DL117" t="str">
            <v>P7</v>
          </cell>
          <cell r="DM117">
            <v>2</v>
          </cell>
          <cell r="DN117">
            <v>45863</v>
          </cell>
          <cell r="DP117">
            <v>45858</v>
          </cell>
          <cell r="DQ117"/>
          <cell r="DR117">
            <v>45854</v>
          </cell>
          <cell r="DS117">
            <v>45861</v>
          </cell>
          <cell r="DT117">
            <v>45862</v>
          </cell>
          <cell r="DU117">
            <v>45862</v>
          </cell>
          <cell r="DW117"/>
          <cell r="DX117"/>
          <cell r="DY117"/>
          <cell r="DZ117"/>
          <cell r="EA117"/>
          <cell r="EB117"/>
          <cell r="EC117" t="str">
            <v>งานพิมพ์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บจก.หนองบัวฟีดมิลล์</v>
          </cell>
          <cell r="F118" t="str">
            <v>ไม่พิมพ์</v>
          </cell>
          <cell r="G118">
            <v>21</v>
          </cell>
          <cell r="H118">
            <v>38</v>
          </cell>
          <cell r="I118" t="str">
            <v>ขาว</v>
          </cell>
          <cell r="J118"/>
          <cell r="L118">
            <v>69</v>
          </cell>
          <cell r="M118" t="str">
            <v>±</v>
          </cell>
          <cell r="N118">
            <v>5</v>
          </cell>
          <cell r="R118" t="str">
            <v>ไม่</v>
          </cell>
          <cell r="T118" t="str">
            <v>ไม่สวมถุงใน</v>
          </cell>
          <cell r="U118"/>
          <cell r="V118"/>
          <cell r="X118">
            <v>45868</v>
          </cell>
          <cell r="Z118" t="str">
            <v>500กระสอบ</v>
          </cell>
          <cell r="AA118">
            <v>15000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15000</v>
          </cell>
          <cell r="AM118"/>
          <cell r="AN118">
            <v>0</v>
          </cell>
          <cell r="AO118" t="str">
            <v>WSWT2125650</v>
          </cell>
          <cell r="AQ118">
            <v>16554.45</v>
          </cell>
          <cell r="AR118">
            <v>0</v>
          </cell>
          <cell r="AS118">
            <v>16554.45</v>
          </cell>
          <cell r="AT118">
            <v>0</v>
          </cell>
          <cell r="AU118">
            <v>0</v>
          </cell>
          <cell r="BZ118" t="str">
            <v>WRWT25650/WRWT25650</v>
          </cell>
          <cell r="CA118">
            <v>1129.8412125</v>
          </cell>
          <cell r="DL118" t="str">
            <v>P3</v>
          </cell>
          <cell r="DM118">
            <v>1</v>
          </cell>
          <cell r="DN118">
            <v>45868</v>
          </cell>
          <cell r="DP118">
            <v>45863</v>
          </cell>
          <cell r="DQ118"/>
          <cell r="DR118"/>
          <cell r="DS118"/>
          <cell r="DT118"/>
          <cell r="DU118">
            <v>45867</v>
          </cell>
          <cell r="DW118"/>
          <cell r="DX118"/>
          <cell r="DY118"/>
          <cell r="DZ118"/>
          <cell r="EA118"/>
          <cell r="EB118"/>
          <cell r="EC118" t="str">
            <v>ตัด</v>
          </cell>
          <cell r="ED118"/>
          <cell r="EG118"/>
          <cell r="EH118"/>
          <cell r="EI118"/>
        </row>
        <row r="119">
          <cell r="B119" t="str">
            <v xml:space="preserve">MK68-000865 </v>
          </cell>
          <cell r="C119">
            <v>45842</v>
          </cell>
          <cell r="E119" t="str">
            <v>บจก.ไลม์มาสเตอร์</v>
          </cell>
          <cell r="F119" t="str">
            <v>LMC 20 kg</v>
          </cell>
          <cell r="G119">
            <v>21</v>
          </cell>
          <cell r="H119">
            <v>34</v>
          </cell>
          <cell r="I119" t="str">
            <v>ขาว</v>
          </cell>
          <cell r="J119"/>
          <cell r="L119">
            <v>60</v>
          </cell>
          <cell r="M119" t="str">
            <v>±</v>
          </cell>
          <cell r="N119">
            <v>5</v>
          </cell>
          <cell r="R119" t="str">
            <v>ไม่</v>
          </cell>
          <cell r="T119">
            <v>22</v>
          </cell>
          <cell r="U119">
            <v>36</v>
          </cell>
          <cell r="V119">
            <v>40</v>
          </cell>
          <cell r="X119">
            <v>45852</v>
          </cell>
          <cell r="Z119" t="str">
            <v>500กระสอบ</v>
          </cell>
          <cell r="AA119">
            <v>10000</v>
          </cell>
          <cell r="AB119">
            <v>183.67005330431996</v>
          </cell>
          <cell r="AC119">
            <v>0</v>
          </cell>
          <cell r="AD119">
            <v>183.67005330431996</v>
          </cell>
          <cell r="AG119"/>
          <cell r="AI119"/>
          <cell r="AJ119">
            <v>600</v>
          </cell>
          <cell r="AL119">
            <v>9400</v>
          </cell>
          <cell r="AM119">
            <v>10285</v>
          </cell>
          <cell r="AN119">
            <v>0</v>
          </cell>
          <cell r="AO119" t="str">
            <v>WSWT2125650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WRWT25650/WRWT25650</v>
          </cell>
          <cell r="CA119">
            <v>0</v>
          </cell>
          <cell r="DL119" t="str">
            <v>P9</v>
          </cell>
          <cell r="DM119">
            <v>3</v>
          </cell>
          <cell r="DN119">
            <v>45852</v>
          </cell>
          <cell r="DP119">
            <v>45847</v>
          </cell>
          <cell r="DQ119"/>
          <cell r="DR119">
            <v>45842</v>
          </cell>
          <cell r="DS119">
            <v>45849</v>
          </cell>
          <cell r="DT119">
            <v>45850</v>
          </cell>
          <cell r="DU119">
            <v>45850</v>
          </cell>
          <cell r="DW119">
            <v>45851</v>
          </cell>
          <cell r="DX119"/>
          <cell r="DY119"/>
          <cell r="DZ119"/>
          <cell r="EA119"/>
          <cell r="EB119"/>
          <cell r="EC119" t="str">
            <v>งานพิมพ์</v>
          </cell>
          <cell r="ED119" t="str">
            <v xml:space="preserve"> /</v>
          </cell>
          <cell r="EG119"/>
          <cell r="EH119"/>
          <cell r="EI119"/>
        </row>
        <row r="120">
          <cell r="B120">
            <v>0</v>
          </cell>
          <cell r="C120"/>
          <cell r="E120"/>
          <cell r="F120"/>
          <cell r="G120">
            <v>21</v>
          </cell>
          <cell r="H120">
            <v>37</v>
          </cell>
          <cell r="I120" t="str">
            <v>ขาว</v>
          </cell>
          <cell r="J120"/>
          <cell r="L120">
            <v>67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>
            <v>0</v>
          </cell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WSWT2125650</v>
          </cell>
          <cell r="AQ120">
            <v>56438.8</v>
          </cell>
          <cell r="AR120">
            <v>20621</v>
          </cell>
          <cell r="AS120">
            <v>35817.800000000003</v>
          </cell>
          <cell r="AT120">
            <v>0</v>
          </cell>
          <cell r="AU120">
            <v>0</v>
          </cell>
          <cell r="BZ120" t="str">
            <v>WRWT25650/WRWT25650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>
            <v>0</v>
          </cell>
        </row>
        <row r="121">
          <cell r="B121">
            <v>0</v>
          </cell>
          <cell r="C121"/>
          <cell r="E121"/>
          <cell r="F121"/>
          <cell r="G121">
            <v>21</v>
          </cell>
          <cell r="H121">
            <v>37</v>
          </cell>
          <cell r="I121" t="str">
            <v>ขาวแถบใส5</v>
          </cell>
          <cell r="J121"/>
          <cell r="L121">
            <v>67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>
            <v>0</v>
          </cell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WSWTSCL052125650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WRWT25650/WRCL25680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>
            <v>0</v>
          </cell>
        </row>
        <row r="122">
          <cell r="B122" t="str">
            <v>MK68-000859</v>
          </cell>
          <cell r="C122">
            <v>45841</v>
          </cell>
          <cell r="E122" t="str">
            <v>ร้านสมคิดพันธุ์ข้าว</v>
          </cell>
          <cell r="F122" t="str">
            <v>ทองทั้งทุ่ง</v>
          </cell>
          <cell r="G122">
            <v>21</v>
          </cell>
          <cell r="H122">
            <v>34</v>
          </cell>
          <cell r="I122" t="str">
            <v>ขาว</v>
          </cell>
          <cell r="J122"/>
          <cell r="L122">
            <v>76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45847</v>
          </cell>
          <cell r="Z122" t="str">
            <v>500กระสอบ</v>
          </cell>
          <cell r="AA122">
            <v>6000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6000</v>
          </cell>
          <cell r="AM122">
            <v>6517</v>
          </cell>
          <cell r="AN122">
            <v>0</v>
          </cell>
          <cell r="AO122" t="str">
            <v>WSWT2125800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45847</v>
          </cell>
          <cell r="DP122">
            <v>45842</v>
          </cell>
          <cell r="DQ122"/>
          <cell r="DR122">
            <v>45838</v>
          </cell>
          <cell r="DS122">
            <v>45845</v>
          </cell>
          <cell r="DT122">
            <v>45846</v>
          </cell>
          <cell r="DU122">
            <v>45846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 xml:space="preserve"> /</v>
          </cell>
          <cell r="EG122"/>
          <cell r="EH122"/>
          <cell r="EI122"/>
        </row>
        <row r="123">
          <cell r="B123">
            <v>0</v>
          </cell>
          <cell r="C123"/>
          <cell r="E123"/>
          <cell r="F123"/>
          <cell r="G123">
            <v>21</v>
          </cell>
          <cell r="H123">
            <v>37</v>
          </cell>
          <cell r="I123" t="str">
            <v>ขาว</v>
          </cell>
          <cell r="J123"/>
          <cell r="L123">
            <v>83</v>
          </cell>
          <cell r="M123" t="str">
            <v>±</v>
          </cell>
          <cell r="N123">
            <v>5</v>
          </cell>
          <cell r="R123"/>
          <cell r="T123"/>
          <cell r="U123"/>
          <cell r="V123"/>
          <cell r="X123"/>
          <cell r="Z123"/>
          <cell r="AA123"/>
          <cell r="AB123"/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WSWT2125800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WRWT210800/WRWT25800</v>
          </cell>
          <cell r="CA123">
            <v>0</v>
          </cell>
          <cell r="DL123"/>
          <cell r="DM123"/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/>
          <cell r="EI123"/>
        </row>
        <row r="124">
          <cell r="B124" t="str">
            <v>MK68-000804</v>
          </cell>
          <cell r="C124">
            <v>45826</v>
          </cell>
          <cell r="E124" t="str">
            <v>บจก.เอพีเอ็ม อะโกร</v>
          </cell>
          <cell r="F124" t="str">
            <v>ฟีล กู๊ด 802</v>
          </cell>
          <cell r="G124">
            <v>21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102</v>
          </cell>
          <cell r="M124" t="str">
            <v>±</v>
          </cell>
          <cell r="N124">
            <v>5</v>
          </cell>
          <cell r="R124" t="str">
            <v>บิด</v>
          </cell>
          <cell r="T124">
            <v>22</v>
          </cell>
          <cell r="U124">
            <v>40</v>
          </cell>
          <cell r="V124">
            <v>40</v>
          </cell>
          <cell r="X124">
            <v>45847</v>
          </cell>
          <cell r="Z124" t="str">
            <v>500กระสอบแบน</v>
          </cell>
          <cell r="AA124">
            <v>1000</v>
          </cell>
          <cell r="AB124">
            <v>11.506516341759998</v>
          </cell>
          <cell r="AC124">
            <v>0</v>
          </cell>
          <cell r="AD124">
            <v>11.506516341759998</v>
          </cell>
          <cell r="AG124"/>
          <cell r="AI124"/>
          <cell r="AJ124">
            <v>470</v>
          </cell>
          <cell r="AL124">
            <v>530</v>
          </cell>
          <cell r="AM124">
            <v>8250</v>
          </cell>
          <cell r="AN124">
            <v>0</v>
          </cell>
          <cell r="AO124" t="str">
            <v>WSWT2121670SM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WRWT21670/WRWT21670</v>
          </cell>
          <cell r="CA124">
            <v>0</v>
          </cell>
          <cell r="DL124" t="str">
            <v>P8</v>
          </cell>
          <cell r="DM124">
            <v>4</v>
          </cell>
          <cell r="DN124">
            <v>45847</v>
          </cell>
          <cell r="DP124">
            <v>45842</v>
          </cell>
          <cell r="DQ124">
            <v>45843</v>
          </cell>
          <cell r="DR124">
            <v>45837</v>
          </cell>
          <cell r="DS124">
            <v>45844</v>
          </cell>
          <cell r="DT124">
            <v>45845</v>
          </cell>
          <cell r="DU124">
            <v>45845</v>
          </cell>
          <cell r="DW124">
            <v>45846</v>
          </cell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MK68-000833</v>
          </cell>
          <cell r="C125">
            <v>45833</v>
          </cell>
          <cell r="E125" t="str">
            <v>บจก.หนองบัวฟีดมิลล์</v>
          </cell>
          <cell r="F125" t="str">
            <v>ยูนิคอร์นฟิช202</v>
          </cell>
          <cell r="G125">
            <v>21</v>
          </cell>
          <cell r="H125">
            <v>37</v>
          </cell>
          <cell r="I125" t="str">
            <v>ขาว</v>
          </cell>
          <cell r="J125" t="str">
            <v>ใส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>
            <v>22</v>
          </cell>
          <cell r="U125">
            <v>40</v>
          </cell>
          <cell r="V125">
            <v>40</v>
          </cell>
          <cell r="X125">
            <v>45850</v>
          </cell>
          <cell r="Z125" t="str">
            <v>500กระสอบ</v>
          </cell>
          <cell r="AA125">
            <v>10000</v>
          </cell>
          <cell r="AB125">
            <v>217.10408191999997</v>
          </cell>
          <cell r="AC125">
            <v>0</v>
          </cell>
          <cell r="AD125">
            <v>217.10408191999997</v>
          </cell>
          <cell r="AG125"/>
          <cell r="AI125"/>
          <cell r="AJ125">
            <v>0</v>
          </cell>
          <cell r="AL125">
            <v>10000</v>
          </cell>
          <cell r="AM125">
            <v>10500</v>
          </cell>
          <cell r="AN125">
            <v>0</v>
          </cell>
          <cell r="AO125" t="str">
            <v>WSWT2121670SM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WRWT21670/WRWT21670</v>
          </cell>
          <cell r="CA125">
            <v>0</v>
          </cell>
          <cell r="DL125" t="str">
            <v>P8</v>
          </cell>
          <cell r="DM125">
            <v>4</v>
          </cell>
          <cell r="DN125">
            <v>45850</v>
          </cell>
          <cell r="DP125">
            <v>45845</v>
          </cell>
          <cell r="DQ125">
            <v>45846</v>
          </cell>
          <cell r="DR125">
            <v>45840</v>
          </cell>
          <cell r="DS125">
            <v>45847</v>
          </cell>
          <cell r="DT125">
            <v>45848</v>
          </cell>
          <cell r="DU125">
            <v>45848</v>
          </cell>
          <cell r="DW125">
            <v>45849</v>
          </cell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MK68-000856</v>
          </cell>
          <cell r="C126">
            <v>45841</v>
          </cell>
          <cell r="E126" t="str">
            <v>บจก.บลูฟาโล่</v>
          </cell>
          <cell r="F126" t="str">
            <v>เมอร์รี่ 882M</v>
          </cell>
          <cell r="G126">
            <v>21</v>
          </cell>
          <cell r="H126">
            <v>37</v>
          </cell>
          <cell r="I126" t="str">
            <v>ขาว</v>
          </cell>
          <cell r="J126" t="str">
            <v>ใส</v>
          </cell>
          <cell r="L126">
            <v>97</v>
          </cell>
          <cell r="M126" t="str">
            <v>±</v>
          </cell>
          <cell r="N126">
            <v>5</v>
          </cell>
          <cell r="R126" t="str">
            <v>บิด</v>
          </cell>
          <cell r="T126">
            <v>22</v>
          </cell>
          <cell r="U126">
            <v>40</v>
          </cell>
          <cell r="V126">
            <v>40</v>
          </cell>
          <cell r="X126">
            <v>45850</v>
          </cell>
          <cell r="Z126" t="str">
            <v>500กระสอบ</v>
          </cell>
          <cell r="AA126">
            <v>5000</v>
          </cell>
          <cell r="AB126">
            <v>108.55204095999999</v>
          </cell>
          <cell r="AC126">
            <v>0</v>
          </cell>
          <cell r="AD126">
            <v>108.55204095999999</v>
          </cell>
          <cell r="AG126"/>
          <cell r="AI126"/>
          <cell r="AJ126">
            <v>0</v>
          </cell>
          <cell r="AL126">
            <v>5000</v>
          </cell>
          <cell r="AM126">
            <v>5400</v>
          </cell>
          <cell r="AN126">
            <v>0</v>
          </cell>
          <cell r="AO126" t="str">
            <v>WSWT2121670SM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WRWT21670/WRWT21670</v>
          </cell>
          <cell r="CA126">
            <v>0</v>
          </cell>
          <cell r="DL126" t="str">
            <v>P8</v>
          </cell>
          <cell r="DM126">
            <v>4</v>
          </cell>
          <cell r="DN126">
            <v>45850</v>
          </cell>
          <cell r="DP126">
            <v>45845</v>
          </cell>
          <cell r="DQ126">
            <v>45846</v>
          </cell>
          <cell r="DR126">
            <v>45840</v>
          </cell>
          <cell r="DS126">
            <v>45847</v>
          </cell>
          <cell r="DT126">
            <v>45848</v>
          </cell>
          <cell r="DU126">
            <v>45848</v>
          </cell>
          <cell r="DW126">
            <v>45849</v>
          </cell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MK68-000856</v>
          </cell>
          <cell r="C127">
            <v>45841</v>
          </cell>
          <cell r="E127" t="str">
            <v>บจก.บลูฟาโล่</v>
          </cell>
          <cell r="F127" t="str">
            <v>เมอร์รี่ 882L</v>
          </cell>
          <cell r="G127">
            <v>21</v>
          </cell>
          <cell r="H127">
            <v>37</v>
          </cell>
          <cell r="I127" t="str">
            <v>ขาว</v>
          </cell>
          <cell r="J127" t="str">
            <v>ใส</v>
          </cell>
          <cell r="L127">
            <v>97</v>
          </cell>
          <cell r="M127" t="str">
            <v>±</v>
          </cell>
          <cell r="N127">
            <v>5</v>
          </cell>
          <cell r="R127" t="str">
            <v>บิด</v>
          </cell>
          <cell r="T127">
            <v>22</v>
          </cell>
          <cell r="U127">
            <v>40</v>
          </cell>
          <cell r="V127">
            <v>40</v>
          </cell>
          <cell r="X127">
            <v>45850</v>
          </cell>
          <cell r="Z127" t="str">
            <v>500กระสอบ</v>
          </cell>
          <cell r="AA127">
            <v>5000</v>
          </cell>
          <cell r="AB127">
            <v>108.55204095999999</v>
          </cell>
          <cell r="AC127">
            <v>0</v>
          </cell>
          <cell r="AD127">
            <v>108.55204095999999</v>
          </cell>
          <cell r="AG127"/>
          <cell r="AI127"/>
          <cell r="AJ127">
            <v>0</v>
          </cell>
          <cell r="AL127">
            <v>5000</v>
          </cell>
          <cell r="AM127">
            <v>5400</v>
          </cell>
          <cell r="AN127">
            <v>0</v>
          </cell>
          <cell r="AO127" t="str">
            <v>WSWT2121670SM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WRWT21670/WRWT21670</v>
          </cell>
          <cell r="CA127">
            <v>0</v>
          </cell>
          <cell r="DL127" t="str">
            <v>P8</v>
          </cell>
          <cell r="DM127">
            <v>4</v>
          </cell>
          <cell r="DN127">
            <v>45850</v>
          </cell>
          <cell r="DP127">
            <v>45845</v>
          </cell>
          <cell r="DQ127">
            <v>45846</v>
          </cell>
          <cell r="DR127">
            <v>45840</v>
          </cell>
          <cell r="DS127">
            <v>45847</v>
          </cell>
          <cell r="DT127">
            <v>45848</v>
          </cell>
          <cell r="DU127">
            <v>45848</v>
          </cell>
          <cell r="DW127">
            <v>45849</v>
          </cell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45846</v>
          </cell>
          <cell r="E128" t="str">
            <v>บจก.หนองบัวฟีดมิลล์</v>
          </cell>
          <cell r="F128" t="str">
            <v>ยูนิคอร์นฟิช 103</v>
          </cell>
          <cell r="G128">
            <v>21</v>
          </cell>
          <cell r="H128">
            <v>37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>
            <v>22</v>
          </cell>
          <cell r="U128">
            <v>40</v>
          </cell>
          <cell r="V128">
            <v>40</v>
          </cell>
          <cell r="X128">
            <v>45854</v>
          </cell>
          <cell r="Z128" t="str">
            <v>500กระสอบ</v>
          </cell>
          <cell r="AA128">
            <v>20000</v>
          </cell>
          <cell r="AB128">
            <v>434.20816383999994</v>
          </cell>
          <cell r="AC128">
            <v>0</v>
          </cell>
          <cell r="AD128">
            <v>434.20816383999994</v>
          </cell>
          <cell r="AG128"/>
          <cell r="AI128"/>
          <cell r="AJ128">
            <v>0</v>
          </cell>
          <cell r="AL128">
            <v>20000</v>
          </cell>
          <cell r="AM128"/>
          <cell r="AN128">
            <v>21000</v>
          </cell>
          <cell r="AO128" t="str">
            <v>WSWT2121670SM</v>
          </cell>
          <cell r="AQ128">
            <v>21513.800000000003</v>
          </cell>
          <cell r="AR128">
            <v>21513.800000000003</v>
          </cell>
          <cell r="AS128">
            <v>0</v>
          </cell>
          <cell r="AT128">
            <v>0</v>
          </cell>
          <cell r="AU128">
            <v>21513.800000000003</v>
          </cell>
          <cell r="BZ128" t="str">
            <v>WRWT21670/WRWT21670</v>
          </cell>
          <cell r="CA128">
            <v>0</v>
          </cell>
          <cell r="DL128" t="str">
            <v>P8</v>
          </cell>
          <cell r="DM128">
            <v>4</v>
          </cell>
          <cell r="DN128">
            <v>45854</v>
          </cell>
          <cell r="DP128">
            <v>45849</v>
          </cell>
          <cell r="DQ128">
            <v>45850</v>
          </cell>
          <cell r="DR128">
            <v>45844</v>
          </cell>
          <cell r="DS128">
            <v>45851</v>
          </cell>
          <cell r="DT128">
            <v>45852</v>
          </cell>
          <cell r="DU128">
            <v>45852</v>
          </cell>
          <cell r="DW128">
            <v>45853</v>
          </cell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45846</v>
          </cell>
          <cell r="E129" t="str">
            <v>บจก.หนองบัว อโกรฟอรืไลฟ์</v>
          </cell>
          <cell r="F129" t="str">
            <v>โอดิน 101</v>
          </cell>
          <cell r="G129">
            <v>21</v>
          </cell>
          <cell r="H129">
            <v>37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>
            <v>22</v>
          </cell>
          <cell r="U129">
            <v>40</v>
          </cell>
          <cell r="V129">
            <v>40</v>
          </cell>
          <cell r="X129">
            <v>45856</v>
          </cell>
          <cell r="Z129" t="str">
            <v>500กระสอบ</v>
          </cell>
          <cell r="AA129">
            <v>5000</v>
          </cell>
          <cell r="AB129">
            <v>108.55204095999999</v>
          </cell>
          <cell r="AC129">
            <v>0</v>
          </cell>
          <cell r="AD129">
            <v>108.55204095999999</v>
          </cell>
          <cell r="AG129"/>
          <cell r="AI129"/>
          <cell r="AJ129">
            <v>0</v>
          </cell>
          <cell r="AL129">
            <v>5000</v>
          </cell>
          <cell r="AM129"/>
          <cell r="AN129">
            <v>5250</v>
          </cell>
          <cell r="AO129" t="str">
            <v>WSWT2121670SM</v>
          </cell>
          <cell r="AQ129">
            <v>5378.4500000000007</v>
          </cell>
          <cell r="AR129">
            <v>5378.4500000000007</v>
          </cell>
          <cell r="AS129">
            <v>0</v>
          </cell>
          <cell r="AT129">
            <v>0</v>
          </cell>
          <cell r="AU129">
            <v>5378.4500000000007</v>
          </cell>
          <cell r="BZ129" t="str">
            <v>WRWT21670/WRWT21670</v>
          </cell>
          <cell r="CA129">
            <v>0</v>
          </cell>
          <cell r="DL129" t="str">
            <v>P8</v>
          </cell>
          <cell r="DM129">
            <v>4</v>
          </cell>
          <cell r="DN129">
            <v>45856</v>
          </cell>
          <cell r="DP129">
            <v>45851</v>
          </cell>
          <cell r="DQ129">
            <v>45852</v>
          </cell>
          <cell r="DR129">
            <v>45846</v>
          </cell>
          <cell r="DS129">
            <v>45853</v>
          </cell>
          <cell r="DT129">
            <v>45854</v>
          </cell>
          <cell r="DU129">
            <v>45854</v>
          </cell>
          <cell r="DW129">
            <v>45855</v>
          </cell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บจก.แอมโก้เวท</v>
          </cell>
          <cell r="F130" t="str">
            <v>รอแบบ</v>
          </cell>
          <cell r="G130">
            <v>21</v>
          </cell>
          <cell r="H130">
            <v>37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45868</v>
          </cell>
          <cell r="Z130" t="str">
            <v>500กระสอบ</v>
          </cell>
          <cell r="AA130">
            <v>300000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300000</v>
          </cell>
          <cell r="AM130"/>
          <cell r="AN130">
            <v>315000</v>
          </cell>
          <cell r="AO130" t="str">
            <v>WSWT2121670SM</v>
          </cell>
          <cell r="AQ130">
            <v>322707</v>
          </cell>
          <cell r="AR130">
            <v>84018</v>
          </cell>
          <cell r="AS130">
            <v>238689</v>
          </cell>
          <cell r="AT130">
            <v>0</v>
          </cell>
          <cell r="AU130">
            <v>322707</v>
          </cell>
          <cell r="BZ130" t="str">
            <v>WRWT21670/WRWT21670</v>
          </cell>
          <cell r="CA130">
            <v>17164.921619999997</v>
          </cell>
          <cell r="DL130" t="str">
            <v>P8</v>
          </cell>
          <cell r="DM130">
            <v>4</v>
          </cell>
          <cell r="DN130">
            <v>45868</v>
          </cell>
          <cell r="DP130">
            <v>45863</v>
          </cell>
          <cell r="DQ130">
            <v>45864</v>
          </cell>
          <cell r="DR130">
            <v>45858</v>
          </cell>
          <cell r="DS130">
            <v>45865</v>
          </cell>
          <cell r="DT130">
            <v>45866</v>
          </cell>
          <cell r="DU130">
            <v>45866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บจก.เอ็นบี</v>
          </cell>
          <cell r="F131" t="str">
            <v>รอแบบ</v>
          </cell>
          <cell r="G131">
            <v>21</v>
          </cell>
          <cell r="H131">
            <v>37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>
            <v>22</v>
          </cell>
          <cell r="U131">
            <v>40</v>
          </cell>
          <cell r="V131">
            <v>40</v>
          </cell>
          <cell r="X131">
            <v>45868</v>
          </cell>
          <cell r="Z131" t="str">
            <v>500กระสอบ</v>
          </cell>
          <cell r="AA131">
            <v>20000</v>
          </cell>
          <cell r="AB131">
            <v>434.20816383999994</v>
          </cell>
          <cell r="AC131">
            <v>0</v>
          </cell>
          <cell r="AD131">
            <v>434.20816383999994</v>
          </cell>
          <cell r="AG131"/>
          <cell r="AI131"/>
          <cell r="AJ131">
            <v>0</v>
          </cell>
          <cell r="AL131">
            <v>20000</v>
          </cell>
          <cell r="AM131"/>
          <cell r="AN131">
            <v>21000</v>
          </cell>
          <cell r="AO131" t="str">
            <v>WSWT2121670SM</v>
          </cell>
          <cell r="AQ131">
            <v>21513.800000000003</v>
          </cell>
          <cell r="AR131">
            <v>0</v>
          </cell>
          <cell r="AS131">
            <v>21513.800000000003</v>
          </cell>
          <cell r="AT131">
            <v>0</v>
          </cell>
          <cell r="AU131">
            <v>21513.800000000003</v>
          </cell>
          <cell r="BZ131" t="str">
            <v>WRWT21670/WRWT21670</v>
          </cell>
          <cell r="CA131">
            <v>1547.1290706666666</v>
          </cell>
          <cell r="DL131" t="str">
            <v>P8</v>
          </cell>
          <cell r="DM131">
            <v>4</v>
          </cell>
          <cell r="DN131">
            <v>45868</v>
          </cell>
          <cell r="DP131">
            <v>45863</v>
          </cell>
          <cell r="DQ131">
            <v>45864</v>
          </cell>
          <cell r="DR131">
            <v>45858</v>
          </cell>
          <cell r="DS131">
            <v>45865</v>
          </cell>
          <cell r="DT131">
            <v>45866</v>
          </cell>
          <cell r="DU131">
            <v>45866</v>
          </cell>
          <cell r="DW131">
            <v>45867</v>
          </cell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ประมาณการ</v>
          </cell>
          <cell r="C132" t="str">
            <v>ประมาณการ</v>
          </cell>
          <cell r="E132" t="str">
            <v>บจก.ที.ซี.ยูเนี่ยน อโกรเทค</v>
          </cell>
          <cell r="F132" t="str">
            <v>Zhejiang UN</v>
          </cell>
          <cell r="G132">
            <v>21</v>
          </cell>
          <cell r="H132">
            <v>37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45868</v>
          </cell>
          <cell r="Z132" t="str">
            <v xml:space="preserve">300กระสอบแบนเต็มใบ </v>
          </cell>
          <cell r="AA132">
            <v>10000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10000</v>
          </cell>
          <cell r="AM132"/>
          <cell r="AN132">
            <v>10500</v>
          </cell>
          <cell r="AO132" t="str">
            <v>WSWT2121670SM</v>
          </cell>
          <cell r="AQ132">
            <v>10756.900000000001</v>
          </cell>
          <cell r="AR132">
            <v>10756.900000000001</v>
          </cell>
          <cell r="AS132">
            <v>0</v>
          </cell>
          <cell r="AT132">
            <v>0</v>
          </cell>
          <cell r="AU132">
            <v>10756.900000000001</v>
          </cell>
          <cell r="BZ132" t="str">
            <v>WRWT21670/WRWT21670</v>
          </cell>
          <cell r="CA132">
            <v>0</v>
          </cell>
          <cell r="DL132" t="str">
            <v>P8</v>
          </cell>
          <cell r="DM132">
            <v>4</v>
          </cell>
          <cell r="DN132">
            <v>45868</v>
          </cell>
          <cell r="DP132">
            <v>45863</v>
          </cell>
          <cell r="DQ132">
            <v>45864</v>
          </cell>
          <cell r="DR132">
            <v>45858</v>
          </cell>
          <cell r="DS132">
            <v>45865</v>
          </cell>
          <cell r="DT132">
            <v>45866</v>
          </cell>
          <cell r="DU132">
            <v>45866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MK68-000804</v>
          </cell>
          <cell r="C133">
            <v>45826</v>
          </cell>
          <cell r="E133" t="str">
            <v>บจก.เอพีเอ็ม อะโกร</v>
          </cell>
          <cell r="F133" t="str">
            <v>ฟีล กู๊ด 802</v>
          </cell>
          <cell r="G133">
            <v>21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102</v>
          </cell>
          <cell r="M133" t="str">
            <v>±</v>
          </cell>
          <cell r="N133">
            <v>5</v>
          </cell>
          <cell r="R133" t="str">
            <v>บิด</v>
          </cell>
          <cell r="T133">
            <v>22</v>
          </cell>
          <cell r="U133">
            <v>40</v>
          </cell>
          <cell r="V133">
            <v>40</v>
          </cell>
          <cell r="X133" t="str">
            <v>รอแจ้ง</v>
          </cell>
          <cell r="Z133" t="str">
            <v>500กระสอบแบน</v>
          </cell>
          <cell r="AA133">
            <v>7000</v>
          </cell>
          <cell r="AB133">
            <v>151.97285734399995</v>
          </cell>
          <cell r="AC133">
            <v>0</v>
          </cell>
          <cell r="AD133">
            <v>151.97285734399995</v>
          </cell>
          <cell r="AG133"/>
          <cell r="AI133"/>
          <cell r="AJ133">
            <v>0</v>
          </cell>
          <cell r="AL133">
            <v>7000</v>
          </cell>
          <cell r="AM133"/>
          <cell r="AN133">
            <v>7350</v>
          </cell>
          <cell r="AO133" t="str">
            <v>WSWT2121670SM</v>
          </cell>
          <cell r="AQ133">
            <v>7725.41</v>
          </cell>
          <cell r="AR133">
            <v>7725.41</v>
          </cell>
          <cell r="AS133">
            <v>0</v>
          </cell>
          <cell r="AT133">
            <v>0</v>
          </cell>
          <cell r="AU133">
            <v>7725.41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 t="e">
            <v>#VALUE!</v>
          </cell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MK67-001617</v>
          </cell>
          <cell r="C134">
            <v>45628</v>
          </cell>
          <cell r="E134" t="str">
            <v>บจก.ที.ซี.ยูเนี่ยน อโกรเทค</v>
          </cell>
          <cell r="F134" t="str">
            <v>Zhejiang UN</v>
          </cell>
          <cell r="G134">
            <v>21</v>
          </cell>
          <cell r="H134">
            <v>37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 xml:space="preserve">300กระสอบแบนเต็มใบ </v>
          </cell>
          <cell r="AA134">
            <v>8000</v>
          </cell>
          <cell r="AB134">
            <v>0</v>
          </cell>
          <cell r="AC134">
            <v>0</v>
          </cell>
          <cell r="AD134">
            <v>0</v>
          </cell>
          <cell r="AG134" t="str">
            <v>20/1--5/3 ลูกค้าแจ้งเลื่อน</v>
          </cell>
          <cell r="AI134"/>
          <cell r="AJ134">
            <v>0</v>
          </cell>
          <cell r="AL134">
            <v>8000</v>
          </cell>
          <cell r="AM134">
            <v>0</v>
          </cell>
          <cell r="AN134">
            <v>8400</v>
          </cell>
          <cell r="AO134" t="str">
            <v>WSWT2121670SM</v>
          </cell>
          <cell r="AQ134">
            <v>8605.52</v>
          </cell>
          <cell r="AR134">
            <v>8605.52</v>
          </cell>
          <cell r="AS134">
            <v>0</v>
          </cell>
          <cell r="AT134">
            <v>0</v>
          </cell>
          <cell r="AU134">
            <v>8605.52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MK67-001642</v>
          </cell>
          <cell r="C135">
            <v>45631</v>
          </cell>
          <cell r="E135" t="str">
            <v>บจก.ที.ซี.ยูเนี่ยน อโกรเทค</v>
          </cell>
          <cell r="F135" t="str">
            <v>Zhejiang UN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 xml:space="preserve">300กระสอบแบนเต็มใบ </v>
          </cell>
          <cell r="AA135">
            <v>16000</v>
          </cell>
          <cell r="AB135">
            <v>0</v>
          </cell>
          <cell r="AC135">
            <v>0</v>
          </cell>
          <cell r="AD135">
            <v>0</v>
          </cell>
          <cell r="AG135" t="str">
            <v>3/2---19/3 ลูกค้าแจ้งเลื่อน</v>
          </cell>
          <cell r="AI135"/>
          <cell r="AJ135">
            <v>0</v>
          </cell>
          <cell r="AL135">
            <v>16000</v>
          </cell>
          <cell r="AM135"/>
          <cell r="AN135">
            <v>16800</v>
          </cell>
          <cell r="AO135" t="str">
            <v>WSWT2121670SM</v>
          </cell>
          <cell r="AQ135">
            <v>17211.04</v>
          </cell>
          <cell r="AR135">
            <v>0</v>
          </cell>
          <cell r="AS135">
            <v>17211.04</v>
          </cell>
          <cell r="AT135">
            <v>0</v>
          </cell>
          <cell r="AU135">
            <v>17211.04</v>
          </cell>
          <cell r="BZ135" t="str">
            <v>WRWT21670/WRWT21670</v>
          </cell>
          <cell r="CA135">
            <v>1237.7032565333332</v>
          </cell>
          <cell r="DL135" t="str">
            <v>P8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MK67-001643</v>
          </cell>
          <cell r="C136">
            <v>45631</v>
          </cell>
          <cell r="E136" t="str">
            <v>บจก.ที.ซี.ยูเนี่ยน อโกรเทค</v>
          </cell>
          <cell r="F136" t="str">
            <v>Zhejiang UN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 xml:space="preserve">300กระสอบแบนเต็มใบ </v>
          </cell>
          <cell r="AA136">
            <v>16000</v>
          </cell>
          <cell r="AB136">
            <v>0</v>
          </cell>
          <cell r="AC136">
            <v>0</v>
          </cell>
          <cell r="AD136">
            <v>0</v>
          </cell>
          <cell r="AG136" t="str">
            <v>17/2---28/3 ลูกค้าแจ้งเลื่อน</v>
          </cell>
          <cell r="AI136"/>
          <cell r="AJ136">
            <v>0</v>
          </cell>
          <cell r="AL136">
            <v>16000</v>
          </cell>
          <cell r="AM136"/>
          <cell r="AN136">
            <v>16800</v>
          </cell>
          <cell r="AO136" t="str">
            <v>WSWT2121670SM</v>
          </cell>
          <cell r="AQ136">
            <v>17211.04</v>
          </cell>
          <cell r="AR136">
            <v>0</v>
          </cell>
          <cell r="AS136">
            <v>17211.04</v>
          </cell>
          <cell r="AT136">
            <v>0</v>
          </cell>
          <cell r="AU136">
            <v>17211.04</v>
          </cell>
          <cell r="BZ136" t="str">
            <v>WRWT21670/WRWT21670</v>
          </cell>
          <cell r="CA136">
            <v>1237.7032565333332</v>
          </cell>
          <cell r="DL136" t="str">
            <v>P8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ประมาณการ</v>
          </cell>
          <cell r="C137" t="str">
            <v>ประมาณการ</v>
          </cell>
          <cell r="E137" t="str">
            <v>บจก.เอพีเอ็ม อะโกร</v>
          </cell>
          <cell r="F137" t="str">
            <v>รอแบบ</v>
          </cell>
          <cell r="G137">
            <v>21</v>
          </cell>
          <cell r="H137">
            <v>40</v>
          </cell>
          <cell r="I137" t="str">
            <v>ขาว</v>
          </cell>
          <cell r="J137" t="str">
            <v>ใส</v>
          </cell>
          <cell r="L137">
            <v>108</v>
          </cell>
          <cell r="M137" t="str">
            <v>±</v>
          </cell>
          <cell r="N137">
            <v>5</v>
          </cell>
          <cell r="R137" t="str">
            <v>จับจีบ</v>
          </cell>
          <cell r="T137">
            <v>22</v>
          </cell>
          <cell r="U137">
            <v>42</v>
          </cell>
          <cell r="V137">
            <v>40</v>
          </cell>
          <cell r="X137" t="str">
            <v>รอแจ้ง</v>
          </cell>
          <cell r="Z137" t="str">
            <v>500กระสอบแบน</v>
          </cell>
          <cell r="AA137">
            <v>10000</v>
          </cell>
          <cell r="AB137">
            <v>227.95928601599996</v>
          </cell>
          <cell r="AC137">
            <v>0</v>
          </cell>
          <cell r="AD137">
            <v>227.95928601599996</v>
          </cell>
          <cell r="AG137"/>
          <cell r="AI137"/>
          <cell r="AJ137">
            <v>0</v>
          </cell>
          <cell r="AL137">
            <v>10000</v>
          </cell>
          <cell r="AM137"/>
          <cell r="AN137">
            <v>10500</v>
          </cell>
          <cell r="AO137" t="str">
            <v>WSWT2121670SM</v>
          </cell>
          <cell r="AQ137">
            <v>11595.1</v>
          </cell>
          <cell r="AR137">
            <v>0</v>
          </cell>
          <cell r="AS137">
            <v>11595.1</v>
          </cell>
          <cell r="AT137">
            <v>0</v>
          </cell>
          <cell r="AU137">
            <v>11595.1</v>
          </cell>
          <cell r="BZ137" t="str">
            <v>WRWT21670/WRWT21670</v>
          </cell>
          <cell r="CA137">
            <v>833.84229133333326</v>
          </cell>
          <cell r="DL137" t="str">
            <v>P8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 t="e">
            <v>#VALUE!</v>
          </cell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>รอART</v>
          </cell>
          <cell r="EG137"/>
          <cell r="EH137"/>
          <cell r="EI137"/>
        </row>
        <row r="138">
          <cell r="B138" t="str">
            <v>MK66-000701</v>
          </cell>
          <cell r="C138">
            <v>45066</v>
          </cell>
          <cell r="E138" t="str">
            <v>บจก.เอสพีเอ็ม อาหารสัตว์</v>
          </cell>
          <cell r="F138" t="str">
            <v>มาซูฟีด ซี041</v>
          </cell>
          <cell r="G138">
            <v>21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102</v>
          </cell>
          <cell r="M138" t="str">
            <v>±</v>
          </cell>
          <cell r="N138">
            <v>5</v>
          </cell>
          <cell r="R138" t="str">
            <v>บิด</v>
          </cell>
          <cell r="T138">
            <v>22</v>
          </cell>
          <cell r="U138">
            <v>40</v>
          </cell>
          <cell r="V138">
            <v>40</v>
          </cell>
          <cell r="X138" t="str">
            <v>รอแจ้ง</v>
          </cell>
          <cell r="Z138" t="str">
            <v>500กระสอบแบน</v>
          </cell>
          <cell r="AA138">
            <v>5000</v>
          </cell>
          <cell r="AB138">
            <v>108.55204095999999</v>
          </cell>
          <cell r="AC138">
            <v>0</v>
          </cell>
          <cell r="AD138">
            <v>108.55204095999999</v>
          </cell>
          <cell r="AG138"/>
          <cell r="AI138"/>
          <cell r="AJ138">
            <v>0</v>
          </cell>
          <cell r="AL138">
            <v>5000</v>
          </cell>
          <cell r="AM138"/>
          <cell r="AN138">
            <v>5250</v>
          </cell>
          <cell r="AO138" t="str">
            <v>WSWT2121670SM</v>
          </cell>
          <cell r="AQ138">
            <v>5518.15</v>
          </cell>
          <cell r="AR138">
            <v>0</v>
          </cell>
          <cell r="AS138">
            <v>5518.15</v>
          </cell>
          <cell r="AT138">
            <v>0</v>
          </cell>
          <cell r="AU138">
            <v>5518.15</v>
          </cell>
          <cell r="BZ138" t="str">
            <v>WRWT21670/WRWT21670</v>
          </cell>
          <cell r="CA138">
            <v>396.82856033333326</v>
          </cell>
          <cell r="DL138" t="str">
            <v>P8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MK68-000703</v>
          </cell>
          <cell r="C139">
            <v>45800</v>
          </cell>
          <cell r="E139" t="str">
            <v>บจก.เอสพีเอ็ม อาหารสัตว์</v>
          </cell>
          <cell r="F139" t="str">
            <v>มาซู ฟีดบี0434</v>
          </cell>
          <cell r="G139">
            <v>21</v>
          </cell>
          <cell r="H139">
            <v>40</v>
          </cell>
          <cell r="I139" t="str">
            <v>ขาว</v>
          </cell>
          <cell r="J139" t="str">
            <v>ด้าน</v>
          </cell>
          <cell r="L139">
            <v>108</v>
          </cell>
          <cell r="M139" t="str">
            <v>±</v>
          </cell>
          <cell r="N139">
            <v>5</v>
          </cell>
          <cell r="R139" t="str">
            <v>บิด</v>
          </cell>
          <cell r="T139">
            <v>22</v>
          </cell>
          <cell r="U139">
            <v>42</v>
          </cell>
          <cell r="V139">
            <v>40</v>
          </cell>
          <cell r="X139" t="str">
            <v>รอส่ง</v>
          </cell>
          <cell r="Z139" t="str">
            <v>500กระสอบแบน</v>
          </cell>
          <cell r="AA139">
            <v>5000</v>
          </cell>
          <cell r="AB139">
            <v>5.2886554355711999</v>
          </cell>
          <cell r="AC139">
            <v>0</v>
          </cell>
          <cell r="AD139">
            <v>5.2886554355711999</v>
          </cell>
          <cell r="AG139"/>
          <cell r="AI139"/>
          <cell r="AJ139">
            <v>4768</v>
          </cell>
          <cell r="AL139">
            <v>232</v>
          </cell>
          <cell r="AM139">
            <v>10420</v>
          </cell>
          <cell r="AN139">
            <v>0</v>
          </cell>
          <cell r="AO139" t="str">
            <v>WSWT2121670SM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WRWT21670/WRWT21670</v>
          </cell>
          <cell r="CA139">
            <v>0</v>
          </cell>
          <cell r="DL139" t="str">
            <v>P8</v>
          </cell>
          <cell r="DM139">
            <v>4</v>
          </cell>
          <cell r="DN139" t="str">
            <v>รอส่ง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 t="e">
            <v>#VALUE!</v>
          </cell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21</v>
          </cell>
          <cell r="H140">
            <v>37</v>
          </cell>
          <cell r="I140"/>
          <cell r="J140"/>
          <cell r="L140">
            <v>74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 t="str">
            <v>ว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WSWT2121670SM</v>
          </cell>
          <cell r="AQ140">
            <v>449736.20999999996</v>
          </cell>
          <cell r="AR140">
            <v>137998.07999999999</v>
          </cell>
          <cell r="AS140">
            <v>311738.12999999995</v>
          </cell>
          <cell r="AT140">
            <v>0</v>
          </cell>
          <cell r="AU140">
            <v>449736.20999999996</v>
          </cell>
          <cell r="BZ140" t="str">
            <v>WRWT210670/WRWT21670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>
            <v>0</v>
          </cell>
        </row>
        <row r="141">
          <cell r="B141" t="str">
            <v>MK68-000640</v>
          </cell>
          <cell r="C141">
            <v>9</v>
          </cell>
          <cell r="E141" t="str">
            <v>กรมการข้าว</v>
          </cell>
          <cell r="F141" t="str">
            <v>เมล็ดพันธุ์ข้าว</v>
          </cell>
          <cell r="G141">
            <v>22</v>
          </cell>
          <cell r="H141">
            <v>34</v>
          </cell>
          <cell r="I141" t="str">
            <v>ขาว</v>
          </cell>
          <cell r="J141" t="str">
            <v>ใส</v>
          </cell>
          <cell r="L141">
            <v>115</v>
          </cell>
          <cell r="M141" t="str">
            <v>+</v>
          </cell>
          <cell r="N141">
            <v>5</v>
          </cell>
          <cell r="R141" t="str">
            <v>ไม่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300กระสอบแบนเต็มใบ</v>
          </cell>
          <cell r="AA141">
            <v>239700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ห้ามขาด-ผลิตเกิน 300</v>
          </cell>
          <cell r="AJ141">
            <v>239700</v>
          </cell>
          <cell r="AL141">
            <v>0</v>
          </cell>
          <cell r="AM141">
            <v>251442</v>
          </cell>
          <cell r="AN141">
            <v>0</v>
          </cell>
          <cell r="AO141" t="str">
            <v>WSWT2221940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WRWT21940/WRWT21940</v>
          </cell>
          <cell r="CA141">
            <v>0</v>
          </cell>
          <cell r="DL141" t="str">
            <v>P8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>
            <v>0</v>
          </cell>
          <cell r="C142"/>
          <cell r="E142"/>
          <cell r="F142"/>
          <cell r="G142">
            <v>21.6</v>
          </cell>
          <cell r="H142">
            <v>34</v>
          </cell>
          <cell r="I142"/>
          <cell r="J142"/>
          <cell r="L142">
            <v>97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WSWT2221940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WRWT21940/WRWT21940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>
            <v>0</v>
          </cell>
        </row>
        <row r="143">
          <cell r="B143" t="str">
            <v>ประมาณการ</v>
          </cell>
          <cell r="C143" t="str">
            <v>ประมาณการ</v>
          </cell>
          <cell r="E143" t="str">
            <v>พันธุ์ข้าว</v>
          </cell>
          <cell r="F143" t="str">
            <v>รอแบบ</v>
          </cell>
          <cell r="G143">
            <v>23</v>
          </cell>
          <cell r="H143">
            <v>34</v>
          </cell>
          <cell r="I143" t="str">
            <v>ขาว</v>
          </cell>
          <cell r="J143"/>
          <cell r="L143">
            <v>68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45868</v>
          </cell>
          <cell r="Z143" t="str">
            <v>500กระสอบ</v>
          </cell>
          <cell r="AA143">
            <v>40000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40000</v>
          </cell>
          <cell r="AM143"/>
          <cell r="AN143">
            <v>42000</v>
          </cell>
          <cell r="AO143" t="str">
            <v>WSWT2325650</v>
          </cell>
          <cell r="AQ143">
            <v>39674.800000000003</v>
          </cell>
          <cell r="AR143">
            <v>0</v>
          </cell>
          <cell r="AS143">
            <v>39674.800000000003</v>
          </cell>
          <cell r="AT143">
            <v>0</v>
          </cell>
          <cell r="AU143">
            <v>0</v>
          </cell>
          <cell r="BZ143" t="str">
            <v>WRWT25650/WRWT25650</v>
          </cell>
          <cell r="CA143">
            <v>2965.6913</v>
          </cell>
          <cell r="DL143" t="str">
            <v>P7</v>
          </cell>
          <cell r="DM143">
            <v>2</v>
          </cell>
          <cell r="DN143">
            <v>45868</v>
          </cell>
          <cell r="DP143">
            <v>45863</v>
          </cell>
          <cell r="DQ143"/>
          <cell r="DR143">
            <v>45859</v>
          </cell>
          <cell r="DS143">
            <v>45866</v>
          </cell>
          <cell r="DT143">
            <v>45867</v>
          </cell>
          <cell r="DU143">
            <v>45867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>รอART</v>
          </cell>
          <cell r="EG143"/>
          <cell r="EH143"/>
          <cell r="EI143"/>
        </row>
        <row r="144">
          <cell r="B144" t="str">
            <v>ประมาณการ</v>
          </cell>
          <cell r="C144" t="str">
            <v>ประมาณการ</v>
          </cell>
          <cell r="E144" t="str">
            <v>บจก.ซิเบลโก้(สบปราบ)</v>
          </cell>
          <cell r="F144" t="str">
            <v>รอแบบ</v>
          </cell>
          <cell r="G144">
            <v>23</v>
          </cell>
          <cell r="H144">
            <v>34</v>
          </cell>
          <cell r="I144" t="str">
            <v>ขาว</v>
          </cell>
          <cell r="J144"/>
          <cell r="L144">
            <v>68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24</v>
          </cell>
          <cell r="U144">
            <v>37</v>
          </cell>
          <cell r="V144">
            <v>50</v>
          </cell>
          <cell r="X144">
            <v>45868</v>
          </cell>
          <cell r="Z144" t="str">
            <v>มัด100</v>
          </cell>
          <cell r="AA144">
            <v>30000</v>
          </cell>
          <cell r="AB144">
            <v>821.54158271999995</v>
          </cell>
          <cell r="AC144">
            <v>0</v>
          </cell>
          <cell r="AD144">
            <v>821.54158271999995</v>
          </cell>
          <cell r="AG144"/>
          <cell r="AI144"/>
          <cell r="AJ144">
            <v>0</v>
          </cell>
          <cell r="AL144">
            <v>30000</v>
          </cell>
          <cell r="AM144"/>
          <cell r="AN144">
            <v>31500</v>
          </cell>
          <cell r="AO144" t="str">
            <v>WSWT2325650</v>
          </cell>
          <cell r="AQ144">
            <v>29756.100000000002</v>
          </cell>
          <cell r="AR144">
            <v>29756.100000000002</v>
          </cell>
          <cell r="AS144">
            <v>0</v>
          </cell>
          <cell r="AT144">
            <v>0</v>
          </cell>
          <cell r="AU144">
            <v>0</v>
          </cell>
          <cell r="BZ144" t="str">
            <v>WRWT25650/WRWT25650</v>
          </cell>
          <cell r="CA144">
            <v>0</v>
          </cell>
          <cell r="DL144" t="str">
            <v>P9</v>
          </cell>
          <cell r="DM144">
            <v>3</v>
          </cell>
          <cell r="DN144">
            <v>45868</v>
          </cell>
          <cell r="DP144">
            <v>45863</v>
          </cell>
          <cell r="DQ144"/>
          <cell r="DR144">
            <v>45858</v>
          </cell>
          <cell r="DS144">
            <v>45865</v>
          </cell>
          <cell r="DT144">
            <v>45866</v>
          </cell>
          <cell r="DU144">
            <v>45866</v>
          </cell>
          <cell r="DW144">
            <v>45867</v>
          </cell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>รอART</v>
          </cell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23</v>
          </cell>
          <cell r="H145">
            <v>34</v>
          </cell>
          <cell r="I145" t="str">
            <v>ขาว</v>
          </cell>
          <cell r="J145"/>
          <cell r="L145">
            <v>68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>
            <v>0</v>
          </cell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WSWT2325650</v>
          </cell>
          <cell r="AQ145">
            <v>69430.900000000009</v>
          </cell>
          <cell r="AR145">
            <v>29756.100000000002</v>
          </cell>
          <cell r="AS145">
            <v>39674.800000000003</v>
          </cell>
          <cell r="AT145">
            <v>0</v>
          </cell>
          <cell r="AU145">
            <v>0</v>
          </cell>
          <cell r="BZ145" t="str">
            <v>WRWT25650/WRWT25650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>
            <v>0</v>
          </cell>
        </row>
        <row r="146">
          <cell r="B146" t="str">
            <v>ประมาณการ</v>
          </cell>
          <cell r="C146" t="str">
            <v>ประมาณการ</v>
          </cell>
          <cell r="E146" t="str">
            <v>พันธุ์ข้าว</v>
          </cell>
          <cell r="F146" t="str">
            <v>รอแบบ</v>
          </cell>
          <cell r="G146">
            <v>23</v>
          </cell>
          <cell r="H146">
            <v>34</v>
          </cell>
          <cell r="I146" t="str">
            <v>ขาวแถบใส5</v>
          </cell>
          <cell r="J146"/>
          <cell r="L146">
            <v>68</v>
          </cell>
          <cell r="M146" t="str">
            <v>±</v>
          </cell>
          <cell r="N146">
            <v>5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45868</v>
          </cell>
          <cell r="Z146" t="str">
            <v>500กระสอบ</v>
          </cell>
          <cell r="AA146">
            <v>10000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/>
          <cell r="AL146">
            <v>10000</v>
          </cell>
          <cell r="AM146"/>
          <cell r="AN146">
            <v>10500</v>
          </cell>
          <cell r="AO146" t="str">
            <v>WSWTSCL052325650</v>
          </cell>
          <cell r="AQ146">
            <v>9918.7000000000007</v>
          </cell>
          <cell r="AR146">
            <v>0</v>
          </cell>
          <cell r="AS146">
            <v>9918.7000000000007</v>
          </cell>
          <cell r="AT146">
            <v>0</v>
          </cell>
          <cell r="AU146">
            <v>0</v>
          </cell>
          <cell r="BZ146" t="str">
            <v>WRWT25650/WRCL25680</v>
          </cell>
          <cell r="CA146">
            <v>800.41704844444439</v>
          </cell>
          <cell r="DL146" t="str">
            <v>P7</v>
          </cell>
          <cell r="DM146">
            <v>2</v>
          </cell>
          <cell r="DN146">
            <v>45868</v>
          </cell>
          <cell r="DP146">
            <v>45863</v>
          </cell>
          <cell r="DQ146"/>
          <cell r="DR146">
            <v>45859</v>
          </cell>
          <cell r="DS146">
            <v>45866</v>
          </cell>
          <cell r="DT146">
            <v>45867</v>
          </cell>
          <cell r="DU146">
            <v>45867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>รอART</v>
          </cell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23</v>
          </cell>
          <cell r="H147">
            <v>34</v>
          </cell>
          <cell r="I147" t="str">
            <v>ขาวแถบใส5</v>
          </cell>
          <cell r="J147"/>
          <cell r="L147">
            <v>68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/>
          <cell r="AJ147"/>
          <cell r="AL147">
            <v>0</v>
          </cell>
          <cell r="AM147"/>
          <cell r="AN147">
            <v>0</v>
          </cell>
          <cell r="AO147" t="str">
            <v>WSWTSCL052325650</v>
          </cell>
          <cell r="AQ147">
            <v>9918.7000000000007</v>
          </cell>
          <cell r="AR147">
            <v>0</v>
          </cell>
          <cell r="AS147">
            <v>9918.7000000000007</v>
          </cell>
          <cell r="AT147">
            <v>0</v>
          </cell>
          <cell r="AU147">
            <v>0</v>
          </cell>
          <cell r="BZ147" t="str">
            <v>WRWT25650/WRCL25680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>
            <v>0</v>
          </cell>
        </row>
        <row r="148">
          <cell r="B148">
            <v>0</v>
          </cell>
          <cell r="C148"/>
          <cell r="E148"/>
          <cell r="F148"/>
          <cell r="G148">
            <v>23</v>
          </cell>
          <cell r="H148">
            <v>34</v>
          </cell>
          <cell r="I148" t="str">
            <v>ขาวแถบใส2</v>
          </cell>
          <cell r="J148"/>
          <cell r="L148">
            <v>68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WSWTFCL022325650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BZ148" t="str">
            <v>WRWT25650/WRCL25680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>
            <v>0</v>
          </cell>
        </row>
        <row r="149">
          <cell r="B149">
            <v>0</v>
          </cell>
          <cell r="C149"/>
          <cell r="E149"/>
          <cell r="F149"/>
          <cell r="G149">
            <v>23</v>
          </cell>
          <cell r="H149">
            <v>37</v>
          </cell>
          <cell r="I149" t="str">
            <v>ขาว</v>
          </cell>
          <cell r="J149"/>
          <cell r="L149">
            <v>85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>
            <v>0</v>
          </cell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WSWT2325800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WRWT25800/WRWT28750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>
            <v>0</v>
          </cell>
          <cell r="EI149">
            <v>0</v>
          </cell>
        </row>
        <row r="150">
          <cell r="B150" t="str">
            <v>MK68-000852</v>
          </cell>
          <cell r="C150">
            <v>45839</v>
          </cell>
          <cell r="E150" t="str">
            <v>คุณวัลภา เผ่าเต็ม</v>
          </cell>
          <cell r="F150" t="str">
            <v>ดวงใจ(ชมพู-ม่วง)</v>
          </cell>
          <cell r="G150">
            <v>23</v>
          </cell>
          <cell r="H150">
            <v>37</v>
          </cell>
          <cell r="I150" t="str">
            <v>ขาว</v>
          </cell>
          <cell r="J150"/>
          <cell r="L150">
            <v>85</v>
          </cell>
          <cell r="M150" t="str">
            <v>±</v>
          </cell>
          <cell r="N150">
            <v>5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>
            <v>45852</v>
          </cell>
          <cell r="Z150" t="str">
            <v>500กระสอบ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 t="str">
            <v>12/7เย็น</v>
          </cell>
          <cell r="AI150" t="str">
            <v>ด้านคู่1ม้วนใช้ได้</v>
          </cell>
          <cell r="AJ150">
            <v>0</v>
          </cell>
          <cell r="AL150">
            <v>10000</v>
          </cell>
          <cell r="AM150"/>
          <cell r="AN150">
            <v>10500</v>
          </cell>
          <cell r="AO150" t="str">
            <v>WSWT2321750</v>
          </cell>
          <cell r="AQ150">
            <v>10756.900000000001</v>
          </cell>
          <cell r="AR150">
            <v>10756.900000000001</v>
          </cell>
          <cell r="AS150">
            <v>0</v>
          </cell>
          <cell r="AT150">
            <v>0</v>
          </cell>
          <cell r="AU150">
            <v>0</v>
          </cell>
          <cell r="BZ150" t="str">
            <v>WRWT21750/WRWT21750</v>
          </cell>
          <cell r="CA150">
            <v>0</v>
          </cell>
          <cell r="DL150" t="str">
            <v>P7</v>
          </cell>
          <cell r="DM150">
            <v>2</v>
          </cell>
          <cell r="DN150">
            <v>45852</v>
          </cell>
          <cell r="DP150">
            <v>45847</v>
          </cell>
          <cell r="DQ150"/>
          <cell r="DR150">
            <v>45843</v>
          </cell>
          <cell r="DS150">
            <v>45850</v>
          </cell>
          <cell r="DT150">
            <v>45851</v>
          </cell>
          <cell r="DU150">
            <v>45851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MK68-000852</v>
          </cell>
          <cell r="C151">
            <v>45839</v>
          </cell>
          <cell r="E151" t="str">
            <v>คุณวัลภา เผ่าเต็ม</v>
          </cell>
          <cell r="F151" t="str">
            <v>ใบเตย</v>
          </cell>
          <cell r="G151">
            <v>23</v>
          </cell>
          <cell r="H151">
            <v>37</v>
          </cell>
          <cell r="I151" t="str">
            <v>ขาว</v>
          </cell>
          <cell r="J151"/>
          <cell r="L151">
            <v>85</v>
          </cell>
          <cell r="M151" t="str">
            <v>±</v>
          </cell>
          <cell r="N151">
            <v>5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45852</v>
          </cell>
          <cell r="Z151" t="str">
            <v>500กระสอบ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 t="str">
            <v>12/7เย็น</v>
          </cell>
          <cell r="AI151"/>
          <cell r="AJ151">
            <v>0</v>
          </cell>
          <cell r="AL151">
            <v>5000</v>
          </cell>
          <cell r="AM151">
            <v>5440</v>
          </cell>
          <cell r="AN151">
            <v>0</v>
          </cell>
          <cell r="AO151" t="str">
            <v>WSWT2321750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WRWT21750/WRWT21750</v>
          </cell>
          <cell r="CA151">
            <v>0</v>
          </cell>
          <cell r="DL151" t="str">
            <v>P7</v>
          </cell>
          <cell r="DM151">
            <v>2</v>
          </cell>
          <cell r="DN151">
            <v>45852</v>
          </cell>
          <cell r="DP151">
            <v>45847</v>
          </cell>
          <cell r="DQ151"/>
          <cell r="DR151">
            <v>45843</v>
          </cell>
          <cell r="DS151">
            <v>45850</v>
          </cell>
          <cell r="DT151">
            <v>45851</v>
          </cell>
          <cell r="DU151">
            <v>45851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MK68-000378</v>
          </cell>
          <cell r="C152">
            <v>45727</v>
          </cell>
          <cell r="E152" t="str">
            <v>บจก.แอมโก้เวท</v>
          </cell>
          <cell r="F152" t="str">
            <v>ไม่พิมพ์</v>
          </cell>
          <cell r="G152">
            <v>23</v>
          </cell>
          <cell r="H152">
            <v>40</v>
          </cell>
          <cell r="I152" t="str">
            <v>ขาว</v>
          </cell>
          <cell r="J152" t="str">
            <v>ใส</v>
          </cell>
          <cell r="L152">
            <v>125</v>
          </cell>
          <cell r="M152" t="str">
            <v>±</v>
          </cell>
          <cell r="N152">
            <v>5</v>
          </cell>
          <cell r="R152" t="str">
            <v>จับจีบ4"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500กระสอบแบน</v>
          </cell>
          <cell r="AA152">
            <v>1000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ห้ามขาด-เกินได้5%</v>
          </cell>
          <cell r="AJ152">
            <v>0</v>
          </cell>
          <cell r="AL152">
            <v>1000</v>
          </cell>
          <cell r="AM152"/>
          <cell r="AN152">
            <v>0</v>
          </cell>
          <cell r="AO152" t="str">
            <v>WSWT2321750</v>
          </cell>
          <cell r="AQ152">
            <v>1159.5100000000002</v>
          </cell>
          <cell r="AR152">
            <v>1159.5100000000002</v>
          </cell>
          <cell r="AS152">
            <v>0</v>
          </cell>
          <cell r="AT152">
            <v>1159.5100000000002</v>
          </cell>
          <cell r="AU152">
            <v>0</v>
          </cell>
          <cell r="BZ152" t="str">
            <v>WRWT21750/WRWT21750</v>
          </cell>
          <cell r="CA152">
            <v>0</v>
          </cell>
          <cell r="DL152" t="str">
            <v>P11</v>
          </cell>
          <cell r="DM152">
            <v>2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/>
          <cell r="DS152"/>
          <cell r="DT152"/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งานเคลือบ+ตัด</v>
          </cell>
          <cell r="ED152"/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23</v>
          </cell>
          <cell r="H153">
            <v>37</v>
          </cell>
          <cell r="I153"/>
          <cell r="J153"/>
          <cell r="L153">
            <v>85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/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WSWT2321750</v>
          </cell>
          <cell r="AQ153">
            <v>11916.410000000002</v>
          </cell>
          <cell r="AR153">
            <v>11916.410000000002</v>
          </cell>
          <cell r="AS153">
            <v>0</v>
          </cell>
          <cell r="AT153">
            <v>1159.5100000000002</v>
          </cell>
          <cell r="AU153">
            <v>0</v>
          </cell>
          <cell r="BZ153" t="str">
            <v>WRWT230750/WRWT21750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>
            <v>0</v>
          </cell>
        </row>
        <row r="154">
          <cell r="B154">
            <v>0</v>
          </cell>
          <cell r="C154"/>
          <cell r="E154"/>
          <cell r="F154"/>
          <cell r="G154">
            <v>23</v>
          </cell>
          <cell r="H154">
            <v>34</v>
          </cell>
          <cell r="I154"/>
          <cell r="J154"/>
          <cell r="L154">
            <v>68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WSWTSCL1R042325650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WRWT230650/WRWT25680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>
            <v>0</v>
          </cell>
        </row>
        <row r="155">
          <cell r="B155">
            <v>0</v>
          </cell>
          <cell r="C155"/>
          <cell r="E155"/>
          <cell r="F155"/>
          <cell r="G155">
            <v>23</v>
          </cell>
          <cell r="H155">
            <v>37</v>
          </cell>
          <cell r="I155" t="str">
            <v>ขาว</v>
          </cell>
          <cell r="J155"/>
          <cell r="L155">
            <v>90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WSWT2325800SM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WRWT21800/WRWT21800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>
            <v>0</v>
          </cell>
        </row>
        <row r="156">
          <cell r="B156">
            <v>0</v>
          </cell>
          <cell r="C156"/>
          <cell r="E156"/>
          <cell r="F156"/>
          <cell r="G156">
            <v>23</v>
          </cell>
          <cell r="H156">
            <v>37</v>
          </cell>
          <cell r="I156"/>
          <cell r="J156"/>
          <cell r="L156">
            <v>120</v>
          </cell>
          <cell r="M156" t="str">
            <v>+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WSWT23211125120SMFX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WROP2301125/WRBR21940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/>
          <cell r="EI156">
            <v>0</v>
          </cell>
        </row>
        <row r="157">
          <cell r="B157">
            <v>0</v>
          </cell>
          <cell r="C157"/>
          <cell r="E157"/>
          <cell r="F157" t="str">
            <v xml:space="preserve">  </v>
          </cell>
          <cell r="G157">
            <v>23</v>
          </cell>
          <cell r="H157">
            <v>37</v>
          </cell>
          <cell r="I157" t="str">
            <v>ขาว</v>
          </cell>
          <cell r="J157"/>
          <cell r="L157">
            <v>130</v>
          </cell>
          <cell r="M157" t="str">
            <v>+</v>
          </cell>
          <cell r="N157">
            <v>3</v>
          </cell>
          <cell r="R157"/>
          <cell r="T157"/>
          <cell r="U157"/>
          <cell r="V157"/>
          <cell r="X157"/>
          <cell r="Z157"/>
          <cell r="AA157"/>
          <cell r="AB157">
            <v>0</v>
          </cell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WSWT23211125130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WRWT211125/WRWT251080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/>
          <cell r="EI157">
            <v>0</v>
          </cell>
        </row>
        <row r="158">
          <cell r="B158">
            <v>0</v>
          </cell>
          <cell r="C158"/>
          <cell r="E158"/>
          <cell r="F158"/>
          <cell r="G158">
            <v>23</v>
          </cell>
          <cell r="H158">
            <v>37</v>
          </cell>
          <cell r="I158"/>
          <cell r="J158"/>
          <cell r="L158">
            <v>120</v>
          </cell>
          <cell r="M158" t="str">
            <v>±</v>
          </cell>
          <cell r="N158">
            <v>3</v>
          </cell>
          <cell r="R158"/>
          <cell r="T158"/>
          <cell r="U158"/>
          <cell r="V158"/>
          <cell r="X158"/>
          <cell r="Z158"/>
          <cell r="AA158"/>
          <cell r="AB158">
            <v>0</v>
          </cell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WSWT2321112512051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WRWT211125/WRWT21900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/>
          <cell r="EI158">
            <v>0</v>
          </cell>
        </row>
        <row r="159">
          <cell r="B159" t="str">
            <v>MK67-001490</v>
          </cell>
          <cell r="C159">
            <v>45601</v>
          </cell>
          <cell r="E159" t="str">
            <v>บจก.น้ำตาลทิพย์สุโขทัย</v>
          </cell>
          <cell r="F159" t="str">
            <v>Green for white sugar</v>
          </cell>
          <cell r="G159">
            <v>23</v>
          </cell>
          <cell r="H159">
            <v>37</v>
          </cell>
          <cell r="I159" t="str">
            <v>ขาว</v>
          </cell>
          <cell r="J159"/>
          <cell r="L159">
            <v>130</v>
          </cell>
          <cell r="M159" t="str">
            <v>±</v>
          </cell>
          <cell r="N159">
            <v>5</v>
          </cell>
          <cell r="R159" t="str">
            <v>บิด</v>
          </cell>
          <cell r="T159">
            <v>24</v>
          </cell>
          <cell r="U159">
            <v>40</v>
          </cell>
          <cell r="V159">
            <v>55</v>
          </cell>
          <cell r="X159">
            <v>45852</v>
          </cell>
          <cell r="Z159" t="str">
            <v>400แบน</v>
          </cell>
          <cell r="AA159">
            <v>50000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สั่งเวียดนามสำเร็จรูปทั้งหมด</v>
          </cell>
          <cell r="AJ159">
            <v>50000</v>
          </cell>
          <cell r="AL159">
            <v>0</v>
          </cell>
          <cell r="AM159"/>
          <cell r="AN159">
            <v>0</v>
          </cell>
          <cell r="AO159" t="str">
            <v>WSWT2321112512551VN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WRWT211125/WRWT251030</v>
          </cell>
          <cell r="CA159">
            <v>0</v>
          </cell>
          <cell r="DL159" t="str">
            <v>P9</v>
          </cell>
          <cell r="DM159">
            <v>3</v>
          </cell>
          <cell r="DN159">
            <v>45852</v>
          </cell>
          <cell r="DP159">
            <v>45847</v>
          </cell>
          <cell r="DQ159"/>
          <cell r="DR159">
            <v>45842</v>
          </cell>
          <cell r="DS159">
            <v>45849</v>
          </cell>
          <cell r="DT159">
            <v>45850</v>
          </cell>
          <cell r="DU159">
            <v>45850</v>
          </cell>
          <cell r="DW159">
            <v>45851</v>
          </cell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MK67-001490</v>
          </cell>
          <cell r="C160">
            <v>45601</v>
          </cell>
          <cell r="E160" t="str">
            <v>บจก.น้ำตาลทิพย์สุโขทัย</v>
          </cell>
          <cell r="F160" t="str">
            <v>Green for white sugar</v>
          </cell>
          <cell r="G160">
            <v>23</v>
          </cell>
          <cell r="H160">
            <v>37</v>
          </cell>
          <cell r="I160" t="str">
            <v>ขาว</v>
          </cell>
          <cell r="J160"/>
          <cell r="L160">
            <v>130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24</v>
          </cell>
          <cell r="U160">
            <v>40</v>
          </cell>
          <cell r="V160">
            <v>55</v>
          </cell>
          <cell r="X160">
            <v>45860</v>
          </cell>
          <cell r="Z160" t="str">
            <v>400แบน</v>
          </cell>
          <cell r="AA160">
            <v>50000</v>
          </cell>
          <cell r="AB160">
            <v>0</v>
          </cell>
          <cell r="AC160">
            <v>0</v>
          </cell>
          <cell r="AD160">
            <v>0</v>
          </cell>
          <cell r="AG160">
            <v>45858</v>
          </cell>
          <cell r="AI160" t="str">
            <v>สั่งเวียดนามสำเร็จรูปทั้งหมด</v>
          </cell>
          <cell r="AJ160">
            <v>50000</v>
          </cell>
          <cell r="AL160">
            <v>0</v>
          </cell>
          <cell r="AM160"/>
          <cell r="AN160">
            <v>0</v>
          </cell>
          <cell r="AO160" t="str">
            <v>WSWT2321112512551VN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WRWT211125/WRWT251030</v>
          </cell>
          <cell r="CA160">
            <v>0</v>
          </cell>
          <cell r="DL160" t="str">
            <v>P9</v>
          </cell>
          <cell r="DM160">
            <v>3</v>
          </cell>
          <cell r="DN160">
            <v>45860</v>
          </cell>
          <cell r="DP160">
            <v>45855</v>
          </cell>
          <cell r="DQ160"/>
          <cell r="DR160">
            <v>45850</v>
          </cell>
          <cell r="DS160">
            <v>45857</v>
          </cell>
          <cell r="DT160">
            <v>45858</v>
          </cell>
          <cell r="DU160">
            <v>45858</v>
          </cell>
          <cell r="DW160">
            <v>45859</v>
          </cell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MK67-001490</v>
          </cell>
          <cell r="C161">
            <v>45601</v>
          </cell>
          <cell r="E161" t="str">
            <v>บจก.น้ำตาลทิพย์สุโขทัย</v>
          </cell>
          <cell r="F161" t="str">
            <v>Green for white sugar</v>
          </cell>
          <cell r="G161">
            <v>23</v>
          </cell>
          <cell r="H161">
            <v>37</v>
          </cell>
          <cell r="I161" t="str">
            <v>ขาว</v>
          </cell>
          <cell r="J161"/>
          <cell r="L161">
            <v>130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24</v>
          </cell>
          <cell r="U161">
            <v>40</v>
          </cell>
          <cell r="V161">
            <v>55</v>
          </cell>
          <cell r="X161">
            <v>45868</v>
          </cell>
          <cell r="Z161" t="str">
            <v>400แบน</v>
          </cell>
          <cell r="AA161">
            <v>45000</v>
          </cell>
          <cell r="AB161">
            <v>1394.6549118458877</v>
          </cell>
          <cell r="AC161">
            <v>0</v>
          </cell>
          <cell r="AD161">
            <v>1394.6549118458877</v>
          </cell>
          <cell r="AG161">
            <v>45858</v>
          </cell>
          <cell r="AI161" t="str">
            <v>สั่งเวียดนามสำเร็จรูปทั้งหมด</v>
          </cell>
          <cell r="AJ161">
            <v>2174</v>
          </cell>
          <cell r="AL161">
            <v>42826</v>
          </cell>
          <cell r="AM161"/>
          <cell r="AN161">
            <v>44967.3</v>
          </cell>
          <cell r="AO161" t="str">
            <v>WSWT2321112512551</v>
          </cell>
          <cell r="AQ161">
            <v>46067.499940000009</v>
          </cell>
          <cell r="AR161">
            <v>46067.499940000009</v>
          </cell>
          <cell r="AS161">
            <v>0</v>
          </cell>
          <cell r="AT161">
            <v>0</v>
          </cell>
          <cell r="AU161">
            <v>0</v>
          </cell>
          <cell r="BZ161" t="str">
            <v>WRWT211125/WRWT251030</v>
          </cell>
          <cell r="CA161">
            <v>0</v>
          </cell>
          <cell r="DL161" t="str">
            <v>P9</v>
          </cell>
          <cell r="DM161">
            <v>3</v>
          </cell>
          <cell r="DN161">
            <v>45868</v>
          </cell>
          <cell r="DP161">
            <v>45863</v>
          </cell>
          <cell r="DQ161"/>
          <cell r="DR161">
            <v>45858</v>
          </cell>
          <cell r="DS161">
            <v>45865</v>
          </cell>
          <cell r="DT161">
            <v>45866</v>
          </cell>
          <cell r="DU161">
            <v>45866</v>
          </cell>
          <cell r="DW161">
            <v>45867</v>
          </cell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MK67-001490</v>
          </cell>
          <cell r="C162">
            <v>45601</v>
          </cell>
          <cell r="E162" t="str">
            <v>บจก.น้ำตาลทิพย์สุโขทัย</v>
          </cell>
          <cell r="F162" t="str">
            <v>Green for white sugar</v>
          </cell>
          <cell r="G162">
            <v>23</v>
          </cell>
          <cell r="H162">
            <v>37</v>
          </cell>
          <cell r="I162" t="str">
            <v>ขาว</v>
          </cell>
          <cell r="J162"/>
          <cell r="L162">
            <v>130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24</v>
          </cell>
          <cell r="U162">
            <v>40</v>
          </cell>
          <cell r="V162">
            <v>55</v>
          </cell>
          <cell r="X162" t="str">
            <v>รอแจ้ง</v>
          </cell>
          <cell r="Z162" t="str">
            <v>400แบน</v>
          </cell>
          <cell r="AA162">
            <v>441278</v>
          </cell>
          <cell r="AB162">
            <v>14370.488259224063</v>
          </cell>
          <cell r="AC162">
            <v>0</v>
          </cell>
          <cell r="AD162">
            <v>14370.488259224063</v>
          </cell>
          <cell r="AG162"/>
          <cell r="AI162" t="str">
            <v>สั่งเวียดนามสำเร็จรูปทั้งหมด</v>
          </cell>
          <cell r="AJ162">
            <v>0</v>
          </cell>
          <cell r="AL162">
            <v>441278</v>
          </cell>
          <cell r="AM162"/>
          <cell r="AN162">
            <v>463341.9</v>
          </cell>
          <cell r="AO162" t="str">
            <v>WSWT2321112512551</v>
          </cell>
          <cell r="AQ162">
            <v>474678.33182000002</v>
          </cell>
          <cell r="AR162">
            <v>11165</v>
          </cell>
          <cell r="AS162">
            <v>463513.33182000002</v>
          </cell>
          <cell r="AT162">
            <v>0</v>
          </cell>
          <cell r="AU162">
            <v>0</v>
          </cell>
          <cell r="BZ162" t="str">
            <v>WRWT211125/WRWT251030</v>
          </cell>
          <cell r="CA162">
            <v>59377.731604284687</v>
          </cell>
          <cell r="DL162" t="str">
            <v>P9</v>
          </cell>
          <cell r="DM162">
            <v>3</v>
          </cell>
          <cell r="DN162" t="str">
            <v>รอแจ้ง</v>
          </cell>
          <cell r="DP162" t="e">
            <v>#VALUE!</v>
          </cell>
          <cell r="DQ162"/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>
            <v>0</v>
          </cell>
          <cell r="C163"/>
          <cell r="E163"/>
          <cell r="F163"/>
          <cell r="G163">
            <v>23</v>
          </cell>
          <cell r="H163">
            <v>37</v>
          </cell>
          <cell r="I163"/>
          <cell r="J163"/>
          <cell r="L163">
            <v>128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/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WSWT2321112512551</v>
          </cell>
          <cell r="AQ163">
            <v>520745.83176000003</v>
          </cell>
          <cell r="AR163">
            <v>57232.499940000009</v>
          </cell>
          <cell r="AS163">
            <v>463513.33182000002</v>
          </cell>
          <cell r="AT163">
            <v>0</v>
          </cell>
          <cell r="AU163">
            <v>0</v>
          </cell>
          <cell r="BZ163" t="str">
            <v>WRWT2301125/WRWT251030</v>
          </cell>
          <cell r="CA163">
            <v>0</v>
          </cell>
          <cell r="DL163"/>
          <cell r="DM163"/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>
            <v>0</v>
          </cell>
          <cell r="EI163">
            <v>0</v>
          </cell>
        </row>
        <row r="164">
          <cell r="B164">
            <v>0</v>
          </cell>
          <cell r="C164"/>
          <cell r="E164"/>
          <cell r="F164"/>
          <cell r="G164">
            <v>24</v>
          </cell>
          <cell r="H164">
            <v>37</v>
          </cell>
          <cell r="I164"/>
          <cell r="J164"/>
          <cell r="L164">
            <v>120</v>
          </cell>
          <cell r="M164" t="str">
            <v>+</v>
          </cell>
          <cell r="N164">
            <v>3</v>
          </cell>
          <cell r="R164"/>
          <cell r="T164"/>
          <cell r="U164"/>
          <cell r="V164"/>
          <cell r="X164"/>
          <cell r="Z164"/>
          <cell r="AA164"/>
          <cell r="AB164"/>
          <cell r="AC164">
            <v>0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WSWT24211125120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BZ164" t="str">
            <v>WRWT2401125/WRWT25850</v>
          </cell>
          <cell r="CA164">
            <v>0</v>
          </cell>
          <cell r="DL164"/>
          <cell r="DM164"/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>
            <v>0</v>
          </cell>
          <cell r="EI164">
            <v>0</v>
          </cell>
        </row>
        <row r="165">
          <cell r="B165">
            <v>0</v>
          </cell>
          <cell r="C165"/>
          <cell r="E165"/>
          <cell r="F165" t="str">
            <v xml:space="preserve"> </v>
          </cell>
          <cell r="G165">
            <v>24</v>
          </cell>
          <cell r="H165">
            <v>37</v>
          </cell>
          <cell r="I165"/>
          <cell r="J165"/>
          <cell r="L165">
            <v>125</v>
          </cell>
          <cell r="M165" t="str">
            <v>+</v>
          </cell>
          <cell r="N165">
            <v>3</v>
          </cell>
          <cell r="R165"/>
          <cell r="T165"/>
          <cell r="U165"/>
          <cell r="V165"/>
          <cell r="X165"/>
          <cell r="Z165"/>
          <cell r="AA165"/>
          <cell r="AB165"/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WSWT2421112512551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WRWT2401125/WRWT25960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>
            <v>0</v>
          </cell>
          <cell r="EI165">
            <v>0</v>
          </cell>
        </row>
        <row r="166">
          <cell r="B166">
            <v>0</v>
          </cell>
          <cell r="C166"/>
          <cell r="E166"/>
          <cell r="F166"/>
          <cell r="G166">
            <v>26</v>
          </cell>
          <cell r="H166">
            <v>38</v>
          </cell>
          <cell r="I166" t="str">
            <v>เหลือง</v>
          </cell>
          <cell r="J166"/>
          <cell r="L166">
            <v>105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>
            <v>0</v>
          </cell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WSYL2625850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WRYL25850/WRYL25850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/>
          <cell r="EI166">
            <v>0</v>
          </cell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บจก.กบินทร์อินทรีย์</v>
          </cell>
          <cell r="F167" t="str">
            <v>รอแบบ</v>
          </cell>
          <cell r="G167">
            <v>26</v>
          </cell>
          <cell r="H167">
            <v>41</v>
          </cell>
          <cell r="I167" t="str">
            <v>ขาว</v>
          </cell>
          <cell r="J167"/>
          <cell r="L167">
            <v>97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27</v>
          </cell>
          <cell r="U167">
            <v>43</v>
          </cell>
          <cell r="V167">
            <v>40</v>
          </cell>
          <cell r="X167">
            <v>45868</v>
          </cell>
          <cell r="Z167" t="str">
            <v>300กระสอบ</v>
          </cell>
          <cell r="AA167">
            <v>8000</v>
          </cell>
          <cell r="AB167">
            <v>229.14349009919997</v>
          </cell>
          <cell r="AC167">
            <v>0</v>
          </cell>
          <cell r="AD167">
            <v>229.14349009919997</v>
          </cell>
          <cell r="AG167"/>
          <cell r="AI167"/>
          <cell r="AJ167">
            <v>0</v>
          </cell>
          <cell r="AL167">
            <v>8000</v>
          </cell>
          <cell r="AM167"/>
          <cell r="AN167">
            <v>8400</v>
          </cell>
          <cell r="AO167" t="str">
            <v>WSWT2625650</v>
          </cell>
          <cell r="AQ167">
            <v>9499.6</v>
          </cell>
          <cell r="AR167">
            <v>1790</v>
          </cell>
          <cell r="AS167">
            <v>7709.6</v>
          </cell>
          <cell r="AT167">
            <v>0</v>
          </cell>
          <cell r="AU167">
            <v>0</v>
          </cell>
          <cell r="BZ167" t="str">
            <v>WRWT25650/WRWT25650</v>
          </cell>
          <cell r="CA167">
            <v>622.50736888888889</v>
          </cell>
          <cell r="DL167" t="str">
            <v>P9</v>
          </cell>
          <cell r="DM167">
            <v>3</v>
          </cell>
          <cell r="DN167">
            <v>45868</v>
          </cell>
          <cell r="DP167">
            <v>45863</v>
          </cell>
          <cell r="DQ167"/>
          <cell r="DR167">
            <v>45858</v>
          </cell>
          <cell r="DS167">
            <v>45865</v>
          </cell>
          <cell r="DT167">
            <v>45866</v>
          </cell>
          <cell r="DU167">
            <v>45866</v>
          </cell>
          <cell r="DW167">
            <v>45867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>รอART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26</v>
          </cell>
          <cell r="H168">
            <v>43</v>
          </cell>
          <cell r="I168" t="str">
            <v>ขาว</v>
          </cell>
          <cell r="J168"/>
          <cell r="L168">
            <v>102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>
            <v>0</v>
          </cell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WSWT2625650</v>
          </cell>
          <cell r="AQ168">
            <v>9499.6</v>
          </cell>
          <cell r="AR168">
            <v>1790</v>
          </cell>
          <cell r="AS168">
            <v>7709.6</v>
          </cell>
          <cell r="AT168">
            <v>0</v>
          </cell>
          <cell r="AU168">
            <v>0</v>
          </cell>
          <cell r="BZ168" t="str">
            <v>WRWT25650/WRWT25650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/>
          <cell r="EI168">
            <v>0</v>
          </cell>
        </row>
        <row r="169">
          <cell r="B169" t="str">
            <v>ใบรับคำสั่งซื้อ</v>
          </cell>
          <cell r="C169">
            <v>45839</v>
          </cell>
          <cell r="E169" t="str">
            <v>คุณธนนท์ อุทัยไพศาลวงศ์</v>
          </cell>
          <cell r="F169" t="str">
            <v>ไม่พิมพ์</v>
          </cell>
          <cell r="G169">
            <v>26</v>
          </cell>
          <cell r="H169">
            <v>39</v>
          </cell>
          <cell r="I169" t="str">
            <v>ขาว</v>
          </cell>
          <cell r="J169"/>
          <cell r="L169">
            <v>93</v>
          </cell>
          <cell r="M169" t="str">
            <v>±</v>
          </cell>
          <cell r="N169">
            <v>5</v>
          </cell>
          <cell r="R169" t="str">
            <v>ไม่</v>
          </cell>
          <cell r="T169" t="str">
            <v>ไม่สวมถุงใน</v>
          </cell>
          <cell r="U169"/>
          <cell r="V169"/>
          <cell r="X169">
            <v>45847</v>
          </cell>
          <cell r="Z169" t="str">
            <v>มัด100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10000</v>
          </cell>
          <cell r="AM169"/>
          <cell r="AN169">
            <v>0</v>
          </cell>
          <cell r="AO169" t="str">
            <v>WSWT262575051</v>
          </cell>
          <cell r="AQ169">
            <v>11315.7</v>
          </cell>
          <cell r="AR169">
            <v>10500</v>
          </cell>
          <cell r="AS169">
            <v>815.70000000000073</v>
          </cell>
          <cell r="AT169">
            <v>0</v>
          </cell>
          <cell r="AU169">
            <v>0</v>
          </cell>
          <cell r="BZ169" t="str">
            <v>WRWT25800/WRWT25650</v>
          </cell>
          <cell r="CA169">
            <v>73.286113333333404</v>
          </cell>
          <cell r="DL169" t="str">
            <v>P3</v>
          </cell>
          <cell r="DM169">
            <v>1</v>
          </cell>
          <cell r="DN169">
            <v>45847</v>
          </cell>
          <cell r="DP169">
            <v>45842</v>
          </cell>
          <cell r="DQ169"/>
          <cell r="DR169"/>
          <cell r="DS169"/>
          <cell r="DT169"/>
          <cell r="DU169">
            <v>45846</v>
          </cell>
          <cell r="DW169"/>
          <cell r="DX169"/>
          <cell r="DY169"/>
          <cell r="DZ169"/>
          <cell r="EA169"/>
          <cell r="EB169"/>
          <cell r="EC169" t="str">
            <v>ตัด</v>
          </cell>
          <cell r="ED169"/>
          <cell r="EG169"/>
          <cell r="EH169"/>
          <cell r="EI169"/>
        </row>
        <row r="170">
          <cell r="B170">
            <v>0</v>
          </cell>
          <cell r="C170"/>
          <cell r="E170"/>
          <cell r="F170"/>
          <cell r="G170">
            <v>26</v>
          </cell>
          <cell r="H170">
            <v>43</v>
          </cell>
          <cell r="I170"/>
          <cell r="J170"/>
          <cell r="L170">
            <v>100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WSWT262575051</v>
          </cell>
          <cell r="AQ170">
            <v>11315.7</v>
          </cell>
          <cell r="AR170">
            <v>10500</v>
          </cell>
          <cell r="AS170">
            <v>815.70000000000073</v>
          </cell>
          <cell r="AT170">
            <v>0</v>
          </cell>
          <cell r="AU170">
            <v>0</v>
          </cell>
          <cell r="BZ170" t="str">
            <v>WRWT25800/WRWT25650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>
            <v>0</v>
          </cell>
          <cell r="C171"/>
          <cell r="E171"/>
          <cell r="F171"/>
          <cell r="G171">
            <v>26</v>
          </cell>
          <cell r="H171">
            <v>43</v>
          </cell>
          <cell r="I171"/>
          <cell r="J171"/>
          <cell r="L171">
            <v>113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/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WSWT2625700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WRWT260800/WRWT25650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>
            <v>0</v>
          </cell>
          <cell r="EI171">
            <v>0</v>
          </cell>
        </row>
        <row r="172">
          <cell r="B172">
            <v>0</v>
          </cell>
          <cell r="C172"/>
          <cell r="E172"/>
          <cell r="F172"/>
          <cell r="G172">
            <v>26</v>
          </cell>
          <cell r="H172">
            <v>41</v>
          </cell>
          <cell r="I172"/>
          <cell r="J172"/>
          <cell r="L172">
            <v>90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/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WSWT2625800SM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BZ172" t="str">
            <v>WRWT260800/WRWT25650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>
            <v>0</v>
          </cell>
          <cell r="EI172">
            <v>0</v>
          </cell>
        </row>
        <row r="173">
          <cell r="B173" t="str">
            <v>ประมาณการ</v>
          </cell>
          <cell r="C173" t="str">
            <v>ประมาณการ</v>
          </cell>
          <cell r="E173" t="str">
            <v>บจก.ที.ซี.ยูเนี่ยน อโกรเทค</v>
          </cell>
          <cell r="F173" t="str">
            <v>ไม่พิมพ์</v>
          </cell>
          <cell r="G173">
            <v>26</v>
          </cell>
          <cell r="H173">
            <v>43</v>
          </cell>
          <cell r="I173" t="str">
            <v>ขาว</v>
          </cell>
          <cell r="J173"/>
          <cell r="L173">
            <v>116</v>
          </cell>
          <cell r="M173" t="str">
            <v>±</v>
          </cell>
          <cell r="N173">
            <v>5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45868</v>
          </cell>
          <cell r="Z173" t="str">
            <v xml:space="preserve">300กระสอบแบนเต็มใบ 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10000</v>
          </cell>
          <cell r="AM173"/>
          <cell r="AN173">
            <v>0</v>
          </cell>
          <cell r="AO173" t="str">
            <v xml:space="preserve">WSWT2625800 </v>
          </cell>
          <cell r="AQ173">
            <v>12433.3</v>
          </cell>
          <cell r="AR173">
            <v>12433.3</v>
          </cell>
          <cell r="AS173">
            <v>0</v>
          </cell>
          <cell r="AT173">
            <v>0</v>
          </cell>
          <cell r="AU173">
            <v>0</v>
          </cell>
          <cell r="BZ173" t="str">
            <v>WRWT25800/WRWT25800</v>
          </cell>
          <cell r="CA173">
            <v>0</v>
          </cell>
          <cell r="DL173" t="str">
            <v>P3</v>
          </cell>
          <cell r="DM173">
            <v>1</v>
          </cell>
          <cell r="DN173">
            <v>45868</v>
          </cell>
          <cell r="DP173">
            <v>45863</v>
          </cell>
          <cell r="DQ173"/>
          <cell r="DR173"/>
          <cell r="DS173"/>
          <cell r="DT173"/>
          <cell r="DU173">
            <v>45867</v>
          </cell>
          <cell r="DW173"/>
          <cell r="DX173"/>
          <cell r="DY173"/>
          <cell r="DZ173"/>
          <cell r="EA173"/>
          <cell r="EB173"/>
          <cell r="EC173" t="str">
            <v>ตัด</v>
          </cell>
          <cell r="ED173"/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26</v>
          </cell>
          <cell r="H174">
            <v>43</v>
          </cell>
          <cell r="I174"/>
          <cell r="J174"/>
          <cell r="L174">
            <v>116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/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 xml:space="preserve">WSWT2625800 </v>
          </cell>
          <cell r="AQ174">
            <v>12433.3</v>
          </cell>
          <cell r="AR174">
            <v>12433.3</v>
          </cell>
          <cell r="AS174">
            <v>0</v>
          </cell>
          <cell r="AT174">
            <v>0</v>
          </cell>
          <cell r="AU174">
            <v>0</v>
          </cell>
          <cell r="BZ174" t="str">
            <v>WRWT260800/WRWT25800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MK68-000839</v>
          </cell>
          <cell r="C175">
            <v>45835</v>
          </cell>
          <cell r="E175" t="str">
            <v>บจก.ที.ซี.ยูเนี่ยน อโกรเทค</v>
          </cell>
          <cell r="F175" t="str">
            <v>TUNA MEAL MARIN TRUST</v>
          </cell>
          <cell r="G175">
            <v>26</v>
          </cell>
          <cell r="H175">
            <v>43</v>
          </cell>
          <cell r="I175" t="str">
            <v>ขาว</v>
          </cell>
          <cell r="J175" t="str">
            <v>ใส</v>
          </cell>
          <cell r="L175">
            <v>150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45846</v>
          </cell>
          <cell r="Z175" t="str">
            <v xml:space="preserve">300กระสอบแบนเต็มใบ 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ห้ามขาด-เกินได้5%</v>
          </cell>
          <cell r="AJ175">
            <v>7386</v>
          </cell>
          <cell r="AL175">
            <v>2614</v>
          </cell>
          <cell r="AM175">
            <v>12414</v>
          </cell>
          <cell r="AN175">
            <v>0</v>
          </cell>
          <cell r="AO175" t="str">
            <v>WSWT2625850SM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WRWT25850/WRWT25850</v>
          </cell>
          <cell r="CA175">
            <v>0</v>
          </cell>
          <cell r="DL175" t="str">
            <v>P6</v>
          </cell>
          <cell r="DM175">
            <v>4</v>
          </cell>
          <cell r="DN175">
            <v>45846</v>
          </cell>
          <cell r="DP175">
            <v>45841</v>
          </cell>
          <cell r="DQ175">
            <v>45842</v>
          </cell>
          <cell r="DR175">
            <v>45835</v>
          </cell>
          <cell r="DS175">
            <v>45843</v>
          </cell>
          <cell r="DT175">
            <v>45844</v>
          </cell>
          <cell r="DU175">
            <v>45845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/>
          <cell r="EG175"/>
          <cell r="EH175"/>
          <cell r="EI175"/>
        </row>
        <row r="176">
          <cell r="B176" t="str">
            <v>MK68-000816</v>
          </cell>
          <cell r="C176">
            <v>45832</v>
          </cell>
          <cell r="E176" t="str">
            <v>บจก.ที.ซี.ยูเนี่ยน อโกรเทค</v>
          </cell>
          <cell r="F176" t="str">
            <v>ไม่พิมพ์</v>
          </cell>
          <cell r="G176">
            <v>26</v>
          </cell>
          <cell r="H176">
            <v>43</v>
          </cell>
          <cell r="I176" t="str">
            <v>ขาว</v>
          </cell>
          <cell r="J176" t="str">
            <v>ใส</v>
          </cell>
          <cell r="L176">
            <v>150</v>
          </cell>
          <cell r="M176" t="str">
            <v>±</v>
          </cell>
          <cell r="N176">
            <v>5</v>
          </cell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45847</v>
          </cell>
          <cell r="Z176" t="str">
            <v xml:space="preserve">300กระสอบแบนเต็มใบ </v>
          </cell>
          <cell r="AA176">
            <v>15000</v>
          </cell>
          <cell r="AB176">
            <v>0</v>
          </cell>
          <cell r="AC176">
            <v>0</v>
          </cell>
          <cell r="AD176">
            <v>0</v>
          </cell>
          <cell r="AG176"/>
          <cell r="AI176" t="str">
            <v>ห้ามขาด-เกินได้5%</v>
          </cell>
          <cell r="AJ176">
            <v>0</v>
          </cell>
          <cell r="AL176">
            <v>15000</v>
          </cell>
          <cell r="AM176"/>
          <cell r="AN176">
            <v>0</v>
          </cell>
          <cell r="AO176" t="str">
            <v>WSWT2625850SM</v>
          </cell>
          <cell r="AQ176">
            <v>18649.949999999997</v>
          </cell>
          <cell r="AR176">
            <v>18649.949999999997</v>
          </cell>
          <cell r="AS176">
            <v>0</v>
          </cell>
          <cell r="AT176">
            <v>7311</v>
          </cell>
          <cell r="AU176">
            <v>11338.949999999997</v>
          </cell>
          <cell r="BZ176" t="str">
            <v>WRWT25850/WRWT25850</v>
          </cell>
          <cell r="CA176">
            <v>0</v>
          </cell>
          <cell r="DL176" t="str">
            <v>P11</v>
          </cell>
          <cell r="DM176">
            <v>2</v>
          </cell>
          <cell r="DN176">
            <v>45847</v>
          </cell>
          <cell r="DP176">
            <v>45842</v>
          </cell>
          <cell r="DQ176">
            <v>45845</v>
          </cell>
          <cell r="DR176"/>
          <cell r="DS176"/>
          <cell r="DT176"/>
          <cell r="DU176">
            <v>45846</v>
          </cell>
          <cell r="DW176"/>
          <cell r="DX176"/>
          <cell r="DY176"/>
          <cell r="DZ176"/>
          <cell r="EA176"/>
          <cell r="EB176"/>
          <cell r="EC176" t="str">
            <v>งานเคลือบ+ตัด</v>
          </cell>
          <cell r="ED176"/>
          <cell r="EG176"/>
          <cell r="EH176"/>
          <cell r="EI176"/>
        </row>
        <row r="177">
          <cell r="B177" t="str">
            <v>MK68-000817</v>
          </cell>
          <cell r="C177">
            <v>45832</v>
          </cell>
          <cell r="E177" t="str">
            <v>บจก.ที.ซี.ยูเนี่ยน อโกรเทค</v>
          </cell>
          <cell r="F177" t="str">
            <v>Zhejiang UN</v>
          </cell>
          <cell r="G177">
            <v>26</v>
          </cell>
          <cell r="H177">
            <v>43</v>
          </cell>
          <cell r="I177" t="str">
            <v>ขาว</v>
          </cell>
          <cell r="J177" t="str">
            <v>ใส</v>
          </cell>
          <cell r="L177">
            <v>150</v>
          </cell>
          <cell r="M177" t="str">
            <v>±</v>
          </cell>
          <cell r="N177">
            <v>5</v>
          </cell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45852</v>
          </cell>
          <cell r="Z177" t="str">
            <v xml:space="preserve">300กระสอบแบนเต็มใบ </v>
          </cell>
          <cell r="AA177">
            <v>1500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1500</v>
          </cell>
          <cell r="AM177">
            <v>0</v>
          </cell>
          <cell r="AN177">
            <v>1575</v>
          </cell>
          <cell r="AO177" t="str">
            <v>WSWT2625850SM</v>
          </cell>
          <cell r="AQ177">
            <v>1864.9949999999999</v>
          </cell>
          <cell r="AR177">
            <v>1864.9949999999999</v>
          </cell>
          <cell r="AS177">
            <v>0</v>
          </cell>
          <cell r="AT177">
            <v>0</v>
          </cell>
          <cell r="AU177">
            <v>1864.9949999999999</v>
          </cell>
          <cell r="BZ177" t="str">
            <v>WRWT25850/WRWT25850</v>
          </cell>
          <cell r="CA177">
            <v>0</v>
          </cell>
          <cell r="DL177" t="str">
            <v>P6</v>
          </cell>
          <cell r="DM177">
            <v>4</v>
          </cell>
          <cell r="DN177">
            <v>45852</v>
          </cell>
          <cell r="DP177">
            <v>45847</v>
          </cell>
          <cell r="DQ177">
            <v>45848</v>
          </cell>
          <cell r="DR177">
            <v>45841</v>
          </cell>
          <cell r="DS177">
            <v>45849</v>
          </cell>
          <cell r="DT177">
            <v>45850</v>
          </cell>
          <cell r="DU177">
            <v>45851</v>
          </cell>
          <cell r="DW177"/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MK68-000818</v>
          </cell>
          <cell r="C178">
            <v>45832</v>
          </cell>
          <cell r="E178" t="str">
            <v>บจก.ที.ซี.ยูเนี่ยน อโกรเทค</v>
          </cell>
          <cell r="F178" t="str">
            <v>Zhejiang UN</v>
          </cell>
          <cell r="G178">
            <v>26</v>
          </cell>
          <cell r="H178">
            <v>43</v>
          </cell>
          <cell r="I178" t="str">
            <v>ขาว</v>
          </cell>
          <cell r="J178" t="str">
            <v>ใส</v>
          </cell>
          <cell r="L178">
            <v>150</v>
          </cell>
          <cell r="M178" t="str">
            <v>±</v>
          </cell>
          <cell r="N178">
            <v>5</v>
          </cell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45852</v>
          </cell>
          <cell r="Z178" t="str">
            <v xml:space="preserve">300กระสอบแบนเต็มใบ </v>
          </cell>
          <cell r="AA178">
            <v>30000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30000</v>
          </cell>
          <cell r="AM178"/>
          <cell r="AN178">
            <v>31500</v>
          </cell>
          <cell r="AO178" t="str">
            <v>WSWT2625850SM</v>
          </cell>
          <cell r="AQ178">
            <v>37299.899999999994</v>
          </cell>
          <cell r="AR178">
            <v>1263</v>
          </cell>
          <cell r="AS178">
            <v>36036.899999999994</v>
          </cell>
          <cell r="AT178">
            <v>0</v>
          </cell>
          <cell r="AU178">
            <v>37299.899999999994</v>
          </cell>
          <cell r="BZ178" t="str">
            <v>WRWT25850/WRWT25850</v>
          </cell>
          <cell r="CA178">
            <v>3716.6056199999998</v>
          </cell>
          <cell r="DL178" t="str">
            <v>P6</v>
          </cell>
          <cell r="DM178">
            <v>4</v>
          </cell>
          <cell r="DN178">
            <v>45852</v>
          </cell>
          <cell r="DP178">
            <v>45847</v>
          </cell>
          <cell r="DQ178">
            <v>45848</v>
          </cell>
          <cell r="DR178">
            <v>45841</v>
          </cell>
          <cell r="DS178">
            <v>45849</v>
          </cell>
          <cell r="DT178">
            <v>45850</v>
          </cell>
          <cell r="DU178">
            <v>45851</v>
          </cell>
          <cell r="DW178"/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MK68-000819</v>
          </cell>
          <cell r="C179">
            <v>45832</v>
          </cell>
          <cell r="E179" t="str">
            <v>บจก.ที.ซี.ยูเนี่ยน อโกรเทค</v>
          </cell>
          <cell r="F179" t="str">
            <v>Zhejiang UN</v>
          </cell>
          <cell r="G179">
            <v>26</v>
          </cell>
          <cell r="H179">
            <v>43</v>
          </cell>
          <cell r="I179" t="str">
            <v>ขาว</v>
          </cell>
          <cell r="J179" t="str">
            <v>ใส</v>
          </cell>
          <cell r="L179">
            <v>150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45863</v>
          </cell>
          <cell r="Z179" t="str">
            <v xml:space="preserve">300กระสอบแบนเต็มใบ </v>
          </cell>
          <cell r="AA179">
            <v>30000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30000</v>
          </cell>
          <cell r="AM179"/>
          <cell r="AN179">
            <v>31500</v>
          </cell>
          <cell r="AO179" t="str">
            <v>WSWT2625850SM</v>
          </cell>
          <cell r="AQ179">
            <v>37299.899999999994</v>
          </cell>
          <cell r="AR179">
            <v>0</v>
          </cell>
          <cell r="AS179">
            <v>37299.899999999994</v>
          </cell>
          <cell r="AT179">
            <v>0</v>
          </cell>
          <cell r="AU179">
            <v>37299.899999999994</v>
          </cell>
          <cell r="BZ179" t="str">
            <v>WRWT25850/WRWT25850</v>
          </cell>
          <cell r="CA179">
            <v>3846.8630200000002</v>
          </cell>
          <cell r="DL179" t="str">
            <v>P6</v>
          </cell>
          <cell r="DM179">
            <v>4</v>
          </cell>
          <cell r="DN179">
            <v>45863</v>
          </cell>
          <cell r="DP179">
            <v>45858</v>
          </cell>
          <cell r="DQ179">
            <v>45859</v>
          </cell>
          <cell r="DR179">
            <v>45852</v>
          </cell>
          <cell r="DS179">
            <v>45860</v>
          </cell>
          <cell r="DT179">
            <v>45861</v>
          </cell>
          <cell r="DU179">
            <v>45862</v>
          </cell>
          <cell r="DW179"/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บจก.ที.ซี.ยูเนี่ยน อโกรเทค</v>
          </cell>
          <cell r="F180" t="str">
            <v>รอแบบ</v>
          </cell>
          <cell r="G180">
            <v>26</v>
          </cell>
          <cell r="H180">
            <v>43</v>
          </cell>
          <cell r="I180" t="str">
            <v>ขาว</v>
          </cell>
          <cell r="J180" t="str">
            <v>ใส</v>
          </cell>
          <cell r="L180">
            <v>150</v>
          </cell>
          <cell r="M180" t="str">
            <v>±</v>
          </cell>
          <cell r="N180">
            <v>5</v>
          </cell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45868</v>
          </cell>
          <cell r="Z180" t="str">
            <v xml:space="preserve">300กระสอบแบนเต็มใบ </v>
          </cell>
          <cell r="AA180">
            <v>20000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20000</v>
          </cell>
          <cell r="AM180"/>
          <cell r="AN180">
            <v>21000</v>
          </cell>
          <cell r="AO180" t="str">
            <v>WSWT2625850SM</v>
          </cell>
          <cell r="AQ180">
            <v>24866.6</v>
          </cell>
          <cell r="AR180">
            <v>0</v>
          </cell>
          <cell r="AS180">
            <v>24866.6</v>
          </cell>
          <cell r="AT180">
            <v>0</v>
          </cell>
          <cell r="AU180">
            <v>24866.6</v>
          </cell>
          <cell r="BZ180" t="str">
            <v>WRWT25850/WRWT25850</v>
          </cell>
          <cell r="CA180">
            <v>2564.5753466666665</v>
          </cell>
          <cell r="DL180" t="str">
            <v>P6</v>
          </cell>
          <cell r="DM180">
            <v>4</v>
          </cell>
          <cell r="DN180">
            <v>45868</v>
          </cell>
          <cell r="DP180">
            <v>45863</v>
          </cell>
          <cell r="DQ180">
            <v>45864</v>
          </cell>
          <cell r="DR180">
            <v>45857</v>
          </cell>
          <cell r="DS180">
            <v>45865</v>
          </cell>
          <cell r="DT180">
            <v>45866</v>
          </cell>
          <cell r="DU180">
            <v>45867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/>
          <cell r="EG180"/>
          <cell r="EH180"/>
          <cell r="EI180"/>
        </row>
        <row r="181">
          <cell r="B181" t="str">
            <v>MK68-000820</v>
          </cell>
          <cell r="C181">
            <v>45832</v>
          </cell>
          <cell r="E181" t="str">
            <v>บจก.ที.ซี.ยูเนี่ยน อโกรเทค</v>
          </cell>
          <cell r="F181" t="str">
            <v>Zhejiang UN</v>
          </cell>
          <cell r="G181">
            <v>26</v>
          </cell>
          <cell r="H181">
            <v>43</v>
          </cell>
          <cell r="I181" t="str">
            <v>ขาว</v>
          </cell>
          <cell r="J181" t="str">
            <v>ใส</v>
          </cell>
          <cell r="L181">
            <v>150</v>
          </cell>
          <cell r="M181" t="str">
            <v>±</v>
          </cell>
          <cell r="N181">
            <v>5</v>
          </cell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45883</v>
          </cell>
          <cell r="Z181" t="str">
            <v xml:space="preserve">300กระสอบแบนเต็มใบ </v>
          </cell>
          <cell r="AA181">
            <v>20000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20000</v>
          </cell>
          <cell r="AM181"/>
          <cell r="AN181">
            <v>21000</v>
          </cell>
          <cell r="AO181" t="str">
            <v>WSWT2625850SM</v>
          </cell>
          <cell r="AQ181">
            <v>24866.6</v>
          </cell>
          <cell r="AR181">
            <v>0</v>
          </cell>
          <cell r="AS181">
            <v>24866.6</v>
          </cell>
          <cell r="AT181">
            <v>0</v>
          </cell>
          <cell r="AU181">
            <v>24866.6</v>
          </cell>
          <cell r="BZ181" t="str">
            <v>WRWT25850/WRWT25850</v>
          </cell>
          <cell r="CA181">
            <v>2564.5753466666665</v>
          </cell>
          <cell r="DL181" t="str">
            <v>P6</v>
          </cell>
          <cell r="DM181">
            <v>4</v>
          </cell>
          <cell r="DN181">
            <v>45883</v>
          </cell>
          <cell r="DP181">
            <v>45878</v>
          </cell>
          <cell r="DQ181">
            <v>45879</v>
          </cell>
          <cell r="DR181">
            <v>45872</v>
          </cell>
          <cell r="DS181">
            <v>45880</v>
          </cell>
          <cell r="DT181">
            <v>45881</v>
          </cell>
          <cell r="DU181">
            <v>45882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26</v>
          </cell>
          <cell r="H182">
            <v>43</v>
          </cell>
          <cell r="I182"/>
          <cell r="J182"/>
          <cell r="L182">
            <v>120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WSWT2625850SM</v>
          </cell>
          <cell r="AQ182">
            <v>144847.94499999998</v>
          </cell>
          <cell r="AR182">
            <v>21777.944999999996</v>
          </cell>
          <cell r="AS182">
            <v>123070</v>
          </cell>
          <cell r="AT182">
            <v>7311</v>
          </cell>
          <cell r="AU182">
            <v>137536.94499999998</v>
          </cell>
          <cell r="BZ182" t="str">
            <v>WRWT260850/WRWT25850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>
            <v>0</v>
          </cell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28</v>
          </cell>
          <cell r="H183">
            <v>41</v>
          </cell>
          <cell r="I183" t="str">
            <v>ขาว</v>
          </cell>
          <cell r="J183"/>
          <cell r="L183">
            <v>122</v>
          </cell>
          <cell r="M183" t="str">
            <v>+</v>
          </cell>
          <cell r="N183">
            <v>3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WSWT2825800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WRWT25850/WRWT25800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 t="str">
            <v>ประมาณการ</v>
          </cell>
          <cell r="C184" t="str">
            <v>ประมาณการ</v>
          </cell>
          <cell r="E184" t="str">
            <v>บจก.ที.ซี.ยูเนี่ยน อโกรเทค</v>
          </cell>
          <cell r="F184" t="str">
            <v>ไม่พิมพ์</v>
          </cell>
          <cell r="G184">
            <v>28</v>
          </cell>
          <cell r="H184">
            <v>47</v>
          </cell>
          <cell r="I184" t="str">
            <v>ขาว</v>
          </cell>
          <cell r="J184" t="str">
            <v>ใส</v>
          </cell>
          <cell r="L184">
            <v>180</v>
          </cell>
          <cell r="M184" t="str">
            <v>±</v>
          </cell>
          <cell r="N184">
            <v>5</v>
          </cell>
          <cell r="R184" t="str">
            <v>ไม่</v>
          </cell>
          <cell r="T184" t="str">
            <v>ไม่สวมถุงใน</v>
          </cell>
          <cell r="U184"/>
          <cell r="V184"/>
          <cell r="X184">
            <v>45868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0</v>
          </cell>
          <cell r="AO184" t="str">
            <v>WSWT2825850</v>
          </cell>
          <cell r="AQ184">
            <v>6775.4500000000007</v>
          </cell>
          <cell r="AR184">
            <v>6775.4500000000007</v>
          </cell>
          <cell r="AS184">
            <v>0</v>
          </cell>
          <cell r="AT184">
            <v>0</v>
          </cell>
          <cell r="AU184">
            <v>6775.4500000000007</v>
          </cell>
          <cell r="BZ184" t="str">
            <v>WRWT25850/WRWT25850</v>
          </cell>
          <cell r="CA184">
            <v>0</v>
          </cell>
          <cell r="DL184" t="str">
            <v>P11</v>
          </cell>
          <cell r="DM184">
            <v>2</v>
          </cell>
          <cell r="DN184">
            <v>45868</v>
          </cell>
          <cell r="DP184">
            <v>45863</v>
          </cell>
          <cell r="DQ184">
            <v>45866</v>
          </cell>
          <cell r="DR184"/>
          <cell r="DS184"/>
          <cell r="DT184"/>
          <cell r="DU184">
            <v>45867</v>
          </cell>
          <cell r="DW184"/>
          <cell r="DX184"/>
          <cell r="DY184"/>
          <cell r="DZ184"/>
          <cell r="EA184"/>
          <cell r="EB184"/>
          <cell r="EC184" t="str">
            <v>งานเคลือบ+ตัด</v>
          </cell>
          <cell r="ED184"/>
          <cell r="EG184"/>
          <cell r="EH184"/>
          <cell r="EI184"/>
        </row>
        <row r="185">
          <cell r="B185" t="str">
            <v>ประมาณการ</v>
          </cell>
          <cell r="C185" t="str">
            <v>ประมาณการ</v>
          </cell>
          <cell r="E185" t="str">
            <v>บจก.ไทยร่วมใจน้ำมันพืช</v>
          </cell>
          <cell r="F185" t="str">
            <v>TRJ</v>
          </cell>
          <cell r="G185">
            <v>28</v>
          </cell>
          <cell r="H185">
            <v>41</v>
          </cell>
          <cell r="I185" t="str">
            <v>ขาว</v>
          </cell>
          <cell r="J185"/>
          <cell r="L185">
            <v>120</v>
          </cell>
          <cell r="M185" t="str">
            <v>+</v>
          </cell>
          <cell r="N185">
            <v>3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45868</v>
          </cell>
          <cell r="Z185" t="str">
            <v>500กระสอบ</v>
          </cell>
          <cell r="AA185">
            <v>50000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50000</v>
          </cell>
          <cell r="AM185"/>
          <cell r="AN185">
            <v>52500</v>
          </cell>
          <cell r="AO185" t="str">
            <v>WSWT2825850</v>
          </cell>
          <cell r="AQ185">
            <v>59372.5</v>
          </cell>
          <cell r="AR185">
            <v>8970</v>
          </cell>
          <cell r="AS185">
            <v>50402.5</v>
          </cell>
          <cell r="AT185">
            <v>0</v>
          </cell>
          <cell r="AU185">
            <v>0</v>
          </cell>
          <cell r="BZ185" t="str">
            <v>WRWT25850/WRWT25850</v>
          </cell>
          <cell r="CA185">
            <v>5664.6809722222233</v>
          </cell>
          <cell r="DL185" t="str">
            <v>P7</v>
          </cell>
          <cell r="DM185">
            <v>2</v>
          </cell>
          <cell r="DN185">
            <v>45868</v>
          </cell>
          <cell r="DP185">
            <v>45863</v>
          </cell>
          <cell r="DQ185"/>
          <cell r="DR185">
            <v>45859</v>
          </cell>
          <cell r="DS185">
            <v>45866</v>
          </cell>
          <cell r="DT185">
            <v>45867</v>
          </cell>
          <cell r="DU185">
            <v>45867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>
            <v>0</v>
          </cell>
          <cell r="C186"/>
          <cell r="E186"/>
          <cell r="F186"/>
          <cell r="G186">
            <v>28</v>
          </cell>
          <cell r="H186">
            <v>43</v>
          </cell>
          <cell r="I186"/>
          <cell r="J186"/>
          <cell r="L186">
            <v>130</v>
          </cell>
          <cell r="M186" t="str">
            <v>±</v>
          </cell>
          <cell r="N186">
            <v>3</v>
          </cell>
          <cell r="R186"/>
          <cell r="T186"/>
          <cell r="U186"/>
          <cell r="V186"/>
          <cell r="X186"/>
          <cell r="Z186"/>
          <cell r="AA186"/>
          <cell r="AB186"/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WSWT2825850</v>
          </cell>
          <cell r="AQ186">
            <v>66147.95</v>
          </cell>
          <cell r="AR186">
            <v>15745.45</v>
          </cell>
          <cell r="AS186">
            <v>50402.5</v>
          </cell>
          <cell r="AT186">
            <v>0</v>
          </cell>
          <cell r="AU186">
            <v>6775.4500000000007</v>
          </cell>
          <cell r="BZ186" t="str">
            <v>WRWT280850/WRWT25850</v>
          </cell>
          <cell r="CA186">
            <v>0</v>
          </cell>
          <cell r="DL186"/>
          <cell r="DM186"/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30</v>
          </cell>
          <cell r="H187">
            <v>41</v>
          </cell>
          <cell r="I187"/>
          <cell r="J187"/>
          <cell r="L187">
            <v>122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>
            <v>0</v>
          </cell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WSWT3025800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WRWT25800/WRWT28750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/>
          <cell r="C188"/>
          <cell r="E188"/>
          <cell r="F188"/>
          <cell r="G188"/>
          <cell r="H188"/>
          <cell r="I188"/>
          <cell r="J188"/>
          <cell r="L188"/>
          <cell r="M188"/>
          <cell r="N188"/>
          <cell r="R188"/>
          <cell r="T188"/>
          <cell r="U188"/>
          <cell r="V188"/>
          <cell r="X188" t="str">
            <v>ค้างส่งทั้งหมด</v>
          </cell>
          <cell r="Z188"/>
          <cell r="AA188">
            <v>3356056</v>
          </cell>
          <cell r="AB188"/>
          <cell r="AC188"/>
          <cell r="AD188"/>
          <cell r="AG188"/>
          <cell r="AI188"/>
          <cell r="AJ188">
            <v>450271</v>
          </cell>
          <cell r="AL188"/>
          <cell r="AM188"/>
          <cell r="AN188"/>
          <cell r="AO188"/>
          <cell r="AQ188" t="e">
            <v>#REF!</v>
          </cell>
          <cell r="AR188" t="e">
            <v>#REF!</v>
          </cell>
          <cell r="AS188" t="e">
            <v>#REF!</v>
          </cell>
          <cell r="AT188"/>
          <cell r="AU188"/>
          <cell r="BZ188"/>
          <cell r="CA188">
            <v>190029.51017897355</v>
          </cell>
          <cell r="DL188"/>
          <cell r="DM188" t="str">
            <v>Lead time</v>
          </cell>
          <cell r="DN188"/>
          <cell r="DP188">
            <v>-5</v>
          </cell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/>
        </row>
        <row r="189">
          <cell r="B189"/>
          <cell r="C189"/>
          <cell r="E189"/>
          <cell r="F189"/>
          <cell r="G189"/>
          <cell r="H189"/>
          <cell r="I189"/>
          <cell r="J189"/>
          <cell r="L189"/>
          <cell r="M189"/>
          <cell r="N189"/>
          <cell r="R189"/>
          <cell r="T189"/>
          <cell r="U189"/>
          <cell r="V189"/>
          <cell r="X189"/>
          <cell r="Z189">
            <v>140000</v>
          </cell>
          <cell r="AA189">
            <v>23.971828571428571</v>
          </cell>
          <cell r="AB189"/>
          <cell r="AC189"/>
          <cell r="AD189"/>
          <cell r="AG189"/>
          <cell r="AI189"/>
          <cell r="AJ189"/>
          <cell r="AL189">
            <v>0</v>
          </cell>
          <cell r="AM189"/>
          <cell r="AN189">
            <v>0</v>
          </cell>
          <cell r="AO189"/>
          <cell r="AQ189" t="e">
            <v>#REF!</v>
          </cell>
          <cell r="AR189"/>
          <cell r="AS189" t="e">
            <v>#REF!</v>
          </cell>
          <cell r="AT189"/>
          <cell r="AU189"/>
          <cell r="BZ189"/>
          <cell r="CA189" t="str">
            <v>ห้ามลบ</v>
          </cell>
          <cell r="DL189" t="str">
            <v>P1</v>
          </cell>
          <cell r="DM189">
            <v>2</v>
          </cell>
          <cell r="DN189">
            <v>0</v>
          </cell>
          <cell r="DP189">
            <v>-5</v>
          </cell>
          <cell r="DQ189"/>
          <cell r="DR189">
            <v>-9</v>
          </cell>
          <cell r="DS189">
            <v>-2</v>
          </cell>
          <cell r="DT189"/>
          <cell r="DU189">
            <v>-1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>รอART</v>
          </cell>
          <cell r="EG189"/>
          <cell r="EH189"/>
          <cell r="EI189"/>
        </row>
        <row r="190">
          <cell r="B190"/>
          <cell r="C190"/>
          <cell r="E190"/>
          <cell r="F190"/>
          <cell r="G190"/>
          <cell r="H190"/>
          <cell r="I190"/>
          <cell r="J190"/>
          <cell r="L190"/>
          <cell r="M190"/>
          <cell r="N190"/>
          <cell r="R190"/>
          <cell r="T190"/>
          <cell r="U190"/>
          <cell r="V190"/>
          <cell r="X190" t="str">
            <v>ประมาณการ</v>
          </cell>
          <cell r="Z190"/>
          <cell r="AA190">
            <v>1665000</v>
          </cell>
          <cell r="AB190"/>
          <cell r="AC190"/>
          <cell r="AD190"/>
          <cell r="AG190"/>
          <cell r="AI190"/>
          <cell r="AJ190"/>
          <cell r="AL190"/>
          <cell r="AM190"/>
          <cell r="AN190"/>
          <cell r="AO190"/>
          <cell r="AQ190"/>
          <cell r="AR190"/>
          <cell r="AS190">
            <v>0</v>
          </cell>
          <cell r="AT190"/>
          <cell r="AU190"/>
          <cell r="BZ190"/>
          <cell r="CA190"/>
          <cell r="DL190" t="str">
            <v>P3</v>
          </cell>
          <cell r="DM190">
            <v>1</v>
          </cell>
          <cell r="DN190" t="str">
            <v>ประมาณการ</v>
          </cell>
          <cell r="DP190" t="e">
            <v>#VALUE!</v>
          </cell>
          <cell r="DQ190"/>
          <cell r="DR190"/>
          <cell r="DS190"/>
          <cell r="DT190"/>
          <cell r="DU190" t="e">
            <v>#VALUE!</v>
          </cell>
          <cell r="DW190"/>
          <cell r="DX190"/>
          <cell r="DY190"/>
          <cell r="DZ190"/>
          <cell r="EA190"/>
          <cell r="EB190"/>
          <cell r="EC190" t="str">
            <v>ตัด</v>
          </cell>
          <cell r="ED190"/>
          <cell r="EG190"/>
          <cell r="EH190"/>
          <cell r="EI190"/>
        </row>
        <row r="191">
          <cell r="B191"/>
          <cell r="C191"/>
          <cell r="E191"/>
          <cell r="F191"/>
          <cell r="G191"/>
          <cell r="H191"/>
          <cell r="I191"/>
          <cell r="J191"/>
          <cell r="L191"/>
          <cell r="M191"/>
          <cell r="N191"/>
          <cell r="R191"/>
          <cell r="T191"/>
          <cell r="U191"/>
          <cell r="V191"/>
          <cell r="X191" t="str">
            <v>รอแจ้ง</v>
          </cell>
          <cell r="Z191"/>
          <cell r="AA191">
            <v>545622</v>
          </cell>
          <cell r="AB191"/>
          <cell r="AC191"/>
          <cell r="AD191"/>
          <cell r="AG191"/>
          <cell r="AI191"/>
          <cell r="AJ191"/>
          <cell r="AL191"/>
          <cell r="AM191"/>
          <cell r="AN191"/>
          <cell r="AO191"/>
          <cell r="AQ191"/>
          <cell r="AR191"/>
          <cell r="AS191">
            <v>540599.79182000004</v>
          </cell>
          <cell r="AT191"/>
          <cell r="AU191"/>
          <cell r="BZ191"/>
          <cell r="CA191"/>
          <cell r="DL191" t="str">
            <v>P2</v>
          </cell>
          <cell r="DM191">
            <v>3</v>
          </cell>
          <cell r="DN191" t="str">
            <v>รอแจ้ง</v>
          </cell>
          <cell r="DP191" t="e">
            <v>#VALUE!</v>
          </cell>
          <cell r="DQ191" t="e">
            <v>#VALUE!</v>
          </cell>
          <cell r="DR191" t="e">
            <v>#VALUE!</v>
          </cell>
          <cell r="DS191" t="e">
            <v>#VALUE!</v>
          </cell>
          <cell r="DT191"/>
          <cell r="DU191" t="e">
            <v>#VALUE!</v>
          </cell>
          <cell r="DW191"/>
          <cell r="DX191"/>
          <cell r="DY191"/>
          <cell r="DZ191"/>
          <cell r="EA191"/>
          <cell r="EB191"/>
          <cell r="EC191" t="str">
            <v>งานเคลือบ+พิมพ์</v>
          </cell>
          <cell r="ED191"/>
          <cell r="EG191"/>
          <cell r="EH191"/>
          <cell r="EI191"/>
        </row>
        <row r="192">
          <cell r="B192"/>
          <cell r="C192"/>
          <cell r="E192"/>
          <cell r="F192"/>
          <cell r="G192"/>
          <cell r="H192"/>
          <cell r="I192"/>
          <cell r="J192"/>
          <cell r="L192"/>
          <cell r="M192"/>
          <cell r="N192"/>
          <cell r="R192"/>
          <cell r="T192"/>
          <cell r="U192"/>
          <cell r="V192"/>
          <cell r="X192" t="str">
            <v>รอส่ง</v>
          </cell>
          <cell r="Z192"/>
          <cell r="AA192">
            <v>269700</v>
          </cell>
          <cell r="AB192"/>
          <cell r="AC192"/>
          <cell r="AD192"/>
          <cell r="AG192"/>
          <cell r="AI192"/>
          <cell r="AJ192"/>
          <cell r="AL192"/>
          <cell r="AM192"/>
          <cell r="AN192"/>
          <cell r="AO192"/>
          <cell r="AQ192"/>
          <cell r="AR192"/>
          <cell r="AS192">
            <v>0</v>
          </cell>
          <cell r="AT192"/>
          <cell r="AU192"/>
          <cell r="BZ192"/>
          <cell r="CA192"/>
          <cell r="DL192" t="str">
            <v>P6</v>
          </cell>
          <cell r="DM192">
            <v>4</v>
          </cell>
          <cell r="DN192" t="str">
            <v>รอส่ง</v>
          </cell>
          <cell r="DP192" t="e">
            <v>#VALUE!</v>
          </cell>
          <cell r="DQ192" t="e">
            <v>#VALUE!</v>
          </cell>
          <cell r="DR192" t="e">
            <v>#VALUE!</v>
          </cell>
          <cell r="DS192" t="e">
            <v>#VALUE!</v>
          </cell>
          <cell r="DT192" t="e">
            <v>#VALUE!</v>
          </cell>
          <cell r="DU192" t="e">
            <v>#VALUE!</v>
          </cell>
          <cell r="DW192"/>
          <cell r="DX192"/>
          <cell r="DY192"/>
          <cell r="DZ192"/>
          <cell r="EA192"/>
          <cell r="EB192"/>
          <cell r="EC192" t="str">
            <v>งานเคลือบ+พิมพ์</v>
          </cell>
          <cell r="ED192"/>
          <cell r="EG192"/>
          <cell r="EH192"/>
          <cell r="EI192"/>
        </row>
        <row r="193">
          <cell r="B193"/>
          <cell r="C193"/>
          <cell r="E193"/>
          <cell r="F193"/>
          <cell r="G193"/>
          <cell r="H193"/>
          <cell r="I193"/>
          <cell r="J193"/>
          <cell r="L193"/>
          <cell r="M193"/>
          <cell r="N193"/>
          <cell r="R193"/>
          <cell r="T193"/>
          <cell r="U193"/>
          <cell r="V193"/>
          <cell r="X193" t="str">
            <v>มีกำหนดส่ง</v>
          </cell>
          <cell r="Z193"/>
          <cell r="AA193">
            <v>875734</v>
          </cell>
          <cell r="AB193"/>
          <cell r="AC193"/>
          <cell r="AD193"/>
          <cell r="AG193"/>
          <cell r="AI193"/>
          <cell r="AJ193"/>
          <cell r="AL193"/>
          <cell r="AM193"/>
          <cell r="AN193"/>
          <cell r="AO193"/>
          <cell r="AQ193"/>
          <cell r="AR193"/>
          <cell r="AS193" t="e">
            <v>#REF!</v>
          </cell>
          <cell r="AT193" t="e">
            <v>#REF!</v>
          </cell>
          <cell r="AU193"/>
          <cell r="BZ193"/>
          <cell r="CA193"/>
          <cell r="DL193" t="str">
            <v>P11</v>
          </cell>
          <cell r="DM193">
            <v>2</v>
          </cell>
          <cell r="DN193" t="str">
            <v>มีกำหนดส่ง</v>
          </cell>
          <cell r="DP193" t="e">
            <v>#VALUE!</v>
          </cell>
          <cell r="DQ193" t="e">
            <v>#VALUE!</v>
          </cell>
          <cell r="DR193"/>
          <cell r="DS193"/>
          <cell r="DT193"/>
          <cell r="DU193" t="e">
            <v>#VALUE!</v>
          </cell>
          <cell r="DW193"/>
          <cell r="DX193"/>
          <cell r="DY193"/>
          <cell r="DZ193"/>
          <cell r="EA193"/>
          <cell r="EB193"/>
          <cell r="EC193" t="str">
            <v>งานเคลือบ+ตัด</v>
          </cell>
          <cell r="ED193"/>
          <cell r="EG193"/>
          <cell r="EH193"/>
          <cell r="EI193"/>
        </row>
        <row r="194">
          <cell r="B194"/>
          <cell r="C194"/>
          <cell r="E194" t="str">
            <v>ผู้สั่งผลิต..................................................</v>
          </cell>
          <cell r="F194"/>
          <cell r="G194"/>
          <cell r="H194"/>
          <cell r="I194" t="str">
            <v xml:space="preserve"> </v>
          </cell>
          <cell r="J194"/>
          <cell r="L194"/>
          <cell r="M194" t="str">
            <v xml:space="preserve"> </v>
          </cell>
          <cell r="N194"/>
          <cell r="R194"/>
          <cell r="T194"/>
          <cell r="U194"/>
          <cell r="V194"/>
          <cell r="X194"/>
          <cell r="Z194"/>
          <cell r="AA194"/>
          <cell r="AB194"/>
          <cell r="AC194"/>
          <cell r="AD194"/>
          <cell r="AG194"/>
          <cell r="AI194"/>
          <cell r="AJ194"/>
          <cell r="AL194"/>
          <cell r="AM194"/>
          <cell r="AN194"/>
          <cell r="AO194"/>
          <cell r="AQ194"/>
          <cell r="AR194"/>
          <cell r="AS194"/>
          <cell r="AT194"/>
          <cell r="AU194"/>
          <cell r="BZ194"/>
          <cell r="CA194"/>
          <cell r="DL194" t="str">
            <v>P9</v>
          </cell>
          <cell r="DM194">
            <v>3</v>
          </cell>
          <cell r="DN194">
            <v>0</v>
          </cell>
          <cell r="DP194">
            <v>-5</v>
          </cell>
          <cell r="DQ194"/>
          <cell r="DR194">
            <v>-10</v>
          </cell>
          <cell r="DS194">
            <v>-3</v>
          </cell>
          <cell r="DT194">
            <v>-2</v>
          </cell>
          <cell r="DU194">
            <v>-1</v>
          </cell>
          <cell r="DW194">
            <v>0</v>
          </cell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/>
          <cell r="C195"/>
          <cell r="E195" t="str">
            <v>เจ้าหน้าที่วางแผนการผลิต</v>
          </cell>
          <cell r="F195"/>
          <cell r="G195"/>
          <cell r="H195"/>
          <cell r="I195"/>
          <cell r="J195"/>
          <cell r="L195"/>
          <cell r="M195" t="str">
            <v>ผู้อนุมัติ..................................................</v>
          </cell>
          <cell r="N195"/>
          <cell r="R195"/>
          <cell r="T195"/>
          <cell r="U195"/>
          <cell r="V195"/>
          <cell r="X195"/>
          <cell r="Z195"/>
          <cell r="AA195"/>
          <cell r="AB195"/>
          <cell r="AC195"/>
          <cell r="AD195"/>
          <cell r="AG195"/>
          <cell r="AI195"/>
          <cell r="AJ195"/>
          <cell r="AL195"/>
          <cell r="AM195"/>
          <cell r="AN195"/>
          <cell r="AO195"/>
          <cell r="AQ195"/>
          <cell r="AR195"/>
          <cell r="AS195"/>
          <cell r="AT195" t="str">
            <v xml:space="preserve"> </v>
          </cell>
          <cell r="AU195"/>
          <cell r="BZ195"/>
          <cell r="CA195"/>
          <cell r="DL195" t="str">
            <v>P4</v>
          </cell>
          <cell r="DM195">
            <v>3</v>
          </cell>
          <cell r="DN195">
            <v>0</v>
          </cell>
          <cell r="DP195">
            <v>-5</v>
          </cell>
          <cell r="DQ195"/>
          <cell r="DR195">
            <v>-10</v>
          </cell>
          <cell r="DS195">
            <v>-3</v>
          </cell>
          <cell r="DT195"/>
          <cell r="DU195">
            <v>-2</v>
          </cell>
          <cell r="DW195">
            <v>-1</v>
          </cell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/>
          <cell r="C196"/>
          <cell r="E196" t="str">
            <v xml:space="preserve">        /         /        .</v>
          </cell>
          <cell r="F196"/>
          <cell r="G196"/>
          <cell r="H196"/>
          <cell r="I196"/>
          <cell r="J196"/>
          <cell r="L196"/>
          <cell r="M196" t="str">
            <v>ผู้จัดการฝ่ายผลิต</v>
          </cell>
          <cell r="N196"/>
          <cell r="R196"/>
          <cell r="T196"/>
          <cell r="U196"/>
          <cell r="V196" t="str">
            <v xml:space="preserve"> </v>
          </cell>
          <cell r="X196"/>
          <cell r="Z196"/>
          <cell r="AA196"/>
          <cell r="AB196"/>
          <cell r="AC196"/>
          <cell r="AD196"/>
          <cell r="AG196"/>
          <cell r="AI196"/>
          <cell r="AJ196"/>
          <cell r="AL196"/>
          <cell r="AM196"/>
          <cell r="AN196"/>
          <cell r="AO196"/>
          <cell r="AQ196"/>
          <cell r="AR196"/>
          <cell r="AS196"/>
          <cell r="AT196"/>
          <cell r="AU196"/>
          <cell r="BZ196"/>
          <cell r="CA196"/>
          <cell r="DL196" t="str">
            <v>P7</v>
          </cell>
          <cell r="DM196">
            <v>2</v>
          </cell>
          <cell r="DN196">
            <v>0</v>
          </cell>
          <cell r="DP196">
            <v>-5</v>
          </cell>
          <cell r="DQ196"/>
          <cell r="DR196">
            <v>-9</v>
          </cell>
          <cell r="DS196">
            <v>-2</v>
          </cell>
          <cell r="DT196">
            <v>-1</v>
          </cell>
          <cell r="DU196">
            <v>-1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 t="str">
            <v xml:space="preserve">        /         /        .</v>
          </cell>
          <cell r="N197"/>
          <cell r="R197"/>
          <cell r="T197"/>
          <cell r="U197"/>
          <cell r="V197"/>
          <cell r="X197"/>
          <cell r="Z197"/>
          <cell r="AA197"/>
          <cell r="AB197"/>
          <cell r="AC197"/>
          <cell r="AD197"/>
          <cell r="AG197"/>
          <cell r="AI197"/>
          <cell r="AJ197"/>
          <cell r="AL197"/>
          <cell r="AM197"/>
          <cell r="AN197"/>
          <cell r="AO197"/>
          <cell r="AQ197"/>
          <cell r="AR197"/>
          <cell r="AS197"/>
          <cell r="AT197"/>
          <cell r="AU197"/>
          <cell r="BZ197"/>
          <cell r="CA197"/>
          <cell r="DL197" t="str">
            <v>P8</v>
          </cell>
          <cell r="DM197">
            <v>4</v>
          </cell>
          <cell r="DN197">
            <v>0</v>
          </cell>
          <cell r="DP197">
            <v>-5</v>
          </cell>
          <cell r="DQ197">
            <v>-4</v>
          </cell>
          <cell r="DR197">
            <v>-10</v>
          </cell>
          <cell r="DS197">
            <v>-3</v>
          </cell>
          <cell r="DT197">
            <v>-2</v>
          </cell>
          <cell r="DU197">
            <v>-2</v>
          </cell>
          <cell r="DW197">
            <v>-1</v>
          </cell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/>
          <cell r="EG197"/>
          <cell r="EH197"/>
          <cell r="EI197"/>
        </row>
        <row r="198">
          <cell r="B198"/>
          <cell r="C198"/>
          <cell r="E198"/>
          <cell r="F198" t="str">
            <v xml:space="preserve"> </v>
          </cell>
          <cell r="G198" t="str">
            <v xml:space="preserve"> </v>
          </cell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/>
          <cell r="Z198"/>
          <cell r="AA198"/>
          <cell r="AB198"/>
          <cell r="AC198"/>
          <cell r="AD198"/>
          <cell r="AG198"/>
          <cell r="AI198"/>
          <cell r="AJ198"/>
          <cell r="AL198"/>
          <cell r="AM198"/>
          <cell r="AN198"/>
          <cell r="AO198"/>
          <cell r="AQ198"/>
          <cell r="AR198"/>
          <cell r="AS198"/>
          <cell r="AT198"/>
          <cell r="AU198"/>
          <cell r="BZ198"/>
          <cell r="CA198"/>
          <cell r="DL198" t="str">
            <v>P13</v>
          </cell>
          <cell r="DM198">
            <v>2</v>
          </cell>
          <cell r="DN198">
            <v>0</v>
          </cell>
          <cell r="DP198">
            <v>-5</v>
          </cell>
          <cell r="DQ198"/>
          <cell r="DR198"/>
          <cell r="DS198"/>
          <cell r="DT198"/>
          <cell r="DU198">
            <v>-2</v>
          </cell>
          <cell r="DW198">
            <v>-1</v>
          </cell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/>
          <cell r="C199"/>
          <cell r="E199"/>
          <cell r="F199"/>
          <cell r="G199"/>
          <cell r="H199"/>
          <cell r="I199"/>
          <cell r="J199"/>
          <cell r="L199"/>
          <cell r="M199"/>
          <cell r="N199"/>
          <cell r="R199"/>
          <cell r="T199"/>
          <cell r="U199"/>
          <cell r="V199" t="str">
            <v xml:space="preserve"> </v>
          </cell>
          <cell r="X199"/>
          <cell r="Z199"/>
          <cell r="AA199"/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/>
          <cell r="AT199"/>
          <cell r="AU199"/>
          <cell r="BZ199"/>
          <cell r="CA199"/>
          <cell r="DL199" t="str">
            <v>P10</v>
          </cell>
          <cell r="DM199">
            <v>3</v>
          </cell>
          <cell r="DN199">
            <v>0</v>
          </cell>
          <cell r="DP199">
            <v>-5</v>
          </cell>
          <cell r="DQ199">
            <v>-3</v>
          </cell>
          <cell r="DR199">
            <v>-9</v>
          </cell>
          <cell r="DS199">
            <v>-2</v>
          </cell>
          <cell r="DT199"/>
          <cell r="DU199">
            <v>-1</v>
          </cell>
          <cell r="DW199">
            <v>0</v>
          </cell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/>
          <cell r="EG199"/>
          <cell r="EH199"/>
          <cell r="EI199"/>
        </row>
        <row r="200">
          <cell r="B200"/>
          <cell r="C200"/>
          <cell r="E200"/>
          <cell r="F200"/>
          <cell r="G200"/>
          <cell r="H200"/>
          <cell r="I200"/>
          <cell r="J200"/>
          <cell r="L200"/>
          <cell r="M200"/>
          <cell r="N200"/>
          <cell r="R200"/>
          <cell r="T200"/>
          <cell r="U200"/>
          <cell r="V200"/>
          <cell r="X200"/>
          <cell r="Z200"/>
          <cell r="AA200" t="str">
            <v xml:space="preserve"> </v>
          </cell>
          <cell r="AB200"/>
          <cell r="AC200"/>
          <cell r="AD200"/>
          <cell r="AG200"/>
          <cell r="AI200"/>
          <cell r="AJ200" t="str">
            <v>.</v>
          </cell>
          <cell r="AL200"/>
          <cell r="AM200"/>
          <cell r="AN200"/>
          <cell r="AO200"/>
          <cell r="AQ200"/>
          <cell r="AR200"/>
          <cell r="AS200"/>
          <cell r="AT200"/>
          <cell r="AU200"/>
          <cell r="BZ200"/>
          <cell r="CA200"/>
          <cell r="DL200"/>
          <cell r="DM200" t="str">
            <v>Lead time</v>
          </cell>
          <cell r="DN200"/>
          <cell r="DP200">
            <v>-5</v>
          </cell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/>
        </row>
        <row r="201">
          <cell r="B201"/>
          <cell r="C201"/>
          <cell r="E201"/>
          <cell r="F201"/>
          <cell r="G201"/>
          <cell r="H201"/>
          <cell r="I201"/>
          <cell r="J201"/>
          <cell r="L201"/>
          <cell r="M201"/>
          <cell r="N201"/>
          <cell r="R201"/>
          <cell r="T201"/>
          <cell r="U201"/>
          <cell r="V201"/>
          <cell r="X201"/>
          <cell r="Z201"/>
          <cell r="AA201"/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/>
          <cell r="AT201"/>
          <cell r="AU201"/>
          <cell r="BZ201"/>
          <cell r="CA201"/>
          <cell r="DL201" t="str">
            <v>P5.2</v>
          </cell>
          <cell r="DM201">
            <v>4</v>
          </cell>
          <cell r="DN201">
            <v>0</v>
          </cell>
          <cell r="DP201">
            <v>-15</v>
          </cell>
          <cell r="DQ201"/>
          <cell r="DR201">
            <v>-11</v>
          </cell>
          <cell r="DS201">
            <v>-4</v>
          </cell>
          <cell r="DT201">
            <v>-3</v>
          </cell>
          <cell r="DU201">
            <v>-3</v>
          </cell>
          <cell r="DW201">
            <v>-2</v>
          </cell>
          <cell r="DX201">
            <v>-1</v>
          </cell>
          <cell r="DY201"/>
          <cell r="DZ201"/>
          <cell r="EA201"/>
          <cell r="EB201"/>
          <cell r="EC201"/>
          <cell r="ED201"/>
          <cell r="EG201"/>
          <cell r="EH201"/>
          <cell r="EI201"/>
        </row>
        <row r="202">
          <cell r="B202"/>
          <cell r="C202"/>
          <cell r="E202"/>
          <cell r="F202"/>
          <cell r="G202"/>
          <cell r="H202"/>
          <cell r="I202"/>
          <cell r="J202"/>
          <cell r="L202"/>
          <cell r="M202"/>
          <cell r="N202"/>
          <cell r="R202"/>
          <cell r="T202"/>
          <cell r="U202"/>
          <cell r="V202"/>
          <cell r="X202"/>
          <cell r="Z202"/>
          <cell r="AA202"/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/>
          <cell r="AT202"/>
          <cell r="AU202"/>
          <cell r="BZ202"/>
          <cell r="CA202"/>
          <cell r="DL202" t="str">
            <v>P5.3</v>
          </cell>
          <cell r="DM202">
            <v>6</v>
          </cell>
          <cell r="DN202">
            <v>0</v>
          </cell>
          <cell r="DP202">
            <v>-15</v>
          </cell>
          <cell r="DQ202">
            <v>-6</v>
          </cell>
          <cell r="DR202">
            <v>-12</v>
          </cell>
          <cell r="DS202">
            <v>-5</v>
          </cell>
          <cell r="DT202">
            <v>-4</v>
          </cell>
          <cell r="DU202">
            <v>-3</v>
          </cell>
          <cell r="DW202">
            <v>-2</v>
          </cell>
          <cell r="DX202">
            <v>-1</v>
          </cell>
          <cell r="DY202"/>
          <cell r="DZ202"/>
          <cell r="EA202"/>
          <cell r="EB202"/>
          <cell r="EC202"/>
          <cell r="ED202"/>
          <cell r="EG202"/>
          <cell r="EH202"/>
          <cell r="EI202"/>
        </row>
        <row r="203">
          <cell r="B203"/>
          <cell r="C203"/>
          <cell r="E203"/>
          <cell r="F203"/>
          <cell r="G203"/>
          <cell r="H203"/>
          <cell r="I203"/>
          <cell r="J203"/>
          <cell r="L203"/>
          <cell r="M203"/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/>
          <cell r="DM203"/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/>
        </row>
        <row r="204">
          <cell r="B204"/>
          <cell r="C204"/>
          <cell r="E204"/>
          <cell r="F204"/>
          <cell r="G204"/>
          <cell r="H204"/>
          <cell r="I204"/>
          <cell r="J204"/>
          <cell r="L204"/>
          <cell r="M204"/>
          <cell r="N204"/>
          <cell r="R204"/>
          <cell r="T204"/>
          <cell r="U204"/>
          <cell r="V204"/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/>
          <cell r="AU204"/>
          <cell r="BZ204"/>
          <cell r="CA204"/>
          <cell r="DL204"/>
          <cell r="DM204"/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/>
        </row>
        <row r="205">
          <cell r="B205"/>
          <cell r="C205"/>
          <cell r="E205"/>
          <cell r="F205"/>
          <cell r="G205"/>
          <cell r="H205"/>
          <cell r="I205"/>
          <cell r="J205"/>
          <cell r="L205"/>
          <cell r="M205"/>
          <cell r="N205"/>
          <cell r="R205"/>
          <cell r="T205"/>
          <cell r="U205"/>
          <cell r="V205"/>
          <cell r="X205"/>
          <cell r="Z205"/>
          <cell r="AA205"/>
          <cell r="AB205"/>
          <cell r="AC205"/>
          <cell r="AD205"/>
          <cell r="AG205"/>
          <cell r="AI205"/>
          <cell r="AJ205"/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/>
          <cell r="DM205"/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/>
          <cell r="N206"/>
          <cell r="R206"/>
          <cell r="T206"/>
          <cell r="U206"/>
          <cell r="V206"/>
          <cell r="X206"/>
          <cell r="Z206"/>
          <cell r="AA206"/>
          <cell r="AB206"/>
          <cell r="AC206"/>
          <cell r="AD206"/>
          <cell r="AG206"/>
          <cell r="AI206"/>
          <cell r="AJ206"/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/>
          <cell r="DM206"/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/>
          <cell r="DM207"/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/>
          <cell r="DM208"/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/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/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/>
          <cell r="DM210"/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/>
          <cell r="DM211"/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 t="str">
            <v xml:space="preserve"> </v>
          </cell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รอตัด</v>
          </cell>
        </row>
        <row r="27">
          <cell r="DC27" t="str">
            <v>พร้อมส่ง</v>
          </cell>
        </row>
        <row r="28">
          <cell r="DC28" t="str">
            <v>พิมพ์ไม่ครบ</v>
          </cell>
        </row>
        <row r="29">
          <cell r="DC29" t="str">
            <v>พร้อมส่ง</v>
          </cell>
        </row>
        <row r="30">
          <cell r="DC30" t="str">
            <v>รอแบบ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ผ้าขาว</v>
          </cell>
        </row>
        <row r="35">
          <cell r="DC35" t="str">
            <v>ผ้าขาว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รอแบบ</v>
          </cell>
        </row>
        <row r="45">
          <cell r="DC45" t="str">
            <v>พร้อมส่ง</v>
          </cell>
        </row>
        <row r="46">
          <cell r="DC46" t="str">
            <v>ยังไม่ได้พิมพ์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ผ้าขาว</v>
          </cell>
        </row>
        <row r="51">
          <cell r="DC51" t="str">
            <v>รอตัด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พร้อมส่ง</v>
          </cell>
        </row>
        <row r="55">
          <cell r="DC55" t="str">
            <v>รอตัด</v>
          </cell>
        </row>
        <row r="56">
          <cell r="DC56" t="str">
            <v>รอตัด</v>
          </cell>
        </row>
        <row r="57">
          <cell r="DC57" t="str">
            <v>รอตัด</v>
          </cell>
        </row>
        <row r="58">
          <cell r="DC58" t="str">
            <v>พิมพ์ไม่ครบ</v>
          </cell>
        </row>
        <row r="59">
          <cell r="DC59" t="str">
            <v>ยังไม่ได้พิมพ์</v>
          </cell>
        </row>
        <row r="60">
          <cell r="DC60" t="str">
            <v>รอตัด</v>
          </cell>
        </row>
        <row r="61">
          <cell r="DC61" t="str">
            <v>ยังไม่ได้พิมพ์</v>
          </cell>
        </row>
        <row r="62">
          <cell r="DC62" t="str">
            <v>รอแบบ</v>
          </cell>
        </row>
        <row r="63">
          <cell r="DC63" t="str">
            <v>รอแบบ</v>
          </cell>
        </row>
        <row r="64">
          <cell r="DC64" t="str">
            <v>รอแบบ</v>
          </cell>
        </row>
        <row r="65">
          <cell r="DC65" t="str">
            <v>รอแบบ</v>
          </cell>
        </row>
        <row r="66">
          <cell r="DC66" t="str">
            <v>รอตัด</v>
          </cell>
        </row>
        <row r="67">
          <cell r="DC67" t="str">
            <v>พร้อมส่ง</v>
          </cell>
        </row>
        <row r="68">
          <cell r="DC68" t="str">
            <v>รอตัด</v>
          </cell>
        </row>
        <row r="69">
          <cell r="DC69" t="str">
            <v>พร้อมส่ง</v>
          </cell>
        </row>
        <row r="70">
          <cell r="DC70" t="str">
            <v>รอตัด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รอตัด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รอตัด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รอแบบ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รอตัด</v>
          </cell>
        </row>
        <row r="95">
          <cell r="DC95" t="str">
            <v>ยังไม่ได้พิมพ์</v>
          </cell>
        </row>
        <row r="96">
          <cell r="DC96" t="str">
            <v>พิมพ์ไม่ครบ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รอแบบ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ผ้าขาว</v>
          </cell>
        </row>
        <row r="117">
          <cell r="DC117" t="str">
            <v>ยังไม่ได้พิมพ์</v>
          </cell>
        </row>
        <row r="118">
          <cell r="DC118" t="str">
            <v>ผ้าขาว</v>
          </cell>
        </row>
        <row r="119">
          <cell r="DC119" t="str">
            <v>รอตัด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รอตัด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รอตัด</v>
          </cell>
        </row>
        <row r="126">
          <cell r="DC126" t="str">
            <v>รอตัด</v>
          </cell>
        </row>
        <row r="127">
          <cell r="DC127" t="str">
            <v>รอตัด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รอแบบ</v>
          </cell>
        </row>
        <row r="131">
          <cell r="DC131" t="str">
            <v>รอแบบ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รอแบบ</v>
          </cell>
        </row>
        <row r="138">
          <cell r="DC138" t="str">
            <v>ยังไม่ได้พิมพ์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รอแบบ</v>
          </cell>
        </row>
        <row r="144">
          <cell r="DC144" t="str">
            <v>รอแบบ</v>
          </cell>
        </row>
        <row r="145">
          <cell r="DC145" t="str">
            <v>พร้อมส่ง</v>
          </cell>
        </row>
        <row r="146">
          <cell r="DC146" t="str">
            <v>รอแบบ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ยังไม่ได้พิมพ์</v>
          </cell>
        </row>
        <row r="151">
          <cell r="DC151" t="str">
            <v>รอตัด</v>
          </cell>
        </row>
        <row r="152">
          <cell r="DC152" t="str">
            <v>ผ้าขาว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รอแบบ</v>
          </cell>
        </row>
        <row r="168">
          <cell r="DC168" t="str">
            <v>พร้อมส่ง</v>
          </cell>
        </row>
        <row r="169">
          <cell r="DC169" t="str">
            <v>ผ้าขาว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ผ้าขาว</v>
          </cell>
        </row>
        <row r="174">
          <cell r="DC174" t="str">
            <v>พร้อมส่ง</v>
          </cell>
        </row>
        <row r="175">
          <cell r="DC175" t="str">
            <v>รอตัด</v>
          </cell>
        </row>
        <row r="176">
          <cell r="DC176" t="str">
            <v>ผ้าขาว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รอแบบ</v>
          </cell>
        </row>
        <row r="181">
          <cell r="DC181" t="str">
            <v>ยังไม่ได้พิมพ์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ผ้าขาว</v>
          </cell>
        </row>
        <row r="185">
          <cell r="DC185" t="str">
            <v>ยังไม่ได้พิมพ์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/>
        </row>
        <row r="189">
          <cell r="DC189"/>
        </row>
        <row r="190">
          <cell r="DC190"/>
        </row>
        <row r="191">
          <cell r="DC191" t="str">
            <v xml:space="preserve"> </v>
          </cell>
        </row>
        <row r="192">
          <cell r="DC192"/>
        </row>
        <row r="193">
          <cell r="DC193"/>
        </row>
        <row r="194">
          <cell r="DC194"/>
        </row>
        <row r="195">
          <cell r="DC195"/>
        </row>
        <row r="196">
          <cell r="DC196"/>
        </row>
        <row r="197">
          <cell r="DC197"/>
        </row>
        <row r="198">
          <cell r="DC198"/>
        </row>
        <row r="199">
          <cell r="DC199"/>
        </row>
        <row r="200">
          <cell r="DC200"/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outline="0" fieldPosition="0">
        <references count="1">
          <reference field="4294967294" count="1" selected="0">
            <x v="3"/>
          </reference>
        </references>
      </pivotArea>
    </format>
    <format dxfId="68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6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1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57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dataOnly="0" outline="0" fieldPosition="0">
        <references count="1">
          <reference field="24" count="0" defaultSubtotal="1"/>
        </references>
      </pivotArea>
    </format>
    <format dxfId="51">
      <pivotArea dataOnly="0" outline="0" fieldPosition="0">
        <references count="1">
          <reference field="24" count="0" defaultSubtotal="1"/>
        </references>
      </pivotArea>
    </format>
    <format dxfId="50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4" count="0" defaultSubtotal="1"/>
        </references>
      </pivotArea>
    </format>
    <format dxfId="46">
      <pivotArea dataOnly="0" outline="0" fieldPosition="0">
        <references count="1">
          <reference field="24" count="0" defaultSubtotal="1"/>
        </references>
      </pivotArea>
    </format>
    <format dxfId="45">
      <pivotArea dataOnly="0" outline="0" fieldPosition="0">
        <references count="1">
          <reference field="24" count="0" defaultSubtotal="1"/>
        </references>
      </pivotArea>
    </format>
    <format dxfId="44">
      <pivotArea dataOnly="0" outline="0" fieldPosition="0">
        <references count="1">
          <reference field="1" count="1">
            <x v="11"/>
          </reference>
        </references>
      </pivotArea>
    </format>
    <format dxfId="43">
      <pivotArea dataOnly="0" outline="0" fieldPosition="0">
        <references count="1">
          <reference field="1" count="1">
            <x v="16"/>
          </reference>
        </references>
      </pivotArea>
    </format>
    <format dxfId="42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41">
      <pivotArea dataOnly="0" labelOnly="1" outline="0" fieldPosition="0">
        <references count="1">
          <reference field="24" count="1">
            <x v="22"/>
          </reference>
        </references>
      </pivotArea>
    </format>
    <format dxfId="40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39">
      <pivotArea dataOnly="0" labelOnly="1" outline="0" fieldPosition="0">
        <references count="1">
          <reference field="24" count="1">
            <x v="19"/>
          </reference>
        </references>
      </pivotArea>
    </format>
    <format dxfId="38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7">
      <pivotArea dataOnly="0" labelOnly="1" outline="0" fieldPosition="0">
        <references count="1">
          <reference field="24" count="1">
            <x v="18"/>
          </reference>
        </references>
      </pivotArea>
    </format>
    <format dxfId="36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5">
      <pivotArea dataOnly="0" labelOnly="1" outline="0" fieldPosition="0">
        <references count="1">
          <reference field="24" count="1">
            <x v="12"/>
          </reference>
        </references>
      </pivotArea>
    </format>
    <format dxfId="34">
      <pivotArea dataOnly="0" labelOnly="1" outline="0" fieldPosition="0">
        <references count="1">
          <reference field="24" count="1">
            <x v="10"/>
          </reference>
        </references>
      </pivotArea>
    </format>
    <format dxfId="33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32">
      <pivotArea dataOnly="0" labelOnly="1" outline="0" fieldPosition="0">
        <references count="1">
          <reference field="24" count="1">
            <x v="6"/>
          </reference>
        </references>
      </pivotArea>
    </format>
    <format dxfId="31">
      <pivotArea dataOnly="0" labelOnly="1" outline="0" fieldPosition="0">
        <references count="1">
          <reference field="24" count="1">
            <x v="4"/>
          </reference>
        </references>
      </pivotArea>
    </format>
    <format dxfId="30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4" count="0" defaultSubtotal="1"/>
        </references>
      </pivotArea>
    </format>
    <format dxfId="26">
      <pivotArea dataOnly="0" outline="0" fieldPosition="0">
        <references count="1">
          <reference field="24" count="0" defaultSubtotal="1"/>
        </references>
      </pivotArea>
    </format>
    <format dxfId="25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4" count="0" defaultSubtotal="1"/>
        </references>
      </pivotArea>
    </format>
    <format dxfId="21">
      <pivotArea dataOnly="0" outline="0" fieldPosition="0">
        <references count="1">
          <reference field="24" count="0" defaultSubtotal="1"/>
        </references>
      </pivotArea>
    </format>
    <format dxfId="20">
      <pivotArea dataOnly="0" outline="0" fieldPosition="0">
        <references count="1">
          <reference field="24" count="0" defaultSubtotal="1"/>
        </references>
      </pivotArea>
    </format>
    <format dxfId="19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outline="0" fieldPosition="0">
        <references count="1">
          <reference field="24" count="0" defaultSubtotal="1"/>
        </references>
      </pivotArea>
    </format>
    <format dxfId="15">
      <pivotArea dataOnly="0" outline="0" fieldPosition="0">
        <references count="1">
          <reference field="24" count="0" defaultSubtotal="1"/>
        </references>
      </pivotArea>
    </format>
    <format dxfId="14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1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outline="0" fieldPosition="0">
        <references count="1">
          <reference field="24" count="0" defaultSubtotal="1"/>
        </references>
      </pivotArea>
    </format>
    <format dxfId="10">
      <pivotArea dataOnly="0" outline="0" fieldPosition="0">
        <references count="1">
          <reference field="24" count="0" defaultSubtotal="1"/>
        </references>
      </pivotArea>
    </format>
    <format dxfId="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49" zoomScale="80" zoomScaleNormal="80" workbookViewId="0">
      <selection activeCell="A6" sqref="A6:XFD57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45846</v>
      </c>
      <c r="E3" s="81" t="s">
        <v>52</v>
      </c>
      <c r="F3" s="81"/>
      <c r="G3" s="82">
        <v>9.4700000000000006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45833</v>
      </c>
      <c r="B7" s="14" t="str">
        <f>[2]หน้าผ้า!B16</f>
        <v>MK68-000834</v>
      </c>
      <c r="C7" s="9" t="str">
        <f>[2]หน้าผ้า!E16</f>
        <v>บจก.น้ำตาลทิพย์สุโขทัย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20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22</v>
      </c>
      <c r="O7" s="9">
        <f>[2]หน้าผ้า!V16</f>
        <v>40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45848</v>
      </c>
      <c r="U7" s="11">
        <f>[2]หน้าผ้า!AA16</f>
        <v>6000</v>
      </c>
      <c r="V7" s="10">
        <f>[2]หน้าผ้า!AJ16</f>
        <v>6000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0</v>
      </c>
      <c r="AB7" s="8">
        <f>[2]หน้าผ้า!AR16</f>
        <v>0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P13</v>
      </c>
      <c r="AI7" s="1">
        <f>[2]หน้าผ้า!DM16</f>
        <v>2</v>
      </c>
      <c r="AJ7" s="3">
        <f>[2]หน้าผ้า!DN16</f>
        <v>45848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45846</v>
      </c>
      <c r="AP7" s="3">
        <f>[2]หน้าผ้า!DP16</f>
        <v>45843</v>
      </c>
      <c r="AQ7" s="3">
        <f>[2]หน้าผ้า!DW16</f>
        <v>45847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MK68-000868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72.655854687999991</v>
      </c>
      <c r="Q9" s="10">
        <f>[2]หน้าผ้า!AC18</f>
        <v>0</v>
      </c>
      <c r="R9" s="10">
        <f>[2]หน้าผ้า!AD18</f>
        <v>72.655854687999991</v>
      </c>
      <c r="S9" s="9" t="str">
        <f>[2]หน้าผ้า!Z18</f>
        <v>500กระสอบ</v>
      </c>
      <c r="T9" s="12">
        <f>[2]หน้าผ้า!X18</f>
        <v>45855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4121.1500000000005</v>
      </c>
      <c r="AB9" s="8">
        <f>[2]หน้าผ้า!AR18</f>
        <v>4121.1500000000005</v>
      </c>
      <c r="AC9" s="8">
        <f>[2]หน้าผ้า!AS18</f>
        <v>0</v>
      </c>
      <c r="AD9" s="8">
        <f>[2]หน้าผ้า!AT18</f>
        <v>4121.1500000000005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45855</v>
      </c>
      <c r="AK9" s="3">
        <f>[2]หน้าผ้า!DQ18</f>
        <v>45851</v>
      </c>
      <c r="AL9" s="3">
        <f>[2]หน้าผ้า!DR18</f>
        <v>45845</v>
      </c>
      <c r="AM9" s="3">
        <f>[2]หน้าผ้า!DS18</f>
        <v>45852</v>
      </c>
      <c r="AN9" s="3">
        <f>[2]หน้าผ้า!DT18</f>
        <v>45853</v>
      </c>
      <c r="AO9" s="3">
        <f>[2]หน้าผ้า!DU18</f>
        <v>45853</v>
      </c>
      <c r="AP9" s="3">
        <f>[2]หน้าผ้า!DP18</f>
        <v>45850</v>
      </c>
      <c r="AQ9" s="3">
        <f>[2]หน้าผ้า!DW18</f>
        <v>45854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7823.2000000000007</v>
      </c>
      <c r="AB11" s="8">
        <f>[2]หน้าผ้า!AR20</f>
        <v>4121.1500000000005</v>
      </c>
      <c r="AC11" s="8">
        <f>[2]หน้าผ้า!AS20</f>
        <v>3702.0499999999997</v>
      </c>
      <c r="AD11" s="8">
        <f>[2]หน้าผ้า!AT20</f>
        <v>4121.1500000000005</v>
      </c>
      <c r="AE11" s="8">
        <f>[2]หน้าผ้า!AU20</f>
        <v>3702.0499999999997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รอตัด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45868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45868</v>
      </c>
      <c r="AK15" s="3">
        <f>[2]หน้าผ้า!DQ24</f>
        <v>0</v>
      </c>
      <c r="AL15" s="3">
        <f>[2]หน้าผ้า!DR24</f>
        <v>45858</v>
      </c>
      <c r="AM15" s="3">
        <f>[2]หน้าผ้า!DS24</f>
        <v>45865</v>
      </c>
      <c r="AN15" s="3">
        <f>[2]หน้าผ้า!DT24</f>
        <v>45866</v>
      </c>
      <c r="AO15" s="3">
        <f>[2]หน้าผ้า!DU24</f>
        <v>45866</v>
      </c>
      <c r="AP15" s="3">
        <f>[2]หน้าผ้า!DP24</f>
        <v>45863</v>
      </c>
      <c r="AQ15" s="3">
        <f>[2]หน้าผ้า!DW24</f>
        <v>45867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พิมพ์ไม่ครบ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45831</v>
      </c>
      <c r="B17" s="14" t="str">
        <f>[2]หน้าผ้า!B26</f>
        <v>MK68-000830</v>
      </c>
      <c r="C17" s="9" t="str">
        <f>[2]หน้าผ้า!E26</f>
        <v>บจก.2เอ็ม อโกร เท็ค</v>
      </c>
      <c r="D17" s="13" t="str">
        <f>[2]หน้าผ้า!F26</f>
        <v>เลิฟซอยล์26-6-6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45846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5404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ขาด-เกินได้5%</v>
      </c>
      <c r="AG17" s="1" t="str">
        <f>[3]หน้าผ้า!DC29</f>
        <v>พร้อมส่ง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45846</v>
      </c>
      <c r="AK17" s="3">
        <f>[2]หน้าผ้า!DQ26</f>
        <v>45842</v>
      </c>
      <c r="AL17" s="3">
        <f>[2]หน้าผ้า!DR26</f>
        <v>45836</v>
      </c>
      <c r="AM17" s="3">
        <f>[2]หน้าผ้า!DS26</f>
        <v>45843</v>
      </c>
      <c r="AN17" s="3">
        <f>[2]หน้าผ้า!DT26</f>
        <v>45844</v>
      </c>
      <c r="AO17" s="3">
        <f>[2]หน้าผ้า!DU26</f>
        <v>45844</v>
      </c>
      <c r="AP17" s="3">
        <f>[2]หน้าผ้า!DP26</f>
        <v>45841</v>
      </c>
      <c r="AQ17" s="3">
        <f>[2]หน้าผ้า!DW26</f>
        <v>45845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45827</v>
      </c>
      <c r="B19" s="14" t="str">
        <f>[2]หน้าผ้า!B28</f>
        <v>MK68-000811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45852</v>
      </c>
      <c r="U19" s="11">
        <f>[2]หน้าผ้า!AA28</f>
        <v>50000</v>
      </c>
      <c r="V19" s="10">
        <f>[2]หน้าผ้า!AJ28</f>
        <v>16500</v>
      </c>
      <c r="W19" s="10">
        <f>[2]หน้าผ้า!AL28</f>
        <v>33500</v>
      </c>
      <c r="X19" s="10">
        <f>[2]หน้าผ้า!AM28</f>
        <v>48362</v>
      </c>
      <c r="Y19" s="10">
        <f>[2]หน้าผ้า!AN28</f>
        <v>1719.9</v>
      </c>
      <c r="Z19" s="9" t="str">
        <f>[2]หน้าผ้า!AO28</f>
        <v>WSWT1925800</v>
      </c>
      <c r="AA19" s="8">
        <f>[2]หน้าผ้า!AQ28</f>
        <v>1513.7011890000001</v>
      </c>
      <c r="AB19" s="8">
        <f>[2]หน้าผ้า!AR28</f>
        <v>1513.7011890000001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45852</v>
      </c>
      <c r="AK19" s="3">
        <f>[2]หน้าผ้า!DQ28</f>
        <v>0</v>
      </c>
      <c r="AL19" s="3">
        <f>[2]หน้าผ้า!DR28</f>
        <v>45843</v>
      </c>
      <c r="AM19" s="3">
        <f>[2]หน้าผ้า!DS28</f>
        <v>45850</v>
      </c>
      <c r="AN19" s="3">
        <f>[2]หน้าผ้า!DT28</f>
        <v>45851</v>
      </c>
      <c r="AO19" s="3">
        <f>[2]หน้าผ้า!DU28</f>
        <v>45851</v>
      </c>
      <c r="AP19" s="3">
        <f>[2]หน้าผ้า!DP28</f>
        <v>45847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เย็น8/7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MK68-000812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45852</v>
      </c>
      <c r="U20" s="11">
        <f>[2]หน้าผ้า!AA29</f>
        <v>20000</v>
      </c>
      <c r="V20" s="10">
        <f>[2]หน้าผ้า!AJ29</f>
        <v>20071</v>
      </c>
      <c r="W20" s="10">
        <f>[2]หน้าผ้า!AL29</f>
        <v>0</v>
      </c>
      <c r="X20" s="10">
        <f>[2]หน้าผ้า!AM29</f>
        <v>20900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45852</v>
      </c>
      <c r="AK20" s="3">
        <f>[2]หน้าผ้า!DQ29</f>
        <v>0</v>
      </c>
      <c r="AL20" s="3">
        <f>[2]หน้าผ้า!DR29</f>
        <v>45843</v>
      </c>
      <c r="AM20" s="3">
        <f>[2]หน้าผ้า!DS29</f>
        <v>45850</v>
      </c>
      <c r="AN20" s="3">
        <f>[2]หน้าผ้า!DT29</f>
        <v>45851</v>
      </c>
      <c r="AO20" s="3">
        <f>[2]หน้าผ้า!DU29</f>
        <v>45851</v>
      </c>
      <c r="AP20" s="3">
        <f>[2]หน้าผ้า!DP29</f>
        <v>45847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 t="str">
        <f>[2]หน้าผ้า!AG29</f>
        <v>เย็น16/7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บจก.ซีแมน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1998.3443903999996</v>
      </c>
      <c r="Q21" s="10">
        <f>[2]หน้าผ้า!AC30</f>
        <v>0</v>
      </c>
      <c r="R21" s="10">
        <f>[2]หน้าผ้า!AD30</f>
        <v>1998.3443903999996</v>
      </c>
      <c r="S21" s="9" t="str">
        <f>[2]หน้าผ้า!Z30</f>
        <v>มัด100</v>
      </c>
      <c r="T21" s="12">
        <f>[2]หน้าผ้า!X30</f>
        <v>45868</v>
      </c>
      <c r="U21" s="11">
        <f>[2]หน้าผ้า!AA30</f>
        <v>60000</v>
      </c>
      <c r="V21" s="10">
        <f>[2]หน้าผ้า!AJ30</f>
        <v>0</v>
      </c>
      <c r="W21" s="10">
        <f>[2]หน้าผ้า!AL30</f>
        <v>60000</v>
      </c>
      <c r="X21" s="10">
        <f>[2]หน้าผ้า!AM30</f>
        <v>0</v>
      </c>
      <c r="Y21" s="10">
        <f>[2]หน้าผ้า!AN30</f>
        <v>63000</v>
      </c>
      <c r="Z21" s="9" t="str">
        <f>[2]หน้าผ้า!AO30</f>
        <v>WSWT1925800</v>
      </c>
      <c r="AA21" s="8">
        <f>[2]หน้าผ้า!AQ30</f>
        <v>49453.8</v>
      </c>
      <c r="AB21" s="8">
        <f>[2]หน้าผ้า!AR30</f>
        <v>38050</v>
      </c>
      <c r="AC21" s="8">
        <f>[2]หน้าผ้า!AS30</f>
        <v>11403.800000000003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45868</v>
      </c>
      <c r="AK21" s="3">
        <f>[2]หน้าผ้า!DQ30</f>
        <v>0</v>
      </c>
      <c r="AL21" s="3">
        <f>[2]หน้าผ้า!DR30</f>
        <v>45858</v>
      </c>
      <c r="AM21" s="3">
        <f>[2]หน้าผ้า!DS30</f>
        <v>45865</v>
      </c>
      <c r="AN21" s="3">
        <f>[2]หน้าผ้า!DT30</f>
        <v>45866</v>
      </c>
      <c r="AO21" s="3">
        <f>[2]หน้าผ้า!DU30</f>
        <v>45866</v>
      </c>
      <c r="AP21" s="3">
        <f>[2]หน้าผ้า!DP30</f>
        <v>45863</v>
      </c>
      <c r="AQ21" s="3">
        <f>[2]หน้าผ้า!DW30</f>
        <v>45867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828.16929777777807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45868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ผ้าขาว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45868</v>
      </c>
      <c r="AK22" s="3">
        <f>[2]หน้าผ้า!DQ31</f>
        <v>0</v>
      </c>
      <c r="AL22" s="3">
        <f>[2]หน้าผ้า!DR31</f>
        <v>45859</v>
      </c>
      <c r="AM22" s="3">
        <f>[2]หน้าผ้า!DS31</f>
        <v>45866</v>
      </c>
      <c r="AN22" s="3">
        <f>[2]หน้าผ้า!DT31</f>
        <v>45867</v>
      </c>
      <c r="AO22" s="3">
        <f>[2]หน้าผ้า!DU31</f>
        <v>45867</v>
      </c>
      <c r="AP22" s="3">
        <f>[2]หน้าผ้า!DP31</f>
        <v>45863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345.39285759999996</v>
      </c>
      <c r="Q23" s="10">
        <f>[2]หน้าผ้า!AC32</f>
        <v>0</v>
      </c>
      <c r="R23" s="10">
        <f>[2]หน้าผ้า!AD32</f>
        <v>345.39285759999996</v>
      </c>
      <c r="S23" s="9" t="str">
        <f>[2]หน้าผ้า!Z32</f>
        <v>500กระสอบแบน</v>
      </c>
      <c r="T23" s="12">
        <f>[2]หน้าผ้า!X32</f>
        <v>45868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18719.800000000003</v>
      </c>
      <c r="AB23" s="8">
        <f>[2]หน้าผ้า!AR32</f>
        <v>0</v>
      </c>
      <c r="AC23" s="8">
        <f>[2]หน้าผ้า!AS32</f>
        <v>18719.800000000003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ผ้าขาว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45868</v>
      </c>
      <c r="AK23" s="3">
        <f>[2]หน้าผ้า!DQ32</f>
        <v>0</v>
      </c>
      <c r="AL23" s="3">
        <f>[2]หน้าผ้า!DR32</f>
        <v>45858</v>
      </c>
      <c r="AM23" s="3">
        <f>[2]หน้าผ้า!DS32</f>
        <v>45865</v>
      </c>
      <c r="AN23" s="3">
        <f>[2]หน้าผ้า!DT32</f>
        <v>45866</v>
      </c>
      <c r="AO23" s="3">
        <f>[2]หน้าผ้า!DU32</f>
        <v>45866</v>
      </c>
      <c r="AP23" s="3">
        <f>[2]หน้าผ้า!DP32</f>
        <v>45863</v>
      </c>
      <c r="AQ23" s="3">
        <f>[2]หน้าผ้า!DW32</f>
        <v>45867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1359.4734755555558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104891.701189</v>
      </c>
      <c r="AB24" s="8">
        <f>[2]หน้าผ้า!AR33</f>
        <v>39563.701188999999</v>
      </c>
      <c r="AC24" s="8">
        <f>[2]หน้าผ้า!AS33</f>
        <v>65328.000000000007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ยังไม่ได้พิมพ์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45842</v>
      </c>
      <c r="B25" s="14" t="str">
        <f>[2]หน้าผ้า!B34</f>
        <v>MK68-000861</v>
      </c>
      <c r="C25" s="9" t="str">
        <f>[2]หน้าผ้า!E34</f>
        <v>บจก.เคอรี่ฟลาวมิลล์</v>
      </c>
      <c r="D25" s="13" t="str">
        <f>[2]หน้าผ้า!F34</f>
        <v>ไม่พิมพ์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63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ไม่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ห่ออัดเบลแบน501</v>
      </c>
      <c r="T25" s="12">
        <f>[2]หน้าผ้า!X34</f>
        <v>45853</v>
      </c>
      <c r="U25" s="11">
        <f>[2]หน้าผ้า!AA34</f>
        <v>20000</v>
      </c>
      <c r="V25" s="10">
        <f>[2]หน้าผ้า!AJ34</f>
        <v>20000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P3</v>
      </c>
      <c r="AI25" s="1">
        <f>[2]หน้าผ้า!DM34</f>
        <v>1</v>
      </c>
      <c r="AJ25" s="3">
        <f>[2]หน้าผ้า!DN34</f>
        <v>45853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45852</v>
      </c>
      <c r="AP25" s="3">
        <f>[2]หน้าผ้า!DP34</f>
        <v>45848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ตัด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45842</v>
      </c>
      <c r="B26" s="14" t="str">
        <f>[2]หน้าผ้า!B35</f>
        <v>MK68-000862</v>
      </c>
      <c r="C26" s="9" t="str">
        <f>[2]หน้าผ้า!E35</f>
        <v>บจก.เคอรี่ฟลาวมิลล์</v>
      </c>
      <c r="D26" s="13" t="str">
        <f>[2]หน้าผ้า!F35</f>
        <v>ไม่พิมพ์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ไม่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ห่ออัดเบลแบน501</v>
      </c>
      <c r="T26" s="12">
        <f>[2]หน้าผ้า!X35</f>
        <v>45853</v>
      </c>
      <c r="U26" s="11">
        <f>[2]หน้าผ้า!AA35</f>
        <v>20000</v>
      </c>
      <c r="V26" s="10">
        <f>[2]หน้าผ้า!AJ35</f>
        <v>10000</v>
      </c>
      <c r="W26" s="10">
        <f>[2]หน้าผ้า!AL35</f>
        <v>10000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8801.1</v>
      </c>
      <c r="AB26" s="8">
        <f>[2]หน้าผ้า!AR35</f>
        <v>8801.1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P3</v>
      </c>
      <c r="AI26" s="1">
        <f>[2]หน้าผ้า!DM35</f>
        <v>1</v>
      </c>
      <c r="AJ26" s="3">
        <f>[2]หน้าผ้า!DN35</f>
        <v>45853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45852</v>
      </c>
      <c r="AP26" s="3">
        <f>[2]หน้าผ้า!DP35</f>
        <v>45848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ตัด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45843</v>
      </c>
      <c r="B27" s="14" t="str">
        <f>[2]หน้าผ้า!B36</f>
        <v>MK68-000866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ปลาโลมาเทา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45864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0</v>
      </c>
      <c r="Y27" s="10">
        <f>[2]หน้าผ้า!AN36</f>
        <v>5250</v>
      </c>
      <c r="Z27" s="9" t="str">
        <f>[2]หน้าผ้า!AO36</f>
        <v>WSWT1921720</v>
      </c>
      <c r="AA27" s="8">
        <f>[2]หน้าผ้า!AQ36</f>
        <v>4679.9500000000007</v>
      </c>
      <c r="AB27" s="8">
        <f>[2]หน้าผ้า!AR36</f>
        <v>4679.9500000000007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PDR250212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45864</v>
      </c>
      <c r="AK27" s="3">
        <f>[2]หน้าผ้า!DQ36</f>
        <v>0</v>
      </c>
      <c r="AL27" s="3">
        <f>[2]หน้าผ้า!DR36</f>
        <v>45855</v>
      </c>
      <c r="AM27" s="3">
        <f>[2]หน้าผ้า!DS36</f>
        <v>45862</v>
      </c>
      <c r="AN27" s="3">
        <f>[2]หน้าผ้า!DT36</f>
        <v>45863</v>
      </c>
      <c r="AO27" s="3">
        <f>[2]หน้าผ้า!DU36</f>
        <v>45863</v>
      </c>
      <c r="AP27" s="3">
        <f>[2]หน้าผ้า!DP36</f>
        <v>45859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45843</v>
      </c>
      <c r="B28" s="14" t="str">
        <f>[2]หน้าผ้า!B37</f>
        <v>MK68-000866</v>
      </c>
      <c r="C28" s="9" t="str">
        <f>[2]หน้าผ้า!E37</f>
        <v>บจก.เคอรี่ฟลาวมิลล์</v>
      </c>
      <c r="D28" s="13" t="str">
        <f>[2]หน้าผ้า!F37</f>
        <v>ถุงเงิน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45864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5250</v>
      </c>
      <c r="Z28" s="9" t="str">
        <f>[2]หน้าผ้า!AO37</f>
        <v>WSWT1921720</v>
      </c>
      <c r="AA28" s="8">
        <f>[2]หน้าผ้า!AQ37</f>
        <v>4679.9500000000007</v>
      </c>
      <c r="AB28" s="8">
        <f>[2]หน้าผ้า!AR37</f>
        <v>4679.9500000000007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PDR250212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45864</v>
      </c>
      <c r="AK28" s="3">
        <f>[2]หน้าผ้า!DQ37</f>
        <v>0</v>
      </c>
      <c r="AL28" s="3">
        <f>[2]หน้าผ้า!DR37</f>
        <v>45855</v>
      </c>
      <c r="AM28" s="3">
        <f>[2]หน้าผ้า!DS37</f>
        <v>45862</v>
      </c>
      <c r="AN28" s="3">
        <f>[2]หน้าผ้า!DT37</f>
        <v>45863</v>
      </c>
      <c r="AO28" s="3">
        <f>[2]หน้าผ้า!DU37</f>
        <v>45863</v>
      </c>
      <c r="AP28" s="3">
        <f>[2]หน้าผ้า!DP37</f>
        <v>45859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45843</v>
      </c>
      <c r="B29" s="14" t="str">
        <f>[2]หน้าผ้า!B38</f>
        <v>MK68-000866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45864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PDR250212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45864</v>
      </c>
      <c r="AK29" s="3">
        <f>[2]หน้าผ้า!DQ38</f>
        <v>0</v>
      </c>
      <c r="AL29" s="3">
        <f>[2]หน้าผ้า!DR38</f>
        <v>45855</v>
      </c>
      <c r="AM29" s="3">
        <f>[2]หน้าผ้า!DS38</f>
        <v>45862</v>
      </c>
      <c r="AN29" s="3">
        <f>[2]หน้าผ้า!DT38</f>
        <v>45863</v>
      </c>
      <c r="AO29" s="3">
        <f>[2]หน้าผ้า!DU38</f>
        <v>45863</v>
      </c>
      <c r="AP29" s="3">
        <f>[2]หน้าผ้า!DP38</f>
        <v>45859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45843</v>
      </c>
      <c r="B30" s="14" t="str">
        <f>[2]หน้าผ้า!B39</f>
        <v>MK68-000866</v>
      </c>
      <c r="C30" s="9" t="str">
        <f>[2]หน้าผ้า!E39</f>
        <v>บจก.เคอรี่ฟลาวมิลล์</v>
      </c>
      <c r="D30" s="13" t="str">
        <f>[2]หน้าผ้า!F39</f>
        <v xml:space="preserve">แปดแต้มแดง  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45864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4679.9500000000007</v>
      </c>
      <c r="AB30" s="8">
        <f>[2]หน้าผ้า!AR39</f>
        <v>4679.9500000000007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PDR250212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45864</v>
      </c>
      <c r="AK30" s="3">
        <f>[2]หน้าผ้า!DQ39</f>
        <v>0</v>
      </c>
      <c r="AL30" s="3">
        <f>[2]หน้าผ้า!DR39</f>
        <v>45855</v>
      </c>
      <c r="AM30" s="3">
        <f>[2]หน้าผ้า!DS39</f>
        <v>45862</v>
      </c>
      <c r="AN30" s="3">
        <f>[2]หน้าผ้า!DT39</f>
        <v>45863</v>
      </c>
      <c r="AO30" s="3">
        <f>[2]หน้าผ้า!DU39</f>
        <v>45863</v>
      </c>
      <c r="AP30" s="3">
        <f>[2]หน้าผ้า!DP39</f>
        <v>45859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45843</v>
      </c>
      <c r="B31" s="14" t="str">
        <f>[2]หน้าผ้า!B40</f>
        <v>MK68-000866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ดอกไม้เขียว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45864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PDR250212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45864</v>
      </c>
      <c r="AK31" s="3">
        <f>[2]หน้าผ้า!DQ40</f>
        <v>0</v>
      </c>
      <c r="AL31" s="3">
        <f>[2]หน้าผ้า!DR40</f>
        <v>45855</v>
      </c>
      <c r="AM31" s="3">
        <f>[2]หน้าผ้า!DS40</f>
        <v>45862</v>
      </c>
      <c r="AN31" s="3">
        <f>[2]หน้าผ้า!DT40</f>
        <v>45863</v>
      </c>
      <c r="AO31" s="3">
        <f>[2]หน้าผ้า!DU40</f>
        <v>45863</v>
      </c>
      <c r="AP31" s="3">
        <f>[2]หน้าผ้า!DP40</f>
        <v>45859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45843</v>
      </c>
      <c r="B32" s="14" t="str">
        <f>[2]หน้าผ้า!B41</f>
        <v>MK68-000866</v>
      </c>
      <c r="C32" s="9" t="str">
        <f>[2]หน้าผ้า!E41</f>
        <v>บจก.เคอรี่ฟลาวมิลล์</v>
      </c>
      <c r="D32" s="13" t="str">
        <f>[2]หน้าผ้า!F41</f>
        <v>แต้มแดง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45867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4679.9500000000007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PDR250213</v>
      </c>
      <c r="AG32" s="1" t="str">
        <f>[3]หน้าผ้า!DC44</f>
        <v>รอแบบ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45867</v>
      </c>
      <c r="AK32" s="3">
        <f>[2]หน้าผ้า!DQ41</f>
        <v>0</v>
      </c>
      <c r="AL32" s="3">
        <f>[2]หน้าผ้า!DR41</f>
        <v>45858</v>
      </c>
      <c r="AM32" s="3">
        <f>[2]หน้าผ้า!DS41</f>
        <v>45865</v>
      </c>
      <c r="AN32" s="3">
        <f>[2]หน้าผ้า!DT41</f>
        <v>45866</v>
      </c>
      <c r="AO32" s="3">
        <f>[2]หน้าผ้า!DU41</f>
        <v>45866</v>
      </c>
      <c r="AP32" s="3">
        <f>[2]หน้าผ้า!DP41</f>
        <v>45862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45843</v>
      </c>
      <c r="B33" s="14" t="str">
        <f>[2]หน้าผ้า!B42</f>
        <v>MK68-000866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45867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PDR250213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45867</v>
      </c>
      <c r="AK33" s="3">
        <f>[2]หน้าผ้า!DQ42</f>
        <v>0</v>
      </c>
      <c r="AL33" s="3">
        <f>[2]หน้าผ้า!DR42</f>
        <v>45858</v>
      </c>
      <c r="AM33" s="3">
        <f>[2]หน้าผ้า!DS42</f>
        <v>45865</v>
      </c>
      <c r="AN33" s="3">
        <f>[2]หน้าผ้า!DT42</f>
        <v>45866</v>
      </c>
      <c r="AO33" s="3">
        <f>[2]หน้าผ้า!DU42</f>
        <v>45866</v>
      </c>
      <c r="AP33" s="3">
        <f>[2]หน้าผ้า!DP42</f>
        <v>45862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45843</v>
      </c>
      <c r="B34" s="14" t="str">
        <f>[2]หน้าผ้า!B43</f>
        <v>MK68-000866</v>
      </c>
      <c r="C34" s="9" t="str">
        <f>[2]หน้าผ้า!E43</f>
        <v>บจก.เคอรี่ฟลาวมิลล์</v>
      </c>
      <c r="D34" s="13" t="str">
        <f>[2]หน้าผ้า!F43</f>
        <v>หีบเพลงฟ้า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45867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PDR250213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45867</v>
      </c>
      <c r="AK34" s="3">
        <f>[2]หน้าผ้า!DQ43</f>
        <v>0</v>
      </c>
      <c r="AL34" s="3">
        <f>[2]หน้าผ้า!DR43</f>
        <v>45858</v>
      </c>
      <c r="AM34" s="3">
        <f>[2]หน้าผ้า!DS43</f>
        <v>45865</v>
      </c>
      <c r="AN34" s="3">
        <f>[2]หน้าผ้า!DT43</f>
        <v>45866</v>
      </c>
      <c r="AO34" s="3">
        <f>[2]หน้าผ้า!DU43</f>
        <v>45866</v>
      </c>
      <c r="AP34" s="3">
        <f>[2]หน้าผ้า!DP43</f>
        <v>45862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 t="str">
        <f>[2]หน้าผ้า!C44</f>
        <v>ประมาณการ</v>
      </c>
      <c r="B35" s="14" t="str">
        <f>[2]หน้าผ้า!B44</f>
        <v>ประมาณการ</v>
      </c>
      <c r="C35" s="9" t="str">
        <f>[2]หน้าผ้า!E44</f>
        <v>บจก.เคอรี่ฟลาวมิลล์</v>
      </c>
      <c r="D35" s="13" t="str">
        <f>[2]หน้าผ้า!F44</f>
        <v>รอแบบ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45868</v>
      </c>
      <c r="U35" s="11">
        <f>[2]หน้าผ้า!AA44</f>
        <v>572000</v>
      </c>
      <c r="V35" s="10">
        <f>[2]หน้าผ้า!AJ44</f>
        <v>0</v>
      </c>
      <c r="W35" s="10">
        <f>[2]หน้าผ้า!AL44</f>
        <v>572000</v>
      </c>
      <c r="X35" s="10">
        <f>[2]หน้าผ้า!AM44</f>
        <v>0</v>
      </c>
      <c r="Y35" s="10">
        <f>[2]หน้าผ้า!AN44</f>
        <v>600600</v>
      </c>
      <c r="Z35" s="9" t="str">
        <f>[2]หน้าผ้า!AO44</f>
        <v>WSWT1921720</v>
      </c>
      <c r="AA35" s="8">
        <f>[2]หน้าผ้า!AQ44</f>
        <v>535386.28</v>
      </c>
      <c r="AB35" s="8">
        <f>[2]หน้าผ้า!AR44</f>
        <v>54369</v>
      </c>
      <c r="AC35" s="8">
        <f>[2]หน้าผ้า!AS44</f>
        <v>481017.28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45868</v>
      </c>
      <c r="AK35" s="3">
        <f>[2]หน้าผ้า!DQ44</f>
        <v>0</v>
      </c>
      <c r="AL35" s="3">
        <f>[2]หน้าผ้า!DR44</f>
        <v>45859</v>
      </c>
      <c r="AM35" s="3">
        <f>[2]หน้าผ้า!DS44</f>
        <v>45866</v>
      </c>
      <c r="AN35" s="3">
        <f>[2]หน้าผ้า!DT44</f>
        <v>45867</v>
      </c>
      <c r="AO35" s="3">
        <f>[2]หน้าผ้า!DU44</f>
        <v>45867</v>
      </c>
      <c r="AP35" s="3">
        <f>[2]หน้าผ้า!DP44</f>
        <v>45863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36232.359384177777</v>
      </c>
    </row>
    <row r="36" spans="1:56" ht="27.75" customHeight="1" x14ac:dyDescent="0.45">
      <c r="A36" s="3">
        <f>[2]หน้าผ้า!C45</f>
        <v>0</v>
      </c>
      <c r="B36" s="14">
        <f>[2]หน้าผ้า!B45</f>
        <v>0</v>
      </c>
      <c r="C36" s="9">
        <f>[2]หน้าผ้า!E45</f>
        <v>0</v>
      </c>
      <c r="D36" s="13">
        <f>[2]หน้าผ้า!F45</f>
        <v>0</v>
      </c>
      <c r="E36" s="9">
        <f>[2]หน้าผ้า!G45</f>
        <v>19</v>
      </c>
      <c r="F36" s="9">
        <f>[2]หน้าผ้า!H45</f>
        <v>30</v>
      </c>
      <c r="G36" s="9">
        <f>[2]หน้าผ้า!I45</f>
        <v>0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>
        <f>[2]หน้าผ้า!R45</f>
        <v>0</v>
      </c>
      <c r="M36" s="10">
        <f>[2]หน้าผ้า!T45</f>
        <v>0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>
        <f>[2]หน้าผ้า!Z45</f>
        <v>0</v>
      </c>
      <c r="T36" s="12">
        <f>[2]หน้าผ้า!X45</f>
        <v>0</v>
      </c>
      <c r="U36" s="11">
        <f>[2]หน้าผ้า!AA45</f>
        <v>0</v>
      </c>
      <c r="V36" s="10">
        <f>[2]หน้าผ้า!AJ45</f>
        <v>0</v>
      </c>
      <c r="W36" s="10">
        <f>[2]หน้าผ้า!AL45</f>
        <v>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581626.98</v>
      </c>
      <c r="AB36" s="8">
        <f>[2]หน้าผ้า!AR45</f>
        <v>100609.7</v>
      </c>
      <c r="AC36" s="8">
        <f>[2]หน้าผ้า!AS45</f>
        <v>481017.28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ระบุในSD</v>
      </c>
      <c r="AG36" s="1" t="str">
        <f>[3]หน้าผ้า!DC48</f>
        <v>พร้อมส่ง</v>
      </c>
      <c r="AH36" s="1">
        <f>[2]หน้าผ้า!DL45</f>
        <v>0</v>
      </c>
      <c r="AI36" s="1" t="str">
        <f>[2]หน้าผ้า!DM45</f>
        <v>Lead time</v>
      </c>
      <c r="AJ36" s="3">
        <f>[2]หน้าผ้า!DN45</f>
        <v>0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0</v>
      </c>
      <c r="AP36" s="3">
        <f>[2]หน้าผ้า!DP45</f>
        <v>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>
        <f>[2]หน้าผ้า!EC45</f>
        <v>0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WRWT190720/WRWT25800</v>
      </c>
      <c r="BD36" s="56">
        <f>[2]หน้าผ้า!CA45</f>
        <v>0</v>
      </c>
    </row>
    <row r="37" spans="1:56" ht="27.75" customHeight="1" x14ac:dyDescent="0.45">
      <c r="A37" s="3" t="str">
        <f>[2]หน้าผ้า!C46</f>
        <v>ประมาณการ</v>
      </c>
      <c r="B37" s="14" t="str">
        <f>[2]หน้าผ้า!B46</f>
        <v>ประมาณการ</v>
      </c>
      <c r="C37" s="9" t="str">
        <f>[2]หน้าผ้า!E46</f>
        <v>บจก.เอเชี่ยนเคมิคัล</v>
      </c>
      <c r="D37" s="13" t="str">
        <f>[2]หน้าผ้า!F46</f>
        <v>A.C.C.</v>
      </c>
      <c r="E37" s="9">
        <f>[2]หน้าผ้า!G46</f>
        <v>19</v>
      </c>
      <c r="F37" s="9">
        <f>[2]หน้าผ้า!H46</f>
        <v>26</v>
      </c>
      <c r="G37" s="9" t="str">
        <f>[2]หน้าผ้า!I46</f>
        <v>ขาว</v>
      </c>
      <c r="H37" s="9" t="str">
        <f>[2]หน้าผ้า!J46</f>
        <v>ด้าน</v>
      </c>
      <c r="I37" s="9">
        <f>[2]หน้าผ้า!L46</f>
        <v>70</v>
      </c>
      <c r="J37" s="9" t="str">
        <f>[2]หน้าผ้า!M46</f>
        <v>±</v>
      </c>
      <c r="K37" s="9">
        <f>[2]หน้าผ้า!N46</f>
        <v>5</v>
      </c>
      <c r="L37" s="9" t="str">
        <f>[2]หน้าผ้า!R46</f>
        <v>ไม่</v>
      </c>
      <c r="M37" s="10">
        <f>[2]หน้าผ้า!T46</f>
        <v>20</v>
      </c>
      <c r="N37" s="9">
        <f>[2]หน้าผ้า!U46</f>
        <v>28</v>
      </c>
      <c r="O37" s="9">
        <f>[2]หน้าผ้า!V46</f>
        <v>50</v>
      </c>
      <c r="P37" s="10">
        <f>[2]หน้าผ้า!AB46</f>
        <v>259.04464319999994</v>
      </c>
      <c r="Q37" s="10">
        <f>[2]หน้าผ้า!AC46</f>
        <v>0</v>
      </c>
      <c r="R37" s="10">
        <f>[2]หน้าผ้า!AD46</f>
        <v>259.04464319999994</v>
      </c>
      <c r="S37" s="9" t="str">
        <f>[2]หน้าผ้า!Z46</f>
        <v>มัด100</v>
      </c>
      <c r="T37" s="12">
        <f>[2]หน้าผ้า!X46</f>
        <v>45868</v>
      </c>
      <c r="U37" s="11">
        <f>[2]หน้าผ้า!AA46</f>
        <v>15000</v>
      </c>
      <c r="V37" s="10">
        <f>[2]หน้าผ้า!AJ46</f>
        <v>0</v>
      </c>
      <c r="W37" s="10">
        <f>[2]หน้าผ้า!AL46</f>
        <v>15000</v>
      </c>
      <c r="X37" s="10">
        <f>[2]หน้าผ้า!AM46</f>
        <v>0</v>
      </c>
      <c r="Y37" s="10">
        <f>[2]หน้าผ้า!AN46</f>
        <v>15750</v>
      </c>
      <c r="Z37" s="9" t="str">
        <f>[2]หน้าผ้า!AO46</f>
        <v>WSWT1925800SM</v>
      </c>
      <c r="AA37" s="8">
        <f>[2]หน้าผ้า!AQ46</f>
        <v>11525.250000000002</v>
      </c>
      <c r="AB37" s="8">
        <f>[2]หน้าผ้า!AR46</f>
        <v>11525.250000000002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11525.250000000002</v>
      </c>
      <c r="AF37" s="8">
        <f>[2]หน้าผ้า!AI46</f>
        <v>0</v>
      </c>
      <c r="AG37" s="1" t="str">
        <f>[3]หน้าผ้า!DC49</f>
        <v>พร้อมส่ง</v>
      </c>
      <c r="AH37" s="1" t="str">
        <f>[2]หน้าผ้า!DL46</f>
        <v>P8</v>
      </c>
      <c r="AI37" s="1">
        <f>[2]หน้าผ้า!DM46</f>
        <v>4</v>
      </c>
      <c r="AJ37" s="3">
        <f>[2]หน้าผ้า!DN46</f>
        <v>45868</v>
      </c>
      <c r="AK37" s="3">
        <f>[2]หน้าผ้า!DQ46</f>
        <v>45864</v>
      </c>
      <c r="AL37" s="3">
        <f>[2]หน้าผ้า!DR46</f>
        <v>45858</v>
      </c>
      <c r="AM37" s="3">
        <f>[2]หน้าผ้า!DS46</f>
        <v>45865</v>
      </c>
      <c r="AN37" s="3">
        <f>[2]หน้าผ้า!DT46</f>
        <v>45866</v>
      </c>
      <c r="AO37" s="3">
        <f>[2]หน้าผ้า!DU46</f>
        <v>45866</v>
      </c>
      <c r="AP37" s="3">
        <f>[2]หน้าผ้า!DP46</f>
        <v>45863</v>
      </c>
      <c r="AQ37" s="3">
        <f>[2]หน้าผ้า!DW46</f>
        <v>45867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งานเคลือบ+พิมพ์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WRWT25800/WRWT25800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0</v>
      </c>
      <c r="B38" s="14">
        <f>[2]หน้าผ้า!B47</f>
        <v>0</v>
      </c>
      <c r="C38" s="9">
        <f>[2]หน้าผ้า!E47</f>
        <v>0</v>
      </c>
      <c r="D38" s="13">
        <f>[2]หน้าผ้า!F47</f>
        <v>0</v>
      </c>
      <c r="E38" s="9">
        <f>[2]หน้าผ้า!G47</f>
        <v>19</v>
      </c>
      <c r="F38" s="9">
        <f>[2]หน้าผ้า!H47</f>
        <v>30</v>
      </c>
      <c r="G38" s="9">
        <f>[2]หน้าผ้า!I47</f>
        <v>0</v>
      </c>
      <c r="H38" s="9">
        <f>[2]หน้าผ้า!J47</f>
        <v>0</v>
      </c>
      <c r="I38" s="9">
        <f>[2]หน้าผ้า!L47</f>
        <v>56</v>
      </c>
      <c r="J38" s="9" t="str">
        <f>[2]หน้าผ้า!M47</f>
        <v>±</v>
      </c>
      <c r="K38" s="9">
        <f>[2]หน้าผ้า!N47</f>
        <v>5</v>
      </c>
      <c r="L38" s="9">
        <f>[2]หน้าผ้า!R47</f>
        <v>0</v>
      </c>
      <c r="M38" s="10">
        <f>[2]หน้าผ้า!T47</f>
        <v>0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>
        <f>[2]หน้าผ้า!Z47</f>
        <v>0</v>
      </c>
      <c r="T38" s="12">
        <f>[2]หน้าผ้า!X47</f>
        <v>0</v>
      </c>
      <c r="U38" s="11">
        <f>[2]หน้าผ้า!AA47</f>
        <v>0</v>
      </c>
      <c r="V38" s="10" t="str">
        <f>[2]หน้าผ้า!AJ47</f>
        <v xml:space="preserve"> </v>
      </c>
      <c r="W38" s="10">
        <f>[2]หน้าผ้า!AL47</f>
        <v>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WSWT1925800SM</v>
      </c>
      <c r="AA38" s="8">
        <f>[2]หน้าผ้า!AQ47</f>
        <v>11525.250000000002</v>
      </c>
      <c r="AB38" s="8">
        <f>[2]หน้าผ้า!AR47</f>
        <v>11525.250000000002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11525.250000000002</v>
      </c>
      <c r="AF38" s="8" t="str">
        <f>[2]หน้าผ้า!AI47</f>
        <v>ระบุในSD</v>
      </c>
      <c r="AG38" s="1" t="str">
        <f>[3]หน้าผ้า!DC50</f>
        <v>ผ้าขาว</v>
      </c>
      <c r="AH38" s="1">
        <f>[2]หน้าผ้า!DL47</f>
        <v>0</v>
      </c>
      <c r="AI38" s="1" t="str">
        <f>[2]หน้าผ้า!DM47</f>
        <v>Lead time</v>
      </c>
      <c r="AJ38" s="3">
        <f>[2]หน้าผ้า!DN47</f>
        <v>0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0</v>
      </c>
      <c r="AP38" s="3">
        <f>[2]หน้าผ้า!DP47</f>
        <v>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>
        <f>[2]หน้าผ้า!EC47</f>
        <v>0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WRWT190800/WRWT25800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45796</v>
      </c>
      <c r="B39" s="14" t="str">
        <f>[2]หน้าผ้า!B48</f>
        <v>MK68-000680</v>
      </c>
      <c r="C39" s="9" t="str">
        <f>[2]หน้าผ้า!E48</f>
        <v>บจก.อินเทคค์ โกลบอล</v>
      </c>
      <c r="D39" s="13" t="str">
        <f>[2]หน้าผ้า!F48</f>
        <v>เพอเฟคค์103P โกลด์</v>
      </c>
      <c r="E39" s="9">
        <f>[2]หน้าผ้า!G48</f>
        <v>19</v>
      </c>
      <c r="F39" s="9">
        <f>[2]หน้าผ้า!H48</f>
        <v>34</v>
      </c>
      <c r="G39" s="9" t="str">
        <f>[2]หน้าผ้า!I48</f>
        <v>ขาว</v>
      </c>
      <c r="H39" s="9" t="str">
        <f>[2]หน้าผ้า!J48</f>
        <v>ด้าน</v>
      </c>
      <c r="I39" s="9">
        <f>[2]หน้าผ้า!L48</f>
        <v>100</v>
      </c>
      <c r="J39" s="9" t="str">
        <f>[2]หน้าผ้า!M48</f>
        <v>±</v>
      </c>
      <c r="K39" s="9">
        <f>[2]หน้าผ้า!N48</f>
        <v>5</v>
      </c>
      <c r="L39" s="9" t="str">
        <f>[2]หน้าผ้า!R48</f>
        <v>จับจีบ4"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มัด80 ใช้สายรัด</v>
      </c>
      <c r="T39" s="12" t="str">
        <f>[2]หน้าผ้า!X48</f>
        <v>รอแจ้ง</v>
      </c>
      <c r="U39" s="11">
        <f>[2]หน้าผ้า!AA48</f>
        <v>503</v>
      </c>
      <c r="V39" s="10">
        <f>[2]หน้าผ้า!AJ48</f>
        <v>0</v>
      </c>
      <c r="W39" s="10">
        <f>[2]หน้าผ้า!AL48</f>
        <v>503</v>
      </c>
      <c r="X39" s="10">
        <f>[2]หน้าผ้า!AM48</f>
        <v>5250</v>
      </c>
      <c r="Y39" s="10">
        <f>[2]หน้าผ้า!AN48</f>
        <v>0</v>
      </c>
      <c r="Z39" s="9" t="str">
        <f>[2]หน้าผ้า!AO48</f>
        <v>WSWT19251000SM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รอตัด</v>
      </c>
      <c r="AH39" s="1" t="str">
        <f>[2]หน้าผ้า!DL48</f>
        <v>P6</v>
      </c>
      <c r="AI39" s="1">
        <f>[2]หน้าผ้า!DM48</f>
        <v>4</v>
      </c>
      <c r="AJ39" s="3" t="str">
        <f>[2]หน้าผ้า!DN48</f>
        <v>รอแจ้ง</v>
      </c>
      <c r="AK39" s="3" t="e">
        <f>[2]หน้าผ้า!DQ48</f>
        <v>#VALUE!</v>
      </c>
      <c r="AL39" s="3" t="e">
        <f>[2]หน้าผ้า!DR48</f>
        <v>#VALUE!</v>
      </c>
      <c r="AM39" s="3" t="e">
        <f>[2]หน้าผ้า!DS48</f>
        <v>#VALUE!</v>
      </c>
      <c r="AN39" s="3" t="e">
        <f>[2]หน้าผ้า!DT48</f>
        <v>#VALUE!</v>
      </c>
      <c r="AO39" s="3" t="e">
        <f>[2]หน้าผ้า!DU48</f>
        <v>#VALUE!</v>
      </c>
      <c r="AP39" s="3" t="e">
        <f>[2]หน้าผ้า!DP48</f>
        <v>#VALUE!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งานเคลือบ+พิมพ์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WRWT251000/WRWT251000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0</v>
      </c>
      <c r="B40" s="14">
        <f>[2]หน้าผ้า!B49</f>
        <v>0</v>
      </c>
      <c r="C40" s="9">
        <f>[2]หน้าผ้า!E49</f>
        <v>0</v>
      </c>
      <c r="D40" s="13">
        <f>[2]หน้าผ้า!F49</f>
        <v>0</v>
      </c>
      <c r="E40" s="9">
        <f>[2]หน้าผ้า!G49</f>
        <v>19</v>
      </c>
      <c r="F40" s="9">
        <f>[2]หน้าผ้า!H49</f>
        <v>34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80</v>
      </c>
      <c r="J40" s="9" t="str">
        <f>[2]หน้าผ้า!M49</f>
        <v>±</v>
      </c>
      <c r="K40" s="9">
        <f>[2]หน้าผ้า!N49</f>
        <v>5</v>
      </c>
      <c r="L40" s="9">
        <f>[2]หน้าผ้า!R49</f>
        <v>0</v>
      </c>
      <c r="M40" s="10">
        <f>[2]หน้าผ้า!T49</f>
        <v>0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>
        <f>[2]หน้าผ้า!Z49</f>
        <v>0</v>
      </c>
      <c r="T40" s="12">
        <f>[2]หน้าผ้า!X49</f>
        <v>0</v>
      </c>
      <c r="U40" s="11">
        <f>[2]หน้าผ้า!AA49</f>
        <v>0</v>
      </c>
      <c r="V40" s="10">
        <f>[2]หน้าผ้า!AJ49</f>
        <v>0</v>
      </c>
      <c r="W40" s="10">
        <f>[2]หน้าผ้า!AL49</f>
        <v>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WSWT19251000SM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ระบุในSD</v>
      </c>
      <c r="AG40" s="1" t="str">
        <f>[3]หน้าผ้า!DC52</f>
        <v>พร้อมส่ง</v>
      </c>
      <c r="AH40" s="1">
        <f>[2]หน้าผ้า!DL49</f>
        <v>0</v>
      </c>
      <c r="AI40" s="1" t="str">
        <f>[2]หน้าผ้า!DM49</f>
        <v>Lead time</v>
      </c>
      <c r="AJ40" s="3">
        <f>[2]หน้าผ้า!DN49</f>
        <v>0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0</v>
      </c>
      <c r="AP40" s="3">
        <f>[2]หน้าผ้า!DP49</f>
        <v>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>
        <f>[2]หน้าผ้า!EC49</f>
        <v>0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WRWT251000/WRYL251000</v>
      </c>
      <c r="BD40" s="56">
        <f>[2]หน้าผ้า!CA49</f>
        <v>0</v>
      </c>
    </row>
    <row r="41" spans="1:56" ht="27.75" customHeight="1" x14ac:dyDescent="0.45">
      <c r="A41" s="3" t="str">
        <f>[2]หน้าผ้า!C50</f>
        <v>ประมาณการ</v>
      </c>
      <c r="B41" s="14" t="str">
        <f>[2]หน้าผ้า!B50</f>
        <v>ประมาณการ</v>
      </c>
      <c r="C41" s="9" t="str">
        <f>[2]หน้าผ้า!E50</f>
        <v>บจก.หนองบัวฟีดมิลล์</v>
      </c>
      <c r="D41" s="13" t="str">
        <f>[2]หน้าผ้า!F50</f>
        <v>ไม่พิมพ์</v>
      </c>
      <c r="E41" s="9">
        <f>[2]หน้าผ้า!G50</f>
        <v>20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53</v>
      </c>
      <c r="J41" s="9" t="str">
        <f>[2]หน้าผ้า!M50</f>
        <v>±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500กระสอบ</v>
      </c>
      <c r="T41" s="12">
        <f>[2]หน้าผ้า!X50</f>
        <v>45868</v>
      </c>
      <c r="U41" s="11">
        <f>[2]หน้าผ้า!AA50</f>
        <v>20000</v>
      </c>
      <c r="V41" s="10">
        <f>[2]หน้าผ้า!AJ50</f>
        <v>0</v>
      </c>
      <c r="W41" s="10">
        <f>[2]หน้าผ้า!AL50</f>
        <v>20000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WSWT2025650</v>
      </c>
      <c r="AA41" s="8">
        <f>[2]หน้าผ้า!AQ50</f>
        <v>17602.2</v>
      </c>
      <c r="AB41" s="8">
        <f>[2]หน้าผ้า!AR50</f>
        <v>5242</v>
      </c>
      <c r="AC41" s="8">
        <f>[2]หน้าผ้า!AS50</f>
        <v>12360.2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พร้อมส่ง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45868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45867</v>
      </c>
      <c r="AP41" s="3">
        <f>[2]หน้าผ้า!DP50</f>
        <v>45863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WRWT25650/WRWT25650</v>
      </c>
      <c r="BD41" s="56">
        <f>[2]หน้าผ้า!CA50</f>
        <v>758.77894444444439</v>
      </c>
    </row>
    <row r="42" spans="1:56" ht="27.75" customHeight="1" x14ac:dyDescent="0.45">
      <c r="A42" s="3">
        <f>[2]หน้าผ้า!C51</f>
        <v>45839</v>
      </c>
      <c r="B42" s="14" t="str">
        <f>[2]หน้าผ้า!B51</f>
        <v>MK68-000851</v>
      </c>
      <c r="C42" s="9" t="str">
        <f>[2]หน้าผ้า!E51</f>
        <v>สหกรณ์โคนมพิมาย</v>
      </c>
      <c r="D42" s="13" t="str">
        <f>[2]หน้าผ้า!F51</f>
        <v>พ.ม.21 ผงใช้ในฟาร์ม(แถบบานเย็น)</v>
      </c>
      <c r="E42" s="9">
        <f>[2]หน้าผ้า!G51</f>
        <v>20</v>
      </c>
      <c r="F42" s="9">
        <f>[2]หน้าผ้า!H51</f>
        <v>37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65</v>
      </c>
      <c r="J42" s="9" t="str">
        <f>[2]หน้าผ้า!M51</f>
        <v>±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500กระสอบ</v>
      </c>
      <c r="T42" s="12">
        <f>[2]หน้าผ้า!X51</f>
        <v>45847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10560</v>
      </c>
      <c r="Y42" s="10">
        <f>[2]หน้าผ้า!AN51</f>
        <v>0</v>
      </c>
      <c r="Z42" s="9" t="str">
        <f>[2]หน้าผ้า!AO51</f>
        <v>WSWT2025650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พร้อมส่ง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45847</v>
      </c>
      <c r="AK42" s="3">
        <f>[2]หน้าผ้า!DQ51</f>
        <v>0</v>
      </c>
      <c r="AL42" s="3">
        <f>[2]หน้าผ้า!DR51</f>
        <v>45838</v>
      </c>
      <c r="AM42" s="3">
        <f>[2]หน้าผ้า!DS51</f>
        <v>45845</v>
      </c>
      <c r="AN42" s="3">
        <f>[2]หน้าผ้า!DT51</f>
        <v>45846</v>
      </c>
      <c r="AO42" s="3">
        <f>[2]หน้าผ้า!DU51</f>
        <v>45846</v>
      </c>
      <c r="AP42" s="3">
        <f>[2]หน้าผ้า!DP51</f>
        <v>45842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WRWT25650/WRWT25650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0</v>
      </c>
      <c r="B43" s="14">
        <f>[2]หน้าผ้า!B52</f>
        <v>0</v>
      </c>
      <c r="C43" s="9">
        <f>[2]หน้าผ้า!E52</f>
        <v>0</v>
      </c>
      <c r="D43" s="13">
        <f>[2]หน้าผ้า!F52</f>
        <v>0</v>
      </c>
      <c r="E43" s="9">
        <f>[2]หน้าผ้า!G52</f>
        <v>20</v>
      </c>
      <c r="F43" s="9">
        <f>[2]หน้าผ้า!H52</f>
        <v>37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65</v>
      </c>
      <c r="J43" s="9" t="str">
        <f>[2]หน้าผ้า!M52</f>
        <v>±</v>
      </c>
      <c r="K43" s="9">
        <f>[2]หน้าผ้า!N52</f>
        <v>5</v>
      </c>
      <c r="L43" s="9">
        <f>[2]หน้าผ้า!R52</f>
        <v>0</v>
      </c>
      <c r="M43" s="10">
        <f>[2]หน้าผ้า!T52</f>
        <v>0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>
        <f>[2]หน้าผ้า!Z52</f>
        <v>0</v>
      </c>
      <c r="T43" s="12">
        <f>[2]หน้าผ้า!X52</f>
        <v>0</v>
      </c>
      <c r="U43" s="11">
        <f>[2]หน้าผ้า!AA52</f>
        <v>0</v>
      </c>
      <c r="V43" s="10">
        <f>[2]หน้าผ้า!AJ52</f>
        <v>0</v>
      </c>
      <c r="W43" s="10">
        <f>[2]หน้าผ้า!AL52</f>
        <v>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WSWT2025650</v>
      </c>
      <c r="AA43" s="8">
        <f>[2]หน้าผ้า!AQ52</f>
        <v>17602.2</v>
      </c>
      <c r="AB43" s="8">
        <f>[2]หน้าผ้า!AR52</f>
        <v>5242</v>
      </c>
      <c r="AC43" s="8">
        <f>[2]หน้าผ้า!AS52</f>
        <v>12360.2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ระบุในSD</v>
      </c>
      <c r="AG43" s="1" t="str">
        <f>[3]หน้าผ้า!DC55</f>
        <v>รอตัด</v>
      </c>
      <c r="AH43" s="1">
        <f>[2]หน้าผ้า!DL52</f>
        <v>0</v>
      </c>
      <c r="AI43" s="1" t="str">
        <f>[2]หน้าผ้า!DM52</f>
        <v>Lead time</v>
      </c>
      <c r="AJ43" s="3">
        <f>[2]หน้าผ้า!DN52</f>
        <v>0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0</v>
      </c>
      <c r="AP43" s="3">
        <f>[2]หน้าผ้า!DP52</f>
        <v>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>
        <f>[2]หน้าผ้า!EC52</f>
        <v>0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WRWT25650/WRWT25650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0</v>
      </c>
      <c r="B44" s="14">
        <f>[2]หน้าผ้า!B53</f>
        <v>0</v>
      </c>
      <c r="C44" s="9">
        <f>[2]หน้าผ้า!E53</f>
        <v>0</v>
      </c>
      <c r="D44" s="13">
        <f>[2]หน้าผ้า!F53</f>
        <v>0</v>
      </c>
      <c r="E44" s="9">
        <f>[2]หน้าผ้า!G53</f>
        <v>20</v>
      </c>
      <c r="F44" s="9">
        <f>[2]หน้าผ้า!H53</f>
        <v>37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70</v>
      </c>
      <c r="J44" s="9" t="str">
        <f>[2]หน้าผ้า!M53</f>
        <v>±</v>
      </c>
      <c r="K44" s="9">
        <f>[2]หน้าผ้า!N53</f>
        <v>5</v>
      </c>
      <c r="L44" s="9">
        <f>[2]หน้าผ้า!R53</f>
        <v>0</v>
      </c>
      <c r="M44" s="10">
        <f>[2]หน้าผ้า!T53</f>
        <v>0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>
        <f>[2]หน้าผ้า!Z53</f>
        <v>0</v>
      </c>
      <c r="T44" s="12">
        <f>[2]หน้าผ้า!X53</f>
        <v>0</v>
      </c>
      <c r="U44" s="11">
        <f>[2]หน้าผ้า!AA53</f>
        <v>0</v>
      </c>
      <c r="V44" s="10">
        <f>[2]หน้าผ้า!AJ53</f>
        <v>0</v>
      </c>
      <c r="W44" s="10">
        <f>[2]หน้าผ้า!AL53</f>
        <v>0</v>
      </c>
      <c r="X44" s="10">
        <f>[2]หน้าผ้า!AM53</f>
        <v>0</v>
      </c>
      <c r="Y44" s="10">
        <f>[2]หน้าผ้า!AN53</f>
        <v>0</v>
      </c>
      <c r="Z44" s="9" t="str">
        <f>[2]หน้าผ้า!AO53</f>
        <v>WSWT2025700</v>
      </c>
      <c r="AA44" s="8" t="e">
        <f>[2]หน้าผ้า!AQ53</f>
        <v>#REF!</v>
      </c>
      <c r="AB44" s="8" t="e">
        <f>[2]หน้าผ้า!AR53</f>
        <v>#REF!</v>
      </c>
      <c r="AC44" s="8" t="e">
        <f>[2]หน้าผ้า!AS53</f>
        <v>#REF!</v>
      </c>
      <c r="AD44" s="8" t="e">
        <f>[2]หน้าผ้า!AT53</f>
        <v>#REF!</v>
      </c>
      <c r="AE44" s="8" t="e">
        <f>[2]หน้าผ้า!AU53</f>
        <v>#REF!</v>
      </c>
      <c r="AF44" s="8" t="str">
        <f>[2]หน้าผ้า!AI53</f>
        <v>ระบุในSD</v>
      </c>
      <c r="AG44" s="1" t="str">
        <f>[3]หน้าผ้า!DC56</f>
        <v>รอตัด</v>
      </c>
      <c r="AH44" s="1">
        <f>[2]หน้าผ้า!DL53</f>
        <v>0</v>
      </c>
      <c r="AI44" s="1" t="str">
        <f>[2]หน้าผ้า!DM53</f>
        <v>Lead time</v>
      </c>
      <c r="AJ44" s="3">
        <f>[2]หน้าผ้า!DN53</f>
        <v>0</v>
      </c>
      <c r="AK44" s="3">
        <f>[2]หน้าผ้า!DQ53</f>
        <v>0</v>
      </c>
      <c r="AL44" s="3">
        <f>[2]หน้าผ้า!DR53</f>
        <v>0</v>
      </c>
      <c r="AM44" s="3">
        <f>[2]หน้าผ้า!DS53</f>
        <v>0</v>
      </c>
      <c r="AN44" s="3">
        <f>[2]หน้าผ้า!DT53</f>
        <v>0</v>
      </c>
      <c r="AO44" s="3">
        <f>[2]หน้าผ้า!DU53</f>
        <v>0</v>
      </c>
      <c r="AP44" s="3">
        <f>[2]หน้าผ้า!DP53</f>
        <v>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>
        <f>[2]หน้าผ้า!EC53</f>
        <v>0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WRWT25800/WRWT25650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45825</v>
      </c>
      <c r="B45" s="14" t="str">
        <f>[2]หน้าผ้า!B54</f>
        <v>MK68-000796</v>
      </c>
      <c r="C45" s="9" t="str">
        <f>[2]หน้าผ้า!E54</f>
        <v>บจก.อินเทคค์ โกลบอล</v>
      </c>
      <c r="D45" s="13" t="str">
        <f>[2]หน้าผ้า!F54</f>
        <v>เฟิร์สช้อย 911</v>
      </c>
      <c r="E45" s="9">
        <f>[2]หน้าผ้า!G54</f>
        <v>20</v>
      </c>
      <c r="F45" s="9">
        <f>[2]หน้าผ้า!H54</f>
        <v>36</v>
      </c>
      <c r="G45" s="9" t="str">
        <f>[2]หน้าผ้า!I54</f>
        <v>ขาว</v>
      </c>
      <c r="H45" s="9" t="str">
        <f>[2]หน้าผ้า!J54</f>
        <v>ด้าน</v>
      </c>
      <c r="I45" s="9">
        <f>[2]หน้าผ้า!L54</f>
        <v>100</v>
      </c>
      <c r="J45" s="9" t="str">
        <f>[2]หน้าผ้า!M54</f>
        <v>±</v>
      </c>
      <c r="K45" s="9">
        <f>[2]หน้าผ้า!N54</f>
        <v>5</v>
      </c>
      <c r="L45" s="9" t="str">
        <f>[2]หน้าผ้า!R54</f>
        <v>จับจีบ4"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มัด80 ใช้สายรัด</v>
      </c>
      <c r="T45" s="12">
        <f>[2]หน้าผ้า!X54</f>
        <v>45843</v>
      </c>
      <c r="U45" s="11">
        <f>[2]หน้าผ้า!AA54</f>
        <v>127</v>
      </c>
      <c r="V45" s="10">
        <f>[2]หน้าผ้า!AJ54</f>
        <v>0</v>
      </c>
      <c r="W45" s="10">
        <f>[2]หน้าผ้า!AL54</f>
        <v>127</v>
      </c>
      <c r="X45" s="10">
        <f>[2]หน้าผ้า!AM54</f>
        <v>6000</v>
      </c>
      <c r="Y45" s="10">
        <f>[2]หน้าผ้า!AN54</f>
        <v>0</v>
      </c>
      <c r="Z45" s="9" t="str">
        <f>[2]หน้าผ้า!AO54</f>
        <v>WSWT2025800SM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รอตัด</v>
      </c>
      <c r="AH45" s="1" t="str">
        <f>[2]หน้าผ้า!DL54</f>
        <v>P6</v>
      </c>
      <c r="AI45" s="1">
        <f>[2]หน้าผ้า!DM54</f>
        <v>4</v>
      </c>
      <c r="AJ45" s="3">
        <f>[2]หน้าผ้า!DN54</f>
        <v>45843</v>
      </c>
      <c r="AK45" s="3">
        <f>[2]หน้าผ้า!DQ54</f>
        <v>45839</v>
      </c>
      <c r="AL45" s="3">
        <f>[2]หน้าผ้า!DR54</f>
        <v>45832</v>
      </c>
      <c r="AM45" s="3">
        <f>[2]หน้าผ้า!DS54</f>
        <v>45840</v>
      </c>
      <c r="AN45" s="3">
        <f>[2]หน้าผ้า!DT54</f>
        <v>45841</v>
      </c>
      <c r="AO45" s="3">
        <f>[2]หน้าผ้า!DU54</f>
        <v>45842</v>
      </c>
      <c r="AP45" s="3">
        <f>[2]หน้าผ้า!DP54</f>
        <v>45838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งานเคลือบ+พิมพ์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WRWT25850/WRWT25850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45782</v>
      </c>
      <c r="B46" s="14" t="str">
        <f>[2]หน้าผ้า!B55</f>
        <v>MK68-000609</v>
      </c>
      <c r="C46" s="9" t="str">
        <f>[2]หน้าผ้า!E55</f>
        <v>บจก.เอสพีเอ็ม อาหารสัตว์</v>
      </c>
      <c r="D46" s="13" t="str">
        <f>[2]หน้าผ้า!F55</f>
        <v xml:space="preserve">SW 441 </v>
      </c>
      <c r="E46" s="9">
        <f>[2]หน้าผ้า!G55</f>
        <v>20</v>
      </c>
      <c r="F46" s="9">
        <f>[2]หน้าผ้า!H55</f>
        <v>38</v>
      </c>
      <c r="G46" s="9" t="str">
        <f>[2]หน้าผ้า!I55</f>
        <v>ขาว</v>
      </c>
      <c r="H46" s="9" t="str">
        <f>[2]หน้าผ้า!J55</f>
        <v>ใส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500กระสอบแบน</v>
      </c>
      <c r="T46" s="12">
        <f>[2]หน้าผ้า!X55</f>
        <v>45846</v>
      </c>
      <c r="U46" s="11">
        <f>[2]หน้าผ้า!AA55</f>
        <v>5000</v>
      </c>
      <c r="V46" s="10">
        <f>[2]หน้าผ้า!AJ55</f>
        <v>3318</v>
      </c>
      <c r="W46" s="10">
        <f>[2]หน้าผ้า!AL55</f>
        <v>1682</v>
      </c>
      <c r="X46" s="10">
        <f>[2]หน้าผ้า!AM55</f>
        <v>5538</v>
      </c>
      <c r="Y46" s="10">
        <f>[2]หน้าผ้า!AN55</f>
        <v>0</v>
      </c>
      <c r="Z46" s="9" t="str">
        <f>[2]หน้าผ้า!AO55</f>
        <v>WSWT2025800SM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พิมพ์ไม่ครบ</v>
      </c>
      <c r="AH46" s="1" t="str">
        <f>[2]หน้าผ้า!DL55</f>
        <v>P6</v>
      </c>
      <c r="AI46" s="1">
        <f>[2]หน้าผ้า!DM55</f>
        <v>4</v>
      </c>
      <c r="AJ46" s="3">
        <f>[2]หน้าผ้า!DN55</f>
        <v>45846</v>
      </c>
      <c r="AK46" s="3">
        <f>[2]หน้าผ้า!DQ55</f>
        <v>45842</v>
      </c>
      <c r="AL46" s="3">
        <f>[2]หน้าผ้า!DR55</f>
        <v>45835</v>
      </c>
      <c r="AM46" s="3">
        <f>[2]หน้าผ้า!DS55</f>
        <v>45843</v>
      </c>
      <c r="AN46" s="3">
        <f>[2]หน้าผ้า!DT55</f>
        <v>45844</v>
      </c>
      <c r="AO46" s="3">
        <f>[2]หน้าผ้า!DU55</f>
        <v>45845</v>
      </c>
      <c r="AP46" s="3">
        <f>[2]หน้าผ้า!DP55</f>
        <v>45841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WRWT25850/WRWT25850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45810</v>
      </c>
      <c r="B47" s="14" t="str">
        <f>[2]หน้าผ้า!B56</f>
        <v>MK68-000741</v>
      </c>
      <c r="C47" s="9" t="str">
        <f>[2]หน้าผ้า!E56</f>
        <v>บจก.เอสพีเอ็ม อาหารสัตว์</v>
      </c>
      <c r="D47" s="13" t="str">
        <f>[2]หน้าผ้า!F56</f>
        <v>SPM 915</v>
      </c>
      <c r="E47" s="9">
        <f>[2]หน้าผ้า!G56</f>
        <v>20</v>
      </c>
      <c r="F47" s="9">
        <f>[2]หน้าผ้า!H56</f>
        <v>38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500กระสอบแบน</v>
      </c>
      <c r="T47" s="12">
        <f>[2]หน้าผ้า!X56</f>
        <v>45846</v>
      </c>
      <c r="U47" s="11">
        <f>[2]หน้าผ้า!AA56</f>
        <v>3000</v>
      </c>
      <c r="V47" s="10">
        <f>[2]หน้าผ้า!AJ56</f>
        <v>0</v>
      </c>
      <c r="W47" s="10">
        <f>[2]หน้าผ้า!AL56</f>
        <v>3000</v>
      </c>
      <c r="X47" s="10">
        <f>[2]หน้าผ้า!AM56</f>
        <v>3250</v>
      </c>
      <c r="Y47" s="10">
        <f>[2]หน้าผ้า!AN56</f>
        <v>0</v>
      </c>
      <c r="Z47" s="9" t="str">
        <f>[2]หน้าผ้า!AO56</f>
        <v>WSWT2025800SM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45846</v>
      </c>
      <c r="AK47" s="3">
        <f>[2]หน้าผ้า!DQ56</f>
        <v>45842</v>
      </c>
      <c r="AL47" s="3">
        <f>[2]หน้าผ้า!DR56</f>
        <v>45835</v>
      </c>
      <c r="AM47" s="3">
        <f>[2]หน้าผ้า!DS56</f>
        <v>45843</v>
      </c>
      <c r="AN47" s="3">
        <f>[2]หน้าผ้า!DT56</f>
        <v>45844</v>
      </c>
      <c r="AO47" s="3">
        <f>[2]หน้าผ้า!DU56</f>
        <v>45845</v>
      </c>
      <c r="AP47" s="3">
        <f>[2]หน้าผ้า!DP56</f>
        <v>45841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45839</v>
      </c>
      <c r="B48" s="14" t="str">
        <f>[2]หน้าผ้า!B57</f>
        <v>MK68-000854</v>
      </c>
      <c r="C48" s="9" t="str">
        <f>[2]หน้าผ้า!E57</f>
        <v>บจก.วีซีเอฟ</v>
      </c>
      <c r="D48" s="13" t="str">
        <f>[2]หน้าผ้า!F57</f>
        <v>VC 181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45847</v>
      </c>
      <c r="U48" s="11">
        <f>[2]หน้าผ้า!AA57</f>
        <v>20000</v>
      </c>
      <c r="V48" s="10">
        <f>[2]หน้าผ้า!AJ57</f>
        <v>0</v>
      </c>
      <c r="W48" s="10">
        <f>[2]หน้าผ้า!AL57</f>
        <v>20000</v>
      </c>
      <c r="X48" s="10">
        <f>[2]หน้าผ้า!AM57</f>
        <v>20200</v>
      </c>
      <c r="Y48" s="10">
        <f>[2]หน้าผ้า!AN57</f>
        <v>0</v>
      </c>
      <c r="Z48" s="9" t="str">
        <f>[2]หน้าผ้า!AO57</f>
        <v>WSWT2025800SM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รอตัด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45847</v>
      </c>
      <c r="AK48" s="3">
        <f>[2]หน้าผ้า!DQ57</f>
        <v>45843</v>
      </c>
      <c r="AL48" s="3">
        <f>[2]หน้าผ้า!DR57</f>
        <v>45836</v>
      </c>
      <c r="AM48" s="3">
        <f>[2]หน้าผ้า!DS57</f>
        <v>45844</v>
      </c>
      <c r="AN48" s="3">
        <f>[2]หน้าผ้า!DT57</f>
        <v>45845</v>
      </c>
      <c r="AO48" s="3">
        <f>[2]หน้าผ้า!DU57</f>
        <v>45846</v>
      </c>
      <c r="AP48" s="3">
        <f>[2]หน้าผ้า!DP57</f>
        <v>45842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45839</v>
      </c>
      <c r="B49" s="14" t="str">
        <f>[2]หน้าผ้า!B58</f>
        <v>MK68-000853</v>
      </c>
      <c r="C49" s="9" t="str">
        <f>[2]หน้าผ้า!E58</f>
        <v>บจก.วีซีเอฟ</v>
      </c>
      <c r="D49" s="13" t="str">
        <f>[2]หน้าผ้า!F58</f>
        <v>JET 153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45852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5250</v>
      </c>
      <c r="Y49" s="10">
        <f>[2]หน้าผ้า!AN58</f>
        <v>4987.5</v>
      </c>
      <c r="Z49" s="9" t="str">
        <f>[2]หน้าผ้า!AO58</f>
        <v>WSWT2025800SM</v>
      </c>
      <c r="AA49" s="8">
        <f>[2]หน้าผ้า!AQ58</f>
        <v>5365.0038750000003</v>
      </c>
      <c r="AB49" s="8">
        <f>[2]หน้าผ้า!AR58</f>
        <v>5365.0038750000003</v>
      </c>
      <c r="AC49" s="8">
        <f>[2]หน้าผ้า!AS58</f>
        <v>0</v>
      </c>
      <c r="AD49" s="8">
        <f>[2]หน้าผ้า!AT58</f>
        <v>5365.0038750000003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45852</v>
      </c>
      <c r="AK49" s="3">
        <f>[2]หน้าผ้า!DQ58</f>
        <v>45848</v>
      </c>
      <c r="AL49" s="3">
        <f>[2]หน้าผ้า!DR58</f>
        <v>45841</v>
      </c>
      <c r="AM49" s="3">
        <f>[2]หน้าผ้า!DS58</f>
        <v>45849</v>
      </c>
      <c r="AN49" s="3">
        <f>[2]หน้าผ้า!DT58</f>
        <v>45850</v>
      </c>
      <c r="AO49" s="3">
        <f>[2]หน้าผ้า!DU58</f>
        <v>45851</v>
      </c>
      <c r="AP49" s="3">
        <f>[2]หน้าผ้า!DP58</f>
        <v>45847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45839</v>
      </c>
      <c r="B50" s="14" t="str">
        <f>[2]หน้าผ้า!B59</f>
        <v>MK68-000853</v>
      </c>
      <c r="C50" s="9" t="str">
        <f>[2]หน้าผ้า!E59</f>
        <v>บจก.วีซีเอฟ</v>
      </c>
      <c r="D50" s="13" t="str">
        <f>[2]หน้าผ้า!F59</f>
        <v>SPEED PLUS 333 เขมร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45852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WSWT2025800SM</v>
      </c>
      <c r="AA50" s="8">
        <f>[2]หน้าผ้า!AQ59</f>
        <v>5378.4500000000007</v>
      </c>
      <c r="AB50" s="8">
        <f>[2]หน้าผ้า!AR59</f>
        <v>5378.4500000000007</v>
      </c>
      <c r="AC50" s="8">
        <f>[2]หน้าผ้า!AS59</f>
        <v>0</v>
      </c>
      <c r="AD50" s="8">
        <f>[2]หน้าผ้า!AT59</f>
        <v>5378.4500000000007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รอแบบ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45852</v>
      </c>
      <c r="AK50" s="3">
        <f>[2]หน้าผ้า!DQ59</f>
        <v>45848</v>
      </c>
      <c r="AL50" s="3">
        <f>[2]หน้าผ้า!DR59</f>
        <v>45841</v>
      </c>
      <c r="AM50" s="3">
        <f>[2]หน้าผ้า!DS59</f>
        <v>45849</v>
      </c>
      <c r="AN50" s="3">
        <f>[2]หน้าผ้า!DT59</f>
        <v>45850</v>
      </c>
      <c r="AO50" s="3">
        <f>[2]หน้าผ้า!DU59</f>
        <v>45851</v>
      </c>
      <c r="AP50" s="3">
        <f>[2]หน้าผ้า!DP59</f>
        <v>45847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45826</v>
      </c>
      <c r="B51" s="14" t="str">
        <f>[2]หน้าผ้า!B60</f>
        <v>MK68-000806</v>
      </c>
      <c r="C51" s="9" t="str">
        <f>[2]หน้าผ้า!E60</f>
        <v>บจก.เอพีเอ็ม อะโกร</v>
      </c>
      <c r="D51" s="13" t="str">
        <f>[2]หน้าผ้า!F60</f>
        <v>ฟีล กู๊ด พี6</v>
      </c>
      <c r="E51" s="9">
        <f>[2]หน้าผ้า!G60</f>
        <v>20</v>
      </c>
      <c r="F51" s="9">
        <f>[2]หน้าผ้า!H60</f>
        <v>38</v>
      </c>
      <c r="G51" s="9" t="str">
        <f>[2]หน้าผ้า!I60</f>
        <v>ขาว</v>
      </c>
      <c r="H51" s="9" t="str">
        <f>[2]หน้าผ้า!J60</f>
        <v>ใส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500กระสอบแบน</v>
      </c>
      <c r="T51" s="12">
        <f>[2]หน้าผ้า!X60</f>
        <v>45856</v>
      </c>
      <c r="U51" s="11">
        <f>[2]หน้าผ้า!AA60</f>
        <v>3000</v>
      </c>
      <c r="V51" s="10">
        <f>[2]หน้าผ้า!AJ60</f>
        <v>0</v>
      </c>
      <c r="W51" s="10">
        <f>[2]หน้าผ้า!AL60</f>
        <v>3000</v>
      </c>
      <c r="X51" s="10">
        <f>[2]หน้าผ้า!AM60</f>
        <v>3395</v>
      </c>
      <c r="Y51" s="10">
        <f>[2]หน้าผ้า!AN60</f>
        <v>0</v>
      </c>
      <c r="Z51" s="9" t="str">
        <f>[2]หน้าผ้า!AO60</f>
        <v>WSWT2025800SM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รอแบบ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45856</v>
      </c>
      <c r="AK51" s="3">
        <f>[2]หน้าผ้า!DQ60</f>
        <v>45852</v>
      </c>
      <c r="AL51" s="3">
        <f>[2]หน้าผ้า!DR60</f>
        <v>45845</v>
      </c>
      <c r="AM51" s="3">
        <f>[2]หน้าผ้า!DS60</f>
        <v>45853</v>
      </c>
      <c r="AN51" s="3">
        <f>[2]หน้าผ้า!DT60</f>
        <v>45854</v>
      </c>
      <c r="AO51" s="3">
        <f>[2]หน้าผ้า!DU60</f>
        <v>45855</v>
      </c>
      <c r="AP51" s="3">
        <f>[2]หน้าผ้า!DP60</f>
        <v>45851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45839</v>
      </c>
      <c r="B52" s="14" t="str">
        <f>[2]หน้าผ้า!B61</f>
        <v>MK68-000853</v>
      </c>
      <c r="C52" s="9" t="str">
        <f>[2]หน้าผ้า!E61</f>
        <v>บจก.วีซีเอฟ</v>
      </c>
      <c r="D52" s="13" t="str">
        <f>[2]หน้าผ้า!F61</f>
        <v>R FEED 405A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 t="str">
        <f>[2]หน้าผ้า!J61</f>
        <v>ใส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500กระสอบแบน</v>
      </c>
      <c r="T52" s="12">
        <f>[2]หน้าผ้า!X61</f>
        <v>45861</v>
      </c>
      <c r="U52" s="11">
        <f>[2]หน้าผ้า!AA61</f>
        <v>10000</v>
      </c>
      <c r="V52" s="10">
        <f>[2]หน้าผ้า!AJ61</f>
        <v>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10500</v>
      </c>
      <c r="Z52" s="9" t="str">
        <f>[2]หน้าผ้า!AO61</f>
        <v>WSWT2025800SM</v>
      </c>
      <c r="AA52" s="8">
        <f>[2]หน้าผ้า!AQ61</f>
        <v>10756.900000000001</v>
      </c>
      <c r="AB52" s="8">
        <f>[2]หน้าผ้า!AR61</f>
        <v>10756.900000000001</v>
      </c>
      <c r="AC52" s="8">
        <f>[2]หน้าผ้า!AS61</f>
        <v>0</v>
      </c>
      <c r="AD52" s="8">
        <f>[2]หน้าผ้า!AT61</f>
        <v>10756.900000000001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รอแบบ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45861</v>
      </c>
      <c r="AK52" s="3">
        <f>[2]หน้าผ้า!DQ61</f>
        <v>45857</v>
      </c>
      <c r="AL52" s="3">
        <f>[2]หน้าผ้า!DR61</f>
        <v>45850</v>
      </c>
      <c r="AM52" s="3">
        <f>[2]หน้าผ้า!DS61</f>
        <v>45858</v>
      </c>
      <c r="AN52" s="3">
        <f>[2]หน้าผ้า!DT61</f>
        <v>45859</v>
      </c>
      <c r="AO52" s="3">
        <f>[2]หน้าผ้า!DU61</f>
        <v>45860</v>
      </c>
      <c r="AP52" s="3">
        <f>[2]หน้าผ้า!DP61</f>
        <v>45856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บจก.อินเทคค์ โกลบอล</v>
      </c>
      <c r="D53" s="13" t="str">
        <f>[2]หน้าผ้า!F62</f>
        <v>รอแบบ</v>
      </c>
      <c r="E53" s="9">
        <f>[2]หน้าผ้า!G62</f>
        <v>20</v>
      </c>
      <c r="F53" s="9">
        <f>[2]หน้าผ้า!H62</f>
        <v>36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>
        <f>[2]หน้าผ้า!X62</f>
        <v>45868</v>
      </c>
      <c r="U53" s="11">
        <f>[2]หน้าผ้า!AA62</f>
        <v>100000</v>
      </c>
      <c r="V53" s="10">
        <f>[2]หน้าผ้า!AJ62</f>
        <v>0</v>
      </c>
      <c r="W53" s="10">
        <f>[2]หน้าผ้า!AL62</f>
        <v>100000</v>
      </c>
      <c r="X53" s="10">
        <f>[2]หน้าผ้า!AM62</f>
        <v>0</v>
      </c>
      <c r="Y53" s="10">
        <f>[2]หน้าผ้า!AN62</f>
        <v>105000</v>
      </c>
      <c r="Z53" s="9" t="str">
        <f>[2]หน้าผ้า!AO62</f>
        <v>WSWT2025800SM</v>
      </c>
      <c r="AA53" s="8">
        <f>[2]หน้าผ้า!AQ62</f>
        <v>104775.00000000001</v>
      </c>
      <c r="AB53" s="8">
        <f>[2]หน้าผ้า!AR62</f>
        <v>34956</v>
      </c>
      <c r="AC53" s="8">
        <f>[2]หน้าผ้า!AS62</f>
        <v>69819.000000000015</v>
      </c>
      <c r="AD53" s="8">
        <f>[2]หน้าผ้า!AT62</f>
        <v>0</v>
      </c>
      <c r="AE53" s="8">
        <f>[2]หน้าผ้า!AU62</f>
        <v>104775.00000000001</v>
      </c>
      <c r="AF53" s="8">
        <f>[2]หน้าผ้า!AI62</f>
        <v>0</v>
      </c>
      <c r="AG53" s="1" t="str">
        <f>[3]หน้าผ้า!DC65</f>
        <v>รอแบบ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45868</v>
      </c>
      <c r="AK53" s="3">
        <f>[2]หน้าผ้า!DQ62</f>
        <v>45864</v>
      </c>
      <c r="AL53" s="3">
        <f>[2]หน้าผ้า!DR62</f>
        <v>45857</v>
      </c>
      <c r="AM53" s="3">
        <f>[2]หน้าผ้า!DS62</f>
        <v>45865</v>
      </c>
      <c r="AN53" s="3">
        <f>[2]หน้าผ้า!DT62</f>
        <v>45866</v>
      </c>
      <c r="AO53" s="3">
        <f>[2]หน้าผ้า!DU62</f>
        <v>45867</v>
      </c>
      <c r="AP53" s="3">
        <f>[2]หน้าผ้า!DP62</f>
        <v>45863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>รอART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5275.213333333334</v>
      </c>
    </row>
    <row r="54" spans="1:56" ht="27.75" customHeight="1" x14ac:dyDescent="0.45">
      <c r="A54" s="3" t="str">
        <f>[2]หน้าผ้า!C63</f>
        <v>ประมาณการ</v>
      </c>
      <c r="B54" s="14" t="str">
        <f>[2]หน้าผ้า!B63</f>
        <v>ประมาณการ</v>
      </c>
      <c r="C54" s="9" t="str">
        <f>[2]หน้าผ้า!E63</f>
        <v>บจก.เอสพีเอ็ม อาหารสัตว์</v>
      </c>
      <c r="D54" s="13" t="str">
        <f>[2]หน้าผ้า!F63</f>
        <v>รอแบบ</v>
      </c>
      <c r="E54" s="9">
        <f>[2]หน้าผ้า!G63</f>
        <v>20</v>
      </c>
      <c r="F54" s="9">
        <f>[2]หน้าผ้า!H63</f>
        <v>38</v>
      </c>
      <c r="G54" s="9" t="str">
        <f>[2]หน้าผ้า!I63</f>
        <v>ขาว</v>
      </c>
      <c r="H54" s="9" t="str">
        <f>[2]หน้าผ้า!J63</f>
        <v>ใส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500กระสอบแบน</v>
      </c>
      <c r="T54" s="12">
        <f>[2]หน้าผ้า!X63</f>
        <v>45868</v>
      </c>
      <c r="U54" s="11">
        <f>[2]หน้าผ้า!AA63</f>
        <v>20000</v>
      </c>
      <c r="V54" s="10">
        <f>[2]หน้าผ้า!AJ63</f>
        <v>0</v>
      </c>
      <c r="W54" s="10">
        <f>[2]หน้าผ้า!AL63</f>
        <v>20000</v>
      </c>
      <c r="X54" s="10">
        <f>[2]หน้าผ้า!AM63</f>
        <v>0</v>
      </c>
      <c r="Y54" s="10">
        <f>[2]หน้าผ้า!AN63</f>
        <v>21000</v>
      </c>
      <c r="Z54" s="9" t="str">
        <f>[2]หน้าผ้า!AO63</f>
        <v>WSWT2025800SM</v>
      </c>
      <c r="AA54" s="8">
        <f>[2]หน้าผ้า!AQ63</f>
        <v>22072.6</v>
      </c>
      <c r="AB54" s="8">
        <f>[2]หน้าผ้า!AR63</f>
        <v>0</v>
      </c>
      <c r="AC54" s="8">
        <f>[2]หน้าผ้า!AS63</f>
        <v>22072.6</v>
      </c>
      <c r="AD54" s="8">
        <f>[2]หน้าผ้า!AT63</f>
        <v>0</v>
      </c>
      <c r="AE54" s="8">
        <f>[2]หน้าผ้า!AU63</f>
        <v>22072.6</v>
      </c>
      <c r="AF54" s="8">
        <f>[2]หน้าผ้า!AI63</f>
        <v>0</v>
      </c>
      <c r="AG54" s="1" t="str">
        <f>[3]หน้าผ้า!DC66</f>
        <v>รอตัด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45868</v>
      </c>
      <c r="AK54" s="3">
        <f>[2]หน้าผ้า!DQ63</f>
        <v>45864</v>
      </c>
      <c r="AL54" s="3">
        <f>[2]หน้าผ้า!DR63</f>
        <v>45857</v>
      </c>
      <c r="AM54" s="3">
        <f>[2]หน้าผ้า!DS63</f>
        <v>45865</v>
      </c>
      <c r="AN54" s="3">
        <f>[2]หน้าผ้า!DT63</f>
        <v>45866</v>
      </c>
      <c r="AO54" s="3">
        <f>[2]หน้าผ้า!DU63</f>
        <v>45867</v>
      </c>
      <c r="AP54" s="3">
        <f>[2]หน้าผ้า!DP63</f>
        <v>45863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1667.7075555555555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บจก.ไทยธรรมดี</v>
      </c>
      <c r="D55" s="13" t="str">
        <f>[2]หน้าผ้า!F64</f>
        <v>รอแบบ</v>
      </c>
      <c r="E55" s="9">
        <f>[2]หน้าผ้า!G64</f>
        <v>20</v>
      </c>
      <c r="F55" s="9">
        <f>[2]หน้าผ้า!H64</f>
        <v>37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97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500กระสอบ</v>
      </c>
      <c r="T55" s="12">
        <f>[2]หน้าผ้า!X64</f>
        <v>45868</v>
      </c>
      <c r="U55" s="11">
        <f>[2]หน้าผ้า!AA64</f>
        <v>20000</v>
      </c>
      <c r="V55" s="10">
        <f>[2]หน้าผ้า!AJ64</f>
        <v>0</v>
      </c>
      <c r="W55" s="10">
        <f>[2]หน้าผ้า!AL64</f>
        <v>20000</v>
      </c>
      <c r="X55" s="10">
        <f>[2]หน้าผ้า!AM64</f>
        <v>0</v>
      </c>
      <c r="Y55" s="10">
        <f>[2]หน้าผ้า!AN64</f>
        <v>21000</v>
      </c>
      <c r="Z55" s="9" t="str">
        <f>[2]หน้าผ้า!AO64</f>
        <v>WSWT2025800SM</v>
      </c>
      <c r="AA55" s="8">
        <f>[2]หน้าผ้า!AQ64</f>
        <v>21513.800000000003</v>
      </c>
      <c r="AB55" s="8">
        <f>[2]หน้าผ้า!AR64</f>
        <v>0</v>
      </c>
      <c r="AC55" s="8">
        <f>[2]หน้าผ้า!AS64</f>
        <v>21513.800000000003</v>
      </c>
      <c r="AD55" s="8">
        <f>[2]หน้าผ้า!AT64</f>
        <v>0</v>
      </c>
      <c r="AE55" s="8">
        <f>[2]หน้าผ้า!AU64</f>
        <v>21513.800000000003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45868</v>
      </c>
      <c r="AK55" s="3">
        <f>[2]หน้าผ้า!DQ64</f>
        <v>45864</v>
      </c>
      <c r="AL55" s="3">
        <f>[2]หน้าผ้า!DR64</f>
        <v>45857</v>
      </c>
      <c r="AM55" s="3">
        <f>[2]หน้าผ้า!DS64</f>
        <v>45865</v>
      </c>
      <c r="AN55" s="3">
        <f>[2]หน้าผ้า!DT64</f>
        <v>45866</v>
      </c>
      <c r="AO55" s="3">
        <f>[2]หน้าผ้า!DU64</f>
        <v>45867</v>
      </c>
      <c r="AP55" s="3">
        <f>[2]หน้าผ้า!DP64</f>
        <v>45863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1625.4871111111113</v>
      </c>
    </row>
    <row r="56" spans="1:56" ht="27.75" customHeight="1" x14ac:dyDescent="0.45">
      <c r="A56" s="3" t="str">
        <f>[2]หน้าผ้า!C65</f>
        <v>ประมาณการ</v>
      </c>
      <c r="B56" s="14" t="str">
        <f>[2]หน้าผ้า!B65</f>
        <v>ประมาณการ</v>
      </c>
      <c r="C56" s="9" t="str">
        <f>[2]หน้าผ้า!E65</f>
        <v>บจก.ซันฟีด</v>
      </c>
      <c r="D56" s="13" t="str">
        <f>[2]หน้าผ้า!F65</f>
        <v>รอแบบ</v>
      </c>
      <c r="E56" s="9">
        <f>[2]หน้าผ้า!G65</f>
        <v>20</v>
      </c>
      <c r="F56" s="9">
        <f>[2]หน้าผ้า!H65</f>
        <v>38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+</v>
      </c>
      <c r="K56" s="9">
        <f>[2]หน้าผ้า!N65</f>
        <v>0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 xml:space="preserve">300กระสอบแบนเต็มใบ </v>
      </c>
      <c r="T56" s="12">
        <f>[2]หน้าผ้า!X65</f>
        <v>45868</v>
      </c>
      <c r="U56" s="11">
        <f>[2]หน้าผ้า!AA65</f>
        <v>100000</v>
      </c>
      <c r="V56" s="10">
        <f>[2]หน้าผ้า!AJ65</f>
        <v>0</v>
      </c>
      <c r="W56" s="10">
        <f>[2]หน้าผ้า!AL65</f>
        <v>100000</v>
      </c>
      <c r="X56" s="10">
        <f>[2]หน้าผ้า!AM65</f>
        <v>0</v>
      </c>
      <c r="Y56" s="10">
        <f>[2]หน้าผ้า!AN65</f>
        <v>105000</v>
      </c>
      <c r="Z56" s="9" t="str">
        <f>[2]หน้าผ้า!AO65</f>
        <v>WSWT2025800SM</v>
      </c>
      <c r="AA56" s="8">
        <f>[2]หน้าผ้า!AQ65</f>
        <v>110363</v>
      </c>
      <c r="AB56" s="8">
        <f>[2]หน้าผ้า!AR65</f>
        <v>0</v>
      </c>
      <c r="AC56" s="8">
        <f>[2]หน้าผ้า!AS65</f>
        <v>110363</v>
      </c>
      <c r="AD56" s="8">
        <f>[2]หน้าผ้า!AT65</f>
        <v>0</v>
      </c>
      <c r="AE56" s="8">
        <f>[2]หน้าผ้า!AU65</f>
        <v>110363</v>
      </c>
      <c r="AF56" s="8">
        <f>[2]หน้าผ้า!AI65</f>
        <v>0</v>
      </c>
      <c r="AG56" s="1" t="str">
        <f>[3]หน้าผ้า!DC68</f>
        <v>รอตัด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45868</v>
      </c>
      <c r="AK56" s="3">
        <f>[2]หน้าผ้า!DQ65</f>
        <v>45864</v>
      </c>
      <c r="AL56" s="3">
        <f>[2]หน้าผ้า!DR65</f>
        <v>45857</v>
      </c>
      <c r="AM56" s="3">
        <f>[2]หน้าผ้า!DS65</f>
        <v>45865</v>
      </c>
      <c r="AN56" s="3">
        <f>[2]หน้าผ้า!DT65</f>
        <v>45866</v>
      </c>
      <c r="AO56" s="3">
        <f>[2]หน้าผ้า!DU65</f>
        <v>45867</v>
      </c>
      <c r="AP56" s="3">
        <f>[2]หน้าผ้า!DP65</f>
        <v>45863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8338.5377777777776</v>
      </c>
    </row>
    <row r="57" spans="1:56" ht="27.75" customHeight="1" x14ac:dyDescent="0.45">
      <c r="A57" s="3">
        <f>[2]หน้าผ้า!C66</f>
        <v>45825</v>
      </c>
      <c r="B57" s="14" t="str">
        <f>[2]หน้าผ้า!B66</f>
        <v>MK68-000801</v>
      </c>
      <c r="C57" s="9" t="str">
        <f>[2]หน้าผ้า!E66</f>
        <v>บจก.อินเทคค์ โกลบอล</v>
      </c>
      <c r="D57" s="13" t="str">
        <f>[2]หน้าผ้า!F66</f>
        <v>สุบรรณ 111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จับจีบ3.5"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894</v>
      </c>
      <c r="V57" s="10">
        <f>[2]หน้าผ้า!AJ66</f>
        <v>0</v>
      </c>
      <c r="W57" s="10">
        <f>[2]หน้าผ้า!AL66</f>
        <v>894</v>
      </c>
      <c r="X57" s="10">
        <f>[2]หน้าผ้า!AM66</f>
        <v>6000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 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45827</v>
      </c>
      <c r="B58" s="14" t="str">
        <f>[2]หน้าผ้า!B67</f>
        <v>MK68-000810</v>
      </c>
      <c r="C58" s="9" t="str">
        <f>[2]หน้าผ้า!E67</f>
        <v>บจก.อินเทคค์ โกลบอล</v>
      </c>
      <c r="D58" s="13" t="str">
        <f>[2]หน้าผ้า!F67</f>
        <v>เฟิร์สคลาส 912</v>
      </c>
      <c r="E58" s="9">
        <f>[2]หน้าผ้า!G67</f>
        <v>20</v>
      </c>
      <c r="F58" s="9">
        <f>[2]หน้าผ้า!H67</f>
        <v>35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97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455</v>
      </c>
      <c r="V58" s="10">
        <f>[2]หน้าผ้า!AJ67</f>
        <v>0</v>
      </c>
      <c r="W58" s="10">
        <f>[2]หน้าผ้า!AL67</f>
        <v>455</v>
      </c>
      <c r="X58" s="10">
        <f>[2]หน้าผ้า!AM67</f>
        <v>6000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รอตัด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45782</v>
      </c>
      <c r="B59" s="14" t="str">
        <f>[2]หน้าผ้า!B68</f>
        <v>MK68-000609</v>
      </c>
      <c r="C59" s="9" t="str">
        <f>[2]หน้าผ้า!E68</f>
        <v>บจก.เอสพีเอ็ม อาหารสัตว์</v>
      </c>
      <c r="D59" s="13" t="str">
        <f>[2]หน้าผ้า!F68</f>
        <v xml:space="preserve">SW 441 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ใส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500กระสอบแบน</v>
      </c>
      <c r="T59" s="12" t="str">
        <f>[2]หน้าผ้า!X68</f>
        <v>รอแจ้ง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5250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รอตัด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 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45799</v>
      </c>
      <c r="B60" s="14" t="str">
        <f>[2]หน้าผ้า!B69</f>
        <v>MK68-000694</v>
      </c>
      <c r="C60" s="9" t="str">
        <f>[2]หน้าผ้า!E69</f>
        <v>บจก.เอ.เจ.ฟาร์ม่าแล็บ</v>
      </c>
      <c r="D60" s="13" t="str">
        <f>[2]หน้าผ้า!F69</f>
        <v>เบส-มิน</v>
      </c>
      <c r="E60" s="9">
        <f>[2]หน้าผ้า!G69</f>
        <v>20</v>
      </c>
      <c r="F60" s="9">
        <f>[2]หน้าผ้า!H69</f>
        <v>34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95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</v>
      </c>
      <c r="T60" s="12" t="str">
        <f>[2]หน้าผ้า!X69</f>
        <v>รอส่ง</v>
      </c>
      <c r="U60" s="11">
        <f>[2]หน้าผ้า!AA69</f>
        <v>8000</v>
      </c>
      <c r="V60" s="10">
        <f>[2]หน้าผ้า!AJ69</f>
        <v>7840</v>
      </c>
      <c r="W60" s="10">
        <f>[2]หน้าผ้า!AL69</f>
        <v>160</v>
      </c>
      <c r="X60" s="10">
        <f>[2]หน้าผ้า!AM69</f>
        <v>8450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ห้ามขาด-ห้ามเกิน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รอส่ง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45796</v>
      </c>
      <c r="B61" s="14" t="str">
        <f>[2]หน้าผ้า!B70</f>
        <v>MK68-000672</v>
      </c>
      <c r="C61" s="9" t="str">
        <f>[2]หน้าผ้า!E70</f>
        <v>บจก.อินเทคค์ โกลบอล</v>
      </c>
      <c r="D61" s="13" t="str">
        <f>[2]หน้าผ้า!F70</f>
        <v>เฟิร์สช้อย 912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 t="str">
        <f>[2]หน้าผ้า!X70</f>
        <v>รอแจ้ง</v>
      </c>
      <c r="U61" s="11">
        <f>[2]หน้าผ้า!AA70</f>
        <v>3853</v>
      </c>
      <c r="V61" s="10">
        <f>[2]หน้าผ้า!AJ70</f>
        <v>0</v>
      </c>
      <c r="W61" s="10">
        <f>[2]หน้าผ้า!AL70</f>
        <v>3853</v>
      </c>
      <c r="X61" s="10">
        <f>[2]หน้าผ้า!AM70</f>
        <v>15401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45796</v>
      </c>
      <c r="B62" s="14" t="str">
        <f>[2]หน้าผ้า!B71</f>
        <v>MK68-000675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914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3360</v>
      </c>
      <c r="V62" s="10">
        <f>[2]หน้าผ้า!AJ71</f>
        <v>0</v>
      </c>
      <c r="W62" s="10">
        <f>[2]หน้าผ้า!AL71</f>
        <v>3360</v>
      </c>
      <c r="X62" s="10">
        <f>[2]หน้าผ้า!AM71</f>
        <v>35200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 t="str">
        <f>[2]หน้าผ้า!AG71</f>
        <v>2/6---6/6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MK68-000676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916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614</v>
      </c>
      <c r="V63" s="10">
        <f>[2]หน้าผ้า!AJ72</f>
        <v>0</v>
      </c>
      <c r="W63" s="10">
        <f>[2]หน้าผ้า!AL72</f>
        <v>614</v>
      </c>
      <c r="X63" s="10">
        <f>[2]หน้าผ้า!AM72</f>
        <v>12101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45796</v>
      </c>
      <c r="B64" s="14" t="str">
        <f>[2]หน้าผ้า!B73</f>
        <v>MK68-000671</v>
      </c>
      <c r="C64" s="9" t="str">
        <f>[2]หน้าผ้า!E73</f>
        <v>บจก.อินเทคค์ โกลบอล</v>
      </c>
      <c r="D64" s="13" t="str">
        <f>[2]หน้าผ้า!F73</f>
        <v>เฟิร์สช้อย 902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 t="str">
        <f>[2]หน้าผ้า!X73</f>
        <v>รอแจ้ง</v>
      </c>
      <c r="U64" s="11">
        <f>[2]หน้าผ้า!AA73</f>
        <v>366</v>
      </c>
      <c r="V64" s="10">
        <f>[2]หน้าผ้า!AJ73</f>
        <v>0</v>
      </c>
      <c r="W64" s="10">
        <f>[2]หน้าผ้า!AL73</f>
        <v>366</v>
      </c>
      <c r="X64" s="10">
        <f>[2]หน้าผ้า!AM73</f>
        <v>5113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รอตัด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45796</v>
      </c>
      <c r="B65" s="14" t="str">
        <f>[2]หน้าผ้า!B74</f>
        <v>MK68-000673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000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 t="str">
        <f>[2]หน้าผ้า!X74</f>
        <v>รอแจ้ง</v>
      </c>
      <c r="U65" s="11">
        <f>[2]หน้าผ้า!AA74</f>
        <v>179</v>
      </c>
      <c r="V65" s="10">
        <f>[2]หน้าผ้า!AJ74</f>
        <v>0</v>
      </c>
      <c r="W65" s="10">
        <f>[2]หน้าผ้า!AL74</f>
        <v>179</v>
      </c>
      <c r="X65" s="10">
        <f>[2]หน้าผ้า!AM74</f>
        <v>11000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 t="str">
        <f>[2]หน้าผ้า!DN74</f>
        <v>รอแจ้ง</v>
      </c>
      <c r="AK65" s="3" t="e">
        <f>[2]หน้าผ้า!DQ74</f>
        <v>#VALUE!</v>
      </c>
      <c r="AL65" s="3" t="e">
        <f>[2]หน้าผ้า!DR74</f>
        <v>#VALUE!</v>
      </c>
      <c r="AM65" s="3" t="e">
        <f>[2]หน้าผ้า!DS74</f>
        <v>#VALUE!</v>
      </c>
      <c r="AN65" s="3" t="e">
        <f>[2]หน้าผ้า!DT74</f>
        <v>#VALUE!</v>
      </c>
      <c r="AO65" s="3" t="e">
        <f>[2]หน้าผ้า!DU74</f>
        <v>#VALUE!</v>
      </c>
      <c r="AP65" s="3" t="e">
        <f>[2]หน้าผ้า!DP74</f>
        <v>#VALUE!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45796</v>
      </c>
      <c r="B66" s="14" t="str">
        <f>[2]หน้าผ้า!B75</f>
        <v>MK68-000673</v>
      </c>
      <c r="C66" s="9" t="str">
        <f>[2]หน้าผ้า!E75</f>
        <v>บจก.อินเทคค์ โกลบอล</v>
      </c>
      <c r="D66" s="13" t="str">
        <f>[2]หน้าผ้า!F75</f>
        <v>เพอเฟคค์ 902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 t="str">
        <f>[2]หน้าผ้า!X75</f>
        <v>รอแจ้ง</v>
      </c>
      <c r="U66" s="11">
        <f>[2]หน้าผ้า!AA75</f>
        <v>302</v>
      </c>
      <c r="V66" s="10">
        <f>[2]หน้าผ้า!AJ75</f>
        <v>0</v>
      </c>
      <c r="W66" s="10">
        <f>[2]หน้าผ้า!AL75</f>
        <v>302</v>
      </c>
      <c r="X66" s="10">
        <f>[2]หน้าผ้า!AM75</f>
        <v>5300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 t="str">
        <f>[2]หน้าผ้า!DN75</f>
        <v>รอแจ้ง</v>
      </c>
      <c r="AK66" s="3" t="e">
        <f>[2]หน้าผ้า!DQ75</f>
        <v>#VALUE!</v>
      </c>
      <c r="AL66" s="3" t="e">
        <f>[2]หน้าผ้า!DR75</f>
        <v>#VALUE!</v>
      </c>
      <c r="AM66" s="3" t="e">
        <f>[2]หน้าผ้า!DS75</f>
        <v>#VALUE!</v>
      </c>
      <c r="AN66" s="3" t="e">
        <f>[2]หน้าผ้า!DT75</f>
        <v>#VALUE!</v>
      </c>
      <c r="AO66" s="3" t="e">
        <f>[2]หน้าผ้า!DU75</f>
        <v>#VALUE!</v>
      </c>
      <c r="AP66" s="3" t="e">
        <f>[2]หน้าผ้า!DP75</f>
        <v>#VALUE!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45796</v>
      </c>
      <c r="B67" s="14" t="str">
        <f>[2]หน้าผ้า!B76</f>
        <v>MK68-000674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913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1200</v>
      </c>
      <c r="V67" s="10">
        <f>[2]หน้าผ้า!AJ76</f>
        <v>0</v>
      </c>
      <c r="W67" s="10">
        <f>[2]หน้าผ้า!AL76</f>
        <v>1200</v>
      </c>
      <c r="X67" s="10">
        <f>[2]หน้าผ้า!AM76</f>
        <v>10700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45798</v>
      </c>
      <c r="B68" s="14" t="str">
        <f>[2]หน้าผ้า!B77</f>
        <v>MK68-000693</v>
      </c>
      <c r="C68" s="9" t="str">
        <f>[2]หน้าผ้า!E77</f>
        <v>บจก.เอพีเอ็ม อะโกร</v>
      </c>
      <c r="D68" s="13" t="str">
        <f>[2]หน้าผ้า!F77</f>
        <v>ฟีล กู๊ด พี07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 t="str">
        <f>[2]หน้าผ้า!X77</f>
        <v>รอแจ้ง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WSWT2025800SM</v>
      </c>
      <c r="AA68" s="8">
        <f>[2]หน้าผ้า!AQ77</f>
        <v>5518.15</v>
      </c>
      <c r="AB68" s="8">
        <f>[2]หน้าผ้า!AR77</f>
        <v>0</v>
      </c>
      <c r="AC68" s="8">
        <f>[2]หน้าผ้า!AS77</f>
        <v>5518.15</v>
      </c>
      <c r="AD68" s="8">
        <f>[2]หน้าผ้า!AT77</f>
        <v>0</v>
      </c>
      <c r="AE68" s="8">
        <f>[2]หน้าผ้า!AU77</f>
        <v>5518.15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 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416.92688888888887</v>
      </c>
    </row>
    <row r="69" spans="1:56" ht="27.75" customHeight="1" x14ac:dyDescent="0.45">
      <c r="A69" s="3">
        <f>[2]หน้าผ้า!C78</f>
        <v>45782</v>
      </c>
      <c r="B69" s="14" t="str">
        <f>[2]หน้าผ้า!B78</f>
        <v>MK68-000609</v>
      </c>
      <c r="C69" s="9" t="str">
        <f>[2]หน้าผ้า!E78</f>
        <v>บจก.เอสพีเอ็ม อาหารสัตว์</v>
      </c>
      <c r="D69" s="13" t="str">
        <f>[2]หน้าผ้า!F78</f>
        <v xml:space="preserve">SW 441 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 t="str">
        <f>[2]หน้าผ้า!X78</f>
        <v>รอแจ้ง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WSWT2025800SM</v>
      </c>
      <c r="AA69" s="8">
        <f>[2]หน้าผ้า!AQ78</f>
        <v>11036.3</v>
      </c>
      <c r="AB69" s="8">
        <f>[2]หน้าผ้า!AR78</f>
        <v>0</v>
      </c>
      <c r="AC69" s="8">
        <f>[2]หน้าผ้า!AS78</f>
        <v>11036.3</v>
      </c>
      <c r="AD69" s="8">
        <f>[2]หน้าผ้า!AT78</f>
        <v>0</v>
      </c>
      <c r="AE69" s="8">
        <f>[2]หน้าผ้า!AU78</f>
        <v>11036.3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 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833.85377777777774</v>
      </c>
    </row>
    <row r="70" spans="1:56" ht="27.75" customHeight="1" x14ac:dyDescent="0.45">
      <c r="A70" s="3">
        <f>[2]หน้าผ้า!C79</f>
        <v>45810</v>
      </c>
      <c r="B70" s="14" t="str">
        <f>[2]หน้าผ้า!B79</f>
        <v>MK68-000742</v>
      </c>
      <c r="C70" s="9" t="str">
        <f>[2]หน้าผ้า!E79</f>
        <v>บจก.เอสพีเอ็ม อาหารสัตว์</v>
      </c>
      <c r="D70" s="13" t="str">
        <f>[2]หน้าผ้า!F79</f>
        <v>นีโอ 05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 t="str">
        <f>[2]หน้าผ้า!X79</f>
        <v>รอแจ้ง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WSWT2025800SM</v>
      </c>
      <c r="AA70" s="8">
        <f>[2]หน้าผ้า!AQ79</f>
        <v>5518.15</v>
      </c>
      <c r="AB70" s="8">
        <f>[2]หน้าผ้า!AR79</f>
        <v>0</v>
      </c>
      <c r="AC70" s="8">
        <f>[2]หน้าผ้า!AS79</f>
        <v>5518.15</v>
      </c>
      <c r="AD70" s="8">
        <f>[2]หน้าผ้า!AT79</f>
        <v>0</v>
      </c>
      <c r="AE70" s="8">
        <f>[2]หน้าผ้า!AU79</f>
        <v>5518.15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416.92688888888887</v>
      </c>
    </row>
    <row r="71" spans="1:56" ht="27.75" customHeight="1" x14ac:dyDescent="0.45">
      <c r="A71" s="3">
        <f>[2]หน้าผ้า!C80</f>
        <v>45681</v>
      </c>
      <c r="B71" s="14" t="str">
        <f>[2]หน้าผ้า!B80</f>
        <v>MK68-000122</v>
      </c>
      <c r="C71" s="9" t="str">
        <f>[2]หน้าผ้า!E80</f>
        <v>บจก.เอสพีเอ็ม อาหารสัตว์</v>
      </c>
      <c r="D71" s="13" t="str">
        <f>[2]หน้าผ้า!F80</f>
        <v>SPM 212</v>
      </c>
      <c r="E71" s="9">
        <f>[2]หน้าผ้า!G80</f>
        <v>20</v>
      </c>
      <c r="F71" s="9">
        <f>[2]หน้าผ้า!H80</f>
        <v>40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108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 t="str">
        <f>[2]หน้าผ้า!X80</f>
        <v>รอแจ้ง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0</v>
      </c>
      <c r="Y71" s="10">
        <f>[2]หน้าผ้า!AN80</f>
        <v>3150</v>
      </c>
      <c r="Z71" s="9" t="str">
        <f>[2]หน้าผ้า!AO80</f>
        <v>WSWT2025800SM</v>
      </c>
      <c r="AA71" s="8">
        <f>[2]หน้าผ้า!AQ80</f>
        <v>3478.5300000000007</v>
      </c>
      <c r="AB71" s="8">
        <f>[2]หน้าผ้า!AR80</f>
        <v>0</v>
      </c>
      <c r="AC71" s="8">
        <f>[2]หน้าผ้า!AS80</f>
        <v>3478.5300000000007</v>
      </c>
      <c r="AD71" s="8">
        <f>[2]หน้าผ้า!AT80</f>
        <v>0</v>
      </c>
      <c r="AE71" s="8">
        <f>[2]หน้าผ้า!AU80</f>
        <v>3478.5300000000007</v>
      </c>
      <c r="AF71" s="8">
        <f>[2]หน้าผ้า!AI80</f>
        <v>0</v>
      </c>
      <c r="AG71" s="1" t="str">
        <f>[3]หน้าผ้า!DC83</f>
        <v>รอตัด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262.82226666666674</v>
      </c>
    </row>
    <row r="72" spans="1:56" ht="27.75" customHeight="1" x14ac:dyDescent="0.45">
      <c r="A72" s="3">
        <f>[2]หน้าผ้า!C81</f>
        <v>45674</v>
      </c>
      <c r="B72" s="14" t="str">
        <f>[2]หน้าผ้า!B81</f>
        <v>MK68-000093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เฟิร์สคลาส 902</v>
      </c>
      <c r="E72" s="9">
        <f>[2]หน้าผ้า!G81</f>
        <v>20</v>
      </c>
      <c r="F72" s="9">
        <f>[2]หน้าผ้า!H81</f>
        <v>35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97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 t="str">
        <f>[2]หน้าผ้า!X81</f>
        <v>รอแจ้ง</v>
      </c>
      <c r="U72" s="11">
        <f>[2]หน้าผ้า!AA81</f>
        <v>152</v>
      </c>
      <c r="V72" s="10">
        <f>[2]หน้าผ้า!AJ81</f>
        <v>0</v>
      </c>
      <c r="W72" s="10">
        <f>[2]หน้าผ้า!AL81</f>
        <v>152</v>
      </c>
      <c r="X72" s="10">
        <f>[2]หน้าผ้า!AM81</f>
        <v>6000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5987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 t="str">
        <f>[2]หน้าผ้า!AG81</f>
        <v>ลบสี 5040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45611</v>
      </c>
      <c r="B73" s="14" t="str">
        <f>[2]หน้าผ้า!B82</f>
        <v>MK67-001532</v>
      </c>
      <c r="C73" s="9" t="str">
        <f>[2]หน้าผ้า!E82</f>
        <v>บจก.อินเทคค์ โกลบอล</v>
      </c>
      <c r="D73" s="13" t="str">
        <f>[2]หน้าผ้า!F82</f>
        <v>เฟิร์สช้อย 903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 t="str">
        <f>[2]หน้าผ้า!X82</f>
        <v>รอแจ้ง</v>
      </c>
      <c r="U73" s="11">
        <f>[2]หน้าผ้า!AA82</f>
        <v>117</v>
      </c>
      <c r="V73" s="10">
        <f>[2]หน้าผ้า!AJ82</f>
        <v>0</v>
      </c>
      <c r="W73" s="10">
        <f>[2]หน้าผ้า!AL82</f>
        <v>117</v>
      </c>
      <c r="X73" s="10">
        <f>[2]หน้าผ้า!AM82</f>
        <v>10065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45523</v>
      </c>
      <c r="B74" s="14" t="str">
        <f>[2]หน้าผ้า!B83</f>
        <v>MK67-001153</v>
      </c>
      <c r="C74" s="9" t="str">
        <f>[2]หน้าผ้า!E83</f>
        <v>บจก.อินเทคค์ โกลบอล</v>
      </c>
      <c r="D74" s="13" t="str">
        <f>[2]หน้าผ้า!F83</f>
        <v>สุบรรณ 777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 t="str">
        <f>[2]หน้าผ้า!X83</f>
        <v>รอแจ้ง</v>
      </c>
      <c r="U74" s="11">
        <f>[2]หน้าผ้า!AA83</f>
        <v>1260</v>
      </c>
      <c r="V74" s="10">
        <f>[2]หน้าผ้า!AJ83</f>
        <v>0</v>
      </c>
      <c r="W74" s="10">
        <f>[2]หน้าผ้า!AL83</f>
        <v>1260</v>
      </c>
      <c r="X74" s="10">
        <f>[2]หน้าผ้า!AM83</f>
        <v>11095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45523</v>
      </c>
      <c r="B75" s="14" t="str">
        <f>[2]หน้าผ้า!B84</f>
        <v>MK67-001153</v>
      </c>
      <c r="C75" s="9" t="str">
        <f>[2]หน้าผ้า!E84</f>
        <v>บจก.อินเทคค์ โกลบอล</v>
      </c>
      <c r="D75" s="13" t="str">
        <f>[2]หน้าผ้า!F84</f>
        <v>สุบรรณ 666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89</v>
      </c>
      <c r="V75" s="10">
        <f>[2]หน้าผ้า!AJ84</f>
        <v>0</v>
      </c>
      <c r="W75" s="10">
        <f>[2]หน้าผ้า!AL84</f>
        <v>89</v>
      </c>
      <c r="X75" s="10">
        <f>[2]หน้าผ้า!AM84</f>
        <v>11180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45741</v>
      </c>
      <c r="B76" s="14" t="str">
        <f>[2]หน้าผ้า!B85</f>
        <v>MK68-000452</v>
      </c>
      <c r="C76" s="9" t="str">
        <f>[2]หน้าผ้า!E85</f>
        <v>บจก.เอพีเอ็ม อะโกร</v>
      </c>
      <c r="D76" s="13" t="str">
        <f>[2]หน้าผ้า!F85</f>
        <v>วี-ฟีด วี 07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 t="str">
        <f>[2]หน้าผ้า!X85</f>
        <v>รอส่ง</v>
      </c>
      <c r="U76" s="11">
        <f>[2]หน้าผ้า!AA85</f>
        <v>4000</v>
      </c>
      <c r="V76" s="10">
        <f>[2]หน้าผ้า!AJ85</f>
        <v>3857</v>
      </c>
      <c r="W76" s="10">
        <f>[2]หน้าผ้า!AL85</f>
        <v>143</v>
      </c>
      <c r="X76" s="10">
        <f>[2]หน้าผ้า!AM85</f>
        <v>4200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รอส่ง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 t="str">
        <f>[2]หน้าผ้า!AG85</f>
        <v>มีลบสี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45720</v>
      </c>
      <c r="B77" s="14" t="str">
        <f>[2]หน้าผ้า!B86</f>
        <v>ใบรับคำสั่งซื้อ</v>
      </c>
      <c r="C77" s="9" t="str">
        <f>[2]หน้าผ้า!E86</f>
        <v>บจก.เอพีเอ็ม อะโกร</v>
      </c>
      <c r="D77" s="13" t="str">
        <f>[2]หน้าผ้า!F86</f>
        <v>นีโอ พี3(เอส)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 t="str">
        <f>[2]หน้าผ้า!X86</f>
        <v>รอส่ง</v>
      </c>
      <c r="U77" s="11">
        <f>[2]หน้าผ้า!AA86</f>
        <v>4000</v>
      </c>
      <c r="V77" s="10">
        <f>[2]หน้าผ้า!AJ86</f>
        <v>4010</v>
      </c>
      <c r="W77" s="10">
        <f>[2]หน้าผ้า!AL86</f>
        <v>0</v>
      </c>
      <c r="X77" s="10">
        <f>[2]หน้าผ้า!AM86</f>
        <v>4470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รอส่ง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45720</v>
      </c>
      <c r="B78" s="14" t="str">
        <f>[2]หน้าผ้า!B87</f>
        <v>ใบรับคำสั่งซื้อ</v>
      </c>
      <c r="C78" s="9" t="str">
        <f>[2]หน้าผ้า!E87</f>
        <v>บจก.เอพีเอ็ม อะโกร</v>
      </c>
      <c r="D78" s="13" t="str">
        <f>[2]หน้าผ้า!F87</f>
        <v>นีโอ พี4(เอส)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 t="str">
        <f>[2]หน้าผ้า!X87</f>
        <v>รอส่ง</v>
      </c>
      <c r="U78" s="11">
        <f>[2]หน้าผ้า!AA87</f>
        <v>3000</v>
      </c>
      <c r="V78" s="10">
        <f>[2]หน้าผ้า!AJ87</f>
        <v>3065</v>
      </c>
      <c r="W78" s="10">
        <f>[2]หน้าผ้า!AL87</f>
        <v>0</v>
      </c>
      <c r="X78" s="10">
        <f>[2]หน้าผ้า!AM87</f>
        <v>3300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รอส่ง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45541</v>
      </c>
      <c r="B79" s="14" t="str">
        <f>[2]หน้าผ้า!B88</f>
        <v>MK67-001236</v>
      </c>
      <c r="C79" s="9" t="str">
        <f>[2]หน้าผ้า!E88</f>
        <v>บจก.เอพีเอ็ม อะโกร</v>
      </c>
      <c r="D79" s="13" t="str">
        <f>[2]หน้าผ้า!F88</f>
        <v>ยูฟีด รวมไก่ วัว</v>
      </c>
      <c r="E79" s="9">
        <f>[2]หน้าผ้า!G88</f>
        <v>20</v>
      </c>
      <c r="F79" s="9">
        <f>[2]หน้าผ้า!H88</f>
        <v>40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108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 t="str">
        <f>[2]หน้าผ้า!X88</f>
        <v>รอส่ง</v>
      </c>
      <c r="U79" s="11">
        <f>[2]หน้าผ้า!AA88</f>
        <v>3000</v>
      </c>
      <c r="V79" s="10">
        <f>[2]หน้าผ้า!AJ88</f>
        <v>3318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ลูกค้าสั่งผิดเอาไปส่งเดือน10</v>
      </c>
      <c r="AG79" s="1" t="str">
        <f>[3]หน้าผ้า!DC91</f>
        <v>รอแบบ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รอส่ง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>
        <f>[2]หน้าผ้า!ED88</f>
        <v>0</v>
      </c>
      <c r="AY79" s="2" t="str">
        <f>[2]หน้าผ้า!AG88</f>
        <v>ลูกค้าต้องการเคลือบใส แต่เปิดมาเคลือบด้าน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45581</v>
      </c>
      <c r="B80" s="14" t="str">
        <f>[2]หน้าผ้า!B89</f>
        <v>MK67-001396</v>
      </c>
      <c r="C80" s="9" t="str">
        <f>[2]หน้าผ้า!E89</f>
        <v>บจก.เอพีเอ็ม อะโกร</v>
      </c>
      <c r="D80" s="13" t="str">
        <f>[2]หน้าผ้า!F89</f>
        <v>นีโอ พี4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รอส่ง</v>
      </c>
      <c r="U80" s="11">
        <f>[2]หน้าผ้า!AA89</f>
        <v>3000</v>
      </c>
      <c r="V80" s="10">
        <f>[2]หน้าผ้า!AJ89</f>
        <v>3194</v>
      </c>
      <c r="W80" s="10">
        <f>[2]หน้าผ้า!AL89</f>
        <v>0</v>
      </c>
      <c r="X80" s="10">
        <f>[2]หน้าผ้า!AM89</f>
        <v>5632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รอส่ง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20</v>
      </c>
      <c r="F81" s="9">
        <f>[2]หน้าผ้า!H90</f>
        <v>38</v>
      </c>
      <c r="G81" s="9">
        <f>[2]หน้าผ้า!I90</f>
        <v>0</v>
      </c>
      <c r="H81" s="9">
        <f>[2]หน้าผ้า!J90</f>
        <v>0</v>
      </c>
      <c r="I81" s="9">
        <f>[2]หน้าผ้า!L90</f>
        <v>84</v>
      </c>
      <c r="J81" s="9" t="str">
        <f>[2]หน้าผ้า!M90</f>
        <v>±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305775.88387500006</v>
      </c>
      <c r="AB81" s="8">
        <f>[2]หน้าผ้า!AR90</f>
        <v>56456.353875000001</v>
      </c>
      <c r="AC81" s="8">
        <f>[2]หน้าผ้า!AS90</f>
        <v>249319.53</v>
      </c>
      <c r="AD81" s="8">
        <f>[2]หน้าผ้า!AT90</f>
        <v>21500.353875000001</v>
      </c>
      <c r="AE81" s="8">
        <f>[2]หน้าผ้า!AU90</f>
        <v>284275.53000000009</v>
      </c>
      <c r="AF81" s="8" t="str">
        <f>[2]หน้าผ้า!AI90</f>
        <v>ระบุในSD</v>
      </c>
      <c r="AG81" s="1" t="str">
        <f>[3]หน้าผ้า!DC93</f>
        <v>พร้อมส่ง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บจก.ซันฟีด</v>
      </c>
      <c r="D82" s="13" t="str">
        <f>[2]หน้าผ้า!F91</f>
        <v>รอแบบ</v>
      </c>
      <c r="E82" s="9">
        <f>[2]หน้าผ้า!G91</f>
        <v>20</v>
      </c>
      <c r="F82" s="9">
        <f>[2]หน้าผ้า!H91</f>
        <v>39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84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45868</v>
      </c>
      <c r="U82" s="11">
        <f>[2]หน้าผ้า!AA91</f>
        <v>100000</v>
      </c>
      <c r="V82" s="10">
        <f>[2]หน้าผ้า!AJ91</f>
        <v>0</v>
      </c>
      <c r="W82" s="10">
        <f>[2]หน้าผ้า!AL91</f>
        <v>100000</v>
      </c>
      <c r="X82" s="10">
        <f>[2]หน้าผ้า!AM91</f>
        <v>0</v>
      </c>
      <c r="Y82" s="10">
        <f>[2]หน้าผ้า!AN91</f>
        <v>105000</v>
      </c>
      <c r="Z82" s="9" t="str">
        <f>[2]หน้าผ้า!AO91</f>
        <v>WSWT2025850</v>
      </c>
      <c r="AA82" s="8">
        <f>[2]หน้าผ้า!AQ91</f>
        <v>113157.00000000001</v>
      </c>
      <c r="AB82" s="8">
        <f>[2]หน้าผ้า!AR91</f>
        <v>32082</v>
      </c>
      <c r="AC82" s="8">
        <f>[2]หน้าผ้า!AS91</f>
        <v>81075.000000000015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รอตัด</v>
      </c>
      <c r="AH82" s="1" t="str">
        <f>[2]หน้าผ้า!DL91</f>
        <v>P7</v>
      </c>
      <c r="AI82" s="1">
        <f>[2]หน้าผ้า!DM91</f>
        <v>2</v>
      </c>
      <c r="AJ82" s="3">
        <f>[2]หน้าผ้า!DN91</f>
        <v>45868</v>
      </c>
      <c r="AK82" s="3">
        <f>[2]หน้าผ้า!DQ91</f>
        <v>0</v>
      </c>
      <c r="AL82" s="3">
        <f>[2]หน้าผ้า!DR91</f>
        <v>45859</v>
      </c>
      <c r="AM82" s="3">
        <f>[2]หน้าผ้า!DS91</f>
        <v>45866</v>
      </c>
      <c r="AN82" s="3">
        <f>[2]หน้าผ้า!DT91</f>
        <v>45867</v>
      </c>
      <c r="AO82" s="3">
        <f>[2]หน้าผ้า!DU91</f>
        <v>45867</v>
      </c>
      <c r="AP82" s="3">
        <f>[2]หน้าผ้า!DP91</f>
        <v>45863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WRWT25850/WRWT25800</v>
      </c>
      <c r="BD82" s="56">
        <f>[2]หน้าผ้า!CA91</f>
        <v>6386.9083333333356</v>
      </c>
    </row>
    <row r="83" spans="1:56" ht="27.7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20</v>
      </c>
      <c r="F83" s="9">
        <f>[2]หน้าผ้า!H92</f>
        <v>38</v>
      </c>
      <c r="G83" s="9">
        <f>[2]หน้าผ้า!I92</f>
        <v>0</v>
      </c>
      <c r="H83" s="9">
        <f>[2]หน้าผ้า!J92</f>
        <v>0</v>
      </c>
      <c r="I83" s="9">
        <f>[2]หน้าผ้า!L92</f>
        <v>82</v>
      </c>
      <c r="J83" s="9" t="str">
        <f>[2]หน้าผ้า!M92</f>
        <v>+</v>
      </c>
      <c r="K83" s="9">
        <f>[2]หน้าผ้า!N92</f>
        <v>2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>
        <f>[2]หน้าผ้า!AJ92</f>
        <v>0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WSWT2025850</v>
      </c>
      <c r="AA83" s="8">
        <f>[2]หน้าผ้า!AQ92</f>
        <v>113157.00000000001</v>
      </c>
      <c r="AB83" s="8">
        <f>[2]หน้าผ้า!AR92</f>
        <v>32082</v>
      </c>
      <c r="AC83" s="8">
        <f>[2]หน้าผ้า!AS92</f>
        <v>81075.000000000015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ระบุในSD</v>
      </c>
      <c r="AG83" s="1" t="str">
        <f>[3]หน้าผ้า!DC95</f>
        <v>ยังไม่ได้พิมพ์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WRWT200850/WRWT25800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0</v>
      </c>
      <c r="B84" s="14">
        <f>[2]หน้าผ้า!B93</f>
        <v>0</v>
      </c>
      <c r="C84" s="9">
        <f>[2]หน้าผ้า!E93</f>
        <v>0</v>
      </c>
      <c r="D84" s="13">
        <f>[2]หน้าผ้า!F93</f>
        <v>0</v>
      </c>
      <c r="E84" s="9">
        <f>[2]หน้าผ้า!G93</f>
        <v>20</v>
      </c>
      <c r="F84" s="9">
        <f>[2]หน้าผ้า!H93</f>
        <v>37</v>
      </c>
      <c r="G84" s="9">
        <f>[2]หน้าผ้า!I93</f>
        <v>0</v>
      </c>
      <c r="H84" s="9">
        <f>[2]หน้าผ้า!J93</f>
        <v>0</v>
      </c>
      <c r="I84" s="9">
        <f>[2]หน้าผ้า!L93</f>
        <v>82</v>
      </c>
      <c r="J84" s="9" t="str">
        <f>[2]หน้าผ้า!M93</f>
        <v>±</v>
      </c>
      <c r="K84" s="9">
        <f>[2]หน้าผ้า!N93</f>
        <v>5</v>
      </c>
      <c r="L84" s="9">
        <f>[2]หน้าผ้า!R93</f>
        <v>0</v>
      </c>
      <c r="M84" s="10">
        <f>[2]หน้าผ้า!T93</f>
        <v>0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>
        <f>[2]หน้าผ้า!Z93</f>
        <v>0</v>
      </c>
      <c r="T84" s="12">
        <f>[2]หน้าผ้า!X93</f>
        <v>0</v>
      </c>
      <c r="U84" s="11">
        <f>[2]หน้าผ้า!AA93</f>
        <v>0</v>
      </c>
      <c r="V84" s="10">
        <f>[2]หน้าผ้า!AJ93</f>
        <v>0</v>
      </c>
      <c r="W84" s="10">
        <f>[2]หน้าผ้า!AL93</f>
        <v>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WSWT2021750</v>
      </c>
      <c r="AA84" s="8" t="e">
        <f>[2]หน้าผ้า!AQ93</f>
        <v>#REF!</v>
      </c>
      <c r="AB84" s="8" t="e">
        <f>[2]หน้าผ้า!AR93</f>
        <v>#REF!</v>
      </c>
      <c r="AC84" s="8" t="e">
        <f>[2]หน้าผ้า!AS93</f>
        <v>#REF!</v>
      </c>
      <c r="AD84" s="8" t="e">
        <f>[2]หน้าผ้า!AT93</f>
        <v>#REF!</v>
      </c>
      <c r="AE84" s="8" t="e">
        <f>[2]หน้าผ้า!AU93</f>
        <v>#REF!</v>
      </c>
      <c r="AF84" s="8" t="str">
        <f>[2]หน้าผ้า!AI93</f>
        <v>ระบุในSD</v>
      </c>
      <c r="AG84" s="1" t="str">
        <f>[3]หน้าผ้า!DC96</f>
        <v>พิมพ์ไม่ครบ</v>
      </c>
      <c r="AH84" s="1">
        <f>[2]หน้าผ้า!DL93</f>
        <v>0</v>
      </c>
      <c r="AI84" s="1" t="str">
        <f>[2]หน้าผ้า!DM93</f>
        <v>Lead time</v>
      </c>
      <c r="AJ84" s="3">
        <f>[2]หน้าผ้า!DN93</f>
        <v>0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0</v>
      </c>
      <c r="AP84" s="3">
        <f>[2]หน้าผ้า!DP93</f>
        <v>0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>
        <f>[2]หน้าผ้า!EC93</f>
        <v>0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WRWT200750/WRWT21750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45825</v>
      </c>
      <c r="B85" s="14" t="str">
        <f>[2]หน้าผ้า!B94</f>
        <v>MK68-000798</v>
      </c>
      <c r="C85" s="9" t="str">
        <f>[2]หน้าผ้า!E94</f>
        <v>บจก.อินเทคค์ โกลบอล</v>
      </c>
      <c r="D85" s="13" t="str">
        <f>[2]หน้าผ้า!F94</f>
        <v>เพอเฟคค์ 664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78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จับจีบ4"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45847</v>
      </c>
      <c r="U85" s="11">
        <f>[2]หน้าผ้า!AA94</f>
        <v>19280</v>
      </c>
      <c r="V85" s="10">
        <f>[2]หน้าผ้า!AJ94</f>
        <v>0</v>
      </c>
      <c r="W85" s="10">
        <f>[2]หน้าผ้า!AL94</f>
        <v>19280</v>
      </c>
      <c r="X85" s="10">
        <f>[2]หน้าผ้า!AM94</f>
        <v>41600</v>
      </c>
      <c r="Y85" s="10">
        <f>[2]หน้าผ้า!AN94</f>
        <v>0</v>
      </c>
      <c r="Z85" s="9" t="str">
        <f>[2]หน้าผ้า!AO94</f>
        <v>WSWT2025800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ห้ามขาด-ห้ามเกิน</v>
      </c>
      <c r="AG85" s="1" t="str">
        <f>[3]หน้าผ้า!DC97</f>
        <v>ยังไม่ได้พิมพ์</v>
      </c>
      <c r="AH85" s="1" t="str">
        <f>[2]หน้าผ้า!DL94</f>
        <v>P7</v>
      </c>
      <c r="AI85" s="1">
        <f>[2]หน้าผ้า!DM94</f>
        <v>2</v>
      </c>
      <c r="AJ85" s="3">
        <f>[2]หน้าผ้า!DN94</f>
        <v>45847</v>
      </c>
      <c r="AK85" s="3">
        <f>[2]หน้าผ้า!DQ94</f>
        <v>0</v>
      </c>
      <c r="AL85" s="3">
        <f>[2]หน้าผ้า!DR94</f>
        <v>45838</v>
      </c>
      <c r="AM85" s="3">
        <f>[2]หน้าผ้า!DS94</f>
        <v>45845</v>
      </c>
      <c r="AN85" s="3">
        <f>[2]หน้าผ้า!DT94</f>
        <v>45846</v>
      </c>
      <c r="AO85" s="3">
        <f>[2]หน้าผ้า!DU94</f>
        <v>45846</v>
      </c>
      <c r="AP85" s="3">
        <f>[2]หน้าผ้า!DP94</f>
        <v>45842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งานพิมพ์</v>
      </c>
      <c r="AX85" s="2" t="str">
        <f>[2]หน้าผ้า!ED94</f>
        <v xml:space="preserve"> /</v>
      </c>
      <c r="AY85" s="2" t="str">
        <f>[2]หน้าผ้า!AG94</f>
        <v>3/7 5/7 9/7 12/7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WRWT25800/WRWT25800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45825</v>
      </c>
      <c r="B86" s="14" t="str">
        <f>[2]หน้าผ้า!B95</f>
        <v>MK68-000799</v>
      </c>
      <c r="C86" s="9" t="str">
        <f>[2]หน้าผ้า!E95</f>
        <v>บจก.อินเทคค์ โกลบอล</v>
      </c>
      <c r="D86" s="13" t="str">
        <f>[2]หน้าผ้า!F95</f>
        <v>เพอเฟคค์ 664HP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78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จับจีบ4"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45847</v>
      </c>
      <c r="U86" s="11">
        <f>[2]หน้าผ้า!AA95</f>
        <v>6827</v>
      </c>
      <c r="V86" s="10">
        <f>[2]หน้าผ้า!AJ95</f>
        <v>0</v>
      </c>
      <c r="W86" s="10">
        <f>[2]หน้าผ้า!AL95</f>
        <v>6827</v>
      </c>
      <c r="X86" s="10">
        <f>[2]หน้าผ้า!AM95</f>
        <v>0</v>
      </c>
      <c r="Y86" s="10">
        <f>[2]หน้าผ้า!AN95</f>
        <v>7168.35</v>
      </c>
      <c r="Z86" s="9" t="str">
        <f>[2]หน้าผ้า!AO95</f>
        <v>WSWT2025800</v>
      </c>
      <c r="AA86" s="8">
        <f>[2]หน้าผ้า!AQ95</f>
        <v>7152.9892500000005</v>
      </c>
      <c r="AB86" s="8">
        <f>[2]หน้าผ้า!AR95</f>
        <v>7152.9892500000005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ห้ามขาด-ห้ามเกิน</v>
      </c>
      <c r="AG86" s="1" t="str">
        <f>[3]หน้าผ้า!DC98</f>
        <v>ยังไม่ได้พิมพ์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45847</v>
      </c>
      <c r="AK86" s="3">
        <f>[2]หน้าผ้า!DQ95</f>
        <v>0</v>
      </c>
      <c r="AL86" s="3">
        <f>[2]หน้าผ้า!DR95</f>
        <v>45838</v>
      </c>
      <c r="AM86" s="3">
        <f>[2]หน้าผ้า!DS95</f>
        <v>45845</v>
      </c>
      <c r="AN86" s="3">
        <f>[2]หน้าผ้า!DT95</f>
        <v>45846</v>
      </c>
      <c r="AO86" s="3">
        <f>[2]หน้าผ้า!DU95</f>
        <v>45846</v>
      </c>
      <c r="AP86" s="3">
        <f>[2]หน้าผ้า!DP95</f>
        <v>45842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 xml:space="preserve"> /</v>
      </c>
      <c r="AY86" s="2" t="str">
        <f>[2]หน้าผ้า!AG95</f>
        <v>1/7 5/7 7/7  12/7 14/7 19/7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WRWT25800/WRWT25800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45821</v>
      </c>
      <c r="B87" s="14" t="str">
        <f>[2]หน้าผ้า!B96</f>
        <v>MK68-000789</v>
      </c>
      <c r="C87" s="9" t="str">
        <f>[2]หน้าผ้า!E96</f>
        <v>บจก.เบทาโกร</v>
      </c>
      <c r="D87" s="13" t="str">
        <f>[2]หน้าผ้า!F96</f>
        <v>WB ฟาร์ม F992 30kg LR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80</v>
      </c>
      <c r="J87" s="9" t="str">
        <f>[2]หน้าผ้า!M96</f>
        <v>±</v>
      </c>
      <c r="K87" s="9">
        <f>[2]หน้าผ้า!N96</f>
        <v>3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 พร้อมระบุชื่อบริษัท รายการสินค้า จำนวนแต่ละแพ็ค</v>
      </c>
      <c r="T87" s="12">
        <f>[2]หน้าผ้า!X96</f>
        <v>45852</v>
      </c>
      <c r="U87" s="11">
        <f>[2]หน้าผ้า!AA96</f>
        <v>80000</v>
      </c>
      <c r="V87" s="10">
        <f>[2]หน้าผ้า!AJ96</f>
        <v>0</v>
      </c>
      <c r="W87" s="10">
        <f>[2]หน้าผ้า!AL96</f>
        <v>80000</v>
      </c>
      <c r="X87" s="10">
        <f>[2]หน้าผ้า!AM96</f>
        <v>61250</v>
      </c>
      <c r="Y87" s="10">
        <f>[2]หน้าผ้า!AN96</f>
        <v>19687.5</v>
      </c>
      <c r="Z87" s="9" t="str">
        <f>[2]หน้าผ้า!AO96</f>
        <v>WSWT2025800</v>
      </c>
      <c r="AA87" s="8">
        <f>[2]หน้าผ้า!AQ96</f>
        <v>21177.646875000002</v>
      </c>
      <c r="AB87" s="8">
        <f>[2]หน้าผ้า!AR96</f>
        <v>21177.646875000002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ลพบุรี3</v>
      </c>
      <c r="AG87" s="1" t="str">
        <f>[3]หน้าผ้า!DC99</f>
        <v>ยังไม่ได้พิมพ์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45852</v>
      </c>
      <c r="AK87" s="3">
        <f>[2]หน้าผ้า!DQ96</f>
        <v>0</v>
      </c>
      <c r="AL87" s="3">
        <f>[2]หน้าผ้า!DR96</f>
        <v>45843</v>
      </c>
      <c r="AM87" s="3">
        <f>[2]หน้าผ้า!DS96</f>
        <v>45850</v>
      </c>
      <c r="AN87" s="3">
        <f>[2]หน้าผ้า!DT96</f>
        <v>45851</v>
      </c>
      <c r="AO87" s="3">
        <f>[2]หน้าผ้า!DU96</f>
        <v>45851</v>
      </c>
      <c r="AP87" s="3">
        <f>[2]หน้าผ้า!DP96</f>
        <v>45847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 t="str">
        <f>[2]หน้าผ้า!AG96</f>
        <v>เย็น 12/7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WRWT25800/WRWT25800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45818</v>
      </c>
      <c r="B88" s="14" t="str">
        <f>[2]หน้าผ้า!B97</f>
        <v>MK68-000768</v>
      </c>
      <c r="C88" s="9" t="str">
        <f>[2]หน้าผ้า!E97</f>
        <v>บจก.เบทาโกร</v>
      </c>
      <c r="D88" s="13" t="str">
        <f>[2]หน้าผ้า!F97</f>
        <v>WB ฟาร์ม F992 30kg LR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80</v>
      </c>
      <c r="J88" s="9" t="str">
        <f>[2]หน้าผ้า!M97</f>
        <v>±</v>
      </c>
      <c r="K88" s="9">
        <f>[2]หน้าผ้า!N97</f>
        <v>3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 พร้อมระบุชื่อบริษัท รายการสินค้า จำนวนแต่ละแพ็ค</v>
      </c>
      <c r="T88" s="12">
        <f>[2]หน้าผ้า!X97</f>
        <v>45859</v>
      </c>
      <c r="U88" s="11">
        <f>[2]หน้าผ้า!AA97</f>
        <v>50000</v>
      </c>
      <c r="V88" s="10">
        <f>[2]หน้าผ้า!AJ97</f>
        <v>0</v>
      </c>
      <c r="W88" s="10">
        <f>[2]หน้าผ้า!AL97</f>
        <v>50000</v>
      </c>
      <c r="X88" s="10">
        <f>[2]หน้าผ้า!AM97</f>
        <v>0</v>
      </c>
      <c r="Y88" s="10">
        <f>[2]หน้าผ้า!AN97</f>
        <v>52500</v>
      </c>
      <c r="Z88" s="9" t="str">
        <f>[2]หน้าผ้า!AO97</f>
        <v>WSWT2025800</v>
      </c>
      <c r="AA88" s="8">
        <f>[2]หน้าผ้า!AQ97</f>
        <v>53784.500000000007</v>
      </c>
      <c r="AB88" s="8">
        <f>[2]หน้าผ้า!AR97</f>
        <v>49717</v>
      </c>
      <c r="AC88" s="8">
        <f>[2]หน้าผ้า!AS97</f>
        <v>4067.5000000000073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ลพบุรี1</v>
      </c>
      <c r="AG88" s="1" t="str">
        <f>[3]หน้าผ้า!DC100</f>
        <v>ยังไม่ได้พิมพ์</v>
      </c>
      <c r="AH88" s="1" t="str">
        <f>[2]หน้าผ้า!DL97</f>
        <v>P7</v>
      </c>
      <c r="AI88" s="1">
        <f>[2]หน้าผ้า!DM97</f>
        <v>2</v>
      </c>
      <c r="AJ88" s="3">
        <f>[2]หน้าผ้า!DN97</f>
        <v>45859</v>
      </c>
      <c r="AK88" s="3">
        <f>[2]หน้าผ้า!DQ97</f>
        <v>0</v>
      </c>
      <c r="AL88" s="3">
        <f>[2]หน้าผ้า!DR97</f>
        <v>45850</v>
      </c>
      <c r="AM88" s="3">
        <f>[2]หน้าผ้า!DS97</f>
        <v>45857</v>
      </c>
      <c r="AN88" s="3">
        <f>[2]หน้าผ้า!DT97</f>
        <v>45858</v>
      </c>
      <c r="AO88" s="3">
        <f>[2]หน้าผ้า!DU97</f>
        <v>45858</v>
      </c>
      <c r="AP88" s="3">
        <f>[2]หน้าผ้า!DP97</f>
        <v>45854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WRWT25800/WRWT25800</v>
      </c>
      <c r="BD88" s="56">
        <f>[2]หน้าผ้า!CA97</f>
        <v>310.93777777777831</v>
      </c>
    </row>
    <row r="89" spans="1:56" ht="27.75" customHeight="1" x14ac:dyDescent="0.45">
      <c r="A89" s="3">
        <f>[2]หน้าผ้า!C98</f>
        <v>45818</v>
      </c>
      <c r="B89" s="14" t="str">
        <f>[2]หน้าผ้า!B98</f>
        <v>MK68-000769</v>
      </c>
      <c r="C89" s="9" t="str">
        <f>[2]หน้าผ้า!E98</f>
        <v>บจก.เบทาโกร</v>
      </c>
      <c r="D89" s="13" t="str">
        <f>[2]หน้าผ้า!F98</f>
        <v xml:space="preserve">WB ฟาร์ม F931L 30kg 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80</v>
      </c>
      <c r="J89" s="9" t="str">
        <f>[2]หน้าผ้า!M98</f>
        <v>±</v>
      </c>
      <c r="K89" s="9">
        <f>[2]หน้าผ้า!N98</f>
        <v>3</v>
      </c>
      <c r="L89" s="9" t="str">
        <f>[2]หน้าผ้า!R98</f>
        <v>ไม่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 พร้อมระบุชื่อบริษัท รายการสินค้า จำนวนแต่ละแพ็ค</v>
      </c>
      <c r="T89" s="12">
        <f>[2]หน้าผ้า!X98</f>
        <v>45859</v>
      </c>
      <c r="U89" s="11">
        <f>[2]หน้าผ้า!AA98</f>
        <v>30000</v>
      </c>
      <c r="V89" s="10">
        <f>[2]หน้าผ้า!AJ98</f>
        <v>0</v>
      </c>
      <c r="W89" s="10">
        <f>[2]หน้าผ้า!AL98</f>
        <v>30000</v>
      </c>
      <c r="X89" s="10">
        <f>[2]หน้าผ้า!AM98</f>
        <v>0</v>
      </c>
      <c r="Y89" s="10">
        <f>[2]หน้าผ้า!AN98</f>
        <v>31500</v>
      </c>
      <c r="Z89" s="9" t="str">
        <f>[2]หน้าผ้า!AO98</f>
        <v>WSWT2025800</v>
      </c>
      <c r="AA89" s="8">
        <f>[2]หน้าผ้า!AQ98</f>
        <v>32270.700000000004</v>
      </c>
      <c r="AB89" s="8">
        <f>[2]หน้าผ้า!AR98</f>
        <v>0</v>
      </c>
      <c r="AC89" s="8">
        <f>[2]หน้าผ้า!AS98</f>
        <v>32270.700000000004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ลพบุรี1</v>
      </c>
      <c r="AG89" s="1" t="str">
        <f>[3]หน้าผ้า!DC101</f>
        <v>ยังไม่ได้พิมพ์</v>
      </c>
      <c r="AH89" s="1" t="str">
        <f>[2]หน้าผ้า!DL98</f>
        <v>P7</v>
      </c>
      <c r="AI89" s="1">
        <f>[2]หน้าผ้า!DM98</f>
        <v>2</v>
      </c>
      <c r="AJ89" s="3">
        <f>[2]หน้าผ้า!DN98</f>
        <v>45859</v>
      </c>
      <c r="AK89" s="3">
        <f>[2]หน้าผ้า!DQ98</f>
        <v>0</v>
      </c>
      <c r="AL89" s="3">
        <f>[2]หน้าผ้า!DR98</f>
        <v>45850</v>
      </c>
      <c r="AM89" s="3">
        <f>[2]หน้าผ้า!DS98</f>
        <v>45857</v>
      </c>
      <c r="AN89" s="3">
        <f>[2]หน้าผ้า!DT98</f>
        <v>45858</v>
      </c>
      <c r="AO89" s="3">
        <f>[2]หน้าผ้า!DU98</f>
        <v>45858</v>
      </c>
      <c r="AP89" s="3">
        <f>[2]หน้าผ้า!DP98</f>
        <v>45854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2466.9157333333337</v>
      </c>
    </row>
    <row r="90" spans="1:56" ht="27.75" customHeight="1" x14ac:dyDescent="0.45">
      <c r="A90" s="3">
        <f>[2]หน้าผ้า!C99</f>
        <v>45831</v>
      </c>
      <c r="B90" s="14" t="str">
        <f>[2]หน้าผ้า!B99</f>
        <v>MK68-000827</v>
      </c>
      <c r="C90" s="9" t="str">
        <f>[2]หน้าผ้า!E99</f>
        <v>บจก.เบทาโกร</v>
      </c>
      <c r="D90" s="13" t="str">
        <f>[2]หน้าผ้า!F99</f>
        <v>มาสเตอร์ 5556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80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45862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</v>
      </c>
      <c r="AA90" s="8">
        <f>[2]หน้าผ้า!AQ99</f>
        <v>5378.4500000000007</v>
      </c>
      <c r="AB90" s="8">
        <f>[2]หน้าผ้า!AR99</f>
        <v>0</v>
      </c>
      <c r="AC90" s="8">
        <f>[2]หน้าผ้า!AS99</f>
        <v>5378.4500000000007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ลพบุรี3</v>
      </c>
      <c r="AG90" s="1" t="str">
        <f>[3]หน้าผ้า!DC102</f>
        <v>ยังไม่ได้พิมพ์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45862</v>
      </c>
      <c r="AK90" s="3">
        <f>[2]หน้าผ้า!DQ99</f>
        <v>0</v>
      </c>
      <c r="AL90" s="3">
        <f>[2]หน้าผ้า!DR99</f>
        <v>45853</v>
      </c>
      <c r="AM90" s="3">
        <f>[2]หน้าผ้า!DS99</f>
        <v>45860</v>
      </c>
      <c r="AN90" s="3">
        <f>[2]หน้าผ้า!DT99</f>
        <v>45861</v>
      </c>
      <c r="AO90" s="3">
        <f>[2]หน้าผ้า!DU99</f>
        <v>45861</v>
      </c>
      <c r="AP90" s="3">
        <f>[2]หน้าผ้า!DP99</f>
        <v>45857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WRWT25800/WRWT25800</v>
      </c>
      <c r="BD90" s="56">
        <f>[2]หน้าผ้า!CA99</f>
        <v>411.15262222222225</v>
      </c>
    </row>
    <row r="91" spans="1:56" ht="27.75" customHeight="1" x14ac:dyDescent="0.45">
      <c r="A91" s="3">
        <f>[2]หน้าผ้า!C100</f>
        <v>45831</v>
      </c>
      <c r="B91" s="14" t="str">
        <f>[2]หน้าผ้า!B100</f>
        <v>MK68-000827</v>
      </c>
      <c r="C91" s="9" t="str">
        <f>[2]หน้าผ้า!E100</f>
        <v>บจก.เบทาโกร</v>
      </c>
      <c r="D91" s="13" t="str">
        <f>[2]หน้าผ้า!F100</f>
        <v>เบทาโกร 405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45862</v>
      </c>
      <c r="U91" s="11">
        <f>[2]หน้าผ้า!AA100</f>
        <v>40000</v>
      </c>
      <c r="V91" s="10">
        <f>[2]หน้าผ้า!AJ100</f>
        <v>0</v>
      </c>
      <c r="W91" s="10">
        <f>[2]หน้าผ้า!AL100</f>
        <v>40000</v>
      </c>
      <c r="X91" s="10">
        <f>[2]หน้าผ้า!AM100</f>
        <v>0</v>
      </c>
      <c r="Y91" s="10">
        <f>[2]หน้าผ้า!AN100</f>
        <v>42000</v>
      </c>
      <c r="Z91" s="9" t="str">
        <f>[2]หน้าผ้า!AO100</f>
        <v>WSWT2025800</v>
      </c>
      <c r="AA91" s="8">
        <f>[2]หน้าผ้า!AQ100</f>
        <v>43027.600000000006</v>
      </c>
      <c r="AB91" s="8">
        <f>[2]หน้าผ้า!AR100</f>
        <v>0</v>
      </c>
      <c r="AC91" s="8">
        <f>[2]หน้าผ้า!AS100</f>
        <v>43027.600000000006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ลพบุรี3</v>
      </c>
      <c r="AG91" s="1" t="str">
        <f>[3]หน้าผ้า!DC103</f>
        <v>รอแบบ</v>
      </c>
      <c r="AH91" s="1" t="str">
        <f>[2]หน้าผ้า!DL100</f>
        <v>P7</v>
      </c>
      <c r="AI91" s="1">
        <f>[2]หน้าผ้า!DM100</f>
        <v>2</v>
      </c>
      <c r="AJ91" s="3">
        <f>[2]หน้าผ้า!DN100</f>
        <v>45862</v>
      </c>
      <c r="AK91" s="3">
        <f>[2]หน้าผ้า!DQ100</f>
        <v>0</v>
      </c>
      <c r="AL91" s="3">
        <f>[2]หน้าผ้า!DR100</f>
        <v>45853</v>
      </c>
      <c r="AM91" s="3">
        <f>[2]หน้าผ้า!DS100</f>
        <v>45860</v>
      </c>
      <c r="AN91" s="3">
        <f>[2]หน้าผ้า!DT100</f>
        <v>45861</v>
      </c>
      <c r="AO91" s="3">
        <f>[2]หน้าผ้า!DU100</f>
        <v>45861</v>
      </c>
      <c r="AP91" s="3">
        <f>[2]หน้าผ้า!DP100</f>
        <v>45857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WRWT25800/WRWT25800</v>
      </c>
      <c r="BD91" s="56">
        <f>[2]หน้าผ้า!CA100</f>
        <v>3289.220977777778</v>
      </c>
    </row>
    <row r="92" spans="1:56" ht="27.75" customHeight="1" x14ac:dyDescent="0.45">
      <c r="A92" s="3">
        <f>[2]หน้าผ้า!C101</f>
        <v>45845</v>
      </c>
      <c r="B92" s="14" t="str">
        <f>[2]หน้าผ้า!B101</f>
        <v>MK68-000869</v>
      </c>
      <c r="C92" s="9" t="str">
        <f>[2]หน้าผ้า!E101</f>
        <v>บจก.อินเทคค์ โกลบอล</v>
      </c>
      <c r="D92" s="13" t="str">
        <f>[2]หน้าผ้า!F101</f>
        <v>เพอเฟคค์ 664HP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78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จับจีบ4"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>
        <f>[2]หน้าผ้า!X101</f>
        <v>45867</v>
      </c>
      <c r="U92" s="11">
        <f>[2]หน้าผ้า!AA101</f>
        <v>30000</v>
      </c>
      <c r="V92" s="10">
        <f>[2]หน้าผ้า!AJ101</f>
        <v>0</v>
      </c>
      <c r="W92" s="10">
        <f>[2]หน้าผ้า!AL101</f>
        <v>30000</v>
      </c>
      <c r="X92" s="10">
        <f>[2]หน้าผ้า!AM101</f>
        <v>0</v>
      </c>
      <c r="Y92" s="10">
        <f>[2]หน้าผ้า!AN101</f>
        <v>31500</v>
      </c>
      <c r="Z92" s="9" t="str">
        <f>[2]หน้าผ้า!AO101</f>
        <v>WSWT2025800</v>
      </c>
      <c r="AA92" s="8">
        <f>[2]หน้าผ้า!AQ101</f>
        <v>31432.500000000004</v>
      </c>
      <c r="AB92" s="8">
        <f>[2]หน้าผ้า!AR101</f>
        <v>0</v>
      </c>
      <c r="AC92" s="8">
        <f>[2]หน้าผ้า!AS101</f>
        <v>31432.500000000004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ห้ามขาด-ห้ามเกิน</v>
      </c>
      <c r="AG92" s="1" t="str">
        <f>[3]หน้าผ้า!DC104</f>
        <v>ยังไม่ได้พิมพ์</v>
      </c>
      <c r="AH92" s="1" t="str">
        <f>[2]หน้าผ้า!DL101</f>
        <v>P7</v>
      </c>
      <c r="AI92" s="1">
        <f>[2]หน้าผ้า!DM101</f>
        <v>2</v>
      </c>
      <c r="AJ92" s="3">
        <f>[2]หน้าผ้า!DN101</f>
        <v>45867</v>
      </c>
      <c r="AK92" s="3">
        <f>[2]หน้าผ้า!DQ101</f>
        <v>0</v>
      </c>
      <c r="AL92" s="3">
        <f>[2]หน้าผ้า!DR101</f>
        <v>45858</v>
      </c>
      <c r="AM92" s="3">
        <f>[2]หน้าผ้า!DS101</f>
        <v>45865</v>
      </c>
      <c r="AN92" s="3">
        <f>[2]หน้าผ้า!DT101</f>
        <v>45866</v>
      </c>
      <c r="AO92" s="3">
        <f>[2]หน้าผ้า!DU101</f>
        <v>45866</v>
      </c>
      <c r="AP92" s="3">
        <f>[2]หน้าผ้า!DP101</f>
        <v>45862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WRWT25800/WRWT25800</v>
      </c>
      <c r="BD92" s="56">
        <f>[2]หน้าผ้า!CA101</f>
        <v>2402.84</v>
      </c>
    </row>
    <row r="93" spans="1:56" ht="27.75" customHeight="1" x14ac:dyDescent="0.45">
      <c r="A93" s="3">
        <f>[2]หน้าผ้า!C102</f>
        <v>45842</v>
      </c>
      <c r="B93" s="14" t="str">
        <f>[2]หน้าผ้า!B102</f>
        <v>MK68-000867</v>
      </c>
      <c r="C93" s="9" t="str">
        <f>[2]หน้าผ้า!E102</f>
        <v>บจก.เคอรี่ฟลาวมิลล์</v>
      </c>
      <c r="D93" s="13" t="str">
        <f>[2]หน้าผ้า!F102</f>
        <v>แปดแต้มแดง 25กก.</v>
      </c>
      <c r="E93" s="9">
        <f>[2]หน้าผ้า!G102</f>
        <v>20</v>
      </c>
      <c r="F93" s="9">
        <f>[2]หน้าผ้า!H102</f>
        <v>32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72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ห่ออัดเบลแบน500</v>
      </c>
      <c r="T93" s="12">
        <f>[2]หน้าผ้า!X102</f>
        <v>45867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</v>
      </c>
      <c r="AA93" s="8">
        <f>[2]หน้าผ้า!AQ102</f>
        <v>4679.9500000000007</v>
      </c>
      <c r="AB93" s="8">
        <f>[2]หน้าผ้า!AR102</f>
        <v>0</v>
      </c>
      <c r="AC93" s="8">
        <f>[2]หน้าผ้า!AS102</f>
        <v>4679.9500000000007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P7</v>
      </c>
      <c r="AI93" s="1">
        <f>[2]หน้าผ้า!DM102</f>
        <v>2</v>
      </c>
      <c r="AJ93" s="3">
        <f>[2]หน้าผ้า!DN102</f>
        <v>45867</v>
      </c>
      <c r="AK93" s="3">
        <f>[2]หน้าผ้า!DQ102</f>
        <v>0</v>
      </c>
      <c r="AL93" s="3">
        <f>[2]หน้าผ้า!DR102</f>
        <v>45858</v>
      </c>
      <c r="AM93" s="3">
        <f>[2]หน้าผ้า!DS102</f>
        <v>45865</v>
      </c>
      <c r="AN93" s="3">
        <f>[2]หน้าผ้า!DT102</f>
        <v>45866</v>
      </c>
      <c r="AO93" s="3">
        <f>[2]หน้าผ้า!DU102</f>
        <v>45866</v>
      </c>
      <c r="AP93" s="3">
        <f>[2]หน้าผ้า!DP102</f>
        <v>45862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WRWT25800/WRWT25800</v>
      </c>
      <c r="BD93" s="56">
        <f>[2]หน้าผ้า!CA102</f>
        <v>357.75617777777779</v>
      </c>
    </row>
    <row r="94" spans="1:56" ht="27.75" customHeight="1" x14ac:dyDescent="0.45">
      <c r="A94" s="3" t="str">
        <f>[2]หน้าผ้า!C103</f>
        <v>ประมาณการ</v>
      </c>
      <c r="B94" s="14" t="str">
        <f>[2]หน้าผ้า!B103</f>
        <v>ประมาณการ</v>
      </c>
      <c r="C94" s="9" t="str">
        <f>[2]หน้าผ้า!E103</f>
        <v>บจก.อินเทคค์ โกลบอล</v>
      </c>
      <c r="D94" s="13" t="str">
        <f>[2]หน้าผ้า!F103</f>
        <v>รอแบบ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78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จับจีบ4"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>
        <f>[2]หน้าผ้า!X103</f>
        <v>45868</v>
      </c>
      <c r="U94" s="11">
        <f>[2]หน้าผ้า!AA103</f>
        <v>55000</v>
      </c>
      <c r="V94" s="10">
        <f>[2]หน้าผ้า!AJ103</f>
        <v>0</v>
      </c>
      <c r="W94" s="10">
        <f>[2]หน้าผ้า!AL103</f>
        <v>55000</v>
      </c>
      <c r="X94" s="10">
        <f>[2]หน้าผ้า!AM103</f>
        <v>0</v>
      </c>
      <c r="Y94" s="10">
        <f>[2]หน้าผ้า!AN103</f>
        <v>57750</v>
      </c>
      <c r="Z94" s="9" t="str">
        <f>[2]หน้าผ้า!AO103</f>
        <v>WSWT2025800</v>
      </c>
      <c r="AA94" s="8">
        <f>[2]หน้าผ้า!AQ103</f>
        <v>57626.250000000007</v>
      </c>
      <c r="AB94" s="8">
        <f>[2]หน้าผ้า!AR103</f>
        <v>0</v>
      </c>
      <c r="AC94" s="8">
        <f>[2]หน้าผ้า!AS103</f>
        <v>57626.250000000007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ห้ามขาด-ห้ามเกิน</v>
      </c>
      <c r="AG94" s="1" t="str">
        <f>[3]หน้าผ้า!DC106</f>
        <v>ยังไม่ได้พิมพ์</v>
      </c>
      <c r="AH94" s="1" t="str">
        <f>[2]หน้าผ้า!DL103</f>
        <v>P7</v>
      </c>
      <c r="AI94" s="1">
        <f>[2]หน้าผ้า!DM103</f>
        <v>2</v>
      </c>
      <c r="AJ94" s="3">
        <f>[2]หน้าผ้า!DN103</f>
        <v>45868</v>
      </c>
      <c r="AK94" s="3">
        <f>[2]หน้าผ้า!DQ103</f>
        <v>0</v>
      </c>
      <c r="AL94" s="3">
        <f>[2]หน้าผ้า!DR103</f>
        <v>45859</v>
      </c>
      <c r="AM94" s="3">
        <f>[2]หน้าผ้า!DS103</f>
        <v>45866</v>
      </c>
      <c r="AN94" s="3">
        <f>[2]หน้าผ้า!DT103</f>
        <v>45867</v>
      </c>
      <c r="AO94" s="3">
        <f>[2]หน้าผ้า!DU103</f>
        <v>45867</v>
      </c>
      <c r="AP94" s="3">
        <f>[2]หน้าผ้า!DP103</f>
        <v>45863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WRWT25800/WRWT25800</v>
      </c>
      <c r="BD94" s="56">
        <f>[2]หน้าผ้า!CA103</f>
        <v>4405.2066666666669</v>
      </c>
    </row>
    <row r="95" spans="1:56" ht="27.75" customHeight="1" x14ac:dyDescent="0.45">
      <c r="A95" s="3">
        <f>[2]หน้าผ้า!C104</f>
        <v>45840</v>
      </c>
      <c r="B95" s="14" t="str">
        <f>[2]หน้าผ้า!B104</f>
        <v>MK68-000857</v>
      </c>
      <c r="C95" s="9" t="str">
        <f>[2]หน้าผ้า!E104</f>
        <v>บจก.เบทาโกร</v>
      </c>
      <c r="D95" s="13" t="str">
        <f>[2]หน้าผ้า!F104</f>
        <v>WB ฟาร์ม F914M 30kg.NM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 พร้อมระบุชื่อบริษัท รายการสินค้า จำนวนแต่ละแพ็ค</v>
      </c>
      <c r="T95" s="12">
        <f>[2]หน้าผ้า!X104</f>
        <v>45875</v>
      </c>
      <c r="U95" s="11">
        <f>[2]หน้าผ้า!AA104</f>
        <v>13000</v>
      </c>
      <c r="V95" s="10">
        <f>[2]หน้าผ้า!AJ104</f>
        <v>0</v>
      </c>
      <c r="W95" s="10">
        <f>[2]หน้าผ้า!AL104</f>
        <v>13000</v>
      </c>
      <c r="X95" s="10">
        <f>[2]หน้าผ้า!AM104</f>
        <v>0</v>
      </c>
      <c r="Y95" s="10">
        <f>[2]หน้าผ้า!AN104</f>
        <v>13650</v>
      </c>
      <c r="Z95" s="9" t="str">
        <f>[2]หน้าผ้า!AO104</f>
        <v>WSWT2025800</v>
      </c>
      <c r="AA95" s="8">
        <f>[2]หน้าผ้า!AQ104</f>
        <v>13983.970000000001</v>
      </c>
      <c r="AB95" s="8">
        <f>[2]หน้าผ้า!AR104</f>
        <v>0</v>
      </c>
      <c r="AC95" s="8">
        <f>[2]หน้าผ้า!AS104</f>
        <v>13983.970000000001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หนองบุญมาก</v>
      </c>
      <c r="AG95" s="1" t="str">
        <f>[3]หน้าผ้า!DC107</f>
        <v>พร้อมส่ง</v>
      </c>
      <c r="AH95" s="1" t="str">
        <f>[2]หน้าผ้า!DL104</f>
        <v>P7</v>
      </c>
      <c r="AI95" s="1">
        <f>[2]หน้าผ้า!DM104</f>
        <v>2</v>
      </c>
      <c r="AJ95" s="3">
        <f>[2]หน้าผ้า!DN104</f>
        <v>45875</v>
      </c>
      <c r="AK95" s="3">
        <f>[2]หน้าผ้า!DQ104</f>
        <v>0</v>
      </c>
      <c r="AL95" s="3">
        <f>[2]หน้าผ้า!DR104</f>
        <v>45866</v>
      </c>
      <c r="AM95" s="3">
        <f>[2]หน้าผ้า!DS104</f>
        <v>45873</v>
      </c>
      <c r="AN95" s="3">
        <f>[2]หน้าผ้า!DT104</f>
        <v>45874</v>
      </c>
      <c r="AO95" s="3">
        <f>[2]หน้าผ้า!DU104</f>
        <v>45874</v>
      </c>
      <c r="AP95" s="3">
        <f>[2]หน้าผ้า!DP104</f>
        <v>45870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WRWT25800/WRWT25800</v>
      </c>
      <c r="BD95" s="56">
        <f>[2]หน้าผ้า!CA104</f>
        <v>1068.996817777778</v>
      </c>
    </row>
    <row r="96" spans="1:56" ht="27.75" customHeight="1" x14ac:dyDescent="0.45">
      <c r="A96" s="3">
        <f>[2]หน้าผ้า!C105</f>
        <v>45834</v>
      </c>
      <c r="B96" s="14" t="str">
        <f>[2]หน้าผ้า!B105</f>
        <v>MK68-000838</v>
      </c>
      <c r="C96" s="9" t="str">
        <f>[2]หน้าผ้า!E105</f>
        <v>บจก.เบทาโกร</v>
      </c>
      <c r="D96" s="13" t="str">
        <f>[2]หน้าผ้า!F105</f>
        <v>WB ฟาร์ม F914M 30kg.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>
        <f>[2]หน้าผ้า!J105</f>
        <v>0</v>
      </c>
      <c r="I96" s="9">
        <f>[2]หน้าผ้า!L105</f>
        <v>80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 พร้อมระบุชื่อบริษัท รายการสินค้า จำนวนแต่ละแพ็ค</v>
      </c>
      <c r="T96" s="12">
        <f>[2]หน้าผ้า!X105</f>
        <v>45897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</v>
      </c>
      <c r="AA96" s="8">
        <f>[2]หน้าผ้า!AQ105</f>
        <v>5378.4500000000007</v>
      </c>
      <c r="AB96" s="8">
        <f>[2]หน้าผ้า!AR105</f>
        <v>0</v>
      </c>
      <c r="AC96" s="8">
        <f>[2]หน้าผ้า!AS105</f>
        <v>5378.4500000000007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พระประแดง</v>
      </c>
      <c r="AG96" s="1" t="str">
        <f>[3]หน้าผ้า!DC108</f>
        <v>พร้อมส่ง</v>
      </c>
      <c r="AH96" s="1" t="str">
        <f>[2]หน้าผ้า!DL105</f>
        <v>P7</v>
      </c>
      <c r="AI96" s="1">
        <f>[2]หน้าผ้า!DM105</f>
        <v>2</v>
      </c>
      <c r="AJ96" s="3">
        <f>[2]หน้าผ้า!DN105</f>
        <v>45897</v>
      </c>
      <c r="AK96" s="3">
        <f>[2]หน้าผ้า!DQ105</f>
        <v>0</v>
      </c>
      <c r="AL96" s="3">
        <f>[2]หน้าผ้า!DR105</f>
        <v>45888</v>
      </c>
      <c r="AM96" s="3">
        <f>[2]หน้าผ้า!DS105</f>
        <v>45895</v>
      </c>
      <c r="AN96" s="3">
        <f>[2]หน้าผ้า!DT105</f>
        <v>45896</v>
      </c>
      <c r="AO96" s="3">
        <f>[2]หน้าผ้า!DU105</f>
        <v>45896</v>
      </c>
      <c r="AP96" s="3">
        <f>[2]หน้าผ้า!DP105</f>
        <v>45892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WRWT25800/WRWT25800</v>
      </c>
      <c r="BD96" s="56">
        <f>[2]หน้าผ้า!CA105</f>
        <v>411.15262222222225</v>
      </c>
    </row>
    <row r="97" spans="1:56" ht="27.75" customHeight="1" x14ac:dyDescent="0.45">
      <c r="A97" s="3">
        <f>[2]หน้าผ้า!C106</f>
        <v>45834</v>
      </c>
      <c r="B97" s="14" t="str">
        <f>[2]หน้าผ้า!B106</f>
        <v>MK68-000838</v>
      </c>
      <c r="C97" s="9" t="str">
        <f>[2]หน้าผ้า!E106</f>
        <v>บจก.เบทาโกร</v>
      </c>
      <c r="D97" s="13" t="str">
        <f>[2]หน้าผ้า!F106</f>
        <v>WB ฟาร์ม F911 30kg.</v>
      </c>
      <c r="E97" s="9">
        <f>[2]หน้าผ้า!G106</f>
        <v>20</v>
      </c>
      <c r="F97" s="9">
        <f>[2]หน้าผ้า!H106</f>
        <v>37</v>
      </c>
      <c r="G97" s="9" t="str">
        <f>[2]หน้าผ้า!I106</f>
        <v>ขาว</v>
      </c>
      <c r="H97" s="9">
        <f>[2]หน้าผ้า!J106</f>
        <v>0</v>
      </c>
      <c r="I97" s="9">
        <f>[2]หน้าผ้า!L106</f>
        <v>80</v>
      </c>
      <c r="J97" s="9" t="str">
        <f>[2]หน้าผ้า!M106</f>
        <v>±</v>
      </c>
      <c r="K97" s="9">
        <f>[2]หน้าผ้า!N106</f>
        <v>3</v>
      </c>
      <c r="L97" s="9" t="str">
        <f>[2]หน้าผ้า!R106</f>
        <v>ไม่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 พร้อมระบุชื่อบริษัท รายการสินค้า จำนวนแต่ละแพ็ค</v>
      </c>
      <c r="T97" s="12">
        <f>[2]หน้าผ้า!X106</f>
        <v>45897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</v>
      </c>
      <c r="AA97" s="8">
        <f>[2]หน้าผ้า!AQ106</f>
        <v>5378.4500000000007</v>
      </c>
      <c r="AB97" s="8">
        <f>[2]หน้าผ้า!AR106</f>
        <v>0</v>
      </c>
      <c r="AC97" s="8">
        <f>[2]หน้าผ้า!AS106</f>
        <v>5378.4500000000007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พระประแดง</v>
      </c>
      <c r="AG97" s="1" t="str">
        <f>[3]หน้าผ้า!DC109</f>
        <v>พร้อมส่ง</v>
      </c>
      <c r="AH97" s="1" t="str">
        <f>[2]หน้าผ้า!DL106</f>
        <v>P7</v>
      </c>
      <c r="AI97" s="1">
        <f>[2]หน้าผ้า!DM106</f>
        <v>2</v>
      </c>
      <c r="AJ97" s="3">
        <f>[2]หน้าผ้า!DN106</f>
        <v>45897</v>
      </c>
      <c r="AK97" s="3">
        <f>[2]หน้าผ้า!DQ106</f>
        <v>0</v>
      </c>
      <c r="AL97" s="3">
        <f>[2]หน้าผ้า!DR106</f>
        <v>45888</v>
      </c>
      <c r="AM97" s="3">
        <f>[2]หน้าผ้า!DS106</f>
        <v>45895</v>
      </c>
      <c r="AN97" s="3">
        <f>[2]หน้าผ้า!DT106</f>
        <v>45896</v>
      </c>
      <c r="AO97" s="3">
        <f>[2]หน้าผ้า!DU106</f>
        <v>45896</v>
      </c>
      <c r="AP97" s="3">
        <f>[2]หน้าผ้า!DP106</f>
        <v>45892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411.15262222222225</v>
      </c>
    </row>
    <row r="98" spans="1:56" ht="27.75" customHeight="1" x14ac:dyDescent="0.45">
      <c r="A98" s="3">
        <f>[2]หน้าผ้า!C107</f>
        <v>0</v>
      </c>
      <c r="B98" s="14">
        <f>[2]หน้าผ้า!B107</f>
        <v>0</v>
      </c>
      <c r="C98" s="9">
        <f>[2]หน้าผ้า!E107</f>
        <v>0</v>
      </c>
      <c r="D98" s="13">
        <f>[2]หน้าผ้า!F107</f>
        <v>0</v>
      </c>
      <c r="E98" s="9">
        <f>[2]หน้าผ้า!G107</f>
        <v>20</v>
      </c>
      <c r="F98" s="9">
        <f>[2]หน้าผ้า!H107</f>
        <v>37</v>
      </c>
      <c r="G98" s="9">
        <f>[2]หน้าผ้า!I107</f>
        <v>0</v>
      </c>
      <c r="H98" s="9">
        <f>[2]หน้าผ้า!J107</f>
        <v>0</v>
      </c>
      <c r="I98" s="9">
        <f>[2]หน้าผ้า!L107</f>
        <v>80</v>
      </c>
      <c r="J98" s="9" t="str">
        <f>[2]หน้าผ้า!M107</f>
        <v>±</v>
      </c>
      <c r="K98" s="9">
        <f>[2]หน้าผ้า!N107</f>
        <v>3</v>
      </c>
      <c r="L98" s="9">
        <f>[2]หน้าผ้า!R107</f>
        <v>0</v>
      </c>
      <c r="M98" s="10">
        <f>[2]หน้าผ้า!T107</f>
        <v>0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>
        <f>[2]หน้าผ้า!Z107</f>
        <v>0</v>
      </c>
      <c r="T98" s="12">
        <f>[2]หน้าผ้า!X107</f>
        <v>0</v>
      </c>
      <c r="U98" s="11">
        <f>[2]หน้าผ้า!AA107</f>
        <v>0</v>
      </c>
      <c r="V98" s="10">
        <f>[2]หน้าผ้า!AJ107</f>
        <v>0</v>
      </c>
      <c r="W98" s="10">
        <f>[2]หน้าผ้า!AL107</f>
        <v>0</v>
      </c>
      <c r="X98" s="10">
        <f>[2]หน้าผ้า!AM107</f>
        <v>0</v>
      </c>
      <c r="Y98" s="10">
        <f>[2]หน้าผ้า!AN107</f>
        <v>0</v>
      </c>
      <c r="Z98" s="9" t="str">
        <f>[2]หน้าผ้า!AO107</f>
        <v>WSWT2025800</v>
      </c>
      <c r="AA98" s="8">
        <f>[2]หน้าผ้า!AQ107</f>
        <v>281271.45612500003</v>
      </c>
      <c r="AB98" s="8">
        <f>[2]หน้าผ้า!AR107</f>
        <v>78047.636125000005</v>
      </c>
      <c r="AC98" s="8">
        <f>[2]หน้าผ้า!AS107</f>
        <v>203223.82000000004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ระบุในSD</v>
      </c>
      <c r="AG98" s="1" t="str">
        <f>[3]หน้าผ้า!DC110</f>
        <v>พร้อมส่ง</v>
      </c>
      <c r="AH98" s="1">
        <f>[2]หน้าผ้า!DL107</f>
        <v>0</v>
      </c>
      <c r="AI98" s="1" t="str">
        <f>[2]หน้าผ้า!DM107</f>
        <v>Lead time</v>
      </c>
      <c r="AJ98" s="3">
        <f>[2]หน้าผ้า!DN107</f>
        <v>0</v>
      </c>
      <c r="AK98" s="3">
        <f>[2]หน้าผ้า!DQ107</f>
        <v>0</v>
      </c>
      <c r="AL98" s="3">
        <f>[2]หน้าผ้า!DR107</f>
        <v>0</v>
      </c>
      <c r="AM98" s="3">
        <f>[2]หน้าผ้า!DS107</f>
        <v>0</v>
      </c>
      <c r="AN98" s="3">
        <f>[2]หน้าผ้า!DT107</f>
        <v>0</v>
      </c>
      <c r="AO98" s="3">
        <f>[2]หน้าผ้า!DU107</f>
        <v>0</v>
      </c>
      <c r="AP98" s="3">
        <f>[2]หน้าผ้า!DP107</f>
        <v>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>
        <f>[2]หน้าผ้า!EC107</f>
        <v>0</v>
      </c>
      <c r="AX98" s="2">
        <f>[2]หน้าผ้า!ED107</f>
        <v>0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WRWT25800/WRWT25800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0</v>
      </c>
      <c r="B99" s="14">
        <f>[2]หน้าผ้า!B108</f>
        <v>0</v>
      </c>
      <c r="C99" s="9">
        <f>[2]หน้าผ้า!E108</f>
        <v>0</v>
      </c>
      <c r="D99" s="13">
        <f>[2]หน้าผ้า!F108</f>
        <v>0</v>
      </c>
      <c r="E99" s="9">
        <f>[2]หน้าผ้า!G108</f>
        <v>20</v>
      </c>
      <c r="F99" s="9">
        <f>[2]หน้าผ้า!H108</f>
        <v>34</v>
      </c>
      <c r="G99" s="9">
        <f>[2]หน้าผ้า!I108</f>
        <v>0</v>
      </c>
      <c r="H99" s="9">
        <f>[2]หน้าผ้า!J108</f>
        <v>0</v>
      </c>
      <c r="I99" s="9">
        <f>[2]หน้าผ้า!L108</f>
        <v>98</v>
      </c>
      <c r="J99" s="9" t="str">
        <f>[2]หน้าผ้า!M108</f>
        <v>±</v>
      </c>
      <c r="K99" s="9">
        <f>[2]หน้าผ้า!N108</f>
        <v>5</v>
      </c>
      <c r="L99" s="9">
        <f>[2]หน้าผ้า!R108</f>
        <v>0</v>
      </c>
      <c r="M99" s="10">
        <f>[2]หน้าผ้า!T108</f>
        <v>0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>
        <f>[2]หน้าผ้า!Z108</f>
        <v>0</v>
      </c>
      <c r="T99" s="12">
        <f>[2]หน้าผ้า!X108</f>
        <v>0</v>
      </c>
      <c r="U99" s="11">
        <f>[2]หน้าผ้า!AA108</f>
        <v>0</v>
      </c>
      <c r="V99" s="10">
        <f>[2]หน้าผ้า!AJ108</f>
        <v>0</v>
      </c>
      <c r="W99" s="10">
        <f>[2]หน้าผ้า!AL108</f>
        <v>0</v>
      </c>
      <c r="X99" s="10">
        <f>[2]หน้าผ้า!AM108</f>
        <v>0</v>
      </c>
      <c r="Y99" s="10">
        <f>[2]หน้าผ้า!AN108</f>
        <v>0</v>
      </c>
      <c r="Z99" s="9" t="str">
        <f>[2]หน้าผ้า!AO108</f>
        <v>WSWT2021950UV</v>
      </c>
      <c r="AA99" s="8" t="e">
        <f>[2]หน้าผ้า!AQ108</f>
        <v>#REF!</v>
      </c>
      <c r="AB99" s="8" t="e">
        <f>[2]หน้าผ้า!AR108</f>
        <v>#REF!</v>
      </c>
      <c r="AC99" s="8" t="e">
        <f>[2]หน้าผ้า!AS108</f>
        <v>#REF!</v>
      </c>
      <c r="AD99" s="8" t="e">
        <f>[2]หน้าผ้า!AT108</f>
        <v>#REF!</v>
      </c>
      <c r="AE99" s="8" t="e">
        <f>[2]หน้าผ้า!AU108</f>
        <v>#REF!</v>
      </c>
      <c r="AF99" s="8" t="str">
        <f>[2]หน้าผ้า!AI108</f>
        <v>ระบุในSD</v>
      </c>
      <c r="AG99" s="1" t="str">
        <f>[3]หน้าผ้า!DC111</f>
        <v>พร้อมส่ง</v>
      </c>
      <c r="AH99" s="1">
        <f>[2]หน้าผ้า!DL108</f>
        <v>0</v>
      </c>
      <c r="AI99" s="1" t="str">
        <f>[2]หน้าผ้า!DM108</f>
        <v>Lead time</v>
      </c>
      <c r="AJ99" s="3">
        <f>[2]หน้าผ้า!DN108</f>
        <v>0</v>
      </c>
      <c r="AK99" s="3">
        <f>[2]หน้าผ้า!DQ108</f>
        <v>0</v>
      </c>
      <c r="AL99" s="3">
        <f>[2]หน้าผ้า!DR108</f>
        <v>0</v>
      </c>
      <c r="AM99" s="3">
        <f>[2]หน้าผ้า!DS108</f>
        <v>0</v>
      </c>
      <c r="AN99" s="3">
        <f>[2]หน้าผ้า!DT108</f>
        <v>0</v>
      </c>
      <c r="AO99" s="3">
        <f>[2]หน้าผ้า!DU108</f>
        <v>0</v>
      </c>
      <c r="AP99" s="3">
        <f>[2]หน้าผ้า!DP108</f>
        <v>0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>
        <f>[2]หน้าผ้า!EC108</f>
        <v>0</v>
      </c>
      <c r="AX99" s="2">
        <f>[2]หน้าผ้า!ED108</f>
        <v>0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WRWT200950/WRWT21950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0</v>
      </c>
      <c r="B100" s="14">
        <f>[2]หน้าผ้า!B109</f>
        <v>0</v>
      </c>
      <c r="C100" s="9">
        <f>[2]หน้าผ้า!E109</f>
        <v>0</v>
      </c>
      <c r="D100" s="13">
        <f>[2]หน้าผ้า!F109</f>
        <v>0</v>
      </c>
      <c r="E100" s="9">
        <f>[2]หน้าผ้า!G109</f>
        <v>20</v>
      </c>
      <c r="F100" s="9">
        <f>[2]หน้าผ้า!H109</f>
        <v>34</v>
      </c>
      <c r="G100" s="9">
        <f>[2]หน้าผ้า!I109</f>
        <v>0</v>
      </c>
      <c r="H100" s="9">
        <f>[2]หน้าผ้า!J109</f>
        <v>0</v>
      </c>
      <c r="I100" s="9">
        <f>[2]หน้าผ้า!L109</f>
        <v>95</v>
      </c>
      <c r="J100" s="9" t="str">
        <f>[2]หน้าผ้า!M109</f>
        <v>±</v>
      </c>
      <c r="K100" s="9">
        <f>[2]หน้าผ้า!N109</f>
        <v>5</v>
      </c>
      <c r="L100" s="9">
        <f>[2]หน้าผ้า!R109</f>
        <v>0</v>
      </c>
      <c r="M100" s="10">
        <f>[2]หน้าผ้า!T109</f>
        <v>0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>
        <f>[2]หน้าผ้า!Z109</f>
        <v>0</v>
      </c>
      <c r="T100" s="12">
        <f>[2]หน้าผ้า!X109</f>
        <v>0</v>
      </c>
      <c r="U100" s="11">
        <f>[2]หน้าผ้า!AA109</f>
        <v>0</v>
      </c>
      <c r="V100" s="10">
        <f>[2]หน้าผ้า!AJ109</f>
        <v>0</v>
      </c>
      <c r="W100" s="10">
        <f>[2]หน้าผ้า!AL109</f>
        <v>0</v>
      </c>
      <c r="X100" s="10">
        <f>[2]หน้าผ้า!AM109</f>
        <v>0</v>
      </c>
      <c r="Y100" s="10">
        <f>[2]หน้าผ้า!AN109</f>
        <v>0</v>
      </c>
      <c r="Z100" s="9" t="str">
        <f>[2]หน้าผ้า!AO109</f>
        <v>WSWT2021900UV</v>
      </c>
      <c r="AA100" s="8" t="e">
        <f>[2]หน้าผ้า!AQ109</f>
        <v>#REF!</v>
      </c>
      <c r="AB100" s="8" t="e">
        <f>[2]หน้าผ้า!AR109</f>
        <v>#REF!</v>
      </c>
      <c r="AC100" s="8" t="e">
        <f>[2]หน้าผ้า!AS109</f>
        <v>#REF!</v>
      </c>
      <c r="AD100" s="8" t="e">
        <f>[2]หน้าผ้า!AT109</f>
        <v>#REF!</v>
      </c>
      <c r="AE100" s="8" t="e">
        <f>[2]หน้าผ้า!AU109</f>
        <v>#REF!</v>
      </c>
      <c r="AF100" s="8" t="str">
        <f>[2]หน้าผ้า!AI109</f>
        <v>ระบุในSD</v>
      </c>
      <c r="AG100" s="1" t="str">
        <f>[3]หน้าผ้า!DC112</f>
        <v>พร้อมส่ง</v>
      </c>
      <c r="AH100" s="1">
        <f>[2]หน้าผ้า!DL109</f>
        <v>0</v>
      </c>
      <c r="AI100" s="1" t="str">
        <f>[2]หน้าผ้า!DM109</f>
        <v>Lead time</v>
      </c>
      <c r="AJ100" s="3">
        <f>[2]หน้าผ้า!DN109</f>
        <v>0</v>
      </c>
      <c r="AK100" s="3">
        <f>[2]หน้าผ้า!DQ109</f>
        <v>0</v>
      </c>
      <c r="AL100" s="3">
        <f>[2]หน้าผ้า!DR109</f>
        <v>0</v>
      </c>
      <c r="AM100" s="3">
        <f>[2]หน้าผ้า!DS109</f>
        <v>0</v>
      </c>
      <c r="AN100" s="3">
        <f>[2]หน้าผ้า!DT109</f>
        <v>0</v>
      </c>
      <c r="AO100" s="3">
        <f>[2]หน้าผ้า!DU109</f>
        <v>0</v>
      </c>
      <c r="AP100" s="3">
        <f>[2]หน้าผ้า!DP109</f>
        <v>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>
        <f>[2]หน้าผ้า!EC109</f>
        <v>0</v>
      </c>
      <c r="AX100" s="2">
        <f>[2]หน้าผ้า!ED109</f>
        <v>0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WRWT200900/WRWT21900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0</v>
      </c>
      <c r="B101" s="14">
        <f>[2]หน้าผ้า!B110</f>
        <v>0</v>
      </c>
      <c r="C101" s="9">
        <f>[2]หน้าผ้า!E110</f>
        <v>0</v>
      </c>
      <c r="D101" s="13">
        <f>[2]หน้าผ้า!F110</f>
        <v>0</v>
      </c>
      <c r="E101" s="9">
        <f>[2]หน้าผ้า!G110</f>
        <v>20</v>
      </c>
      <c r="F101" s="9">
        <f>[2]หน้าผ้า!H110</f>
        <v>34</v>
      </c>
      <c r="G101" s="9">
        <f>[2]หน้าผ้า!I110</f>
        <v>0</v>
      </c>
      <c r="H101" s="9">
        <f>[2]หน้าผ้า!J110</f>
        <v>0</v>
      </c>
      <c r="I101" s="9">
        <f>[2]หน้าผ้า!L110</f>
        <v>80</v>
      </c>
      <c r="J101" s="9" t="str">
        <f>[2]หน้าผ้า!M110</f>
        <v>±</v>
      </c>
      <c r="K101" s="9">
        <f>[2]หน้าผ้า!N110</f>
        <v>5</v>
      </c>
      <c r="L101" s="9">
        <f>[2]หน้าผ้า!R110</f>
        <v>0</v>
      </c>
      <c r="M101" s="10">
        <f>[2]หน้าผ้า!T110</f>
        <v>0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>
        <f>[2]หน้าผ้า!Z110</f>
        <v>0</v>
      </c>
      <c r="T101" s="12">
        <f>[2]หน้าผ้า!X110</f>
        <v>0</v>
      </c>
      <c r="U101" s="11">
        <f>[2]หน้าผ้า!AA110</f>
        <v>0</v>
      </c>
      <c r="V101" s="10">
        <f>[2]หน้าผ้า!AJ110</f>
        <v>0</v>
      </c>
      <c r="W101" s="10">
        <f>[2]หน้าผ้า!AL110</f>
        <v>0</v>
      </c>
      <c r="X101" s="10">
        <f>[2]หน้าผ้า!AM110</f>
        <v>0</v>
      </c>
      <c r="Y101" s="10">
        <f>[2]หน้าผ้า!AN110</f>
        <v>0</v>
      </c>
      <c r="Z101" s="9" t="str">
        <f>[2]หน้าผ้า!AO110</f>
        <v>WSWT2021750UV</v>
      </c>
      <c r="AA101" s="8" t="e">
        <f>[2]หน้าผ้า!AQ110</f>
        <v>#REF!</v>
      </c>
      <c r="AB101" s="8" t="e">
        <f>[2]หน้าผ้า!AR110</f>
        <v>#REF!</v>
      </c>
      <c r="AC101" s="8" t="e">
        <f>[2]หน้าผ้า!AS110</f>
        <v>#REF!</v>
      </c>
      <c r="AD101" s="8" t="e">
        <f>[2]หน้าผ้า!AT110</f>
        <v>#REF!</v>
      </c>
      <c r="AE101" s="8" t="e">
        <f>[2]หน้าผ้า!AU110</f>
        <v>#REF!</v>
      </c>
      <c r="AF101" s="8" t="str">
        <f>[2]หน้าผ้า!AI110</f>
        <v>ระบุในSD</v>
      </c>
      <c r="AG101" s="1" t="str">
        <f>[3]หน้าผ้า!DC113</f>
        <v>พร้อมส่ง</v>
      </c>
      <c r="AH101" s="1">
        <f>[2]หน้าผ้า!DL110</f>
        <v>0</v>
      </c>
      <c r="AI101" s="1" t="str">
        <f>[2]หน้าผ้า!DM110</f>
        <v>Lead time</v>
      </c>
      <c r="AJ101" s="3">
        <f>[2]หน้าผ้า!DN110</f>
        <v>0</v>
      </c>
      <c r="AK101" s="3">
        <f>[2]หน้าผ้า!DQ110</f>
        <v>0</v>
      </c>
      <c r="AL101" s="3">
        <f>[2]หน้าผ้า!DR110</f>
        <v>0</v>
      </c>
      <c r="AM101" s="3">
        <f>[2]หน้าผ้า!DS110</f>
        <v>0</v>
      </c>
      <c r="AN101" s="3">
        <f>[2]หน้าผ้า!DT110</f>
        <v>0</v>
      </c>
      <c r="AO101" s="3">
        <f>[2]หน้าผ้า!DU110</f>
        <v>0</v>
      </c>
      <c r="AP101" s="3">
        <f>[2]หน้าผ้า!DP110</f>
        <v>0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>
        <f>[2]หน้าผ้า!EC110</f>
        <v>0</v>
      </c>
      <c r="AX101" s="2">
        <f>[2]หน้าผ้า!ED110</f>
        <v>0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WRWT200750/WRWT21750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0</v>
      </c>
      <c r="B102" s="14">
        <f>[2]หน้าผ้า!B111</f>
        <v>0</v>
      </c>
      <c r="C102" s="9">
        <f>[2]หน้าผ้า!E111</f>
        <v>0</v>
      </c>
      <c r="D102" s="13">
        <f>[2]หน้าผ้า!F111</f>
        <v>0</v>
      </c>
      <c r="E102" s="9">
        <f>[2]หน้าผ้า!G111</f>
        <v>20</v>
      </c>
      <c r="F102" s="9">
        <f>[2]หน้าผ้า!H111</f>
        <v>34</v>
      </c>
      <c r="G102" s="9">
        <f>[2]หน้าผ้า!I111</f>
        <v>0</v>
      </c>
      <c r="H102" s="9">
        <f>[2]หน้าผ้า!J111</f>
        <v>0</v>
      </c>
      <c r="I102" s="9">
        <f>[2]หน้าผ้า!L111</f>
        <v>80</v>
      </c>
      <c r="J102" s="9" t="str">
        <f>[2]หน้าผ้า!M111</f>
        <v>±</v>
      </c>
      <c r="K102" s="9">
        <f>[2]หน้าผ้า!N111</f>
        <v>5</v>
      </c>
      <c r="L102" s="9">
        <f>[2]หน้าผ้า!R111</f>
        <v>0</v>
      </c>
      <c r="M102" s="10">
        <f>[2]หน้าผ้า!T111</f>
        <v>0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>
        <f>[2]หน้าผ้า!Z111</f>
        <v>0</v>
      </c>
      <c r="T102" s="12">
        <f>[2]หน้าผ้า!X111</f>
        <v>0</v>
      </c>
      <c r="U102" s="11">
        <f>[2]หน้าผ้า!AA111</f>
        <v>0</v>
      </c>
      <c r="V102" s="10">
        <f>[2]หน้าผ้า!AJ111</f>
        <v>0</v>
      </c>
      <c r="W102" s="10">
        <f>[2]หน้าผ้า!AL111</f>
        <v>0</v>
      </c>
      <c r="X102" s="10">
        <f>[2]หน้าผ้า!AM111</f>
        <v>0</v>
      </c>
      <c r="Y102" s="10">
        <f>[2]หน้าผ้า!AN111</f>
        <v>0</v>
      </c>
      <c r="Z102" s="9" t="str">
        <f>[2]หน้าผ้า!AO111</f>
        <v>WSWT2021800UV</v>
      </c>
      <c r="AA102" s="8" t="e">
        <f>[2]หน้าผ้า!AQ111</f>
        <v>#REF!</v>
      </c>
      <c r="AB102" s="8" t="e">
        <f>[2]หน้าผ้า!AR111</f>
        <v>#REF!</v>
      </c>
      <c r="AC102" s="8" t="e">
        <f>[2]หน้าผ้า!AS111</f>
        <v>#REF!</v>
      </c>
      <c r="AD102" s="8" t="e">
        <f>[2]หน้าผ้า!AT111</f>
        <v>#REF!</v>
      </c>
      <c r="AE102" s="8" t="e">
        <f>[2]หน้าผ้า!AU111</f>
        <v>#REF!</v>
      </c>
      <c r="AF102" s="8" t="str">
        <f>[2]หน้าผ้า!AI111</f>
        <v>ระบุในSD</v>
      </c>
      <c r="AG102" s="1" t="str">
        <f>[3]หน้าผ้า!DC114</f>
        <v>พร้อมส่ง</v>
      </c>
      <c r="AH102" s="1">
        <f>[2]หน้าผ้า!DL111</f>
        <v>0</v>
      </c>
      <c r="AI102" s="1" t="str">
        <f>[2]หน้าผ้า!DM111</f>
        <v>Lead time</v>
      </c>
      <c r="AJ102" s="3">
        <f>[2]หน้าผ้า!DN111</f>
        <v>0</v>
      </c>
      <c r="AK102" s="3">
        <f>[2]หน้าผ้า!DQ111</f>
        <v>0</v>
      </c>
      <c r="AL102" s="3">
        <f>[2]หน้าผ้า!DR111</f>
        <v>0</v>
      </c>
      <c r="AM102" s="3">
        <f>[2]หน้าผ้า!DS111</f>
        <v>0</v>
      </c>
      <c r="AN102" s="3">
        <f>[2]หน้าผ้า!DT111</f>
        <v>0</v>
      </c>
      <c r="AO102" s="3">
        <f>[2]หน้าผ้า!DU111</f>
        <v>0</v>
      </c>
      <c r="AP102" s="3">
        <f>[2]หน้าผ้า!DP111</f>
        <v>0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>
        <f>[2]หน้าผ้า!EC111</f>
        <v>0</v>
      </c>
      <c r="AX102" s="2">
        <f>[2]หน้าผ้า!ED111</f>
        <v>0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WRWT200800/WRWT21800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0</v>
      </c>
      <c r="B103" s="14">
        <f>[2]หน้าผ้า!B112</f>
        <v>0</v>
      </c>
      <c r="C103" s="9">
        <f>[2]หน้าผ้า!E112</f>
        <v>0</v>
      </c>
      <c r="D103" s="13">
        <f>[2]หน้าผ้า!F112</f>
        <v>0</v>
      </c>
      <c r="E103" s="9">
        <f>[2]หน้าผ้า!G112</f>
        <v>20</v>
      </c>
      <c r="F103" s="9">
        <f>[2]หน้าผ้า!H112</f>
        <v>37</v>
      </c>
      <c r="G103" s="9" t="str">
        <f>[2]หน้าผ้า!I112</f>
        <v>ขาว</v>
      </c>
      <c r="H103" s="9">
        <f>[2]หน้าผ้า!J112</f>
        <v>0</v>
      </c>
      <c r="I103" s="9">
        <f>[2]หน้าผ้า!L112</f>
        <v>70</v>
      </c>
      <c r="J103" s="9" t="str">
        <f>[2]หน้าผ้า!M112</f>
        <v>±</v>
      </c>
      <c r="K103" s="9">
        <f>[2]หน้าผ้า!N112</f>
        <v>5</v>
      </c>
      <c r="L103" s="9">
        <f>[2]หน้าผ้า!R112</f>
        <v>0</v>
      </c>
      <c r="M103" s="10">
        <f>[2]หน้าผ้า!T112</f>
        <v>0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>
        <f>[2]หน้าผ้า!Z112</f>
        <v>0</v>
      </c>
      <c r="T103" s="12">
        <f>[2]หน้าผ้า!X112</f>
        <v>0</v>
      </c>
      <c r="U103" s="11">
        <f>[2]หน้าผ้า!AA112</f>
        <v>0</v>
      </c>
      <c r="V103" s="10">
        <f>[2]หน้าผ้า!AJ112</f>
        <v>0</v>
      </c>
      <c r="W103" s="10">
        <f>[2]หน้าผ้า!AL112</f>
        <v>0</v>
      </c>
      <c r="X103" s="10">
        <f>[2]หน้าผ้า!AM112</f>
        <v>0</v>
      </c>
      <c r="Y103" s="10">
        <f>[2]หน้าผ้า!AN112</f>
        <v>0</v>
      </c>
      <c r="Z103" s="9" t="str">
        <f>[2]หน้าผ้า!AO112</f>
        <v>WSWT2025700(1)</v>
      </c>
      <c r="AA103" s="8" t="e">
        <f>[2]หน้าผ้า!AQ112</f>
        <v>#REF!</v>
      </c>
      <c r="AB103" s="8" t="e">
        <f>[2]หน้าผ้า!AR112</f>
        <v>#REF!</v>
      </c>
      <c r="AC103" s="8" t="e">
        <f>[2]หน้าผ้า!AS112</f>
        <v>#REF!</v>
      </c>
      <c r="AD103" s="8" t="e">
        <f>[2]หน้าผ้า!AT112</f>
        <v>#REF!</v>
      </c>
      <c r="AE103" s="8" t="e">
        <f>[2]หน้าผ้า!AU112</f>
        <v>#REF!</v>
      </c>
      <c r="AF103" s="8" t="str">
        <f>[2]หน้าผ้า!AI112</f>
        <v>ระบุในSD</v>
      </c>
      <c r="AG103" s="1" t="str">
        <f>[3]หน้าผ้า!DC115</f>
        <v>พร้อมส่ง</v>
      </c>
      <c r="AH103" s="1">
        <f>[2]หน้าผ้า!DL112</f>
        <v>0</v>
      </c>
      <c r="AI103" s="1" t="str">
        <f>[2]หน้าผ้า!DM112</f>
        <v>Lead time</v>
      </c>
      <c r="AJ103" s="3">
        <f>[2]หน้าผ้า!DN112</f>
        <v>0</v>
      </c>
      <c r="AK103" s="3">
        <f>[2]หน้าผ้า!DQ112</f>
        <v>0</v>
      </c>
      <c r="AL103" s="3">
        <f>[2]หน้าผ้า!DR112</f>
        <v>0</v>
      </c>
      <c r="AM103" s="3">
        <f>[2]หน้าผ้า!DS112</f>
        <v>0</v>
      </c>
      <c r="AN103" s="3">
        <f>[2]หน้าผ้า!DT112</f>
        <v>0</v>
      </c>
      <c r="AO103" s="3">
        <f>[2]หน้าผ้า!DU112</f>
        <v>0</v>
      </c>
      <c r="AP103" s="3">
        <f>[2]หน้าผ้า!DP112</f>
        <v>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>
        <f>[2]หน้าผ้า!EC112</f>
        <v>0</v>
      </c>
      <c r="AX103" s="2">
        <f>[2]หน้าผ้า!ED112</f>
        <v>0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WRWT200800/WRWT25650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0</v>
      </c>
      <c r="B104" s="14">
        <f>[2]หน้าผ้า!B113</f>
        <v>0</v>
      </c>
      <c r="C104" s="9">
        <f>[2]หน้าผ้า!E113</f>
        <v>0</v>
      </c>
      <c r="D104" s="13">
        <f>[2]หน้าผ้า!F113</f>
        <v>0</v>
      </c>
      <c r="E104" s="9">
        <f>[2]หน้าผ้า!G113</f>
        <v>20</v>
      </c>
      <c r="F104" s="9">
        <f>[2]หน้าผ้า!H113</f>
        <v>34</v>
      </c>
      <c r="G104" s="9">
        <f>[2]หน้าผ้า!I113</f>
        <v>0</v>
      </c>
      <c r="H104" s="9">
        <f>[2]หน้าผ้า!J113</f>
        <v>0</v>
      </c>
      <c r="I104" s="9">
        <f>[2]หน้าผ้า!L113</f>
        <v>85</v>
      </c>
      <c r="J104" s="9" t="str">
        <f>[2]หน้าผ้า!M113</f>
        <v>±</v>
      </c>
      <c r="K104" s="9">
        <f>[2]หน้าผ้า!N113</f>
        <v>5</v>
      </c>
      <c r="L104" s="9">
        <f>[2]หน้าผ้า!R113</f>
        <v>0</v>
      </c>
      <c r="M104" s="10">
        <f>[2]หน้าผ้า!T113</f>
        <v>0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>
        <f>[2]หน้าผ้า!Z113</f>
        <v>0</v>
      </c>
      <c r="T104" s="12">
        <f>[2]หน้าผ้า!X113</f>
        <v>0</v>
      </c>
      <c r="U104" s="11">
        <f>[2]หน้าผ้า!AA113</f>
        <v>0</v>
      </c>
      <c r="V104" s="10">
        <f>[2]หน้าผ้า!AJ113</f>
        <v>0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WSWT2021850UV</v>
      </c>
      <c r="AA104" s="8" t="e">
        <f>[2]หน้าผ้า!AQ113</f>
        <v>#REF!</v>
      </c>
      <c r="AB104" s="8" t="e">
        <f>[2]หน้าผ้า!AR113</f>
        <v>#REF!</v>
      </c>
      <c r="AC104" s="8" t="e">
        <f>[2]หน้าผ้า!AS113</f>
        <v>#REF!</v>
      </c>
      <c r="AD104" s="8" t="e">
        <f>[2]หน้าผ้า!AT113</f>
        <v>#REF!</v>
      </c>
      <c r="AE104" s="8" t="e">
        <f>[2]หน้าผ้า!AU113</f>
        <v>#REF!</v>
      </c>
      <c r="AF104" s="8" t="str">
        <f>[2]หน้าผ้า!AI113</f>
        <v>ระบุในSD</v>
      </c>
      <c r="AG104" s="1" t="str">
        <f>[3]หน้าผ้า!DC116</f>
        <v>ผ้าขาว</v>
      </c>
      <c r="AH104" s="1">
        <f>[2]หน้าผ้า!DL113</f>
        <v>0</v>
      </c>
      <c r="AI104" s="1">
        <f>[2]หน้าผ้า!DM113</f>
        <v>0</v>
      </c>
      <c r="AJ104" s="3">
        <f>[2]หน้าผ้า!DN113</f>
        <v>0</v>
      </c>
      <c r="AK104" s="3">
        <f>[2]หน้าผ้า!DQ113</f>
        <v>0</v>
      </c>
      <c r="AL104" s="3">
        <f>[2]หน้าผ้า!DR113</f>
        <v>0</v>
      </c>
      <c r="AM104" s="3">
        <f>[2]หน้าผ้า!DS113</f>
        <v>0</v>
      </c>
      <c r="AN104" s="3">
        <f>[2]หน้าผ้า!DT113</f>
        <v>0</v>
      </c>
      <c r="AO104" s="3">
        <f>[2]หน้าผ้า!DU113</f>
        <v>0</v>
      </c>
      <c r="AP104" s="3">
        <f>[2]หน้าผ้า!DP113</f>
        <v>0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>
        <f>[2]หน้าผ้า!EC113</f>
        <v>0</v>
      </c>
      <c r="AX104" s="2">
        <f>[2]หน้าผ้า!ED113</f>
        <v>0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WRWT200850/WRWT21850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20</v>
      </c>
      <c r="F105" s="9">
        <f>[2]หน้าผ้า!H114</f>
        <v>34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80</v>
      </c>
      <c r="J105" s="9" t="str">
        <f>[2]หน้าผ้า!M114</f>
        <v>±</v>
      </c>
      <c r="K105" s="9">
        <f>[2]หน้าผ้า!N114</f>
        <v>5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WSWT2021750UV</v>
      </c>
      <c r="AA105" s="8" t="e">
        <f>[2]หน้าผ้า!AQ114</f>
        <v>#REF!</v>
      </c>
      <c r="AB105" s="8" t="e">
        <f>[2]หน้าผ้า!AR114</f>
        <v>#REF!</v>
      </c>
      <c r="AC105" s="8" t="e">
        <f>[2]หน้าผ้า!AS114</f>
        <v>#REF!</v>
      </c>
      <c r="AD105" s="8" t="e">
        <f>[2]หน้าผ้า!AT114</f>
        <v>#REF!</v>
      </c>
      <c r="AE105" s="8" t="e">
        <f>[2]หน้าผ้า!AU114</f>
        <v>#REF!</v>
      </c>
      <c r="AF105" s="8" t="str">
        <f>[2]หน้าผ้า!AI114</f>
        <v>ระบุในSD</v>
      </c>
      <c r="AG105" s="1" t="str">
        <f>[3]หน้าผ้า!DC117</f>
        <v>ยังไม่ได้พิมพ์</v>
      </c>
      <c r="AH105" s="1">
        <f>[2]หน้าผ้า!DL114</f>
        <v>0</v>
      </c>
      <c r="AI105" s="1">
        <f>[2]หน้าผ้า!DM114</f>
        <v>0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WRWT200750/WRWT21750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21</v>
      </c>
      <c r="F106" s="9">
        <f>[2]หน้าผ้า!H115</f>
        <v>39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78</v>
      </c>
      <c r="J106" s="9" t="str">
        <f>[2]หน้าผ้า!M115</f>
        <v>±</v>
      </c>
      <c r="K106" s="9">
        <f>[2]หน้าผ้า!N115</f>
        <v>3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WSWT2125700</v>
      </c>
      <c r="AA106" s="8" t="e">
        <f>[2]หน้าผ้า!AQ115</f>
        <v>#REF!</v>
      </c>
      <c r="AB106" s="8" t="e">
        <f>[2]หน้าผ้า!AR115</f>
        <v>#REF!</v>
      </c>
      <c r="AC106" s="8" t="e">
        <f>[2]หน้าผ้า!AS115</f>
        <v>#REF!</v>
      </c>
      <c r="AD106" s="8" t="e">
        <f>[2]หน้าผ้า!AT115</f>
        <v>#REF!</v>
      </c>
      <c r="AE106" s="8" t="e">
        <f>[2]หน้าผ้า!AU115</f>
        <v>#REF!</v>
      </c>
      <c r="AF106" s="8" t="str">
        <f>[2]หน้าผ้า!AI115</f>
        <v>ระบุในSD</v>
      </c>
      <c r="AG106" s="1" t="str">
        <f>[3]หน้าผ้า!DC118</f>
        <v>ผ้าขาว</v>
      </c>
      <c r="AH106" s="1">
        <f>[2]หน้าผ้า!DL115</f>
        <v>0</v>
      </c>
      <c r="AI106" s="1">
        <f>[2]หน้าผ้า!DM115</f>
        <v>0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WRWT210800/WRWT25650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45841</v>
      </c>
      <c r="B107" s="14" t="str">
        <f>[2]หน้าผ้า!B116</f>
        <v>MK68-000860</v>
      </c>
      <c r="C107" s="9" t="str">
        <f>[2]หน้าผ้า!E116</f>
        <v>บจก.หนองบัวฟีดมิลล์</v>
      </c>
      <c r="D107" s="13" t="str">
        <f>[2]หน้าผ้า!F116</f>
        <v>ไม่พิมพ์</v>
      </c>
      <c r="E107" s="9">
        <f>[2]หน้าผ้า!G116</f>
        <v>21</v>
      </c>
      <c r="F107" s="9">
        <f>[2]หน้าผ้า!H116</f>
        <v>38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69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ไม่</v>
      </c>
      <c r="M107" s="10">
        <f>[2]หน้าผ้า!T116</f>
        <v>22</v>
      </c>
      <c r="N107" s="9">
        <f>[2]หน้าผ้า!U116</f>
        <v>41</v>
      </c>
      <c r="O107" s="9">
        <f>[2]หน้าผ้า!V116</f>
        <v>40</v>
      </c>
      <c r="P107" s="10">
        <f>[2]หน้าผ้า!AB116</f>
        <v>445.06336793599996</v>
      </c>
      <c r="Q107" s="10">
        <f>[2]หน้าผ้า!AC116</f>
        <v>0</v>
      </c>
      <c r="R107" s="10">
        <f>[2]หน้าผ้า!AD116</f>
        <v>445.06336793599996</v>
      </c>
      <c r="S107" s="9" t="str">
        <f>[2]หน้าผ้า!Z116</f>
        <v>500กระสอบ</v>
      </c>
      <c r="T107" s="12">
        <f>[2]หน้าผ้า!X116</f>
        <v>45852</v>
      </c>
      <c r="U107" s="11">
        <f>[2]หน้าผ้า!AA116</f>
        <v>20000</v>
      </c>
      <c r="V107" s="10">
        <f>[2]หน้าผ้า!AJ116</f>
        <v>0</v>
      </c>
      <c r="W107" s="10">
        <f>[2]หน้าผ้า!AL116</f>
        <v>20000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WSWT2125650</v>
      </c>
      <c r="AA107" s="8">
        <f>[2]หน้าผ้า!AQ116</f>
        <v>22072.6</v>
      </c>
      <c r="AB107" s="8">
        <f>[2]หน้าผ้า!AR116</f>
        <v>20621</v>
      </c>
      <c r="AC107" s="8">
        <f>[2]หน้าผ้า!AS116</f>
        <v>1451.5999999999985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รอตัด</v>
      </c>
      <c r="AH107" s="1" t="str">
        <f>[2]หน้าผ้า!DL116</f>
        <v>P13</v>
      </c>
      <c r="AI107" s="1">
        <f>[2]หน้าผ้า!DM116</f>
        <v>2</v>
      </c>
      <c r="AJ107" s="3">
        <f>[2]หน้าผ้า!DN116</f>
        <v>45852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45850</v>
      </c>
      <c r="AP107" s="3">
        <f>[2]หน้าผ้า!DP116</f>
        <v>45847</v>
      </c>
      <c r="AQ107" s="3">
        <f>[2]หน้าผ้า!DW116</f>
        <v>45851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ตัด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WRWT25650/WRWT25650</v>
      </c>
      <c r="BD107" s="56">
        <f>[2]หน้าผ้า!CA116</f>
        <v>99.071699999999879</v>
      </c>
    </row>
    <row r="108" spans="1:56" ht="27.75" customHeight="1" x14ac:dyDescent="0.45">
      <c r="A108" s="3">
        <f>[2]หน้าผ้า!C117</f>
        <v>45846</v>
      </c>
      <c r="B108" s="14" t="str">
        <f>[2]หน้าผ้า!B117</f>
        <v>ใบรับคำสั่งซื้อ</v>
      </c>
      <c r="C108" s="9" t="str">
        <f>[2]หน้าผ้า!E117</f>
        <v>บจก.เคมีแมน</v>
      </c>
      <c r="D108" s="13" t="str">
        <f>[2]หน้าผ้า!F117</f>
        <v>CHEMEMAN CAL100 50KG(ฟ้า)</v>
      </c>
      <c r="E108" s="9">
        <f>[2]หน้าผ้า!G117</f>
        <v>21</v>
      </c>
      <c r="F108" s="9">
        <f>[2]หน้าผ้า!H117</f>
        <v>36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65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</v>
      </c>
      <c r="T108" s="12">
        <f>[2]หน้าผ้า!X117</f>
        <v>45863</v>
      </c>
      <c r="U108" s="11">
        <f>[2]หน้าผ้า!AA117</f>
        <v>17000</v>
      </c>
      <c r="V108" s="10">
        <f>[2]หน้าผ้า!AJ117</f>
        <v>0</v>
      </c>
      <c r="W108" s="10">
        <f>[2]หน้าผ้า!AL117</f>
        <v>17000</v>
      </c>
      <c r="X108" s="10">
        <f>[2]หน้าผ้า!AM117</f>
        <v>0</v>
      </c>
      <c r="Y108" s="10">
        <f>[2]หน้าผ้า!AN117</f>
        <v>17850</v>
      </c>
      <c r="Z108" s="9" t="str">
        <f>[2]หน้าผ้า!AO117</f>
        <v>WSWT2125650</v>
      </c>
      <c r="AA108" s="8">
        <f>[2]หน้าผ้า!AQ117</f>
        <v>17811.75</v>
      </c>
      <c r="AB108" s="8">
        <f>[2]หน้าผ้า!AR117</f>
        <v>0</v>
      </c>
      <c r="AC108" s="8">
        <f>[2]หน้าผ้า!AS117</f>
        <v>17811.75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ห้ามขาด-ห้ามเกิน</v>
      </c>
      <c r="AG108" s="1" t="str">
        <f>[3]หน้าผ้า!DC120</f>
        <v>พร้อมส่ง</v>
      </c>
      <c r="AH108" s="1" t="str">
        <f>[2]หน้าผ้า!DL117</f>
        <v>P7</v>
      </c>
      <c r="AI108" s="1">
        <f>[2]หน้าผ้า!DM117</f>
        <v>2</v>
      </c>
      <c r="AJ108" s="3">
        <f>[2]หน้าผ้า!DN117</f>
        <v>45863</v>
      </c>
      <c r="AK108" s="3">
        <f>[2]หน้าผ้า!DQ117</f>
        <v>0</v>
      </c>
      <c r="AL108" s="3">
        <f>[2]หน้าผ้า!DR117</f>
        <v>45854</v>
      </c>
      <c r="AM108" s="3">
        <f>[2]หน้าผ้า!DS117</f>
        <v>45861</v>
      </c>
      <c r="AN108" s="3">
        <f>[2]หน้าผ้า!DT117</f>
        <v>45862</v>
      </c>
      <c r="AO108" s="3">
        <f>[2]หน้าผ้า!DU117</f>
        <v>45862</v>
      </c>
      <c r="AP108" s="3">
        <f>[2]หน้าผ้า!DP117</f>
        <v>45858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งานพิมพ์</v>
      </c>
      <c r="AX108" s="2" t="str">
        <f>[2]หน้าผ้า!ED117</f>
        <v>รอART</v>
      </c>
      <c r="AY108" s="2" t="str">
        <f>[2]หน้าผ้า!AG117</f>
        <v>เย็น24/7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WRWT25650/WRWT25650</v>
      </c>
      <c r="BD108" s="56">
        <f>[2]หน้าผ้า!CA117</f>
        <v>1215.6519374999996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บจก.หนองบัวฟีดมิลล์</v>
      </c>
      <c r="D109" s="13" t="str">
        <f>[2]หน้าผ้า!F118</f>
        <v>ไม่พิมพ์</v>
      </c>
      <c r="E109" s="9">
        <f>[2]หน้าผ้า!G118</f>
        <v>21</v>
      </c>
      <c r="F109" s="9">
        <f>[2]หน้าผ้า!H118</f>
        <v>38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69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</v>
      </c>
      <c r="T109" s="12">
        <f>[2]หน้าผ้า!X118</f>
        <v>45868</v>
      </c>
      <c r="U109" s="11">
        <f>[2]หน้าผ้า!AA118</f>
        <v>15000</v>
      </c>
      <c r="V109" s="10">
        <f>[2]หน้าผ้า!AJ118</f>
        <v>0</v>
      </c>
      <c r="W109" s="10">
        <f>[2]หน้าผ้า!AL118</f>
        <v>15000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WSWT2125650</v>
      </c>
      <c r="AA109" s="8">
        <f>[2]หน้าผ้า!AQ118</f>
        <v>16554.45</v>
      </c>
      <c r="AB109" s="8">
        <f>[2]หน้าผ้า!AR118</f>
        <v>0</v>
      </c>
      <c r="AC109" s="8">
        <f>[2]หน้าผ้า!AS118</f>
        <v>16554.45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P3</v>
      </c>
      <c r="AI109" s="1">
        <f>[2]หน้าผ้า!DM118</f>
        <v>1</v>
      </c>
      <c r="AJ109" s="3">
        <f>[2]หน้าผ้า!DN118</f>
        <v>45868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45867</v>
      </c>
      <c r="AP109" s="3">
        <f>[2]หน้าผ้า!DP118</f>
        <v>45863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ตัด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WRWT25650/WRWT25650</v>
      </c>
      <c r="BD109" s="56">
        <f>[2]หน้าผ้า!CA118</f>
        <v>1129.8412125</v>
      </c>
    </row>
    <row r="110" spans="1:56" ht="27.75" customHeight="1" x14ac:dyDescent="0.45">
      <c r="A110" s="3">
        <f>[2]หน้าผ้า!C119</f>
        <v>45842</v>
      </c>
      <c r="B110" s="14" t="str">
        <f>[2]หน้าผ้า!B119</f>
        <v xml:space="preserve">MK68-000865 </v>
      </c>
      <c r="C110" s="9" t="str">
        <f>[2]หน้าผ้า!E119</f>
        <v>บจก.ไลม์มาสเตอร์</v>
      </c>
      <c r="D110" s="13" t="str">
        <f>[2]หน้าผ้า!F119</f>
        <v>LMC 20 kg</v>
      </c>
      <c r="E110" s="9">
        <f>[2]หน้าผ้า!G119</f>
        <v>21</v>
      </c>
      <c r="F110" s="9">
        <f>[2]หน้าผ้า!H119</f>
        <v>34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60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ไม่</v>
      </c>
      <c r="M110" s="10">
        <f>[2]หน้าผ้า!T119</f>
        <v>22</v>
      </c>
      <c r="N110" s="9">
        <f>[2]หน้าผ้า!U119</f>
        <v>36</v>
      </c>
      <c r="O110" s="9">
        <f>[2]หน้าผ้า!V119</f>
        <v>40</v>
      </c>
      <c r="P110" s="10">
        <f>[2]หน้าผ้า!AB119</f>
        <v>183.67005330431996</v>
      </c>
      <c r="Q110" s="10">
        <f>[2]หน้าผ้า!AC119</f>
        <v>0</v>
      </c>
      <c r="R110" s="10">
        <f>[2]หน้าผ้า!AD119</f>
        <v>183.67005330431996</v>
      </c>
      <c r="S110" s="9" t="str">
        <f>[2]หน้าผ้า!Z119</f>
        <v>500กระสอบ</v>
      </c>
      <c r="T110" s="12">
        <f>[2]หน้าผ้า!X119</f>
        <v>45852</v>
      </c>
      <c r="U110" s="11">
        <f>[2]หน้าผ้า!AA119</f>
        <v>10000</v>
      </c>
      <c r="V110" s="10">
        <f>[2]หน้าผ้า!AJ119</f>
        <v>600</v>
      </c>
      <c r="W110" s="10">
        <f>[2]หน้าผ้า!AL119</f>
        <v>9400</v>
      </c>
      <c r="X110" s="10">
        <f>[2]หน้าผ้า!AM119</f>
        <v>10285</v>
      </c>
      <c r="Y110" s="10">
        <f>[2]หน้าผ้า!AN119</f>
        <v>0</v>
      </c>
      <c r="Z110" s="9" t="str">
        <f>[2]หน้าผ้า!AO119</f>
        <v>WSWT2125650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รอตัด</v>
      </c>
      <c r="AH110" s="1" t="str">
        <f>[2]หน้าผ้า!DL119</f>
        <v>P9</v>
      </c>
      <c r="AI110" s="1">
        <f>[2]หน้าผ้า!DM119</f>
        <v>3</v>
      </c>
      <c r="AJ110" s="3">
        <f>[2]หน้าผ้า!DN119</f>
        <v>45852</v>
      </c>
      <c r="AK110" s="3">
        <f>[2]หน้าผ้า!DQ119</f>
        <v>0</v>
      </c>
      <c r="AL110" s="3">
        <f>[2]หน้าผ้า!DR119</f>
        <v>45842</v>
      </c>
      <c r="AM110" s="3">
        <f>[2]หน้าผ้า!DS119</f>
        <v>45849</v>
      </c>
      <c r="AN110" s="3">
        <f>[2]หน้าผ้า!DT119</f>
        <v>45850</v>
      </c>
      <c r="AO110" s="3">
        <f>[2]หน้าผ้า!DU119</f>
        <v>45850</v>
      </c>
      <c r="AP110" s="3">
        <f>[2]หน้าผ้า!DP119</f>
        <v>45847</v>
      </c>
      <c r="AQ110" s="3">
        <f>[2]หน้าผ้า!DW119</f>
        <v>45851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WRWT25650/WRWT25650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21</v>
      </c>
      <c r="F111" s="9">
        <f>[2]หน้าผ้า!H120</f>
        <v>37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67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WSWT2125650</v>
      </c>
      <c r="AA111" s="8">
        <f>[2]หน้าผ้า!AQ120</f>
        <v>56438.8</v>
      </c>
      <c r="AB111" s="8">
        <f>[2]หน้าผ้า!AR120</f>
        <v>20621</v>
      </c>
      <c r="AC111" s="8">
        <f>[2]หน้าผ้า!AS120</f>
        <v>35817.800000000003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ระบุในSD</v>
      </c>
      <c r="AG111" s="1" t="str">
        <f>[3]หน้าผ้า!DC123</f>
        <v>พร้อมส่ง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WRWT25650/WRWT25650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21</v>
      </c>
      <c r="F112" s="9">
        <f>[2]หน้าผ้า!H121</f>
        <v>37</v>
      </c>
      <c r="G112" s="9" t="str">
        <f>[2]หน้าผ้า!I121</f>
        <v>ขาวแถบใส5</v>
      </c>
      <c r="H112" s="9">
        <f>[2]หน้าผ้า!J121</f>
        <v>0</v>
      </c>
      <c r="I112" s="9">
        <f>[2]หน้าผ้า!L121</f>
        <v>67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WSWTSCL052125650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WRWT25650/WRCL25680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45841</v>
      </c>
      <c r="B113" s="14" t="str">
        <f>[2]หน้าผ้า!B122</f>
        <v>MK68-000859</v>
      </c>
      <c r="C113" s="9" t="str">
        <f>[2]หน้าผ้า!E122</f>
        <v>ร้านสมคิดพันธุ์ข้าว</v>
      </c>
      <c r="D113" s="13" t="str">
        <f>[2]หน้าผ้า!F122</f>
        <v>ทองทั้งทุ่ง</v>
      </c>
      <c r="E113" s="9">
        <f>[2]หน้าผ้า!G122</f>
        <v>21</v>
      </c>
      <c r="F113" s="9">
        <f>[2]หน้าผ้า!H122</f>
        <v>34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76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</v>
      </c>
      <c r="T113" s="12">
        <f>[2]หน้าผ้า!X122</f>
        <v>45847</v>
      </c>
      <c r="U113" s="11">
        <f>[2]หน้าผ้า!AA122</f>
        <v>6000</v>
      </c>
      <c r="V113" s="10">
        <f>[2]หน้าผ้า!AJ122</f>
        <v>0</v>
      </c>
      <c r="W113" s="10">
        <f>[2]หน้าผ้า!AL122</f>
        <v>6000</v>
      </c>
      <c r="X113" s="10">
        <f>[2]หน้าผ้า!AM122</f>
        <v>6517</v>
      </c>
      <c r="Y113" s="10">
        <f>[2]หน้าผ้า!AN122</f>
        <v>0</v>
      </c>
      <c r="Z113" s="9" t="str">
        <f>[2]หน้าผ้า!AO122</f>
        <v>WSWT2125800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45847</v>
      </c>
      <c r="AK113" s="3">
        <f>[2]หน้าผ้า!DQ122</f>
        <v>0</v>
      </c>
      <c r="AL113" s="3">
        <f>[2]หน้าผ้า!DR122</f>
        <v>45838</v>
      </c>
      <c r="AM113" s="3">
        <f>[2]หน้าผ้า!DS122</f>
        <v>45845</v>
      </c>
      <c r="AN113" s="3">
        <f>[2]หน้าผ้า!DT122</f>
        <v>45846</v>
      </c>
      <c r="AO113" s="3">
        <f>[2]หน้าผ้า!DU122</f>
        <v>45846</v>
      </c>
      <c r="AP113" s="3">
        <f>[2]หน้าผ้า!DP122</f>
        <v>45842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21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83</v>
      </c>
      <c r="J114" s="9" t="str">
        <f>[2]หน้าผ้า!M123</f>
        <v>±</v>
      </c>
      <c r="K114" s="9">
        <f>[2]หน้าผ้า!N123</f>
        <v>5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WSWT2125800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ระบุในSD</v>
      </c>
      <c r="AG114" s="1" t="str">
        <f>[3]หน้าผ้า!DC126</f>
        <v>รอตัด</v>
      </c>
      <c r="AH114" s="1">
        <f>[2]หน้าผ้า!DL123</f>
        <v>0</v>
      </c>
      <c r="AI114" s="1">
        <f>[2]หน้าผ้า!DM123</f>
        <v>0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WRWT210800/WRWT25800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45826</v>
      </c>
      <c r="B115" s="14" t="str">
        <f>[2]หน้าผ้า!B124</f>
        <v>MK68-000804</v>
      </c>
      <c r="C115" s="9" t="str">
        <f>[2]หน้าผ้า!E124</f>
        <v>บจก.เอพีเอ็ม อะโกร</v>
      </c>
      <c r="D115" s="13" t="str">
        <f>[2]หน้าผ้า!F124</f>
        <v>ฟีล กู๊ด 802</v>
      </c>
      <c r="E115" s="9">
        <f>[2]หน้าผ้า!G124</f>
        <v>21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102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>
        <f>[2]หน้าผ้า!T124</f>
        <v>22</v>
      </c>
      <c r="N115" s="9">
        <f>[2]หน้าผ้า!U124</f>
        <v>40</v>
      </c>
      <c r="O115" s="9">
        <f>[2]หน้าผ้า!V124</f>
        <v>40</v>
      </c>
      <c r="P115" s="10">
        <f>[2]หน้าผ้า!AB124</f>
        <v>11.506516341759998</v>
      </c>
      <c r="Q115" s="10">
        <f>[2]หน้าผ้า!AC124</f>
        <v>0</v>
      </c>
      <c r="R115" s="10">
        <f>[2]หน้าผ้า!AD124</f>
        <v>11.506516341759998</v>
      </c>
      <c r="S115" s="9" t="str">
        <f>[2]หน้าผ้า!Z124</f>
        <v>500กระสอบแบน</v>
      </c>
      <c r="T115" s="12">
        <f>[2]หน้าผ้า!X124</f>
        <v>45847</v>
      </c>
      <c r="U115" s="11">
        <f>[2]หน้าผ้า!AA124</f>
        <v>1000</v>
      </c>
      <c r="V115" s="10">
        <f>[2]หน้าผ้า!AJ124</f>
        <v>470</v>
      </c>
      <c r="W115" s="10">
        <f>[2]หน้าผ้า!AL124</f>
        <v>530</v>
      </c>
      <c r="X115" s="10">
        <f>[2]หน้าผ้า!AM124</f>
        <v>8250</v>
      </c>
      <c r="Y115" s="10">
        <f>[2]หน้าผ้า!AN124</f>
        <v>0</v>
      </c>
      <c r="Z115" s="9" t="str">
        <f>[2]หน้าผ้า!AO124</f>
        <v>WSWT2121670SM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รอตัด</v>
      </c>
      <c r="AH115" s="1" t="str">
        <f>[2]หน้าผ้า!DL124</f>
        <v>P8</v>
      </c>
      <c r="AI115" s="1">
        <f>[2]หน้าผ้า!DM124</f>
        <v>4</v>
      </c>
      <c r="AJ115" s="3">
        <f>[2]หน้าผ้า!DN124</f>
        <v>45847</v>
      </c>
      <c r="AK115" s="3">
        <f>[2]หน้าผ้า!DQ124</f>
        <v>45843</v>
      </c>
      <c r="AL115" s="3">
        <f>[2]หน้าผ้า!DR124</f>
        <v>45837</v>
      </c>
      <c r="AM115" s="3">
        <f>[2]หน้าผ้า!DS124</f>
        <v>45844</v>
      </c>
      <c r="AN115" s="3">
        <f>[2]หน้าผ้า!DT124</f>
        <v>45845</v>
      </c>
      <c r="AO115" s="3">
        <f>[2]หน้าผ้า!DU124</f>
        <v>45845</v>
      </c>
      <c r="AP115" s="3">
        <f>[2]หน้าผ้า!DP124</f>
        <v>45842</v>
      </c>
      <c r="AQ115" s="3">
        <f>[2]หน้าผ้า!DW124</f>
        <v>45846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WRWT21670/WRWT21670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45833</v>
      </c>
      <c r="B116" s="14" t="str">
        <f>[2]หน้าผ้า!B125</f>
        <v>MK68-000833</v>
      </c>
      <c r="C116" s="9" t="str">
        <f>[2]หน้าผ้า!E125</f>
        <v>บจก.หนองบัวฟีดมิลล์</v>
      </c>
      <c r="D116" s="13" t="str">
        <f>[2]หน้าผ้า!F125</f>
        <v>ยูนิคอร์นฟิช202</v>
      </c>
      <c r="E116" s="9">
        <f>[2]หน้าผ้า!G125</f>
        <v>21</v>
      </c>
      <c r="F116" s="9">
        <f>[2]หน้าผ้า!H125</f>
        <v>37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>
        <f>[2]หน้าผ้า!T125</f>
        <v>22</v>
      </c>
      <c r="N116" s="9">
        <f>[2]หน้าผ้า!U125</f>
        <v>40</v>
      </c>
      <c r="O116" s="9">
        <f>[2]หน้าผ้า!V125</f>
        <v>40</v>
      </c>
      <c r="P116" s="10">
        <f>[2]หน้าผ้า!AB125</f>
        <v>217.10408191999997</v>
      </c>
      <c r="Q116" s="10">
        <f>[2]หน้าผ้า!AC125</f>
        <v>0</v>
      </c>
      <c r="R116" s="10">
        <f>[2]หน้าผ้า!AD125</f>
        <v>217.10408191999997</v>
      </c>
      <c r="S116" s="9" t="str">
        <f>[2]หน้าผ้า!Z125</f>
        <v>500กระสอบ</v>
      </c>
      <c r="T116" s="12">
        <f>[2]หน้าผ้า!X125</f>
        <v>45850</v>
      </c>
      <c r="U116" s="11">
        <f>[2]หน้าผ้า!AA125</f>
        <v>10000</v>
      </c>
      <c r="V116" s="10">
        <f>[2]หน้าผ้า!AJ125</f>
        <v>0</v>
      </c>
      <c r="W116" s="10">
        <f>[2]หน้าผ้า!AL125</f>
        <v>10000</v>
      </c>
      <c r="X116" s="10">
        <f>[2]หน้าผ้า!AM125</f>
        <v>10500</v>
      </c>
      <c r="Y116" s="10">
        <f>[2]หน้าผ้า!AN125</f>
        <v>0</v>
      </c>
      <c r="Z116" s="9" t="str">
        <f>[2]หน้าผ้า!AO125</f>
        <v>WSWT2121670SM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P8</v>
      </c>
      <c r="AI116" s="1">
        <f>[2]หน้าผ้า!DM125</f>
        <v>4</v>
      </c>
      <c r="AJ116" s="3">
        <f>[2]หน้าผ้า!DN125</f>
        <v>45850</v>
      </c>
      <c r="AK116" s="3">
        <f>[2]หน้าผ้า!DQ125</f>
        <v>45846</v>
      </c>
      <c r="AL116" s="3">
        <f>[2]หน้าผ้า!DR125</f>
        <v>45840</v>
      </c>
      <c r="AM116" s="3">
        <f>[2]หน้าผ้า!DS125</f>
        <v>45847</v>
      </c>
      <c r="AN116" s="3">
        <f>[2]หน้าผ้า!DT125</f>
        <v>45848</v>
      </c>
      <c r="AO116" s="3">
        <f>[2]หน้าผ้า!DU125</f>
        <v>45848</v>
      </c>
      <c r="AP116" s="3">
        <f>[2]หน้าผ้า!DP125</f>
        <v>45845</v>
      </c>
      <c r="AQ116" s="3">
        <f>[2]หน้าผ้า!DW125</f>
        <v>45849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WRWT21670/WRWT21670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45841</v>
      </c>
      <c r="B117" s="14" t="str">
        <f>[2]หน้าผ้า!B126</f>
        <v>MK68-000856</v>
      </c>
      <c r="C117" s="9" t="str">
        <f>[2]หน้าผ้า!E126</f>
        <v>บจก.บลูฟาโล่</v>
      </c>
      <c r="D117" s="13" t="str">
        <f>[2]หน้าผ้า!F126</f>
        <v>เมอร์รี่ 882M</v>
      </c>
      <c r="E117" s="9">
        <f>[2]หน้าผ้า!G126</f>
        <v>21</v>
      </c>
      <c r="F117" s="9">
        <f>[2]หน้าผ้า!H126</f>
        <v>37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97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>
        <f>[2]หน้าผ้า!T126</f>
        <v>22</v>
      </c>
      <c r="N117" s="9">
        <f>[2]หน้าผ้า!U126</f>
        <v>40</v>
      </c>
      <c r="O117" s="9">
        <f>[2]หน้าผ้า!V126</f>
        <v>40</v>
      </c>
      <c r="P117" s="10">
        <f>[2]หน้าผ้า!AB126</f>
        <v>108.55204095999999</v>
      </c>
      <c r="Q117" s="10">
        <f>[2]หน้าผ้า!AC126</f>
        <v>0</v>
      </c>
      <c r="R117" s="10">
        <f>[2]หน้าผ้า!AD126</f>
        <v>108.55204095999999</v>
      </c>
      <c r="S117" s="9" t="str">
        <f>[2]หน้าผ้า!Z126</f>
        <v>500กระสอบ</v>
      </c>
      <c r="T117" s="12">
        <f>[2]หน้าผ้า!X126</f>
        <v>45850</v>
      </c>
      <c r="U117" s="11">
        <f>[2]หน้าผ้า!AA126</f>
        <v>5000</v>
      </c>
      <c r="V117" s="10">
        <f>[2]หน้าผ้า!AJ126</f>
        <v>0</v>
      </c>
      <c r="W117" s="10">
        <f>[2]หน้าผ้า!AL126</f>
        <v>5000</v>
      </c>
      <c r="X117" s="10">
        <f>[2]หน้าผ้า!AM126</f>
        <v>5400</v>
      </c>
      <c r="Y117" s="10">
        <f>[2]หน้าผ้า!AN126</f>
        <v>0</v>
      </c>
      <c r="Z117" s="9" t="str">
        <f>[2]หน้าผ้า!AO126</f>
        <v>WSWT2121670SM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P8</v>
      </c>
      <c r="AI117" s="1">
        <f>[2]หน้าผ้า!DM126</f>
        <v>4</v>
      </c>
      <c r="AJ117" s="3">
        <f>[2]หน้าผ้า!DN126</f>
        <v>45850</v>
      </c>
      <c r="AK117" s="3">
        <f>[2]หน้าผ้า!DQ126</f>
        <v>45846</v>
      </c>
      <c r="AL117" s="3">
        <f>[2]หน้าผ้า!DR126</f>
        <v>45840</v>
      </c>
      <c r="AM117" s="3">
        <f>[2]หน้าผ้า!DS126</f>
        <v>45847</v>
      </c>
      <c r="AN117" s="3">
        <f>[2]หน้าผ้า!DT126</f>
        <v>45848</v>
      </c>
      <c r="AO117" s="3">
        <f>[2]หน้าผ้า!DU126</f>
        <v>45848</v>
      </c>
      <c r="AP117" s="3">
        <f>[2]หน้าผ้า!DP126</f>
        <v>45845</v>
      </c>
      <c r="AQ117" s="3">
        <f>[2]หน้าผ้า!DW126</f>
        <v>45849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WRWT21670/WRWT21670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45841</v>
      </c>
      <c r="B118" s="14" t="str">
        <f>[2]หน้าผ้า!B127</f>
        <v>MK68-000856</v>
      </c>
      <c r="C118" s="9" t="str">
        <f>[2]หน้าผ้า!E127</f>
        <v>บจก.บลูฟาโล่</v>
      </c>
      <c r="D118" s="13" t="str">
        <f>[2]หน้าผ้า!F127</f>
        <v>เมอร์รี่ 882L</v>
      </c>
      <c r="E118" s="9">
        <f>[2]หน้าผ้า!G127</f>
        <v>21</v>
      </c>
      <c r="F118" s="9">
        <f>[2]หน้าผ้า!H127</f>
        <v>37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97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>
        <f>[2]หน้าผ้า!T127</f>
        <v>22</v>
      </c>
      <c r="N118" s="9">
        <f>[2]หน้าผ้า!U127</f>
        <v>40</v>
      </c>
      <c r="O118" s="9">
        <f>[2]หน้าผ้า!V127</f>
        <v>40</v>
      </c>
      <c r="P118" s="10">
        <f>[2]หน้าผ้า!AB127</f>
        <v>108.55204095999999</v>
      </c>
      <c r="Q118" s="10">
        <f>[2]หน้าผ้า!AC127</f>
        <v>0</v>
      </c>
      <c r="R118" s="10">
        <f>[2]หน้าผ้า!AD127</f>
        <v>108.55204095999999</v>
      </c>
      <c r="S118" s="9" t="str">
        <f>[2]หน้าผ้า!Z127</f>
        <v>500กระสอบ</v>
      </c>
      <c r="T118" s="12">
        <f>[2]หน้าผ้า!X127</f>
        <v>45850</v>
      </c>
      <c r="U118" s="11">
        <f>[2]หน้าผ้า!AA127</f>
        <v>5000</v>
      </c>
      <c r="V118" s="10">
        <f>[2]หน้าผ้า!AJ127</f>
        <v>0</v>
      </c>
      <c r="W118" s="10">
        <f>[2]หน้าผ้า!AL127</f>
        <v>5000</v>
      </c>
      <c r="X118" s="10">
        <f>[2]หน้าผ้า!AM127</f>
        <v>5400</v>
      </c>
      <c r="Y118" s="10">
        <f>[2]หน้าผ้า!AN127</f>
        <v>0</v>
      </c>
      <c r="Z118" s="9" t="str">
        <f>[2]หน้าผ้า!AO127</f>
        <v>WSWT2121670SM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P8</v>
      </c>
      <c r="AI118" s="1">
        <f>[2]หน้าผ้า!DM127</f>
        <v>4</v>
      </c>
      <c r="AJ118" s="3">
        <f>[2]หน้าผ้า!DN127</f>
        <v>45850</v>
      </c>
      <c r="AK118" s="3">
        <f>[2]หน้าผ้า!DQ127</f>
        <v>45846</v>
      </c>
      <c r="AL118" s="3">
        <f>[2]หน้าผ้า!DR127</f>
        <v>45840</v>
      </c>
      <c r="AM118" s="3">
        <f>[2]หน้าผ้า!DS127</f>
        <v>45847</v>
      </c>
      <c r="AN118" s="3">
        <f>[2]หน้าผ้า!DT127</f>
        <v>45848</v>
      </c>
      <c r="AO118" s="3">
        <f>[2]หน้าผ้า!DU127</f>
        <v>45848</v>
      </c>
      <c r="AP118" s="3">
        <f>[2]หน้าผ้า!DP127</f>
        <v>45845</v>
      </c>
      <c r="AQ118" s="3">
        <f>[2]หน้าผ้า!DW127</f>
        <v>45849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WRWT21670/WRWT21670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45846</v>
      </c>
      <c r="B119" s="14" t="str">
        <f>[2]หน้าผ้า!B128</f>
        <v>ใบรับคำสั่งซื้อ</v>
      </c>
      <c r="C119" s="9" t="str">
        <f>[2]หน้าผ้า!E128</f>
        <v>บจก.หนองบัวฟีดมิลล์</v>
      </c>
      <c r="D119" s="13" t="str">
        <f>[2]หน้าผ้า!F128</f>
        <v>ยูนิคอร์นฟิช 103</v>
      </c>
      <c r="E119" s="9">
        <f>[2]หน้าผ้า!G128</f>
        <v>21</v>
      </c>
      <c r="F119" s="9">
        <f>[2]หน้าผ้า!H128</f>
        <v>37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>
        <f>[2]หน้าผ้า!T128</f>
        <v>22</v>
      </c>
      <c r="N119" s="9">
        <f>[2]หน้าผ้า!U128</f>
        <v>40</v>
      </c>
      <c r="O119" s="9">
        <f>[2]หน้าผ้า!V128</f>
        <v>40</v>
      </c>
      <c r="P119" s="10">
        <f>[2]หน้าผ้า!AB128</f>
        <v>434.20816383999994</v>
      </c>
      <c r="Q119" s="10">
        <f>[2]หน้าผ้า!AC128</f>
        <v>0</v>
      </c>
      <c r="R119" s="10">
        <f>[2]หน้าผ้า!AD128</f>
        <v>434.20816383999994</v>
      </c>
      <c r="S119" s="9" t="str">
        <f>[2]หน้าผ้า!Z128</f>
        <v>500กระสอบ</v>
      </c>
      <c r="T119" s="12">
        <f>[2]หน้าผ้า!X128</f>
        <v>45854</v>
      </c>
      <c r="U119" s="11">
        <f>[2]หน้าผ้า!AA128</f>
        <v>20000</v>
      </c>
      <c r="V119" s="10">
        <f>[2]หน้าผ้า!AJ128</f>
        <v>0</v>
      </c>
      <c r="W119" s="10">
        <f>[2]หน้าผ้า!AL128</f>
        <v>20000</v>
      </c>
      <c r="X119" s="10">
        <f>[2]หน้าผ้า!AM128</f>
        <v>0</v>
      </c>
      <c r="Y119" s="10">
        <f>[2]หน้าผ้า!AN128</f>
        <v>21000</v>
      </c>
      <c r="Z119" s="9" t="str">
        <f>[2]หน้าผ้า!AO128</f>
        <v>WSWT2121670SM</v>
      </c>
      <c r="AA119" s="8">
        <f>[2]หน้าผ้า!AQ128</f>
        <v>21513.800000000003</v>
      </c>
      <c r="AB119" s="8">
        <f>[2]หน้าผ้า!AR128</f>
        <v>21513.800000000003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21513.800000000003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P8</v>
      </c>
      <c r="AI119" s="1">
        <f>[2]หน้าผ้า!DM128</f>
        <v>4</v>
      </c>
      <c r="AJ119" s="3">
        <f>[2]หน้าผ้า!DN128</f>
        <v>45854</v>
      </c>
      <c r="AK119" s="3">
        <f>[2]หน้าผ้า!DQ128</f>
        <v>45850</v>
      </c>
      <c r="AL119" s="3">
        <f>[2]หน้าผ้า!DR128</f>
        <v>45844</v>
      </c>
      <c r="AM119" s="3">
        <f>[2]หน้าผ้า!DS128</f>
        <v>45851</v>
      </c>
      <c r="AN119" s="3">
        <f>[2]หน้าผ้า!DT128</f>
        <v>45852</v>
      </c>
      <c r="AO119" s="3">
        <f>[2]หน้าผ้า!DU128</f>
        <v>45852</v>
      </c>
      <c r="AP119" s="3">
        <f>[2]หน้าผ้า!DP128</f>
        <v>45849</v>
      </c>
      <c r="AQ119" s="3">
        <f>[2]หน้าผ้า!DW128</f>
        <v>45853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WRWT21670/WRWT21670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45846</v>
      </c>
      <c r="B120" s="14" t="str">
        <f>[2]หน้าผ้า!B129</f>
        <v>ใบรับคำสั่งซื้อ</v>
      </c>
      <c r="C120" s="9" t="str">
        <f>[2]หน้าผ้า!E129</f>
        <v>บจก.หนองบัว อโกรฟอรืไลฟ์</v>
      </c>
      <c r="D120" s="13" t="str">
        <f>[2]หน้าผ้า!F129</f>
        <v>โอดิน 101</v>
      </c>
      <c r="E120" s="9">
        <f>[2]หน้าผ้า!G129</f>
        <v>21</v>
      </c>
      <c r="F120" s="9">
        <f>[2]หน้าผ้า!H129</f>
        <v>37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>
        <f>[2]หน้าผ้า!T129</f>
        <v>22</v>
      </c>
      <c r="N120" s="9">
        <f>[2]หน้าผ้า!U129</f>
        <v>40</v>
      </c>
      <c r="O120" s="9">
        <f>[2]หน้าผ้า!V129</f>
        <v>40</v>
      </c>
      <c r="P120" s="10">
        <f>[2]หน้าผ้า!AB129</f>
        <v>108.55204095999999</v>
      </c>
      <c r="Q120" s="10">
        <f>[2]หน้าผ้า!AC129</f>
        <v>0</v>
      </c>
      <c r="R120" s="10">
        <f>[2]หน้าผ้า!AD129</f>
        <v>108.55204095999999</v>
      </c>
      <c r="S120" s="9" t="str">
        <f>[2]หน้าผ้า!Z129</f>
        <v>500กระสอบ</v>
      </c>
      <c r="T120" s="12">
        <f>[2]หน้าผ้า!X129</f>
        <v>45856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5250</v>
      </c>
      <c r="Z120" s="9" t="str">
        <f>[2]หน้าผ้า!AO129</f>
        <v>WSWT2121670SM</v>
      </c>
      <c r="AA120" s="8">
        <f>[2]หน้าผ้า!AQ129</f>
        <v>5378.4500000000007</v>
      </c>
      <c r="AB120" s="8">
        <f>[2]หน้าผ้า!AR129</f>
        <v>5378.4500000000007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5378.4500000000007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P8</v>
      </c>
      <c r="AI120" s="1">
        <f>[2]หน้าผ้า!DM129</f>
        <v>4</v>
      </c>
      <c r="AJ120" s="3">
        <f>[2]หน้าผ้า!DN129</f>
        <v>45856</v>
      </c>
      <c r="AK120" s="3">
        <f>[2]หน้าผ้า!DQ129</f>
        <v>45852</v>
      </c>
      <c r="AL120" s="3">
        <f>[2]หน้าผ้า!DR129</f>
        <v>45846</v>
      </c>
      <c r="AM120" s="3">
        <f>[2]หน้าผ้า!DS129</f>
        <v>45853</v>
      </c>
      <c r="AN120" s="3">
        <f>[2]หน้าผ้า!DT129</f>
        <v>45854</v>
      </c>
      <c r="AO120" s="3">
        <f>[2]หน้าผ้า!DU129</f>
        <v>45854</v>
      </c>
      <c r="AP120" s="3">
        <f>[2]หน้าผ้า!DP129</f>
        <v>45851</v>
      </c>
      <c r="AQ120" s="3">
        <f>[2]หน้าผ้า!DW129</f>
        <v>45855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0</v>
      </c>
    </row>
    <row r="121" spans="1:56" ht="27.7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บจก.แอมโก้เวท</v>
      </c>
      <c r="D121" s="13" t="str">
        <f>[2]หน้าผ้า!F130</f>
        <v>รอแบบ</v>
      </c>
      <c r="E121" s="9">
        <f>[2]หน้าผ้า!G130</f>
        <v>21</v>
      </c>
      <c r="F121" s="9">
        <f>[2]หน้าผ้า!H130</f>
        <v>37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</v>
      </c>
      <c r="T121" s="12">
        <f>[2]หน้าผ้า!X130</f>
        <v>45868</v>
      </c>
      <c r="U121" s="11">
        <f>[2]หน้าผ้า!AA130</f>
        <v>300000</v>
      </c>
      <c r="V121" s="10">
        <f>[2]หน้าผ้า!AJ130</f>
        <v>0</v>
      </c>
      <c r="W121" s="10">
        <f>[2]หน้าผ้า!AL130</f>
        <v>300000</v>
      </c>
      <c r="X121" s="10">
        <f>[2]หน้าผ้า!AM130</f>
        <v>0</v>
      </c>
      <c r="Y121" s="10">
        <f>[2]หน้าผ้า!AN130</f>
        <v>315000</v>
      </c>
      <c r="Z121" s="9" t="str">
        <f>[2]หน้าผ้า!AO130</f>
        <v>WSWT2121670SM</v>
      </c>
      <c r="AA121" s="8">
        <f>[2]หน้าผ้า!AQ130</f>
        <v>322707</v>
      </c>
      <c r="AB121" s="8">
        <f>[2]หน้าผ้า!AR130</f>
        <v>84018</v>
      </c>
      <c r="AC121" s="8">
        <f>[2]หน้าผ้า!AS130</f>
        <v>238689</v>
      </c>
      <c r="AD121" s="8">
        <f>[2]หน้าผ้า!AT130</f>
        <v>0</v>
      </c>
      <c r="AE121" s="8">
        <f>[2]หน้าผ้า!AU130</f>
        <v>322707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>
        <f>[2]หน้าผ้า!DN130</f>
        <v>45868</v>
      </c>
      <c r="AK121" s="3">
        <f>[2]หน้าผ้า!DQ130</f>
        <v>45864</v>
      </c>
      <c r="AL121" s="3">
        <f>[2]หน้าผ้า!DR130</f>
        <v>45858</v>
      </c>
      <c r="AM121" s="3">
        <f>[2]หน้าผ้า!DS130</f>
        <v>45865</v>
      </c>
      <c r="AN121" s="3">
        <f>[2]หน้าผ้า!DT130</f>
        <v>45866</v>
      </c>
      <c r="AO121" s="3">
        <f>[2]หน้าผ้า!DU130</f>
        <v>45866</v>
      </c>
      <c r="AP121" s="3">
        <f>[2]หน้าผ้า!DP130</f>
        <v>45863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17164.921619999997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บจก.เอ็นบี</v>
      </c>
      <c r="D122" s="13" t="str">
        <f>[2]หน้าผ้า!F131</f>
        <v>รอแบบ</v>
      </c>
      <c r="E122" s="9">
        <f>[2]หน้าผ้า!G131</f>
        <v>21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>
        <f>[2]หน้าผ้า!T131</f>
        <v>22</v>
      </c>
      <c r="N122" s="9">
        <f>[2]หน้าผ้า!U131</f>
        <v>40</v>
      </c>
      <c r="O122" s="9">
        <f>[2]หน้าผ้า!V131</f>
        <v>40</v>
      </c>
      <c r="P122" s="10">
        <f>[2]หน้าผ้า!AB131</f>
        <v>434.20816383999994</v>
      </c>
      <c r="Q122" s="10">
        <f>[2]หน้าผ้า!AC131</f>
        <v>0</v>
      </c>
      <c r="R122" s="10">
        <f>[2]หน้าผ้า!AD131</f>
        <v>434.20816383999994</v>
      </c>
      <c r="S122" s="9" t="str">
        <f>[2]หน้าผ้า!Z131</f>
        <v>500กระสอบ</v>
      </c>
      <c r="T122" s="12">
        <f>[2]หน้าผ้า!X131</f>
        <v>45868</v>
      </c>
      <c r="U122" s="11">
        <f>[2]หน้าผ้า!AA131</f>
        <v>20000</v>
      </c>
      <c r="V122" s="10">
        <f>[2]หน้าผ้า!AJ131</f>
        <v>0</v>
      </c>
      <c r="W122" s="10">
        <f>[2]หน้าผ้า!AL131</f>
        <v>20000</v>
      </c>
      <c r="X122" s="10">
        <f>[2]หน้าผ้า!AM131</f>
        <v>0</v>
      </c>
      <c r="Y122" s="10">
        <f>[2]หน้าผ้า!AN131</f>
        <v>21000</v>
      </c>
      <c r="Z122" s="9" t="str">
        <f>[2]หน้าผ้า!AO131</f>
        <v>WSWT2121670SM</v>
      </c>
      <c r="AA122" s="8">
        <f>[2]หน้าผ้า!AQ131</f>
        <v>21513.800000000003</v>
      </c>
      <c r="AB122" s="8">
        <f>[2]หน้าผ้า!AR131</f>
        <v>0</v>
      </c>
      <c r="AC122" s="8">
        <f>[2]หน้าผ้า!AS131</f>
        <v>21513.800000000003</v>
      </c>
      <c r="AD122" s="8">
        <f>[2]หน้าผ้า!AT131</f>
        <v>0</v>
      </c>
      <c r="AE122" s="8">
        <f>[2]หน้าผ้า!AU131</f>
        <v>21513.800000000003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>
        <f>[2]หน้าผ้า!DN131</f>
        <v>45868</v>
      </c>
      <c r="AK122" s="3">
        <f>[2]หน้าผ้า!DQ131</f>
        <v>45864</v>
      </c>
      <c r="AL122" s="3">
        <f>[2]หน้าผ้า!DR131</f>
        <v>45858</v>
      </c>
      <c r="AM122" s="3">
        <f>[2]หน้าผ้า!DS131</f>
        <v>45865</v>
      </c>
      <c r="AN122" s="3">
        <f>[2]หน้าผ้า!DT131</f>
        <v>45866</v>
      </c>
      <c r="AO122" s="3">
        <f>[2]หน้าผ้า!DU131</f>
        <v>45866</v>
      </c>
      <c r="AP122" s="3">
        <f>[2]หน้าผ้า!DP131</f>
        <v>45863</v>
      </c>
      <c r="AQ122" s="3">
        <f>[2]หน้าผ้า!DW131</f>
        <v>45867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1547.1290706666666</v>
      </c>
    </row>
    <row r="123" spans="1:56" ht="27.75" customHeight="1" x14ac:dyDescent="0.45">
      <c r="A123" s="3" t="str">
        <f>[2]หน้าผ้า!C132</f>
        <v>ประมาณการ</v>
      </c>
      <c r="B123" s="14" t="str">
        <f>[2]หน้าผ้า!B132</f>
        <v>ประมาณการ</v>
      </c>
      <c r="C123" s="9" t="str">
        <f>[2]หน้าผ้า!E132</f>
        <v>บจก.ที.ซี.ยูเนี่ยน อโกรเทค</v>
      </c>
      <c r="D123" s="13" t="str">
        <f>[2]หน้าผ้า!F132</f>
        <v>Zhejiang UN</v>
      </c>
      <c r="E123" s="9">
        <f>[2]หน้าผ้า!G132</f>
        <v>21</v>
      </c>
      <c r="F123" s="9">
        <f>[2]หน้าผ้า!H132</f>
        <v>37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45868</v>
      </c>
      <c r="U123" s="11">
        <f>[2]หน้าผ้า!AA132</f>
        <v>10000</v>
      </c>
      <c r="V123" s="10">
        <f>[2]หน้าผ้า!AJ132</f>
        <v>0</v>
      </c>
      <c r="W123" s="10">
        <f>[2]หน้าผ้า!AL132</f>
        <v>10000</v>
      </c>
      <c r="X123" s="10">
        <f>[2]หน้าผ้า!AM132</f>
        <v>0</v>
      </c>
      <c r="Y123" s="10">
        <f>[2]หน้าผ้า!AN132</f>
        <v>10500</v>
      </c>
      <c r="Z123" s="9" t="str">
        <f>[2]หน้าผ้า!AO132</f>
        <v>WSWT2121670SM</v>
      </c>
      <c r="AA123" s="8">
        <f>[2]หน้าผ้า!AQ132</f>
        <v>10756.900000000001</v>
      </c>
      <c r="AB123" s="8">
        <f>[2]หน้าผ้า!AR132</f>
        <v>10756.900000000001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10756.900000000001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P8</v>
      </c>
      <c r="AI123" s="1">
        <f>[2]หน้าผ้า!DM132</f>
        <v>4</v>
      </c>
      <c r="AJ123" s="3">
        <f>[2]หน้าผ้า!DN132</f>
        <v>45868</v>
      </c>
      <c r="AK123" s="3">
        <f>[2]หน้าผ้า!DQ132</f>
        <v>45864</v>
      </c>
      <c r="AL123" s="3">
        <f>[2]หน้าผ้า!DR132</f>
        <v>45858</v>
      </c>
      <c r="AM123" s="3">
        <f>[2]หน้าผ้า!DS132</f>
        <v>45865</v>
      </c>
      <c r="AN123" s="3">
        <f>[2]หน้าผ้า!DT132</f>
        <v>45866</v>
      </c>
      <c r="AO123" s="3">
        <f>[2]หน้าผ้า!DU132</f>
        <v>45866</v>
      </c>
      <c r="AP123" s="3">
        <f>[2]หน้าผ้า!DP132</f>
        <v>45863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45826</v>
      </c>
      <c r="B124" s="14" t="str">
        <f>[2]หน้าผ้า!B133</f>
        <v>MK68-000804</v>
      </c>
      <c r="C124" s="9" t="str">
        <f>[2]หน้าผ้า!E133</f>
        <v>บจก.เอพีเอ็ม อะโกร</v>
      </c>
      <c r="D124" s="13" t="str">
        <f>[2]หน้าผ้า!F133</f>
        <v>ฟีล กู๊ด 802</v>
      </c>
      <c r="E124" s="9">
        <f>[2]หน้าผ้า!G133</f>
        <v>21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102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>
        <f>[2]หน้าผ้า!T133</f>
        <v>22</v>
      </c>
      <c r="N124" s="9">
        <f>[2]หน้าผ้า!U133</f>
        <v>40</v>
      </c>
      <c r="O124" s="9">
        <f>[2]หน้าผ้า!V133</f>
        <v>40</v>
      </c>
      <c r="P124" s="10">
        <f>[2]หน้าผ้า!AB133</f>
        <v>151.97285734399995</v>
      </c>
      <c r="Q124" s="10">
        <f>[2]หน้าผ้า!AC133</f>
        <v>0</v>
      </c>
      <c r="R124" s="10">
        <f>[2]หน้าผ้า!AD133</f>
        <v>151.97285734399995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7000</v>
      </c>
      <c r="V124" s="10">
        <f>[2]หน้าผ้า!AJ133</f>
        <v>0</v>
      </c>
      <c r="W124" s="10">
        <f>[2]หน้าผ้า!AL133</f>
        <v>7000</v>
      </c>
      <c r="X124" s="10">
        <f>[2]หน้าผ้า!AM133</f>
        <v>0</v>
      </c>
      <c r="Y124" s="10">
        <f>[2]หน้าผ้า!AN133</f>
        <v>7350</v>
      </c>
      <c r="Z124" s="9" t="str">
        <f>[2]หน้าผ้า!AO133</f>
        <v>WSWT2121670SM</v>
      </c>
      <c r="AA124" s="8">
        <f>[2]หน้าผ้า!AQ133</f>
        <v>7725.41</v>
      </c>
      <c r="AB124" s="8">
        <f>[2]หน้าผ้า!AR133</f>
        <v>7725.41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7725.41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P8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 t="e">
        <f>[2]หน้าผ้า!DW133</f>
        <v>#VALUE!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45628</v>
      </c>
      <c r="B125" s="14" t="str">
        <f>[2]หน้าผ้า!B134</f>
        <v>MK67-001617</v>
      </c>
      <c r="C125" s="9" t="str">
        <f>[2]หน้าผ้า!E134</f>
        <v>บจก.ที.ซี.ยูเนี่ยน อโกรเทค</v>
      </c>
      <c r="D125" s="13" t="str">
        <f>[2]หน้าผ้า!F134</f>
        <v>Zhejiang UN</v>
      </c>
      <c r="E125" s="9">
        <f>[2]หน้าผ้า!G134</f>
        <v>21</v>
      </c>
      <c r="F125" s="9">
        <f>[2]หน้าผ้า!H134</f>
        <v>37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 t="str">
        <f>[2]หน้าผ้า!X134</f>
        <v>รอแจ้ง</v>
      </c>
      <c r="U125" s="11">
        <f>[2]หน้าผ้า!AA134</f>
        <v>8000</v>
      </c>
      <c r="V125" s="10">
        <f>[2]หน้าผ้า!AJ134</f>
        <v>0</v>
      </c>
      <c r="W125" s="10">
        <f>[2]หน้าผ้า!AL134</f>
        <v>8000</v>
      </c>
      <c r="X125" s="10">
        <f>[2]หน้าผ้า!AM134</f>
        <v>0</v>
      </c>
      <c r="Y125" s="10">
        <f>[2]หน้าผ้า!AN134</f>
        <v>8400</v>
      </c>
      <c r="Z125" s="9" t="str">
        <f>[2]หน้าผ้า!AO134</f>
        <v>WSWT2121670SM</v>
      </c>
      <c r="AA125" s="8">
        <f>[2]หน้าผ้า!AQ134</f>
        <v>8605.52</v>
      </c>
      <c r="AB125" s="8">
        <f>[2]หน้าผ้า!AR134</f>
        <v>8605.52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8605.52</v>
      </c>
      <c r="AF125" s="8">
        <f>[2]หน้าผ้า!AI134</f>
        <v>0</v>
      </c>
      <c r="AG125" s="1" t="str">
        <f>[3]หน้าผ้า!DC137</f>
        <v>รอแบบ</v>
      </c>
      <c r="AH125" s="1" t="str">
        <f>[2]หน้าผ้า!DL134</f>
        <v>P8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20/1--5/3 ลูกค้าแจ้งเลื่อน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45631</v>
      </c>
      <c r="B126" s="14" t="str">
        <f>[2]หน้าผ้า!B135</f>
        <v>MK67-001642</v>
      </c>
      <c r="C126" s="9" t="str">
        <f>[2]หน้าผ้า!E135</f>
        <v>บจก.ที.ซี.ยูเนี่ยน อโกรเทค</v>
      </c>
      <c r="D126" s="13" t="str">
        <f>[2]หน้าผ้า!F135</f>
        <v>Zhejiang UN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 t="str">
        <f>[2]หน้าผ้า!X135</f>
        <v>รอแจ้ง</v>
      </c>
      <c r="U126" s="11">
        <f>[2]หน้าผ้า!AA135</f>
        <v>16000</v>
      </c>
      <c r="V126" s="10">
        <f>[2]หน้าผ้า!AJ135</f>
        <v>0</v>
      </c>
      <c r="W126" s="10">
        <f>[2]หน้าผ้า!AL135</f>
        <v>16000</v>
      </c>
      <c r="X126" s="10">
        <f>[2]หน้าผ้า!AM135</f>
        <v>0</v>
      </c>
      <c r="Y126" s="10">
        <f>[2]หน้าผ้า!AN135</f>
        <v>16800</v>
      </c>
      <c r="Z126" s="9" t="str">
        <f>[2]หน้าผ้า!AO135</f>
        <v>WSWT2121670SM</v>
      </c>
      <c r="AA126" s="8">
        <f>[2]หน้าผ้า!AQ135</f>
        <v>17211.04</v>
      </c>
      <c r="AB126" s="8">
        <f>[2]หน้าผ้า!AR135</f>
        <v>0</v>
      </c>
      <c r="AC126" s="8">
        <f>[2]หน้าผ้า!AS135</f>
        <v>17211.04</v>
      </c>
      <c r="AD126" s="8">
        <f>[2]หน้าผ้า!AT135</f>
        <v>0</v>
      </c>
      <c r="AE126" s="8">
        <f>[2]หน้าผ้า!AU135</f>
        <v>17211.04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P8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3/2---19/3 ลูกค้าแจ้งเลื่อน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1237.7032565333332</v>
      </c>
    </row>
    <row r="127" spans="1:56" ht="27.75" customHeight="1" x14ac:dyDescent="0.45">
      <c r="A127" s="3">
        <f>[2]หน้าผ้า!C136</f>
        <v>45631</v>
      </c>
      <c r="B127" s="14" t="str">
        <f>[2]หน้าผ้า!B136</f>
        <v>MK67-001643</v>
      </c>
      <c r="C127" s="9" t="str">
        <f>[2]หน้าผ้า!E136</f>
        <v>บจก.ที.ซี.ยูเนี่ยน อโกรเทค</v>
      </c>
      <c r="D127" s="13" t="str">
        <f>[2]หน้าผ้า!F136</f>
        <v>Zhejiang UN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 t="str">
        <f>[2]หน้าผ้า!X136</f>
        <v>รอแจ้ง</v>
      </c>
      <c r="U127" s="11">
        <f>[2]หน้าผ้า!AA136</f>
        <v>16000</v>
      </c>
      <c r="V127" s="10">
        <f>[2]หน้าผ้า!AJ136</f>
        <v>0</v>
      </c>
      <c r="W127" s="10">
        <f>[2]หน้าผ้า!AL136</f>
        <v>16000</v>
      </c>
      <c r="X127" s="10">
        <f>[2]หน้าผ้า!AM136</f>
        <v>0</v>
      </c>
      <c r="Y127" s="10">
        <f>[2]หน้าผ้า!AN136</f>
        <v>16800</v>
      </c>
      <c r="Z127" s="9" t="str">
        <f>[2]หน้าผ้า!AO136</f>
        <v>WSWT2121670SM</v>
      </c>
      <c r="AA127" s="8">
        <f>[2]หน้าผ้า!AQ136</f>
        <v>17211.04</v>
      </c>
      <c r="AB127" s="8">
        <f>[2]หน้าผ้า!AR136</f>
        <v>0</v>
      </c>
      <c r="AC127" s="8">
        <f>[2]หน้าผ้า!AS136</f>
        <v>17211.04</v>
      </c>
      <c r="AD127" s="8">
        <f>[2]หน้าผ้า!AT136</f>
        <v>0</v>
      </c>
      <c r="AE127" s="8">
        <f>[2]หน้าผ้า!AU136</f>
        <v>17211.04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P8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 t="str">
        <f>[2]หน้าผ้า!AG136</f>
        <v>17/2---28/3 ลูกค้าแจ้งเลื่อน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1237.7032565333332</v>
      </c>
    </row>
    <row r="128" spans="1:56" ht="27.75" customHeight="1" x14ac:dyDescent="0.45">
      <c r="A128" s="3" t="str">
        <f>[2]หน้าผ้า!C137</f>
        <v>ประมาณการ</v>
      </c>
      <c r="B128" s="14" t="str">
        <f>[2]หน้าผ้า!B137</f>
        <v>ประมาณการ</v>
      </c>
      <c r="C128" s="9" t="str">
        <f>[2]หน้าผ้า!E137</f>
        <v>บจก.เอพีเอ็ม อะโกร</v>
      </c>
      <c r="D128" s="13" t="str">
        <f>[2]หน้าผ้า!F137</f>
        <v>รอแบบ</v>
      </c>
      <c r="E128" s="9">
        <f>[2]หน้าผ้า!G137</f>
        <v>21</v>
      </c>
      <c r="F128" s="9">
        <f>[2]หน้าผ้า!H137</f>
        <v>40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108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</v>
      </c>
      <c r="M128" s="10">
        <f>[2]หน้าผ้า!T137</f>
        <v>22</v>
      </c>
      <c r="N128" s="9">
        <f>[2]หน้าผ้า!U137</f>
        <v>42</v>
      </c>
      <c r="O128" s="9">
        <f>[2]หน้าผ้า!V137</f>
        <v>40</v>
      </c>
      <c r="P128" s="10">
        <f>[2]หน้าผ้า!AB137</f>
        <v>227.95928601599996</v>
      </c>
      <c r="Q128" s="10">
        <f>[2]หน้าผ้า!AC137</f>
        <v>0</v>
      </c>
      <c r="R128" s="10">
        <f>[2]หน้าผ้า!AD137</f>
        <v>227.95928601599996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10000</v>
      </c>
      <c r="V128" s="10">
        <f>[2]หน้าผ้า!AJ137</f>
        <v>0</v>
      </c>
      <c r="W128" s="10">
        <f>[2]หน้าผ้า!AL137</f>
        <v>10000</v>
      </c>
      <c r="X128" s="10">
        <f>[2]หน้าผ้า!AM137</f>
        <v>0</v>
      </c>
      <c r="Y128" s="10">
        <f>[2]หน้าผ้า!AN137</f>
        <v>10500</v>
      </c>
      <c r="Z128" s="9" t="str">
        <f>[2]หน้าผ้า!AO137</f>
        <v>WSWT2121670SM</v>
      </c>
      <c r="AA128" s="8">
        <f>[2]หน้าผ้า!AQ137</f>
        <v>11595.1</v>
      </c>
      <c r="AB128" s="8">
        <f>[2]หน้าผ้า!AR137</f>
        <v>0</v>
      </c>
      <c r="AC128" s="8">
        <f>[2]หน้าผ้า!AS137</f>
        <v>11595.1</v>
      </c>
      <c r="AD128" s="8">
        <f>[2]หน้าผ้า!AT137</f>
        <v>0</v>
      </c>
      <c r="AE128" s="8">
        <f>[2]หน้าผ้า!AU137</f>
        <v>11595.1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P8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 t="e">
        <f>[2]หน้าผ้า!DW137</f>
        <v>#VALUE!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>รอART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833.84229133333326</v>
      </c>
    </row>
    <row r="129" spans="1:56" ht="27.75" customHeight="1" x14ac:dyDescent="0.45">
      <c r="A129" s="3">
        <f>[2]หน้าผ้า!C138</f>
        <v>45066</v>
      </c>
      <c r="B129" s="14" t="str">
        <f>[2]หน้าผ้า!B138</f>
        <v>MK66-000701</v>
      </c>
      <c r="C129" s="9" t="str">
        <f>[2]หน้าผ้า!E138</f>
        <v>บจก.เอสพีเอ็ม อาหารสัตว์</v>
      </c>
      <c r="D129" s="13" t="str">
        <f>[2]หน้าผ้า!F138</f>
        <v>มาซูฟีด ซี041</v>
      </c>
      <c r="E129" s="9">
        <f>[2]หน้าผ้า!G138</f>
        <v>21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102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>
        <f>[2]หน้าผ้า!T138</f>
        <v>22</v>
      </c>
      <c r="N129" s="9">
        <f>[2]หน้าผ้า!U138</f>
        <v>40</v>
      </c>
      <c r="O129" s="9">
        <f>[2]หน้าผ้า!V138</f>
        <v>40</v>
      </c>
      <c r="P129" s="10">
        <f>[2]หน้าผ้า!AB138</f>
        <v>108.55204095999999</v>
      </c>
      <c r="Q129" s="10">
        <f>[2]หน้าผ้า!AC138</f>
        <v>0</v>
      </c>
      <c r="R129" s="10">
        <f>[2]หน้าผ้า!AD138</f>
        <v>108.55204095999999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5000</v>
      </c>
      <c r="V129" s="10">
        <f>[2]หน้าผ้า!AJ138</f>
        <v>0</v>
      </c>
      <c r="W129" s="10">
        <f>[2]หน้าผ้า!AL138</f>
        <v>5000</v>
      </c>
      <c r="X129" s="10">
        <f>[2]หน้าผ้า!AM138</f>
        <v>0</v>
      </c>
      <c r="Y129" s="10">
        <f>[2]หน้าผ้า!AN138</f>
        <v>5250</v>
      </c>
      <c r="Z129" s="9" t="str">
        <f>[2]หน้าผ้า!AO138</f>
        <v>WSWT2121670SM</v>
      </c>
      <c r="AA129" s="8">
        <f>[2]หน้าผ้า!AQ138</f>
        <v>5518.15</v>
      </c>
      <c r="AB129" s="8">
        <f>[2]หน้าผ้า!AR138</f>
        <v>0</v>
      </c>
      <c r="AC129" s="8">
        <f>[2]หน้าผ้า!AS138</f>
        <v>5518.15</v>
      </c>
      <c r="AD129" s="8">
        <f>[2]หน้าผ้า!AT138</f>
        <v>0</v>
      </c>
      <c r="AE129" s="8">
        <f>[2]หน้าผ้า!AU138</f>
        <v>5518.15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396.82856033333326</v>
      </c>
    </row>
    <row r="130" spans="1:56" ht="27.75" customHeight="1" x14ac:dyDescent="0.45">
      <c r="A130" s="3">
        <f>[2]หน้าผ้า!C139</f>
        <v>45800</v>
      </c>
      <c r="B130" s="14" t="str">
        <f>[2]หน้าผ้า!B139</f>
        <v>MK68-000703</v>
      </c>
      <c r="C130" s="9" t="str">
        <f>[2]หน้าผ้า!E139</f>
        <v>บจก.เอสพีเอ็ม อาหารสัตว์</v>
      </c>
      <c r="D130" s="13" t="str">
        <f>[2]หน้าผ้า!F139</f>
        <v>มาซู ฟีดบี0434</v>
      </c>
      <c r="E130" s="9">
        <f>[2]หน้าผ้า!G139</f>
        <v>21</v>
      </c>
      <c r="F130" s="9">
        <f>[2]หน้าผ้า!H139</f>
        <v>40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108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>
        <f>[2]หน้าผ้า!T139</f>
        <v>22</v>
      </c>
      <c r="N130" s="9">
        <f>[2]หน้าผ้า!U139</f>
        <v>42</v>
      </c>
      <c r="O130" s="9">
        <f>[2]หน้าผ้า!V139</f>
        <v>40</v>
      </c>
      <c r="P130" s="10">
        <f>[2]หน้าผ้า!AB139</f>
        <v>5.2886554355711999</v>
      </c>
      <c r="Q130" s="10">
        <f>[2]หน้าผ้า!AC139</f>
        <v>0</v>
      </c>
      <c r="R130" s="10">
        <f>[2]หน้าผ้า!AD139</f>
        <v>5.2886554355711999</v>
      </c>
      <c r="S130" s="9" t="str">
        <f>[2]หน้าผ้า!Z139</f>
        <v>500กระสอบแบน</v>
      </c>
      <c r="T130" s="12" t="str">
        <f>[2]หน้าผ้า!X139</f>
        <v>รอส่ง</v>
      </c>
      <c r="U130" s="11">
        <f>[2]หน้าผ้า!AA139</f>
        <v>5000</v>
      </c>
      <c r="V130" s="10">
        <f>[2]หน้าผ้า!AJ139</f>
        <v>4768</v>
      </c>
      <c r="W130" s="10">
        <f>[2]หน้าผ้า!AL139</f>
        <v>232</v>
      </c>
      <c r="X130" s="10">
        <f>[2]หน้าผ้า!AM139</f>
        <v>10420</v>
      </c>
      <c r="Y130" s="10">
        <f>[2]หน้าผ้า!AN139</f>
        <v>0</v>
      </c>
      <c r="Z130" s="9" t="str">
        <f>[2]หน้าผ้า!AO139</f>
        <v>WSWT2121670SM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P8</v>
      </c>
      <c r="AI130" s="1">
        <f>[2]หน้าผ้า!DM139</f>
        <v>4</v>
      </c>
      <c r="AJ130" s="3" t="str">
        <f>[2]หน้าผ้า!DN139</f>
        <v>รอส่ง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 t="e">
        <f>[2]หน้าผ้า!DW139</f>
        <v>#VALUE!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21</v>
      </c>
      <c r="F131" s="9">
        <f>[2]หน้าผ้า!H140</f>
        <v>37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74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 t="str">
        <f>[2]หน้าผ้า!AC140</f>
        <v>ว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WSWT2121670SM</v>
      </c>
      <c r="AA131" s="8">
        <f>[2]หน้าผ้า!AQ140</f>
        <v>449736.20999999996</v>
      </c>
      <c r="AB131" s="8">
        <f>[2]หน้าผ้า!AR140</f>
        <v>137998.07999999999</v>
      </c>
      <c r="AC131" s="8">
        <f>[2]หน้าผ้า!AS140</f>
        <v>311738.12999999995</v>
      </c>
      <c r="AD131" s="8">
        <f>[2]หน้าผ้า!AT140</f>
        <v>0</v>
      </c>
      <c r="AE131" s="8">
        <f>[2]หน้าผ้า!AU140</f>
        <v>449736.20999999996</v>
      </c>
      <c r="AF131" s="8" t="str">
        <f>[2]หน้าผ้า!AI140</f>
        <v>ระบุในSD</v>
      </c>
      <c r="AG131" s="1" t="str">
        <f>[3]หน้าผ้า!DC143</f>
        <v>รอแบบ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WRWT210670/WRWT21670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9</v>
      </c>
      <c r="B132" s="14" t="str">
        <f>[2]หน้าผ้า!B141</f>
        <v>MK68-000640</v>
      </c>
      <c r="C132" s="9" t="str">
        <f>[2]หน้าผ้า!E141</f>
        <v>กรมการข้าว</v>
      </c>
      <c r="D132" s="13" t="str">
        <f>[2]หน้าผ้า!F141</f>
        <v>เมล็ดพันธุ์ข้าว</v>
      </c>
      <c r="E132" s="9">
        <f>[2]หน้าผ้า!G141</f>
        <v>22</v>
      </c>
      <c r="F132" s="9">
        <f>[2]หน้าผ้า!H141</f>
        <v>34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115</v>
      </c>
      <c r="J132" s="9" t="str">
        <f>[2]หน้าผ้า!M141</f>
        <v>+</v>
      </c>
      <c r="K132" s="9">
        <f>[2]หน้าผ้า!N141</f>
        <v>5</v>
      </c>
      <c r="L132" s="9" t="str">
        <f>[2]หน้าผ้า!R141</f>
        <v>ไม่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300กระสอบแบนเต็มใบ</v>
      </c>
      <c r="T132" s="12" t="str">
        <f>[2]หน้าผ้า!X141</f>
        <v>รอส่ง</v>
      </c>
      <c r="U132" s="11">
        <f>[2]หน้าผ้า!AA141</f>
        <v>239700</v>
      </c>
      <c r="V132" s="10">
        <f>[2]หน้าผ้า!AJ141</f>
        <v>239700</v>
      </c>
      <c r="W132" s="10">
        <f>[2]หน้าผ้า!AL141</f>
        <v>0</v>
      </c>
      <c r="X132" s="10">
        <f>[2]หน้าผ้า!AM141</f>
        <v>251442</v>
      </c>
      <c r="Y132" s="10">
        <f>[2]หน้าผ้า!AN141</f>
        <v>0</v>
      </c>
      <c r="Z132" s="9" t="str">
        <f>[2]หน้าผ้า!AO141</f>
        <v>WSWT2221940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ห้ามขาด-ผลิตเกิน 300</v>
      </c>
      <c r="AG132" s="1" t="str">
        <f>[3]หน้าผ้า!DC144</f>
        <v>รอแบบ</v>
      </c>
      <c r="AH132" s="1" t="str">
        <f>[2]หน้าผ้า!DL141</f>
        <v>P8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WRWT21940/WRWT21940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21.6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97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WSWT2221940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WRWT21940/WRWT21940</v>
      </c>
      <c r="BD133" s="56">
        <f>[2]หน้าผ้า!CA142</f>
        <v>0</v>
      </c>
    </row>
    <row r="134" spans="1:56" ht="27.75" customHeight="1" x14ac:dyDescent="0.45">
      <c r="A134" s="3" t="str">
        <f>[2]หน้าผ้า!C143</f>
        <v>ประมาณการ</v>
      </c>
      <c r="B134" s="14" t="str">
        <f>[2]หน้าผ้า!B143</f>
        <v>ประมาณการ</v>
      </c>
      <c r="C134" s="9" t="str">
        <f>[2]หน้าผ้า!E143</f>
        <v>พันธุ์ข้าว</v>
      </c>
      <c r="D134" s="13" t="str">
        <f>[2]หน้าผ้า!F143</f>
        <v>รอแบบ</v>
      </c>
      <c r="E134" s="9">
        <f>[2]หน้าผ้า!G143</f>
        <v>23</v>
      </c>
      <c r="F134" s="9">
        <f>[2]หน้าผ้า!H143</f>
        <v>34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68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</v>
      </c>
      <c r="T134" s="12">
        <f>[2]หน้าผ้า!X143</f>
        <v>45868</v>
      </c>
      <c r="U134" s="11">
        <f>[2]หน้าผ้า!AA143</f>
        <v>40000</v>
      </c>
      <c r="V134" s="10">
        <f>[2]หน้าผ้า!AJ143</f>
        <v>0</v>
      </c>
      <c r="W134" s="10">
        <f>[2]หน้าผ้า!AL143</f>
        <v>40000</v>
      </c>
      <c r="X134" s="10">
        <f>[2]หน้าผ้า!AM143</f>
        <v>0</v>
      </c>
      <c r="Y134" s="10">
        <f>[2]หน้าผ้า!AN143</f>
        <v>42000</v>
      </c>
      <c r="Z134" s="9" t="str">
        <f>[2]หน้าผ้า!AO143</f>
        <v>WSWT2325650</v>
      </c>
      <c r="AA134" s="8">
        <f>[2]หน้าผ้า!AQ143</f>
        <v>39674.800000000003</v>
      </c>
      <c r="AB134" s="8">
        <f>[2]หน้าผ้า!AR143</f>
        <v>0</v>
      </c>
      <c r="AC134" s="8">
        <f>[2]หน้าผ้า!AS143</f>
        <v>39674.800000000003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รอแบบ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45868</v>
      </c>
      <c r="AK134" s="3">
        <f>[2]หน้าผ้า!DQ143</f>
        <v>0</v>
      </c>
      <c r="AL134" s="3">
        <f>[2]หน้าผ้า!DR143</f>
        <v>45859</v>
      </c>
      <c r="AM134" s="3">
        <f>[2]หน้าผ้า!DS143</f>
        <v>45866</v>
      </c>
      <c r="AN134" s="3">
        <f>[2]หน้าผ้า!DT143</f>
        <v>45867</v>
      </c>
      <c r="AO134" s="3">
        <f>[2]หน้าผ้า!DU143</f>
        <v>45867</v>
      </c>
      <c r="AP134" s="3">
        <f>[2]หน้าผ้า!DP143</f>
        <v>45863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>รอART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WRWT25650/WRWT25650</v>
      </c>
      <c r="BD134" s="56">
        <f>[2]หน้าผ้า!CA143</f>
        <v>2965.6913</v>
      </c>
    </row>
    <row r="135" spans="1:56" ht="27.75" customHeight="1" x14ac:dyDescent="0.45">
      <c r="A135" s="3" t="str">
        <f>[2]หน้าผ้า!C144</f>
        <v>ประมาณการ</v>
      </c>
      <c r="B135" s="14" t="str">
        <f>[2]หน้าผ้า!B144</f>
        <v>ประมาณการ</v>
      </c>
      <c r="C135" s="9" t="str">
        <f>[2]หน้าผ้า!E144</f>
        <v>บจก.ซิเบลโก้(สบปราบ)</v>
      </c>
      <c r="D135" s="13" t="str">
        <f>[2]หน้าผ้า!F144</f>
        <v>รอแบบ</v>
      </c>
      <c r="E135" s="9">
        <f>[2]หน้าผ้า!G144</f>
        <v>23</v>
      </c>
      <c r="F135" s="9">
        <f>[2]หน้าผ้า!H144</f>
        <v>34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68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24</v>
      </c>
      <c r="N135" s="9">
        <f>[2]หน้าผ้า!U144</f>
        <v>37</v>
      </c>
      <c r="O135" s="9">
        <f>[2]หน้าผ้า!V144</f>
        <v>50</v>
      </c>
      <c r="P135" s="10">
        <f>[2]หน้าผ้า!AB144</f>
        <v>821.54158271999995</v>
      </c>
      <c r="Q135" s="10">
        <f>[2]หน้าผ้า!AC144</f>
        <v>0</v>
      </c>
      <c r="R135" s="10">
        <f>[2]หน้าผ้า!AD144</f>
        <v>821.54158271999995</v>
      </c>
      <c r="S135" s="9" t="str">
        <f>[2]หน้าผ้า!Z144</f>
        <v>มัด100</v>
      </c>
      <c r="T135" s="12">
        <f>[2]หน้าผ้า!X144</f>
        <v>45868</v>
      </c>
      <c r="U135" s="11">
        <f>[2]หน้าผ้า!AA144</f>
        <v>30000</v>
      </c>
      <c r="V135" s="10">
        <f>[2]หน้าผ้า!AJ144</f>
        <v>0</v>
      </c>
      <c r="W135" s="10">
        <f>[2]หน้าผ้า!AL144</f>
        <v>30000</v>
      </c>
      <c r="X135" s="10">
        <f>[2]หน้าผ้า!AM144</f>
        <v>0</v>
      </c>
      <c r="Y135" s="10">
        <f>[2]หน้าผ้า!AN144</f>
        <v>31500</v>
      </c>
      <c r="Z135" s="9" t="str">
        <f>[2]หน้าผ้า!AO144</f>
        <v>WSWT2325650</v>
      </c>
      <c r="AA135" s="8">
        <f>[2]หน้าผ้า!AQ144</f>
        <v>29756.100000000002</v>
      </c>
      <c r="AB135" s="8">
        <f>[2]หน้าผ้า!AR144</f>
        <v>29756.100000000002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45868</v>
      </c>
      <c r="AK135" s="3">
        <f>[2]หน้าผ้า!DQ144</f>
        <v>0</v>
      </c>
      <c r="AL135" s="3">
        <f>[2]หน้าผ้า!DR144</f>
        <v>45858</v>
      </c>
      <c r="AM135" s="3">
        <f>[2]หน้าผ้า!DS144</f>
        <v>45865</v>
      </c>
      <c r="AN135" s="3">
        <f>[2]หน้าผ้า!DT144</f>
        <v>45866</v>
      </c>
      <c r="AO135" s="3">
        <f>[2]หน้าผ้า!DU144</f>
        <v>45866</v>
      </c>
      <c r="AP135" s="3">
        <f>[2]หน้าผ้า!DP144</f>
        <v>45863</v>
      </c>
      <c r="AQ135" s="3">
        <f>[2]หน้าผ้า!DW144</f>
        <v>45867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>รอART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WRWT25650/WRWT25650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23</v>
      </c>
      <c r="F136" s="9">
        <f>[2]หน้าผ้า!H145</f>
        <v>34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68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WSWT2325650</v>
      </c>
      <c r="AA136" s="8">
        <f>[2]หน้าผ้า!AQ145</f>
        <v>69430.900000000009</v>
      </c>
      <c r="AB136" s="8">
        <f>[2]หน้าผ้า!AR145</f>
        <v>29756.100000000002</v>
      </c>
      <c r="AC136" s="8">
        <f>[2]หน้าผ้า!AS145</f>
        <v>39674.800000000003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WRWT25650/WRWT25650</v>
      </c>
      <c r="BD136" s="56">
        <f>[2]หน้าผ้า!CA145</f>
        <v>0</v>
      </c>
    </row>
    <row r="137" spans="1:56" ht="27.75" customHeight="1" x14ac:dyDescent="0.45">
      <c r="A137" s="3" t="str">
        <f>[2]หน้าผ้า!C146</f>
        <v>ประมาณการ</v>
      </c>
      <c r="B137" s="14" t="str">
        <f>[2]หน้าผ้า!B146</f>
        <v>ประมาณการ</v>
      </c>
      <c r="C137" s="9" t="str">
        <f>[2]หน้าผ้า!E146</f>
        <v>พันธุ์ข้าว</v>
      </c>
      <c r="D137" s="13" t="str">
        <f>[2]หน้าผ้า!F146</f>
        <v>รอแบบ</v>
      </c>
      <c r="E137" s="9">
        <f>[2]หน้าผ้า!G146</f>
        <v>23</v>
      </c>
      <c r="F137" s="9">
        <f>[2]หน้าผ้า!H146</f>
        <v>34</v>
      </c>
      <c r="G137" s="9" t="str">
        <f>[2]หน้าผ้า!I146</f>
        <v>ขาวแถบใส5</v>
      </c>
      <c r="H137" s="9">
        <f>[2]หน้าผ้า!J146</f>
        <v>0</v>
      </c>
      <c r="I137" s="9">
        <f>[2]หน้าผ้า!L146</f>
        <v>68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>
        <f>[2]หน้าผ้า!X146</f>
        <v>45868</v>
      </c>
      <c r="U137" s="11">
        <f>[2]หน้าผ้า!AA146</f>
        <v>10000</v>
      </c>
      <c r="V137" s="10">
        <f>[2]หน้าผ้า!AJ146</f>
        <v>0</v>
      </c>
      <c r="W137" s="10">
        <f>[2]หน้าผ้า!AL146</f>
        <v>10000</v>
      </c>
      <c r="X137" s="10">
        <f>[2]หน้าผ้า!AM146</f>
        <v>0</v>
      </c>
      <c r="Y137" s="10">
        <f>[2]หน้าผ้า!AN146</f>
        <v>10500</v>
      </c>
      <c r="Z137" s="9" t="str">
        <f>[2]หน้าผ้า!AO146</f>
        <v>WSWTSCL052325650</v>
      </c>
      <c r="AA137" s="8">
        <f>[2]หน้าผ้า!AQ146</f>
        <v>9918.7000000000007</v>
      </c>
      <c r="AB137" s="8">
        <f>[2]หน้าผ้า!AR146</f>
        <v>0</v>
      </c>
      <c r="AC137" s="8">
        <f>[2]หน้าผ้า!AS146</f>
        <v>9918.7000000000007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45868</v>
      </c>
      <c r="AK137" s="3">
        <f>[2]หน้าผ้า!DQ146</f>
        <v>0</v>
      </c>
      <c r="AL137" s="3">
        <f>[2]หน้าผ้า!DR146</f>
        <v>45859</v>
      </c>
      <c r="AM137" s="3">
        <f>[2]หน้าผ้า!DS146</f>
        <v>45866</v>
      </c>
      <c r="AN137" s="3">
        <f>[2]หน้าผ้า!DT146</f>
        <v>45867</v>
      </c>
      <c r="AO137" s="3">
        <f>[2]หน้าผ้า!DU146</f>
        <v>45867</v>
      </c>
      <c r="AP137" s="3">
        <f>[2]หน้าผ้า!DP146</f>
        <v>45863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>รอART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WRWT25650/WRCL25680</v>
      </c>
      <c r="BD137" s="56">
        <f>[2]หน้าผ้า!CA146</f>
        <v>800.41704844444439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23</v>
      </c>
      <c r="F138" s="9">
        <f>[2]หน้าผ้า!H147</f>
        <v>34</v>
      </c>
      <c r="G138" s="9" t="str">
        <f>[2]หน้าผ้า!I147</f>
        <v>ขาวแถบใส5</v>
      </c>
      <c r="H138" s="9">
        <f>[2]หน้าผ้า!J147</f>
        <v>0</v>
      </c>
      <c r="I138" s="9">
        <f>[2]หน้าผ้า!L147</f>
        <v>68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WSWTSCL052325650</v>
      </c>
      <c r="AA138" s="8">
        <f>[2]หน้าผ้า!AQ147</f>
        <v>9918.7000000000007</v>
      </c>
      <c r="AB138" s="8">
        <f>[2]หน้าผ้า!AR147</f>
        <v>0</v>
      </c>
      <c r="AC138" s="8">
        <f>[2]หน้าผ้า!AS147</f>
        <v>9918.7000000000007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WRWT25650/WRCL25680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23</v>
      </c>
      <c r="F139" s="9">
        <f>[2]หน้าผ้า!H148</f>
        <v>34</v>
      </c>
      <c r="G139" s="9" t="str">
        <f>[2]หน้าผ้า!I148</f>
        <v>ขาวแถบใส2</v>
      </c>
      <c r="H139" s="9">
        <f>[2]หน้าผ้า!J148</f>
        <v>0</v>
      </c>
      <c r="I139" s="9">
        <f>[2]หน้าผ้า!L148</f>
        <v>68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WSWTFCL022325650</v>
      </c>
      <c r="AA139" s="8" t="e">
        <f>[2]หน้าผ้า!AQ148</f>
        <v>#REF!</v>
      </c>
      <c r="AB139" s="8" t="e">
        <f>[2]หน้าผ้า!AR148</f>
        <v>#REF!</v>
      </c>
      <c r="AC139" s="8" t="e">
        <f>[2]หน้าผ้า!AS148</f>
        <v>#REF!</v>
      </c>
      <c r="AD139" s="8" t="e">
        <f>[2]หน้าผ้า!AT148</f>
        <v>#REF!</v>
      </c>
      <c r="AE139" s="8" t="e">
        <f>[2]หน้าผ้า!AU148</f>
        <v>#REF!</v>
      </c>
      <c r="AF139" s="8" t="str">
        <f>[2]หน้าผ้า!AI148</f>
        <v>ระบุในSD</v>
      </c>
      <c r="AG139" s="1" t="str">
        <f>[3]หน้าผ้า!DC151</f>
        <v>รอตัด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WRWT25650/WRCL25680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23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85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WSWT2325800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ผ้าขาว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WRWT25800/WRWT28750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45839</v>
      </c>
      <c r="B141" s="14" t="str">
        <f>[2]หน้าผ้า!B150</f>
        <v>MK68-000852</v>
      </c>
      <c r="C141" s="9" t="str">
        <f>[2]หน้าผ้า!E150</f>
        <v>คุณวัลภา เผ่าเต็ม</v>
      </c>
      <c r="D141" s="13" t="str">
        <f>[2]หน้าผ้า!F150</f>
        <v>ดวงใจ(ชมพู-ม่วง)</v>
      </c>
      <c r="E141" s="9">
        <f>[2]หน้าผ้า!G150</f>
        <v>23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85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</v>
      </c>
      <c r="T141" s="12">
        <f>[2]หน้าผ้า!X150</f>
        <v>45852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WSWT2321750</v>
      </c>
      <c r="AA141" s="8">
        <f>[2]หน้าผ้า!AQ150</f>
        <v>10756.900000000001</v>
      </c>
      <c r="AB141" s="8">
        <f>[2]หน้าผ้า!AR150</f>
        <v>10756.900000000001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ด้านคู่1ม้วนใช้ได้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45852</v>
      </c>
      <c r="AK141" s="3">
        <f>[2]หน้าผ้า!DQ150</f>
        <v>0</v>
      </c>
      <c r="AL141" s="3">
        <f>[2]หน้าผ้า!DR150</f>
        <v>45843</v>
      </c>
      <c r="AM141" s="3">
        <f>[2]หน้าผ้า!DS150</f>
        <v>45850</v>
      </c>
      <c r="AN141" s="3">
        <f>[2]หน้าผ้า!DT150</f>
        <v>45851</v>
      </c>
      <c r="AO141" s="3">
        <f>[2]หน้าผ้า!DU150</f>
        <v>45851</v>
      </c>
      <c r="AP141" s="3">
        <f>[2]หน้าผ้า!DP150</f>
        <v>45847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 t="str">
        <f>[2]หน้าผ้า!AG150</f>
        <v>12/7เย็น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WRWT21750/WRWT21750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45839</v>
      </c>
      <c r="B142" s="14" t="str">
        <f>[2]หน้าผ้า!B151</f>
        <v>MK68-000852</v>
      </c>
      <c r="C142" s="9" t="str">
        <f>[2]หน้าผ้า!E151</f>
        <v>คุณวัลภา เผ่าเต็ม</v>
      </c>
      <c r="D142" s="13" t="str">
        <f>[2]หน้าผ้า!F151</f>
        <v>ใบเตย</v>
      </c>
      <c r="E142" s="9">
        <f>[2]หน้าผ้า!G151</f>
        <v>23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85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</v>
      </c>
      <c r="T142" s="12">
        <f>[2]หน้าผ้า!X151</f>
        <v>45852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5440</v>
      </c>
      <c r="Y142" s="10">
        <f>[2]หน้าผ้า!AN151</f>
        <v>0</v>
      </c>
      <c r="Z142" s="9" t="str">
        <f>[2]หน้าผ้า!AO151</f>
        <v>WSWT2321750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45852</v>
      </c>
      <c r="AK142" s="3">
        <f>[2]หน้าผ้า!DQ151</f>
        <v>0</v>
      </c>
      <c r="AL142" s="3">
        <f>[2]หน้าผ้า!DR151</f>
        <v>45843</v>
      </c>
      <c r="AM142" s="3">
        <f>[2]หน้าผ้า!DS151</f>
        <v>45850</v>
      </c>
      <c r="AN142" s="3">
        <f>[2]หน้าผ้า!DT151</f>
        <v>45851</v>
      </c>
      <c r="AO142" s="3">
        <f>[2]หน้าผ้า!DU151</f>
        <v>45851</v>
      </c>
      <c r="AP142" s="3">
        <f>[2]หน้าผ้า!DP151</f>
        <v>45847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 t="str">
        <f>[2]หน้าผ้า!AG151</f>
        <v>12/7เย็น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WRWT21750/WRWT21750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45727</v>
      </c>
      <c r="B143" s="14" t="str">
        <f>[2]หน้าผ้า!B152</f>
        <v>MK68-000378</v>
      </c>
      <c r="C143" s="9" t="str">
        <f>[2]หน้าผ้า!E152</f>
        <v>บจก.แอมโก้เวท</v>
      </c>
      <c r="D143" s="13" t="str">
        <f>[2]หน้าผ้า!F152</f>
        <v>ไม่พิมพ์</v>
      </c>
      <c r="E143" s="9">
        <f>[2]หน้าผ้า!G152</f>
        <v>23</v>
      </c>
      <c r="F143" s="9">
        <f>[2]หน้าผ้า!H152</f>
        <v>40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125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จับจีบ4"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1000</v>
      </c>
      <c r="V143" s="10">
        <f>[2]หน้าผ้า!AJ152</f>
        <v>0</v>
      </c>
      <c r="W143" s="10">
        <f>[2]หน้าผ้า!AL152</f>
        <v>1000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WSWT2321750</v>
      </c>
      <c r="AA143" s="8">
        <f>[2]หน้าผ้า!AQ152</f>
        <v>1159.5100000000002</v>
      </c>
      <c r="AB143" s="8">
        <f>[2]หน้าผ้า!AR152</f>
        <v>1159.5100000000002</v>
      </c>
      <c r="AC143" s="8">
        <f>[2]หน้าผ้า!AS152</f>
        <v>0</v>
      </c>
      <c r="AD143" s="8">
        <f>[2]หน้าผ้า!AT152</f>
        <v>1159.5100000000002</v>
      </c>
      <c r="AE143" s="8">
        <f>[2]หน้าผ้า!AU152</f>
        <v>0</v>
      </c>
      <c r="AF143" s="8" t="str">
        <f>[2]หน้าผ้า!AI152</f>
        <v>ห้ามขาด-เกินได้5%</v>
      </c>
      <c r="AG143" s="1" t="str">
        <f>[3]หน้าผ้า!DC155</f>
        <v>พร้อมส่ง</v>
      </c>
      <c r="AH143" s="1" t="str">
        <f>[2]หน้าผ้า!DL152</f>
        <v>P11</v>
      </c>
      <c r="AI143" s="1">
        <f>[2]หน้าผ้า!DM152</f>
        <v>2</v>
      </c>
      <c r="AJ143" s="3" t="str">
        <f>[2]หน้าผ้า!DN152</f>
        <v>รอแจ้ง</v>
      </c>
      <c r="AK143" s="3" t="e">
        <f>[2]หน้าผ้า!DQ152</f>
        <v>#VALUE!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งานเคลือบ+ตัด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WRWT21750/WRWT21750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23</v>
      </c>
      <c r="F144" s="9">
        <f>[2]หน้าผ้า!H153</f>
        <v>37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85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WSWT2321750</v>
      </c>
      <c r="AA144" s="8">
        <f>[2]หน้าผ้า!AQ153</f>
        <v>11916.410000000002</v>
      </c>
      <c r="AB144" s="8">
        <f>[2]หน้าผ้า!AR153</f>
        <v>11916.410000000002</v>
      </c>
      <c r="AC144" s="8">
        <f>[2]หน้าผ้า!AS153</f>
        <v>0</v>
      </c>
      <c r="AD144" s="8">
        <f>[2]หน้าผ้า!AT153</f>
        <v>1159.5100000000002</v>
      </c>
      <c r="AE144" s="8">
        <f>[2]หน้าผ้า!AU153</f>
        <v>0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WRWT230750/WRWT21750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23</v>
      </c>
      <c r="F145" s="9">
        <f>[2]หน้าผ้า!H154</f>
        <v>34</v>
      </c>
      <c r="G145" s="9">
        <f>[2]หน้าผ้า!I154</f>
        <v>0</v>
      </c>
      <c r="H145" s="9">
        <f>[2]หน้าผ้า!J154</f>
        <v>0</v>
      </c>
      <c r="I145" s="9">
        <f>[2]หน้าผ้า!L154</f>
        <v>68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WSWTSCL1R042325650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พร้อมส่ง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WRWT230650/WRWT25680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23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90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WSWT2325800SM</v>
      </c>
      <c r="AA146" s="8" t="e">
        <f>[2]หน้าผ้า!AQ155</f>
        <v>#REF!</v>
      </c>
      <c r="AB146" s="8" t="e">
        <f>[2]หน้าผ้า!AR155</f>
        <v>#REF!</v>
      </c>
      <c r="AC146" s="8" t="e">
        <f>[2]หน้าผ้า!AS155</f>
        <v>#REF!</v>
      </c>
      <c r="AD146" s="8" t="e">
        <f>[2]หน้าผ้า!AT155</f>
        <v>#REF!</v>
      </c>
      <c r="AE146" s="8" t="e">
        <f>[2]หน้าผ้า!AU155</f>
        <v>#REF!</v>
      </c>
      <c r="AF146" s="8" t="str">
        <f>[2]หน้าผ้า!AI155</f>
        <v>ระบุในSD</v>
      </c>
      <c r="AG146" s="1" t="str">
        <f>[3]หน้าผ้า!DC158</f>
        <v>พร้อมส่ง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WRWT21800/WRWT21800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23</v>
      </c>
      <c r="F147" s="9">
        <f>[2]หน้าผ้า!H156</f>
        <v>37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120</v>
      </c>
      <c r="J147" s="9" t="str">
        <f>[2]หน้าผ้า!M156</f>
        <v>+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WSWT23211125120SMFX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พร้อมส่ง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WROP2301125/WRBR21940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 t="str">
        <f>[2]หน้าผ้า!F157</f>
        <v xml:space="preserve">  </v>
      </c>
      <c r="E148" s="9">
        <f>[2]หน้าผ้า!G157</f>
        <v>23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130</v>
      </c>
      <c r="J148" s="9" t="str">
        <f>[2]หน้าผ้า!M157</f>
        <v>+</v>
      </c>
      <c r="K148" s="9">
        <f>[2]หน้าผ้า!N157</f>
        <v>3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WSWT23211125130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WRWT211125/WRWT251080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23</v>
      </c>
      <c r="F149" s="9">
        <f>[2]หน้าผ้า!H158</f>
        <v>37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120</v>
      </c>
      <c r="J149" s="9" t="str">
        <f>[2]หน้าผ้า!M158</f>
        <v>±</v>
      </c>
      <c r="K149" s="9">
        <f>[2]หน้าผ้า!N158</f>
        <v>3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WSWT2321112512051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ยังไม่ได้พิมพ์</v>
      </c>
      <c r="AH149" s="1">
        <f>[2]หน้าผ้า!DL158</f>
        <v>0</v>
      </c>
      <c r="AI149" s="1" t="str">
        <f>[2]หน้าผ้า!DM158</f>
        <v>Lead time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WRWT211125/WRWT21900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45601</v>
      </c>
      <c r="B150" s="14" t="str">
        <f>[2]หน้าผ้า!B159</f>
        <v>MK67-001490</v>
      </c>
      <c r="C150" s="9" t="str">
        <f>[2]หน้าผ้า!E159</f>
        <v>บจก.น้ำตาลทิพย์สุโขทัย</v>
      </c>
      <c r="D150" s="13" t="str">
        <f>[2]หน้าผ้า!F159</f>
        <v>Green for white sugar</v>
      </c>
      <c r="E150" s="9">
        <f>[2]หน้าผ้า!G159</f>
        <v>23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130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>
        <f>[2]หน้าผ้า!T159</f>
        <v>24</v>
      </c>
      <c r="N150" s="9">
        <f>[2]หน้าผ้า!U159</f>
        <v>40</v>
      </c>
      <c r="O150" s="9">
        <f>[2]หน้าผ้า!V159</f>
        <v>55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400แบน</v>
      </c>
      <c r="T150" s="12">
        <f>[2]หน้าผ้า!X159</f>
        <v>45852</v>
      </c>
      <c r="U150" s="11">
        <f>[2]หน้าผ้า!AA159</f>
        <v>50000</v>
      </c>
      <c r="V150" s="10">
        <f>[2]หน้าผ้า!AJ159</f>
        <v>50000</v>
      </c>
      <c r="W150" s="10">
        <f>[2]หน้าผ้า!AL159</f>
        <v>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WSWT2321112512551VN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สั่งเวียดนามสำเร็จรูปทั้งหมด</v>
      </c>
      <c r="AG150" s="1" t="str">
        <f>[3]หน้าผ้า!DC162</f>
        <v>ยังไม่ได้พิมพ์</v>
      </c>
      <c r="AH150" s="1" t="str">
        <f>[2]หน้าผ้า!DL159</f>
        <v>P9</v>
      </c>
      <c r="AI150" s="1">
        <f>[2]หน้าผ้า!DM159</f>
        <v>3</v>
      </c>
      <c r="AJ150" s="3">
        <f>[2]หน้าผ้า!DN159</f>
        <v>45852</v>
      </c>
      <c r="AK150" s="3">
        <f>[2]หน้าผ้า!DQ159</f>
        <v>0</v>
      </c>
      <c r="AL150" s="3">
        <f>[2]หน้าผ้า!DR159</f>
        <v>45842</v>
      </c>
      <c r="AM150" s="3">
        <f>[2]หน้าผ้า!DS159</f>
        <v>45849</v>
      </c>
      <c r="AN150" s="3">
        <f>[2]หน้าผ้า!DT159</f>
        <v>45850</v>
      </c>
      <c r="AO150" s="3">
        <f>[2]หน้าผ้า!DU159</f>
        <v>45850</v>
      </c>
      <c r="AP150" s="3">
        <f>[2]หน้าผ้า!DP159</f>
        <v>45847</v>
      </c>
      <c r="AQ150" s="3">
        <f>[2]หน้าผ้า!DW159</f>
        <v>45851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WRWT211125/WRWT251030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45601</v>
      </c>
      <c r="B151" s="14" t="str">
        <f>[2]หน้าผ้า!B160</f>
        <v>MK67-001490</v>
      </c>
      <c r="C151" s="9" t="str">
        <f>[2]หน้าผ้า!E160</f>
        <v>บจก.น้ำตาลทิพย์สุโขทัย</v>
      </c>
      <c r="D151" s="13" t="str">
        <f>[2]หน้าผ้า!F160</f>
        <v>Green for white sugar</v>
      </c>
      <c r="E151" s="9">
        <f>[2]หน้าผ้า!G160</f>
        <v>23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130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>
        <f>[2]หน้าผ้า!T160</f>
        <v>24</v>
      </c>
      <c r="N151" s="9">
        <f>[2]หน้าผ้า!U160</f>
        <v>40</v>
      </c>
      <c r="O151" s="9">
        <f>[2]หน้าผ้า!V160</f>
        <v>55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400แบน</v>
      </c>
      <c r="T151" s="12">
        <f>[2]หน้าผ้า!X160</f>
        <v>45860</v>
      </c>
      <c r="U151" s="11">
        <f>[2]หน้าผ้า!AA160</f>
        <v>50000</v>
      </c>
      <c r="V151" s="10">
        <f>[2]หน้าผ้า!AJ160</f>
        <v>50000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WSWT2321112512551VN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สั่งเวียดนามสำเร็จรูปทั้งหมด</v>
      </c>
      <c r="AG151" s="1" t="str">
        <f>[3]หน้าผ้า!DC163</f>
        <v>พร้อมส่ง</v>
      </c>
      <c r="AH151" s="1" t="str">
        <f>[2]หน้าผ้า!DL160</f>
        <v>P9</v>
      </c>
      <c r="AI151" s="1">
        <f>[2]หน้าผ้า!DM160</f>
        <v>3</v>
      </c>
      <c r="AJ151" s="3">
        <f>[2]หน้าผ้า!DN160</f>
        <v>45860</v>
      </c>
      <c r="AK151" s="3">
        <f>[2]หน้าผ้า!DQ160</f>
        <v>0</v>
      </c>
      <c r="AL151" s="3">
        <f>[2]หน้าผ้า!DR160</f>
        <v>45850</v>
      </c>
      <c r="AM151" s="3">
        <f>[2]หน้าผ้า!DS160</f>
        <v>45857</v>
      </c>
      <c r="AN151" s="3">
        <f>[2]หน้าผ้า!DT160</f>
        <v>45858</v>
      </c>
      <c r="AO151" s="3">
        <f>[2]หน้าผ้า!DU160</f>
        <v>45858</v>
      </c>
      <c r="AP151" s="3">
        <f>[2]หน้าผ้า!DP160</f>
        <v>45855</v>
      </c>
      <c r="AQ151" s="3">
        <f>[2]หน้าผ้า!DW160</f>
        <v>45859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45858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WRWT211125/WRWT251030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45601</v>
      </c>
      <c r="B152" s="14" t="str">
        <f>[2]หน้าผ้า!B161</f>
        <v>MK67-001490</v>
      </c>
      <c r="C152" s="9" t="str">
        <f>[2]หน้าผ้า!E161</f>
        <v>บจก.น้ำตาลทิพย์สุโขทัย</v>
      </c>
      <c r="D152" s="13" t="str">
        <f>[2]หน้าผ้า!F161</f>
        <v>Green for white sugar</v>
      </c>
      <c r="E152" s="9">
        <f>[2]หน้าผ้า!G161</f>
        <v>23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130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24</v>
      </c>
      <c r="N152" s="9">
        <f>[2]หน้าผ้า!U161</f>
        <v>40</v>
      </c>
      <c r="O152" s="9">
        <f>[2]หน้าผ้า!V161</f>
        <v>55</v>
      </c>
      <c r="P152" s="10">
        <f>[2]หน้าผ้า!AB161</f>
        <v>1394.6549118458877</v>
      </c>
      <c r="Q152" s="10">
        <f>[2]หน้าผ้า!AC161</f>
        <v>0</v>
      </c>
      <c r="R152" s="10">
        <f>[2]หน้าผ้า!AD161</f>
        <v>1394.6549118458877</v>
      </c>
      <c r="S152" s="9" t="str">
        <f>[2]หน้าผ้า!Z161</f>
        <v>400แบน</v>
      </c>
      <c r="T152" s="12">
        <f>[2]หน้าผ้า!X161</f>
        <v>45868</v>
      </c>
      <c r="U152" s="11">
        <f>[2]หน้าผ้า!AA161</f>
        <v>45000</v>
      </c>
      <c r="V152" s="10">
        <f>[2]หน้าผ้า!AJ161</f>
        <v>2174</v>
      </c>
      <c r="W152" s="10">
        <f>[2]หน้าผ้า!AL161</f>
        <v>42826</v>
      </c>
      <c r="X152" s="10">
        <f>[2]หน้าผ้า!AM161</f>
        <v>0</v>
      </c>
      <c r="Y152" s="10">
        <f>[2]หน้าผ้า!AN161</f>
        <v>44967.3</v>
      </c>
      <c r="Z152" s="9" t="str">
        <f>[2]หน้าผ้า!AO161</f>
        <v>WSWT2321112512551</v>
      </c>
      <c r="AA152" s="8">
        <f>[2]หน้าผ้า!AQ161</f>
        <v>46067.499940000009</v>
      </c>
      <c r="AB152" s="8">
        <f>[2]หน้าผ้า!AR161</f>
        <v>46067.499940000009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สั่งเวียดนามสำเร็จรูปทั้งหมด</v>
      </c>
      <c r="AG152" s="1" t="str">
        <f>[3]หน้าผ้า!DC164</f>
        <v>พร้อมส่ง</v>
      </c>
      <c r="AH152" s="1" t="str">
        <f>[2]หน้าผ้า!DL161</f>
        <v>P9</v>
      </c>
      <c r="AI152" s="1">
        <f>[2]หน้าผ้า!DM161</f>
        <v>3</v>
      </c>
      <c r="AJ152" s="3">
        <f>[2]หน้าผ้า!DN161</f>
        <v>45868</v>
      </c>
      <c r="AK152" s="3">
        <f>[2]หน้าผ้า!DQ161</f>
        <v>0</v>
      </c>
      <c r="AL152" s="3">
        <f>[2]หน้าผ้า!DR161</f>
        <v>45858</v>
      </c>
      <c r="AM152" s="3">
        <f>[2]หน้าผ้า!DS161</f>
        <v>45865</v>
      </c>
      <c r="AN152" s="3">
        <f>[2]หน้าผ้า!DT161</f>
        <v>45866</v>
      </c>
      <c r="AO152" s="3">
        <f>[2]หน้าผ้า!DU161</f>
        <v>45866</v>
      </c>
      <c r="AP152" s="3">
        <f>[2]หน้าผ้า!DP161</f>
        <v>45863</v>
      </c>
      <c r="AQ152" s="3">
        <f>[2]หน้าผ้า!DW161</f>
        <v>45867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45858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WRWT211125/WRWT251030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45601</v>
      </c>
      <c r="B153" s="14" t="str">
        <f>[2]หน้าผ้า!B162</f>
        <v>MK67-001490</v>
      </c>
      <c r="C153" s="9" t="str">
        <f>[2]หน้าผ้า!E162</f>
        <v>บจก.น้ำตาลทิพย์สุโขทัย</v>
      </c>
      <c r="D153" s="13" t="str">
        <f>[2]หน้าผ้า!F162</f>
        <v>Green for white sugar</v>
      </c>
      <c r="E153" s="9">
        <f>[2]หน้าผ้า!G162</f>
        <v>23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130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24</v>
      </c>
      <c r="N153" s="9">
        <f>[2]หน้าผ้า!U162</f>
        <v>40</v>
      </c>
      <c r="O153" s="9">
        <f>[2]หน้าผ้า!V162</f>
        <v>55</v>
      </c>
      <c r="P153" s="10">
        <f>[2]หน้าผ้า!AB162</f>
        <v>14370.488259224063</v>
      </c>
      <c r="Q153" s="10">
        <f>[2]หน้าผ้า!AC162</f>
        <v>0</v>
      </c>
      <c r="R153" s="10">
        <f>[2]หน้าผ้า!AD162</f>
        <v>14370.488259224063</v>
      </c>
      <c r="S153" s="9" t="str">
        <f>[2]หน้าผ้า!Z162</f>
        <v>400แบน</v>
      </c>
      <c r="T153" s="12" t="str">
        <f>[2]หน้าผ้า!X162</f>
        <v>รอแจ้ง</v>
      </c>
      <c r="U153" s="11">
        <f>[2]หน้าผ้า!AA162</f>
        <v>441278</v>
      </c>
      <c r="V153" s="10">
        <f>[2]หน้าผ้า!AJ162</f>
        <v>0</v>
      </c>
      <c r="W153" s="10">
        <f>[2]หน้าผ้า!AL162</f>
        <v>441278</v>
      </c>
      <c r="X153" s="10">
        <f>[2]หน้าผ้า!AM162</f>
        <v>0</v>
      </c>
      <c r="Y153" s="10">
        <f>[2]หน้าผ้า!AN162</f>
        <v>463341.9</v>
      </c>
      <c r="Z153" s="9" t="str">
        <f>[2]หน้าผ้า!AO162</f>
        <v>WSWT2321112512551</v>
      </c>
      <c r="AA153" s="8">
        <f>[2]หน้าผ้า!AQ162</f>
        <v>474678.33182000002</v>
      </c>
      <c r="AB153" s="8">
        <f>[2]หน้าผ้า!AR162</f>
        <v>11165</v>
      </c>
      <c r="AC153" s="8">
        <f>[2]หน้าผ้า!AS162</f>
        <v>463513.33182000002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สั่งเวียดนามสำเร็จรูปทั้งหมด</v>
      </c>
      <c r="AG153" s="1" t="str">
        <f>[3]หน้าผ้า!DC165</f>
        <v>พร้อมส่ง</v>
      </c>
      <c r="AH153" s="1" t="str">
        <f>[2]หน้าผ้า!DL162</f>
        <v>P9</v>
      </c>
      <c r="AI153" s="1">
        <f>[2]หน้าผ้า!DM162</f>
        <v>3</v>
      </c>
      <c r="AJ153" s="3" t="str">
        <f>[2]หน้าผ้า!DN162</f>
        <v>รอแจ้ง</v>
      </c>
      <c r="AK153" s="3">
        <f>[2]หน้าผ้า!DQ162</f>
        <v>0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WRWT211125/WRWT251030</v>
      </c>
      <c r="BD153" s="56">
        <f>[2]หน้าผ้า!CA162</f>
        <v>59377.731604284687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23</v>
      </c>
      <c r="F154" s="9">
        <f>[2]หน้าผ้า!H163</f>
        <v>37</v>
      </c>
      <c r="G154" s="9">
        <f>[2]หน้าผ้า!I163</f>
        <v>0</v>
      </c>
      <c r="H154" s="9">
        <f>[2]หน้าผ้า!J163</f>
        <v>0</v>
      </c>
      <c r="I154" s="9">
        <f>[2]หน้าผ้า!L163</f>
        <v>128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WSWT2321112512551</v>
      </c>
      <c r="AA154" s="8">
        <f>[2]หน้าผ้า!AQ163</f>
        <v>520745.83176000003</v>
      </c>
      <c r="AB154" s="8">
        <f>[2]หน้าผ้า!AR163</f>
        <v>57232.499940000009</v>
      </c>
      <c r="AC154" s="8">
        <f>[2]หน้าผ้า!AS163</f>
        <v>463513.33182000002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>
        <f>[2]หน้าผ้า!DM163</f>
        <v>0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WRWT2301125/WRWT251030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24</v>
      </c>
      <c r="F155" s="9">
        <f>[2]หน้าผ้า!H164</f>
        <v>37</v>
      </c>
      <c r="G155" s="9">
        <f>[2]หน้าผ้า!I164</f>
        <v>0</v>
      </c>
      <c r="H155" s="9">
        <f>[2]หน้าผ้า!J164</f>
        <v>0</v>
      </c>
      <c r="I155" s="9">
        <f>[2]หน้าผ้า!L164</f>
        <v>120</v>
      </c>
      <c r="J155" s="9" t="str">
        <f>[2]หน้าผ้า!M164</f>
        <v>+</v>
      </c>
      <c r="K155" s="9">
        <f>[2]หน้าผ้า!N164</f>
        <v>3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WSWT24211125120</v>
      </c>
      <c r="AA155" s="8" t="e">
        <f>[2]หน้าผ้า!AQ164</f>
        <v>#REF!</v>
      </c>
      <c r="AB155" s="8" t="e">
        <f>[2]หน้าผ้า!AR164</f>
        <v>#REF!</v>
      </c>
      <c r="AC155" s="8" t="e">
        <f>[2]หน้าผ้า!AS164</f>
        <v>#REF!</v>
      </c>
      <c r="AD155" s="8" t="e">
        <f>[2]หน้าผ้า!AT164</f>
        <v>#REF!</v>
      </c>
      <c r="AE155" s="8" t="e">
        <f>[2]หน้าผ้า!AU164</f>
        <v>#REF!</v>
      </c>
      <c r="AF155" s="8" t="str">
        <f>[2]หน้าผ้า!AI164</f>
        <v>ระบุในSD</v>
      </c>
      <c r="AG155" s="1" t="str">
        <f>[3]หน้าผ้า!DC167</f>
        <v>รอแบบ</v>
      </c>
      <c r="AH155" s="1">
        <f>[2]หน้าผ้า!DL164</f>
        <v>0</v>
      </c>
      <c r="AI155" s="1">
        <f>[2]หน้าผ้า!DM164</f>
        <v>0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WRWT2401125/WRWT25850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 t="str">
        <f>[2]หน้าผ้า!F165</f>
        <v xml:space="preserve"> </v>
      </c>
      <c r="E156" s="9">
        <f>[2]หน้าผ้า!G165</f>
        <v>24</v>
      </c>
      <c r="F156" s="9">
        <f>[2]หน้าผ้า!H165</f>
        <v>37</v>
      </c>
      <c r="G156" s="9">
        <f>[2]หน้าผ้า!I165</f>
        <v>0</v>
      </c>
      <c r="H156" s="9">
        <f>[2]หน้าผ้า!J165</f>
        <v>0</v>
      </c>
      <c r="I156" s="9">
        <f>[2]หน้าผ้า!L165</f>
        <v>125</v>
      </c>
      <c r="J156" s="9" t="str">
        <f>[2]หน้าผ้า!M165</f>
        <v>+</v>
      </c>
      <c r="K156" s="9">
        <f>[2]หน้าผ้า!N165</f>
        <v>3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WSWT2421112512551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WRWT2401125/WRWT25960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26</v>
      </c>
      <c r="F157" s="9">
        <f>[2]หน้าผ้า!H166</f>
        <v>38</v>
      </c>
      <c r="G157" s="9" t="str">
        <f>[2]หน้าผ้า!I166</f>
        <v>เหลือง</v>
      </c>
      <c r="H157" s="9">
        <f>[2]หน้าผ้า!J166</f>
        <v>0</v>
      </c>
      <c r="I157" s="9">
        <f>[2]หน้าผ้า!L166</f>
        <v>105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WSYL2625850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ผ้าขาว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WRYL25850/WRYL25850</v>
      </c>
      <c r="BD157" s="56">
        <f>[2]หน้าผ้า!CA166</f>
        <v>0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บจก.กบินทร์อินทรีย์</v>
      </c>
      <c r="D158" s="13" t="str">
        <f>[2]หน้าผ้า!F167</f>
        <v>รอแบบ</v>
      </c>
      <c r="E158" s="9">
        <f>[2]หน้าผ้า!G167</f>
        <v>26</v>
      </c>
      <c r="F158" s="9">
        <f>[2]หน้าผ้า!H167</f>
        <v>41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97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27</v>
      </c>
      <c r="N158" s="9">
        <f>[2]หน้าผ้า!U167</f>
        <v>43</v>
      </c>
      <c r="O158" s="9">
        <f>[2]หน้าผ้า!V167</f>
        <v>40</v>
      </c>
      <c r="P158" s="10">
        <f>[2]หน้าผ้า!AB167</f>
        <v>229.14349009919997</v>
      </c>
      <c r="Q158" s="10">
        <f>[2]หน้าผ้า!AC167</f>
        <v>0</v>
      </c>
      <c r="R158" s="10">
        <f>[2]หน้าผ้า!AD167</f>
        <v>229.14349009919997</v>
      </c>
      <c r="S158" s="9" t="str">
        <f>[2]หน้าผ้า!Z167</f>
        <v>300กระสอบ</v>
      </c>
      <c r="T158" s="12">
        <f>[2]หน้าผ้า!X167</f>
        <v>45868</v>
      </c>
      <c r="U158" s="11">
        <f>[2]หน้าผ้า!AA167</f>
        <v>8000</v>
      </c>
      <c r="V158" s="10">
        <f>[2]หน้าผ้า!AJ167</f>
        <v>0</v>
      </c>
      <c r="W158" s="10">
        <f>[2]หน้าผ้า!AL167</f>
        <v>8000</v>
      </c>
      <c r="X158" s="10">
        <f>[2]หน้าผ้า!AM167</f>
        <v>0</v>
      </c>
      <c r="Y158" s="10">
        <f>[2]หน้าผ้า!AN167</f>
        <v>8400</v>
      </c>
      <c r="Z158" s="9" t="str">
        <f>[2]หน้าผ้า!AO167</f>
        <v>WSWT2625650</v>
      </c>
      <c r="AA158" s="8">
        <f>[2]หน้าผ้า!AQ167</f>
        <v>9499.6</v>
      </c>
      <c r="AB158" s="8">
        <f>[2]หน้าผ้า!AR167</f>
        <v>1790</v>
      </c>
      <c r="AC158" s="8">
        <f>[2]หน้าผ้า!AS167</f>
        <v>7709.6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P9</v>
      </c>
      <c r="AI158" s="1">
        <f>[2]หน้าผ้า!DM167</f>
        <v>3</v>
      </c>
      <c r="AJ158" s="3">
        <f>[2]หน้าผ้า!DN167</f>
        <v>45868</v>
      </c>
      <c r="AK158" s="3">
        <f>[2]หน้าผ้า!DQ167</f>
        <v>0</v>
      </c>
      <c r="AL158" s="3">
        <f>[2]หน้าผ้า!DR167</f>
        <v>45858</v>
      </c>
      <c r="AM158" s="3">
        <f>[2]หน้าผ้า!DS167</f>
        <v>45865</v>
      </c>
      <c r="AN158" s="3">
        <f>[2]หน้าผ้า!DT167</f>
        <v>45866</v>
      </c>
      <c r="AO158" s="3">
        <f>[2]หน้าผ้า!DU167</f>
        <v>45866</v>
      </c>
      <c r="AP158" s="3">
        <f>[2]หน้าผ้า!DP167</f>
        <v>45863</v>
      </c>
      <c r="AQ158" s="3">
        <f>[2]หน้าผ้า!DW167</f>
        <v>45867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622.50736888888889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26</v>
      </c>
      <c r="F159" s="9">
        <f>[2]หน้าผ้า!H168</f>
        <v>43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102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WSWT2625650</v>
      </c>
      <c r="AA159" s="8">
        <f>[2]หน้าผ้า!AQ168</f>
        <v>9499.6</v>
      </c>
      <c r="AB159" s="8">
        <f>[2]หน้าผ้า!AR168</f>
        <v>1790</v>
      </c>
      <c r="AC159" s="8">
        <f>[2]หน้าผ้า!AS168</f>
        <v>7709.6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WRWT25650/WRWT25650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45839</v>
      </c>
      <c r="B160" s="14" t="str">
        <f>[2]หน้าผ้า!B169</f>
        <v>ใบรับคำสั่งซื้อ</v>
      </c>
      <c r="C160" s="9" t="str">
        <f>[2]หน้าผ้า!E169</f>
        <v>คุณธนนท์ อุทัยไพศาลวงศ์</v>
      </c>
      <c r="D160" s="13" t="str">
        <f>[2]หน้าผ้า!F169</f>
        <v>ไม่พิมพ์</v>
      </c>
      <c r="E160" s="9">
        <f>[2]หน้าผ้า!G169</f>
        <v>26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93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ไม่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มัด100</v>
      </c>
      <c r="T160" s="12">
        <f>[2]หน้าผ้า!X169</f>
        <v>45847</v>
      </c>
      <c r="U160" s="11">
        <f>[2]หน้าผ้า!AA169</f>
        <v>10000</v>
      </c>
      <c r="V160" s="10">
        <f>[2]หน้าผ้า!AJ169</f>
        <v>0</v>
      </c>
      <c r="W160" s="10">
        <f>[2]หน้าผ้า!AL169</f>
        <v>10000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WSWT262575051</v>
      </c>
      <c r="AA160" s="8">
        <f>[2]หน้าผ้า!AQ169</f>
        <v>11315.7</v>
      </c>
      <c r="AB160" s="8">
        <f>[2]หน้าผ้า!AR169</f>
        <v>10500</v>
      </c>
      <c r="AC160" s="8">
        <f>[2]หน้าผ้า!AS169</f>
        <v>815.70000000000073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P3</v>
      </c>
      <c r="AI160" s="1">
        <f>[2]หน้าผ้า!DM169</f>
        <v>1</v>
      </c>
      <c r="AJ160" s="3">
        <f>[2]หน้าผ้า!DN169</f>
        <v>45847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45846</v>
      </c>
      <c r="AP160" s="3">
        <f>[2]หน้าผ้า!DP169</f>
        <v>45842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ตัด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WRWT25800/WRWT25650</v>
      </c>
      <c r="BD160" s="56">
        <f>[2]หน้าผ้า!CA169</f>
        <v>73.286113333333404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26</v>
      </c>
      <c r="F161" s="9">
        <f>[2]หน้าผ้า!H170</f>
        <v>43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WSWT262575051</v>
      </c>
      <c r="AA161" s="8">
        <f>[2]หน้าผ้า!AQ170</f>
        <v>11315.7</v>
      </c>
      <c r="AB161" s="8">
        <f>[2]หน้าผ้า!AR170</f>
        <v>10500</v>
      </c>
      <c r="AC161" s="8">
        <f>[2]หน้าผ้า!AS170</f>
        <v>815.70000000000073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ระบุในSD</v>
      </c>
      <c r="AG161" s="1" t="str">
        <f>[3]หน้าผ้า!DC173</f>
        <v>ผ้าขาว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WRWT25800/WRWT25650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26</v>
      </c>
      <c r="F162" s="9">
        <f>[2]หน้าผ้า!H171</f>
        <v>43</v>
      </c>
      <c r="G162" s="9">
        <f>[2]หน้าผ้า!I171</f>
        <v>0</v>
      </c>
      <c r="H162" s="9">
        <f>[2]หน้าผ้า!J171</f>
        <v>0</v>
      </c>
      <c r="I162" s="9">
        <f>[2]หน้าผ้า!L171</f>
        <v>113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WSWT2625700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พร้อมส่ง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WRWT260800/WRWT25650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26</v>
      </c>
      <c r="F163" s="9">
        <f>[2]หน้าผ้า!H172</f>
        <v>41</v>
      </c>
      <c r="G163" s="9">
        <f>[2]หน้าผ้า!I172</f>
        <v>0</v>
      </c>
      <c r="H163" s="9">
        <f>[2]หน้าผ้า!J172</f>
        <v>0</v>
      </c>
      <c r="I163" s="9">
        <f>[2]หน้าผ้า!L172</f>
        <v>90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WSWT2625800SM</v>
      </c>
      <c r="AA163" s="8" t="e">
        <f>[2]หน้าผ้า!AQ172</f>
        <v>#REF!</v>
      </c>
      <c r="AB163" s="8" t="e">
        <f>[2]หน้าผ้า!AR172</f>
        <v>#REF!</v>
      </c>
      <c r="AC163" s="8" t="e">
        <f>[2]หน้าผ้า!AS172</f>
        <v>#REF!</v>
      </c>
      <c r="AD163" s="8" t="e">
        <f>[2]หน้าผ้า!AT172</f>
        <v>#REF!</v>
      </c>
      <c r="AE163" s="8" t="e">
        <f>[2]หน้าผ้า!AU172</f>
        <v>#REF!</v>
      </c>
      <c r="AF163" s="8" t="str">
        <f>[2]หน้าผ้า!AI172</f>
        <v>ระบุในSD</v>
      </c>
      <c r="AG163" s="1" t="str">
        <f>[3]หน้าผ้า!DC175</f>
        <v>รอตัด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WRWT260800/WRWT25650</v>
      </c>
      <c r="BD163" s="56">
        <f>[2]หน้าผ้า!CA172</f>
        <v>0</v>
      </c>
    </row>
    <row r="164" spans="1:56" ht="27.75" customHeight="1" x14ac:dyDescent="0.45">
      <c r="A164" s="3" t="str">
        <f>[2]หน้าผ้า!C173</f>
        <v>ประมาณการ</v>
      </c>
      <c r="B164" s="14" t="str">
        <f>[2]หน้าผ้า!B173</f>
        <v>ประมาณการ</v>
      </c>
      <c r="C164" s="9" t="str">
        <f>[2]หน้าผ้า!E173</f>
        <v>บจก.ที.ซี.ยูเนี่ยน อโกรเทค</v>
      </c>
      <c r="D164" s="13" t="str">
        <f>[2]หน้าผ้า!F173</f>
        <v>ไม่พิมพ์</v>
      </c>
      <c r="E164" s="9">
        <f>[2]หน้าผ้า!G173</f>
        <v>26</v>
      </c>
      <c r="F164" s="9">
        <f>[2]หน้าผ้า!H173</f>
        <v>43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116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45868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 xml:space="preserve">WSWT2625800 </v>
      </c>
      <c r="AA164" s="8">
        <f>[2]หน้าผ้า!AQ173</f>
        <v>12433.3</v>
      </c>
      <c r="AB164" s="8">
        <f>[2]หน้าผ้า!AR173</f>
        <v>12433.3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ผ้าขาว</v>
      </c>
      <c r="AH164" s="1" t="str">
        <f>[2]หน้าผ้า!DL173</f>
        <v>P3</v>
      </c>
      <c r="AI164" s="1">
        <f>[2]หน้าผ้า!DM173</f>
        <v>1</v>
      </c>
      <c r="AJ164" s="3">
        <f>[2]หน้าผ้า!DN173</f>
        <v>45868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45867</v>
      </c>
      <c r="AP164" s="3">
        <f>[2]หน้าผ้า!DP173</f>
        <v>45863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ตัด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WRWT25800/WRWT25800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26</v>
      </c>
      <c r="F165" s="9">
        <f>[2]หน้าผ้า!H174</f>
        <v>43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116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 xml:space="preserve">WSWT2625800 </v>
      </c>
      <c r="AA165" s="8">
        <f>[2]หน้าผ้า!AQ174</f>
        <v>12433.3</v>
      </c>
      <c r="AB165" s="8">
        <f>[2]หน้าผ้า!AR174</f>
        <v>12433.3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ระบุในSD</v>
      </c>
      <c r="AG165" s="1" t="str">
        <f>[3]หน้าผ้า!DC177</f>
        <v>ยังไม่ได้พิมพ์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WRWT260800/WRWT25800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45835</v>
      </c>
      <c r="B166" s="14" t="str">
        <f>[2]หน้าผ้า!B175</f>
        <v>MK68-000839</v>
      </c>
      <c r="C166" s="9" t="str">
        <f>[2]หน้าผ้า!E175</f>
        <v>บจก.ที.ซี.ยูเนี่ยน อโกรเทค</v>
      </c>
      <c r="D166" s="13" t="str">
        <f>[2]หน้าผ้า!F175</f>
        <v>TUNA MEAL MARIN TRUST</v>
      </c>
      <c r="E166" s="9">
        <f>[2]หน้าผ้า!G175</f>
        <v>26</v>
      </c>
      <c r="F166" s="9">
        <f>[2]หน้าผ้า!H175</f>
        <v>43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150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45846</v>
      </c>
      <c r="U166" s="11">
        <f>[2]หน้าผ้า!AA175</f>
        <v>10000</v>
      </c>
      <c r="V166" s="10">
        <f>[2]หน้าผ้า!AJ175</f>
        <v>7386</v>
      </c>
      <c r="W166" s="10">
        <f>[2]หน้าผ้า!AL175</f>
        <v>2614</v>
      </c>
      <c r="X166" s="10">
        <f>[2]หน้าผ้า!AM175</f>
        <v>12414</v>
      </c>
      <c r="Y166" s="10">
        <f>[2]หน้าผ้า!AN175</f>
        <v>0</v>
      </c>
      <c r="Z166" s="9" t="str">
        <f>[2]หน้าผ้า!AO175</f>
        <v>WSWT2625850SM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ห้ามขาด-เกินได้5%</v>
      </c>
      <c r="AG166" s="1" t="str">
        <f>[3]หน้าผ้า!DC178</f>
        <v>ยังไม่ได้พิมพ์</v>
      </c>
      <c r="AH166" s="1" t="str">
        <f>[2]หน้าผ้า!DL175</f>
        <v>P6</v>
      </c>
      <c r="AI166" s="1">
        <f>[2]หน้าผ้า!DM175</f>
        <v>4</v>
      </c>
      <c r="AJ166" s="3">
        <f>[2]หน้าผ้า!DN175</f>
        <v>45846</v>
      </c>
      <c r="AK166" s="3">
        <f>[2]หน้าผ้า!DQ175</f>
        <v>45842</v>
      </c>
      <c r="AL166" s="3">
        <f>[2]หน้าผ้า!DR175</f>
        <v>45835</v>
      </c>
      <c r="AM166" s="3">
        <f>[2]หน้าผ้า!DS175</f>
        <v>45843</v>
      </c>
      <c r="AN166" s="3">
        <f>[2]หน้าผ้า!DT175</f>
        <v>45844</v>
      </c>
      <c r="AO166" s="3">
        <f>[2]หน้าผ้า!DU175</f>
        <v>45845</v>
      </c>
      <c r="AP166" s="3">
        <f>[2]หน้าผ้า!DP175</f>
        <v>45841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45832</v>
      </c>
      <c r="B167" s="14" t="str">
        <f>[2]หน้าผ้า!B176</f>
        <v>MK68-000816</v>
      </c>
      <c r="C167" s="9" t="str">
        <f>[2]หน้าผ้า!E176</f>
        <v>บจก.ที.ซี.ยูเนี่ยน อโกรเทค</v>
      </c>
      <c r="D167" s="13" t="str">
        <f>[2]หน้าผ้า!F176</f>
        <v>ไม่พิมพ์</v>
      </c>
      <c r="E167" s="9">
        <f>[2]หน้าผ้า!G176</f>
        <v>26</v>
      </c>
      <c r="F167" s="9">
        <f>[2]หน้าผ้า!H176</f>
        <v>43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150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45847</v>
      </c>
      <c r="U167" s="11">
        <f>[2]หน้าผ้า!AA176</f>
        <v>15000</v>
      </c>
      <c r="V167" s="10">
        <f>[2]หน้าผ้า!AJ176</f>
        <v>0</v>
      </c>
      <c r="W167" s="10">
        <f>[2]หน้าผ้า!AL176</f>
        <v>15000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WSWT2625850SM</v>
      </c>
      <c r="AA167" s="8">
        <f>[2]หน้าผ้า!AQ176</f>
        <v>18649.949999999997</v>
      </c>
      <c r="AB167" s="8">
        <f>[2]หน้าผ้า!AR176</f>
        <v>18649.949999999997</v>
      </c>
      <c r="AC167" s="8">
        <f>[2]หน้าผ้า!AS176</f>
        <v>0</v>
      </c>
      <c r="AD167" s="8">
        <f>[2]หน้าผ้า!AT176</f>
        <v>7311</v>
      </c>
      <c r="AE167" s="8">
        <f>[2]หน้าผ้า!AU176</f>
        <v>11338.949999999997</v>
      </c>
      <c r="AF167" s="8" t="str">
        <f>[2]หน้าผ้า!AI176</f>
        <v>ห้ามขาด-เกินได้5%</v>
      </c>
      <c r="AG167" s="1" t="str">
        <f>[3]หน้าผ้า!DC179</f>
        <v>ยังไม่ได้พิมพ์</v>
      </c>
      <c r="AH167" s="1" t="str">
        <f>[2]หน้าผ้า!DL176</f>
        <v>P11</v>
      </c>
      <c r="AI167" s="1">
        <f>[2]หน้าผ้า!DM176</f>
        <v>2</v>
      </c>
      <c r="AJ167" s="3">
        <f>[2]หน้าผ้า!DN176</f>
        <v>45847</v>
      </c>
      <c r="AK167" s="3">
        <f>[2]หน้าผ้า!DQ176</f>
        <v>45845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45846</v>
      </c>
      <c r="AP167" s="3">
        <f>[2]หน้าผ้า!DP176</f>
        <v>45842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งานเคลือบ+ตัด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45832</v>
      </c>
      <c r="B168" s="14" t="str">
        <f>[2]หน้าผ้า!B177</f>
        <v>MK68-000817</v>
      </c>
      <c r="C168" s="9" t="str">
        <f>[2]หน้าผ้า!E177</f>
        <v>บจก.ที.ซี.ยูเนี่ยน อโกรเทค</v>
      </c>
      <c r="D168" s="13" t="str">
        <f>[2]หน้าผ้า!F177</f>
        <v>Zhejiang UN</v>
      </c>
      <c r="E168" s="9">
        <f>[2]หน้าผ้า!G177</f>
        <v>26</v>
      </c>
      <c r="F168" s="9">
        <f>[2]หน้าผ้า!H177</f>
        <v>43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150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45852</v>
      </c>
      <c r="U168" s="11">
        <f>[2]หน้าผ้า!AA177</f>
        <v>1500</v>
      </c>
      <c r="V168" s="10">
        <f>[2]หน้าผ้า!AJ177</f>
        <v>0</v>
      </c>
      <c r="W168" s="10">
        <f>[2]หน้าผ้า!AL177</f>
        <v>1500</v>
      </c>
      <c r="X168" s="10">
        <f>[2]หน้าผ้า!AM177</f>
        <v>0</v>
      </c>
      <c r="Y168" s="10">
        <f>[2]หน้าผ้า!AN177</f>
        <v>1575</v>
      </c>
      <c r="Z168" s="9" t="str">
        <f>[2]หน้าผ้า!AO177</f>
        <v>WSWT2625850SM</v>
      </c>
      <c r="AA168" s="8">
        <f>[2]หน้าผ้า!AQ177</f>
        <v>1864.9949999999999</v>
      </c>
      <c r="AB168" s="8">
        <f>[2]หน้าผ้า!AR177</f>
        <v>1864.9949999999999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1864.9949999999999</v>
      </c>
      <c r="AF168" s="8">
        <f>[2]หน้าผ้า!AI177</f>
        <v>0</v>
      </c>
      <c r="AG168" s="1" t="str">
        <f>[3]หน้าผ้า!DC180</f>
        <v>รอแบบ</v>
      </c>
      <c r="AH168" s="1" t="str">
        <f>[2]หน้าผ้า!DL177</f>
        <v>P6</v>
      </c>
      <c r="AI168" s="1">
        <f>[2]หน้าผ้า!DM177</f>
        <v>4</v>
      </c>
      <c r="AJ168" s="3">
        <f>[2]หน้าผ้า!DN177</f>
        <v>45852</v>
      </c>
      <c r="AK168" s="3">
        <f>[2]หน้าผ้า!DQ177</f>
        <v>45848</v>
      </c>
      <c r="AL168" s="3">
        <f>[2]หน้าผ้า!DR177</f>
        <v>45841</v>
      </c>
      <c r="AM168" s="3">
        <f>[2]หน้าผ้า!DS177</f>
        <v>45849</v>
      </c>
      <c r="AN168" s="3">
        <f>[2]หน้าผ้า!DT177</f>
        <v>45850</v>
      </c>
      <c r="AO168" s="3">
        <f>[2]หน้าผ้า!DU177</f>
        <v>45851</v>
      </c>
      <c r="AP168" s="3">
        <f>[2]หน้าผ้า!DP177</f>
        <v>45847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45832</v>
      </c>
      <c r="B169" s="14" t="str">
        <f>[2]หน้าผ้า!B178</f>
        <v>MK68-000818</v>
      </c>
      <c r="C169" s="9" t="str">
        <f>[2]หน้าผ้า!E178</f>
        <v>บจก.ที.ซี.ยูเนี่ยน อโกรเทค</v>
      </c>
      <c r="D169" s="13" t="str">
        <f>[2]หน้าผ้า!F178</f>
        <v>Zhejiang UN</v>
      </c>
      <c r="E169" s="9">
        <f>[2]หน้าผ้า!G178</f>
        <v>26</v>
      </c>
      <c r="F169" s="9">
        <f>[2]หน้าผ้า!H178</f>
        <v>43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150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45852</v>
      </c>
      <c r="U169" s="11">
        <f>[2]หน้าผ้า!AA178</f>
        <v>30000</v>
      </c>
      <c r="V169" s="10">
        <f>[2]หน้าผ้า!AJ178</f>
        <v>0</v>
      </c>
      <c r="W169" s="10">
        <f>[2]หน้าผ้า!AL178</f>
        <v>30000</v>
      </c>
      <c r="X169" s="10">
        <f>[2]หน้าผ้า!AM178</f>
        <v>0</v>
      </c>
      <c r="Y169" s="10">
        <f>[2]หน้าผ้า!AN178</f>
        <v>31500</v>
      </c>
      <c r="Z169" s="9" t="str">
        <f>[2]หน้าผ้า!AO178</f>
        <v>WSWT2625850SM</v>
      </c>
      <c r="AA169" s="8">
        <f>[2]หน้าผ้า!AQ178</f>
        <v>37299.899999999994</v>
      </c>
      <c r="AB169" s="8">
        <f>[2]หน้าผ้า!AR178</f>
        <v>1263</v>
      </c>
      <c r="AC169" s="8">
        <f>[2]หน้าผ้า!AS178</f>
        <v>36036.899999999994</v>
      </c>
      <c r="AD169" s="8">
        <f>[2]หน้าผ้า!AT178</f>
        <v>0</v>
      </c>
      <c r="AE169" s="8">
        <f>[2]หน้าผ้า!AU178</f>
        <v>37299.899999999994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P6</v>
      </c>
      <c r="AI169" s="1">
        <f>[2]หน้าผ้า!DM178</f>
        <v>4</v>
      </c>
      <c r="AJ169" s="3">
        <f>[2]หน้าผ้า!DN178</f>
        <v>45852</v>
      </c>
      <c r="AK169" s="3">
        <f>[2]หน้าผ้า!DQ178</f>
        <v>45848</v>
      </c>
      <c r="AL169" s="3">
        <f>[2]หน้าผ้า!DR178</f>
        <v>45841</v>
      </c>
      <c r="AM169" s="3">
        <f>[2]หน้าผ้า!DS178</f>
        <v>45849</v>
      </c>
      <c r="AN169" s="3">
        <f>[2]หน้าผ้า!DT178</f>
        <v>45850</v>
      </c>
      <c r="AO169" s="3">
        <f>[2]หน้าผ้า!DU178</f>
        <v>45851</v>
      </c>
      <c r="AP169" s="3">
        <f>[2]หน้าผ้า!DP178</f>
        <v>45847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WRWT25850/WRWT25850</v>
      </c>
      <c r="BD169" s="56">
        <f>[2]หน้าผ้า!CA178</f>
        <v>3716.6056199999998</v>
      </c>
    </row>
    <row r="170" spans="1:56" ht="27.75" customHeight="1" x14ac:dyDescent="0.45">
      <c r="A170" s="3">
        <f>[2]หน้าผ้า!C179</f>
        <v>45832</v>
      </c>
      <c r="B170" s="14" t="str">
        <f>[2]หน้าผ้า!B179</f>
        <v>MK68-000819</v>
      </c>
      <c r="C170" s="9" t="str">
        <f>[2]หน้าผ้า!E179</f>
        <v>บจก.ที.ซี.ยูเนี่ยน อโกรเทค</v>
      </c>
      <c r="D170" s="13" t="str">
        <f>[2]หน้าผ้า!F179</f>
        <v>Zhejiang UN</v>
      </c>
      <c r="E170" s="9">
        <f>[2]หน้าผ้า!G179</f>
        <v>26</v>
      </c>
      <c r="F170" s="9">
        <f>[2]หน้าผ้า!H179</f>
        <v>43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150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45863</v>
      </c>
      <c r="U170" s="11">
        <f>[2]หน้าผ้า!AA179</f>
        <v>30000</v>
      </c>
      <c r="V170" s="10">
        <f>[2]หน้าผ้า!AJ179</f>
        <v>0</v>
      </c>
      <c r="W170" s="10">
        <f>[2]หน้าผ้า!AL179</f>
        <v>30000</v>
      </c>
      <c r="X170" s="10">
        <f>[2]หน้าผ้า!AM179</f>
        <v>0</v>
      </c>
      <c r="Y170" s="10">
        <f>[2]หน้าผ้า!AN179</f>
        <v>31500</v>
      </c>
      <c r="Z170" s="9" t="str">
        <f>[2]หน้าผ้า!AO179</f>
        <v>WSWT2625850SM</v>
      </c>
      <c r="AA170" s="8">
        <f>[2]หน้าผ้า!AQ179</f>
        <v>37299.899999999994</v>
      </c>
      <c r="AB170" s="8">
        <f>[2]หน้าผ้า!AR179</f>
        <v>0</v>
      </c>
      <c r="AC170" s="8">
        <f>[2]หน้าผ้า!AS179</f>
        <v>37299.899999999994</v>
      </c>
      <c r="AD170" s="8">
        <f>[2]หน้าผ้า!AT179</f>
        <v>0</v>
      </c>
      <c r="AE170" s="8">
        <f>[2]หน้าผ้า!AU179</f>
        <v>37299.899999999994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P6</v>
      </c>
      <c r="AI170" s="1">
        <f>[2]หน้าผ้า!DM179</f>
        <v>4</v>
      </c>
      <c r="AJ170" s="3">
        <f>[2]หน้าผ้า!DN179</f>
        <v>45863</v>
      </c>
      <c r="AK170" s="3">
        <f>[2]หน้าผ้า!DQ179</f>
        <v>45859</v>
      </c>
      <c r="AL170" s="3">
        <f>[2]หน้าผ้า!DR179</f>
        <v>45852</v>
      </c>
      <c r="AM170" s="3">
        <f>[2]หน้าผ้า!DS179</f>
        <v>45860</v>
      </c>
      <c r="AN170" s="3">
        <f>[2]หน้าผ้า!DT179</f>
        <v>45861</v>
      </c>
      <c r="AO170" s="3">
        <f>[2]หน้าผ้า!DU179</f>
        <v>45862</v>
      </c>
      <c r="AP170" s="3">
        <f>[2]หน้าผ้า!DP179</f>
        <v>45858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WRWT25850/WRWT25850</v>
      </c>
      <c r="BD170" s="56">
        <f>[2]หน้าผ้า!CA179</f>
        <v>3846.8630200000002</v>
      </c>
    </row>
    <row r="171" spans="1:56" ht="27.7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รอแบบ</v>
      </c>
      <c r="E171" s="9">
        <f>[2]หน้าผ้า!G180</f>
        <v>26</v>
      </c>
      <c r="F171" s="9">
        <f>[2]หน้าผ้า!H180</f>
        <v>43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150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45868</v>
      </c>
      <c r="U171" s="11">
        <f>[2]หน้าผ้า!AA180</f>
        <v>20000</v>
      </c>
      <c r="V171" s="10">
        <f>[2]หน้าผ้า!AJ180</f>
        <v>0</v>
      </c>
      <c r="W171" s="10">
        <f>[2]หน้าผ้า!AL180</f>
        <v>20000</v>
      </c>
      <c r="X171" s="10">
        <f>[2]หน้าผ้า!AM180</f>
        <v>0</v>
      </c>
      <c r="Y171" s="10">
        <f>[2]หน้าผ้า!AN180</f>
        <v>21000</v>
      </c>
      <c r="Z171" s="9" t="str">
        <f>[2]หน้าผ้า!AO180</f>
        <v>WSWT2625850SM</v>
      </c>
      <c r="AA171" s="8">
        <f>[2]หน้าผ้า!AQ180</f>
        <v>24866.6</v>
      </c>
      <c r="AB171" s="8">
        <f>[2]หน้าผ้า!AR180</f>
        <v>0</v>
      </c>
      <c r="AC171" s="8">
        <f>[2]หน้าผ้า!AS180</f>
        <v>24866.6</v>
      </c>
      <c r="AD171" s="8">
        <f>[2]หน้าผ้า!AT180</f>
        <v>0</v>
      </c>
      <c r="AE171" s="8">
        <f>[2]หน้าผ้า!AU180</f>
        <v>24866.6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P6</v>
      </c>
      <c r="AI171" s="1">
        <f>[2]หน้าผ้า!DM180</f>
        <v>4</v>
      </c>
      <c r="AJ171" s="3">
        <f>[2]หน้าผ้า!DN180</f>
        <v>45868</v>
      </c>
      <c r="AK171" s="3">
        <f>[2]หน้าผ้า!DQ180</f>
        <v>45864</v>
      </c>
      <c r="AL171" s="3">
        <f>[2]หน้าผ้า!DR180</f>
        <v>45857</v>
      </c>
      <c r="AM171" s="3">
        <f>[2]หน้าผ้า!DS180</f>
        <v>45865</v>
      </c>
      <c r="AN171" s="3">
        <f>[2]หน้าผ้า!DT180</f>
        <v>45866</v>
      </c>
      <c r="AO171" s="3">
        <f>[2]หน้าผ้า!DU180</f>
        <v>45867</v>
      </c>
      <c r="AP171" s="3">
        <f>[2]หน้าผ้า!DP180</f>
        <v>45863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WRWT25850/WRWT25850</v>
      </c>
      <c r="BD171" s="56">
        <f>[2]หน้าผ้า!CA180</f>
        <v>2564.5753466666665</v>
      </c>
    </row>
    <row r="172" spans="1:56" ht="27.75" customHeight="1" x14ac:dyDescent="0.45">
      <c r="A172" s="3">
        <f>[2]หน้าผ้า!C181</f>
        <v>45832</v>
      </c>
      <c r="B172" s="14" t="str">
        <f>[2]หน้าผ้า!B181</f>
        <v>MK68-000820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Zhejiang UN</v>
      </c>
      <c r="E172" s="9">
        <f>[2]หน้าผ้า!G181</f>
        <v>26</v>
      </c>
      <c r="F172" s="9">
        <f>[2]หน้าผ้า!H181</f>
        <v>43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150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45883</v>
      </c>
      <c r="U172" s="11">
        <f>[2]หน้าผ้า!AA181</f>
        <v>20000</v>
      </c>
      <c r="V172" s="10">
        <f>[2]หน้าผ้า!AJ181</f>
        <v>0</v>
      </c>
      <c r="W172" s="10">
        <f>[2]หน้าผ้า!AL181</f>
        <v>20000</v>
      </c>
      <c r="X172" s="10">
        <f>[2]หน้าผ้า!AM181</f>
        <v>0</v>
      </c>
      <c r="Y172" s="10">
        <f>[2]หน้าผ้า!AN181</f>
        <v>21000</v>
      </c>
      <c r="Z172" s="9" t="str">
        <f>[2]หน้าผ้า!AO181</f>
        <v>WSWT2625850SM</v>
      </c>
      <c r="AA172" s="8">
        <f>[2]หน้าผ้า!AQ181</f>
        <v>24866.6</v>
      </c>
      <c r="AB172" s="8">
        <f>[2]หน้าผ้า!AR181</f>
        <v>0</v>
      </c>
      <c r="AC172" s="8">
        <f>[2]หน้าผ้า!AS181</f>
        <v>24866.6</v>
      </c>
      <c r="AD172" s="8">
        <f>[2]หน้าผ้า!AT181</f>
        <v>0</v>
      </c>
      <c r="AE172" s="8">
        <f>[2]หน้าผ้า!AU181</f>
        <v>24866.6</v>
      </c>
      <c r="AF172" s="8">
        <f>[2]หน้าผ้า!AI181</f>
        <v>0</v>
      </c>
      <c r="AG172" s="1" t="str">
        <f>[3]หน้าผ้า!DC184</f>
        <v>ผ้าขาว</v>
      </c>
      <c r="AH172" s="1" t="str">
        <f>[2]หน้าผ้า!DL181</f>
        <v>P6</v>
      </c>
      <c r="AI172" s="1">
        <f>[2]หน้าผ้า!DM181</f>
        <v>4</v>
      </c>
      <c r="AJ172" s="3">
        <f>[2]หน้าผ้า!DN181</f>
        <v>45883</v>
      </c>
      <c r="AK172" s="3">
        <f>[2]หน้าผ้า!DQ181</f>
        <v>45879</v>
      </c>
      <c r="AL172" s="3">
        <f>[2]หน้าผ้า!DR181</f>
        <v>45872</v>
      </c>
      <c r="AM172" s="3">
        <f>[2]หน้าผ้า!DS181</f>
        <v>45880</v>
      </c>
      <c r="AN172" s="3">
        <f>[2]หน้าผ้า!DT181</f>
        <v>45881</v>
      </c>
      <c r="AO172" s="3">
        <f>[2]หน้าผ้า!DU181</f>
        <v>45882</v>
      </c>
      <c r="AP172" s="3">
        <f>[2]หน้าผ้า!DP181</f>
        <v>45878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WRWT25850/WRWT25850</v>
      </c>
      <c r="BD172" s="56">
        <f>[2]หน้าผ้า!CA181</f>
        <v>2564.5753466666665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26</v>
      </c>
      <c r="F173" s="9">
        <f>[2]หน้าผ้า!H182</f>
        <v>43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120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WSWT2625850SM</v>
      </c>
      <c r="AA173" s="8">
        <f>[2]หน้าผ้า!AQ182</f>
        <v>144847.94499999998</v>
      </c>
      <c r="AB173" s="8">
        <f>[2]หน้าผ้า!AR182</f>
        <v>21777.944999999996</v>
      </c>
      <c r="AC173" s="8">
        <f>[2]หน้าผ้า!AS182</f>
        <v>123070</v>
      </c>
      <c r="AD173" s="8">
        <f>[2]หน้าผ้า!AT182</f>
        <v>7311</v>
      </c>
      <c r="AE173" s="8">
        <f>[2]หน้าผ้า!AU182</f>
        <v>137536.94499999998</v>
      </c>
      <c r="AF173" s="8" t="str">
        <f>[2]หน้าผ้า!AI182</f>
        <v>ระบุในSD</v>
      </c>
      <c r="AG173" s="1" t="str">
        <f>[3]หน้าผ้า!DC185</f>
        <v>ยังไม่ได้พิมพ์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WRWT260850/WRWT25850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28</v>
      </c>
      <c r="F174" s="9">
        <f>[2]หน้าผ้า!H183</f>
        <v>41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122</v>
      </c>
      <c r="J174" s="9" t="str">
        <f>[2]หน้าผ้า!M183</f>
        <v>+</v>
      </c>
      <c r="K174" s="9">
        <f>[2]หน้าผ้า!N183</f>
        <v>3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WSWT2825800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 t="str">
        <f>[2]หน้าผ้า!C184</f>
        <v>ประมาณการ</v>
      </c>
      <c r="B175" s="14" t="str">
        <f>[2]หน้าผ้า!B184</f>
        <v>ประมาณการ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ไม่พิมพ์</v>
      </c>
      <c r="E175" s="9">
        <f>[2]หน้าผ้า!G184</f>
        <v>28</v>
      </c>
      <c r="F175" s="9">
        <f>[2]หน้าผ้า!H184</f>
        <v>47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180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45868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WSWT2825850</v>
      </c>
      <c r="AA175" s="8">
        <f>[2]หน้าผ้า!AQ184</f>
        <v>6775.4500000000007</v>
      </c>
      <c r="AB175" s="8">
        <f>[2]หน้าผ้า!AR184</f>
        <v>6775.4500000000007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6775.4500000000007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P11</v>
      </c>
      <c r="AI175" s="1">
        <f>[2]หน้าผ้า!DM184</f>
        <v>2</v>
      </c>
      <c r="AJ175" s="3">
        <f>[2]หน้าผ้า!DN184</f>
        <v>45868</v>
      </c>
      <c r="AK175" s="3">
        <f>[2]หน้าผ้า!DQ184</f>
        <v>45866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45867</v>
      </c>
      <c r="AP175" s="3">
        <f>[2]หน้าผ้า!DP184</f>
        <v>45863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งานเคลือบ+ตัด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WRWT25850/WRWT25850</v>
      </c>
      <c r="BD175" s="56">
        <f>[2]หน้าผ้า!CA184</f>
        <v>0</v>
      </c>
    </row>
    <row r="176" spans="1:56" ht="27.75" customHeight="1" x14ac:dyDescent="0.45">
      <c r="A176" s="3" t="str">
        <f>[2]หน้าผ้า!C185</f>
        <v>ประมาณการ</v>
      </c>
      <c r="B176" s="14" t="str">
        <f>[2]หน้าผ้า!B185</f>
        <v>ประมาณการ</v>
      </c>
      <c r="C176" s="9" t="str">
        <f>[2]หน้าผ้า!E185</f>
        <v>บจก.ไทยร่วมใจน้ำมันพืช</v>
      </c>
      <c r="D176" s="13" t="str">
        <f>[2]หน้าผ้า!F185</f>
        <v>TRJ</v>
      </c>
      <c r="E176" s="9">
        <f>[2]หน้าผ้า!G185</f>
        <v>28</v>
      </c>
      <c r="F176" s="9">
        <f>[2]หน้าผ้า!H185</f>
        <v>41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120</v>
      </c>
      <c r="J176" s="9" t="str">
        <f>[2]หน้าผ้า!M185</f>
        <v>+</v>
      </c>
      <c r="K176" s="9">
        <f>[2]หน้าผ้า!N185</f>
        <v>3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500กระสอบ</v>
      </c>
      <c r="T176" s="12">
        <f>[2]หน้าผ้า!X185</f>
        <v>45868</v>
      </c>
      <c r="U176" s="11">
        <f>[2]หน้าผ้า!AA185</f>
        <v>50000</v>
      </c>
      <c r="V176" s="10">
        <f>[2]หน้าผ้า!AJ185</f>
        <v>0</v>
      </c>
      <c r="W176" s="10">
        <f>[2]หน้าผ้า!AL185</f>
        <v>50000</v>
      </c>
      <c r="X176" s="10">
        <f>[2]หน้าผ้า!AM185</f>
        <v>0</v>
      </c>
      <c r="Y176" s="10">
        <f>[2]หน้าผ้า!AN185</f>
        <v>52500</v>
      </c>
      <c r="Z176" s="9" t="str">
        <f>[2]หน้าผ้า!AO185</f>
        <v>WSWT2825850</v>
      </c>
      <c r="AA176" s="8">
        <f>[2]หน้าผ้า!AQ185</f>
        <v>59372.5</v>
      </c>
      <c r="AB176" s="8">
        <f>[2]หน้าผ้า!AR185</f>
        <v>8970</v>
      </c>
      <c r="AC176" s="8">
        <f>[2]หน้าผ้า!AS185</f>
        <v>50402.5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>
        <f>[3]หน้าผ้า!DC188</f>
        <v>0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45868</v>
      </c>
      <c r="AK176" s="3">
        <f>[2]หน้าผ้า!DQ185</f>
        <v>0</v>
      </c>
      <c r="AL176" s="3">
        <f>[2]หน้าผ้า!DR185</f>
        <v>45859</v>
      </c>
      <c r="AM176" s="3">
        <f>[2]หน้าผ้า!DS185</f>
        <v>45866</v>
      </c>
      <c r="AN176" s="3">
        <f>[2]หน้าผ้า!DT185</f>
        <v>45867</v>
      </c>
      <c r="AO176" s="3">
        <f>[2]หน้าผ้า!DU185</f>
        <v>45867</v>
      </c>
      <c r="AP176" s="3">
        <f>[2]หน้าผ้า!DP185</f>
        <v>45863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WRWT25850/WRWT25850</v>
      </c>
      <c r="BD176" s="56">
        <f>[2]หน้าผ้า!CA185</f>
        <v>5664.6809722222233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28</v>
      </c>
      <c r="F177" s="9">
        <f>[2]หน้าผ้า!H186</f>
        <v>43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130</v>
      </c>
      <c r="J177" s="9" t="str">
        <f>[2]หน้าผ้า!M186</f>
        <v>±</v>
      </c>
      <c r="K177" s="9">
        <f>[2]หน้าผ้า!N186</f>
        <v>3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WSWT2825850</v>
      </c>
      <c r="AA177" s="8">
        <f>[2]หน้าผ้า!AQ186</f>
        <v>66147.95</v>
      </c>
      <c r="AB177" s="8">
        <f>[2]หน้าผ้า!AR186</f>
        <v>15745.45</v>
      </c>
      <c r="AC177" s="8">
        <f>[2]หน้าผ้า!AS186</f>
        <v>50402.5</v>
      </c>
      <c r="AD177" s="8">
        <f>[2]หน้าผ้า!AT186</f>
        <v>0</v>
      </c>
      <c r="AE177" s="8">
        <f>[2]หน้าผ้า!AU186</f>
        <v>6775.4500000000007</v>
      </c>
      <c r="AF177" s="8" t="str">
        <f>[2]หน้าผ้า!AI186</f>
        <v>ระบุในSD</v>
      </c>
      <c r="AG177" s="1">
        <f>[3]หน้าผ้า!DC189</f>
        <v>0</v>
      </c>
      <c r="AH177" s="1">
        <f>[2]หน้าผ้า!DL186</f>
        <v>0</v>
      </c>
      <c r="AI177" s="1">
        <f>[2]หน้าผ้า!DM186</f>
        <v>0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WRWT280850/WRWT25850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30</v>
      </c>
      <c r="F178" s="9">
        <f>[2]หน้าผ้า!H187</f>
        <v>41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122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WSWT3025800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>
        <f>[3]หน้าผ้า!DC190</f>
        <v>0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WRWT25800/WRWT28750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0</v>
      </c>
      <c r="F179" s="9">
        <f>[2]หน้าผ้า!H188</f>
        <v>0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0</v>
      </c>
      <c r="J179" s="9">
        <f>[2]หน้าผ้า!M188</f>
        <v>0</v>
      </c>
      <c r="K179" s="9">
        <f>[2]หน้าผ้า!N188</f>
        <v>0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 t="str">
        <f>[2]หน้าผ้า!X188</f>
        <v>ค้างส่งทั้งหมด</v>
      </c>
      <c r="U179" s="11">
        <f>[2]หน้าผ้า!AA188</f>
        <v>3356056</v>
      </c>
      <c r="V179" s="10">
        <f>[2]หน้าผ้า!AJ188</f>
        <v>450271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>
        <f>[2]หน้าผ้า!AO188</f>
        <v>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 xml:space="preserve"> 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-5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>
        <f>[2]หน้าผ้า!BZ188</f>
        <v>0</v>
      </c>
      <c r="BD179" s="56">
        <f>[2]หน้าผ้า!CA188</f>
        <v>190029.51017897355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0</v>
      </c>
      <c r="F180" s="9">
        <f>[2]หน้าผ้า!H189</f>
        <v>0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0</v>
      </c>
      <c r="J180" s="9">
        <f>[2]หน้าผ้า!M189</f>
        <v>0</v>
      </c>
      <c r="K180" s="9">
        <f>[2]หน้าผ้า!N189</f>
        <v>0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140000</v>
      </c>
      <c r="T180" s="12">
        <f>[2]หน้าผ้า!X189</f>
        <v>0</v>
      </c>
      <c r="U180" s="11">
        <f>[2]หน้าผ้า!AA189</f>
        <v>23.971828571428571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>
        <f>[2]หน้าผ้า!AO189</f>
        <v>0</v>
      </c>
      <c r="AA180" s="8" t="e">
        <f>[2]หน้าผ้า!AQ189</f>
        <v>#REF!</v>
      </c>
      <c r="AB180" s="8">
        <f>[2]หน้าผ้า!AR189</f>
        <v>0</v>
      </c>
      <c r="AC180" s="8" t="e">
        <f>[2]หน้าผ้า!AS189</f>
        <v>#REF!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>
        <f>[3]หน้าผ้า!DC192</f>
        <v>0</v>
      </c>
      <c r="AH180" s="1" t="str">
        <f>[2]หน้าผ้า!DL189</f>
        <v>P1</v>
      </c>
      <c r="AI180" s="1">
        <f>[2]หน้าผ้า!DM189</f>
        <v>2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-9</v>
      </c>
      <c r="AM180" s="3">
        <f>[2]หน้าผ้า!DS189</f>
        <v>-2</v>
      </c>
      <c r="AN180" s="3">
        <f>[2]หน้าผ้า!DT189</f>
        <v>0</v>
      </c>
      <c r="AO180" s="3">
        <f>[2]หน้าผ้า!DU189</f>
        <v>-1</v>
      </c>
      <c r="AP180" s="3">
        <f>[2]หน้าผ้า!DP189</f>
        <v>-5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>รอART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>
        <f>[2]หน้าผ้า!BZ189</f>
        <v>0</v>
      </c>
      <c r="BD180" s="56" t="str">
        <f>[2]หน้าผ้า!CA189</f>
        <v>ห้ามลบ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0</v>
      </c>
      <c r="F181" s="9">
        <f>[2]หน้าผ้า!H190</f>
        <v>0</v>
      </c>
      <c r="G181" s="9">
        <f>[2]หน้าผ้า!I190</f>
        <v>0</v>
      </c>
      <c r="H181" s="9">
        <f>[2]หน้าผ้า!J190</f>
        <v>0</v>
      </c>
      <c r="I181" s="9">
        <f>[2]หน้าผ้า!L190</f>
        <v>0</v>
      </c>
      <c r="J181" s="9">
        <f>[2]หน้าผ้า!M190</f>
        <v>0</v>
      </c>
      <c r="K181" s="9">
        <f>[2]หน้าผ้า!N190</f>
        <v>0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 t="str">
        <f>[2]หน้าผ้า!X190</f>
        <v>ประมาณการ</v>
      </c>
      <c r="U181" s="11">
        <f>[2]หน้าผ้า!AA190</f>
        <v>1665000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>
        <f>[2]หน้าผ้า!AO190</f>
        <v>0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>
        <f>[3]หน้าผ้า!DC193</f>
        <v>0</v>
      </c>
      <c r="AH181" s="1" t="str">
        <f>[2]หน้าผ้า!DL190</f>
        <v>P3</v>
      </c>
      <c r="AI181" s="1">
        <f>[2]หน้าผ้า!DM190</f>
        <v>1</v>
      </c>
      <c r="AJ181" s="3" t="str">
        <f>[2]หน้าผ้า!DN190</f>
        <v>ประมาณการ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 t="e">
        <f>[2]หน้าผ้า!DU190</f>
        <v>#VALUE!</v>
      </c>
      <c r="AP181" s="3" t="e">
        <f>[2]หน้าผ้า!DP190</f>
        <v>#VALUE!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ตัด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>
        <f>[2]หน้าผ้า!BZ190</f>
        <v>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0</v>
      </c>
      <c r="F182" s="9">
        <f>[2]หน้าผ้า!H191</f>
        <v>0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0</v>
      </c>
      <c r="J182" s="9">
        <f>[2]หน้าผ้า!M191</f>
        <v>0</v>
      </c>
      <c r="K182" s="9">
        <f>[2]หน้าผ้า!N191</f>
        <v>0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 t="str">
        <f>[2]หน้าผ้า!X191</f>
        <v>รอแจ้ง</v>
      </c>
      <c r="U182" s="11">
        <f>[2]หน้าผ้า!AA191</f>
        <v>545622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>
        <f>[2]หน้าผ้า!AO191</f>
        <v>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540599.79182000004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>
        <f>[3]หน้าผ้า!DC194</f>
        <v>0</v>
      </c>
      <c r="AH182" s="1" t="str">
        <f>[2]หน้าผ้า!DL191</f>
        <v>P2</v>
      </c>
      <c r="AI182" s="1">
        <f>[2]หน้าผ้า!DM191</f>
        <v>3</v>
      </c>
      <c r="AJ182" s="3" t="str">
        <f>[2]หน้าผ้า!DN191</f>
        <v>รอแจ้ง</v>
      </c>
      <c r="AK182" s="3" t="e">
        <f>[2]หน้าผ้า!DQ191</f>
        <v>#VALUE!</v>
      </c>
      <c r="AL182" s="3" t="e">
        <f>[2]หน้าผ้า!DR191</f>
        <v>#VALUE!</v>
      </c>
      <c r="AM182" s="3" t="e">
        <f>[2]หน้าผ้า!DS191</f>
        <v>#VALUE!</v>
      </c>
      <c r="AN182" s="3">
        <f>[2]หน้าผ้า!DT191</f>
        <v>0</v>
      </c>
      <c r="AO182" s="3" t="e">
        <f>[2]หน้าผ้า!DU191</f>
        <v>#VALUE!</v>
      </c>
      <c r="AP182" s="3" t="e">
        <f>[2]หน้าผ้า!DP191</f>
        <v>#VALUE!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งานเคลือบ+พิมพ์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>
        <f>[2]หน้าผ้า!BZ191</f>
        <v>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0</v>
      </c>
      <c r="F183" s="9">
        <f>[2]หน้าผ้า!H192</f>
        <v>0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0</v>
      </c>
      <c r="J183" s="9">
        <f>[2]หน้าผ้า!M192</f>
        <v>0</v>
      </c>
      <c r="K183" s="9">
        <f>[2]หน้าผ้า!N192</f>
        <v>0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 t="str">
        <f>[2]หน้าผ้า!X192</f>
        <v>รอส่ง</v>
      </c>
      <c r="U183" s="11">
        <f>[2]หน้าผ้า!AA192</f>
        <v>269700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>
        <f>[2]หน้าผ้า!AO192</f>
        <v>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>
        <f>[3]หน้าผ้า!DC195</f>
        <v>0</v>
      </c>
      <c r="AH183" s="1" t="str">
        <f>[2]หน้าผ้า!DL192</f>
        <v>P6</v>
      </c>
      <c r="AI183" s="1">
        <f>[2]หน้าผ้า!DM192</f>
        <v>4</v>
      </c>
      <c r="AJ183" s="3" t="str">
        <f>[2]หน้าผ้า!DN192</f>
        <v>รอส่ง</v>
      </c>
      <c r="AK183" s="3" t="e">
        <f>[2]หน้าผ้า!DQ192</f>
        <v>#VALUE!</v>
      </c>
      <c r="AL183" s="3" t="e">
        <f>[2]หน้าผ้า!DR192</f>
        <v>#VALUE!</v>
      </c>
      <c r="AM183" s="3" t="e">
        <f>[2]หน้าผ้า!DS192</f>
        <v>#VALUE!</v>
      </c>
      <c r="AN183" s="3" t="e">
        <f>[2]หน้าผ้า!DT192</f>
        <v>#VALUE!</v>
      </c>
      <c r="AO183" s="3" t="e">
        <f>[2]หน้าผ้า!DU192</f>
        <v>#VALUE!</v>
      </c>
      <c r="AP183" s="3" t="e">
        <f>[2]หน้าผ้า!DP192</f>
        <v>#VALUE!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งานเคลือบ+พิมพ์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>
        <f>[2]หน้าผ้า!BZ192</f>
        <v>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0</v>
      </c>
      <c r="F184" s="9">
        <f>[2]หน้าผ้า!H193</f>
        <v>0</v>
      </c>
      <c r="G184" s="9">
        <f>[2]หน้าผ้า!I193</f>
        <v>0</v>
      </c>
      <c r="H184" s="9">
        <f>[2]หน้าผ้า!J193</f>
        <v>0</v>
      </c>
      <c r="I184" s="9">
        <f>[2]หน้าผ้า!L193</f>
        <v>0</v>
      </c>
      <c r="J184" s="9">
        <f>[2]หน้าผ้า!M193</f>
        <v>0</v>
      </c>
      <c r="K184" s="9">
        <f>[2]หน้าผ้า!N193</f>
        <v>0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 t="str">
        <f>[2]หน้าผ้า!X193</f>
        <v>มีกำหนดส่ง</v>
      </c>
      <c r="U184" s="11">
        <f>[2]หน้าผ้า!AA193</f>
        <v>875734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>
        <f>[2]หน้าผ้า!AO193</f>
        <v>0</v>
      </c>
      <c r="AA184" s="8">
        <f>[2]หน้าผ้า!AQ193</f>
        <v>0</v>
      </c>
      <c r="AB184" s="8">
        <f>[2]หน้าผ้า!AR193</f>
        <v>0</v>
      </c>
      <c r="AC184" s="8" t="e">
        <f>[2]หน้าผ้า!AS193</f>
        <v>#REF!</v>
      </c>
      <c r="AD184" s="8" t="e">
        <f>[2]หน้าผ้า!AT193</f>
        <v>#REF!</v>
      </c>
      <c r="AE184" s="8">
        <f>[2]หน้าผ้า!AU193</f>
        <v>0</v>
      </c>
      <c r="AF184" s="8">
        <f>[2]หน้าผ้า!AI193</f>
        <v>0</v>
      </c>
      <c r="AG184" s="1">
        <f>[3]หน้าผ้า!DC196</f>
        <v>0</v>
      </c>
      <c r="AH184" s="1" t="str">
        <f>[2]หน้าผ้า!DL193</f>
        <v>P11</v>
      </c>
      <c r="AI184" s="1">
        <f>[2]หน้าผ้า!DM193</f>
        <v>2</v>
      </c>
      <c r="AJ184" s="3" t="str">
        <f>[2]หน้าผ้า!DN193</f>
        <v>มีกำหนดส่ง</v>
      </c>
      <c r="AK184" s="3" t="e">
        <f>[2]หน้าผ้า!DQ193</f>
        <v>#VALUE!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 t="e">
        <f>[2]หน้าผ้า!DU193</f>
        <v>#VALUE!</v>
      </c>
      <c r="AP184" s="3" t="e">
        <f>[2]หน้าผ้า!DP193</f>
        <v>#VALUE!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งานเคลือบ+ตัด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>
        <f>[2]หน้าผ้า!BZ193</f>
        <v>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 t="str">
        <f>[2]หน้าผ้า!E194</f>
        <v>ผู้สั่งผลิต..................................................</v>
      </c>
      <c r="D185" s="13">
        <f>[2]หน้าผ้า!F194</f>
        <v>0</v>
      </c>
      <c r="E185" s="9">
        <f>[2]หน้าผ้า!G194</f>
        <v>0</v>
      </c>
      <c r="F185" s="9">
        <f>[2]หน้าผ้า!H194</f>
        <v>0</v>
      </c>
      <c r="G185" s="9" t="str">
        <f>[2]หน้าผ้า!I194</f>
        <v xml:space="preserve"> </v>
      </c>
      <c r="H185" s="9">
        <f>[2]หน้าผ้า!J194</f>
        <v>0</v>
      </c>
      <c r="I185" s="9">
        <f>[2]หน้าผ้า!L194</f>
        <v>0</v>
      </c>
      <c r="J185" s="9" t="str">
        <f>[2]หน้าผ้า!M194</f>
        <v xml:space="preserve"> </v>
      </c>
      <c r="K185" s="9">
        <f>[2]หน้าผ้า!N194</f>
        <v>0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>
        <f>[2]หน้าผ้า!AO194</f>
        <v>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>
        <f>[3]หน้าผ้า!DC197</f>
        <v>0</v>
      </c>
      <c r="AH185" s="1" t="str">
        <f>[2]หน้าผ้า!DL194</f>
        <v>P9</v>
      </c>
      <c r="AI185" s="1">
        <f>[2]หน้าผ้า!DM194</f>
        <v>3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-10</v>
      </c>
      <c r="AM185" s="3">
        <f>[2]หน้าผ้า!DS194</f>
        <v>-3</v>
      </c>
      <c r="AN185" s="3">
        <f>[2]หน้าผ้า!DT194</f>
        <v>-2</v>
      </c>
      <c r="AO185" s="3">
        <f>[2]หน้าผ้า!DU194</f>
        <v>-1</v>
      </c>
      <c r="AP185" s="3">
        <f>[2]หน้าผ้า!DP194</f>
        <v>-5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>
        <f>[2]หน้าผ้า!BZ194</f>
        <v>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 t="str">
        <f>[2]หน้าผ้า!E195</f>
        <v>เจ้าหน้าที่วางแผนการผลิต</v>
      </c>
      <c r="D186" s="13">
        <f>[2]หน้าผ้า!F195</f>
        <v>0</v>
      </c>
      <c r="E186" s="9">
        <f>[2]หน้าผ้า!G195</f>
        <v>0</v>
      </c>
      <c r="F186" s="9">
        <f>[2]หน้าผ้า!H195</f>
        <v>0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0</v>
      </c>
      <c r="J186" s="9" t="str">
        <f>[2]หน้าผ้า!M195</f>
        <v>ผู้อนุมัติ..................................................</v>
      </c>
      <c r="K186" s="9">
        <f>[2]หน้าผ้า!N195</f>
        <v>0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>
        <f>[2]หน้าผ้า!AO195</f>
        <v>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 t="str">
        <f>[2]หน้าผ้า!AT195</f>
        <v xml:space="preserve"> </v>
      </c>
      <c r="AE186" s="8">
        <f>[2]หน้าผ้า!AU195</f>
        <v>0</v>
      </c>
      <c r="AF186" s="8">
        <f>[2]หน้าผ้า!AI195</f>
        <v>0</v>
      </c>
      <c r="AG186" s="1">
        <f>[3]หน้าผ้า!DC198</f>
        <v>0</v>
      </c>
      <c r="AH186" s="1" t="str">
        <f>[2]หน้าผ้า!DL195</f>
        <v>P4</v>
      </c>
      <c r="AI186" s="1">
        <f>[2]หน้าผ้า!DM195</f>
        <v>3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-10</v>
      </c>
      <c r="AM186" s="3">
        <f>[2]หน้าผ้า!DS195</f>
        <v>-3</v>
      </c>
      <c r="AN186" s="3">
        <f>[2]หน้าผ้า!DT195</f>
        <v>0</v>
      </c>
      <c r="AO186" s="3">
        <f>[2]หน้าผ้า!DU195</f>
        <v>-2</v>
      </c>
      <c r="AP186" s="3">
        <f>[2]หน้าผ้า!DP195</f>
        <v>-5</v>
      </c>
      <c r="AQ186" s="3">
        <f>[2]หน้าผ้า!DW195</f>
        <v>-1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>
        <f>[2]หน้าผ้า!BZ195</f>
        <v>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 t="str">
        <f>[2]หน้าผ้า!E196</f>
        <v xml:space="preserve">        /         /        .</v>
      </c>
      <c r="D187" s="13">
        <f>[2]หน้าผ้า!F196</f>
        <v>0</v>
      </c>
      <c r="E187" s="9">
        <f>[2]หน้าผ้า!G196</f>
        <v>0</v>
      </c>
      <c r="F187" s="9">
        <f>[2]หน้าผ้า!H196</f>
        <v>0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0</v>
      </c>
      <c r="J187" s="9" t="str">
        <f>[2]หน้าผ้า!M196</f>
        <v>ผู้จัดการฝ่ายผลิต</v>
      </c>
      <c r="K187" s="9">
        <f>[2]หน้าผ้า!N196</f>
        <v>0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 t="str">
        <f>[2]หน้าผ้า!V196</f>
        <v xml:space="preserve"> 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>
        <f>[2]หน้าผ้า!AO196</f>
        <v>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>
        <f>[3]หน้าผ้า!DC199</f>
        <v>0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-9</v>
      </c>
      <c r="AM187" s="3">
        <f>[2]หน้าผ้า!DS196</f>
        <v>-2</v>
      </c>
      <c r="AN187" s="3">
        <f>[2]หน้าผ้า!DT196</f>
        <v>-1</v>
      </c>
      <c r="AO187" s="3">
        <f>[2]หน้าผ้า!DU196</f>
        <v>-1</v>
      </c>
      <c r="AP187" s="3">
        <f>[2]หน้าผ้า!DP196</f>
        <v>-5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>
        <f>[2]หน้าผ้า!BZ196</f>
        <v>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 t="str">
        <f>[2]หน้าผ้า!M197</f>
        <v xml:space="preserve">        /         /        .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>
        <f>[3]หน้าผ้า!DC200</f>
        <v>0</v>
      </c>
      <c r="AH188" s="1" t="str">
        <f>[2]หน้าผ้า!DL197</f>
        <v>P8</v>
      </c>
      <c r="AI188" s="1">
        <f>[2]หน้าผ้า!DM197</f>
        <v>4</v>
      </c>
      <c r="AJ188" s="3">
        <f>[2]หน้าผ้า!DN197</f>
        <v>0</v>
      </c>
      <c r="AK188" s="3">
        <f>[2]หน้าผ้า!DQ197</f>
        <v>-4</v>
      </c>
      <c r="AL188" s="3">
        <f>[2]หน้าผ้า!DR197</f>
        <v>-10</v>
      </c>
      <c r="AM188" s="3">
        <f>[2]หน้าผ้า!DS197</f>
        <v>-3</v>
      </c>
      <c r="AN188" s="3">
        <f>[2]หน้าผ้า!DT197</f>
        <v>-2</v>
      </c>
      <c r="AO188" s="3">
        <f>[2]หน้าผ้า!DU197</f>
        <v>-2</v>
      </c>
      <c r="AP188" s="3">
        <f>[2]หน้าผ้า!DP197</f>
        <v>-5</v>
      </c>
      <c r="AQ188" s="3">
        <f>[2]หน้าผ้า!DW197</f>
        <v>-1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 t="str">
        <f>[2]หน้าผ้า!F198</f>
        <v xml:space="preserve"> </v>
      </c>
      <c r="E189" s="9" t="str">
        <f>[2]หน้าผ้า!G198</f>
        <v xml:space="preserve"> 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>
        <f>[2]หน้าผ้า!AQ198</f>
        <v>0</v>
      </c>
      <c r="AB189" s="8">
        <f>[2]หน้าผ้า!AR198</f>
        <v>0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P13</v>
      </c>
      <c r="AI189" s="1">
        <f>[2]หน้าผ้า!DM198</f>
        <v>2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-2</v>
      </c>
      <c r="AP189" s="3">
        <f>[2]หน้าผ้า!DP198</f>
        <v>-5</v>
      </c>
      <c r="AQ189" s="3">
        <f>[2]หน้าผ้า!DW198</f>
        <v>-1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0</v>
      </c>
      <c r="J190" s="9">
        <f>[2]หน้าผ้า!M199</f>
        <v>0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 t="str">
        <f>[2]หน้าผ้า!V199</f>
        <v xml:space="preserve"> 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 t="str">
        <f>[2]หน้าผ้า!DL199</f>
        <v>P10</v>
      </c>
      <c r="AI190" s="1">
        <f>[2]หน้าผ้า!DM199</f>
        <v>3</v>
      </c>
      <c r="AJ190" s="3">
        <f>[2]หน้าผ้า!DN199</f>
        <v>0</v>
      </c>
      <c r="AK190" s="3">
        <f>[2]หน้าผ้า!DQ199</f>
        <v>-3</v>
      </c>
      <c r="AL190" s="3">
        <f>[2]หน้าผ้า!DR199</f>
        <v>-9</v>
      </c>
      <c r="AM190" s="3">
        <f>[2]หน้าผ้า!DS199</f>
        <v>-2</v>
      </c>
      <c r="AN190" s="3">
        <f>[2]หน้าผ้า!DT199</f>
        <v>0</v>
      </c>
      <c r="AO190" s="3">
        <f>[2]หน้าผ้า!DU199</f>
        <v>-1</v>
      </c>
      <c r="AP190" s="3">
        <f>[2]หน้าผ้า!DP199</f>
        <v>-5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0</v>
      </c>
      <c r="J191" s="9">
        <f>[2]หน้าผ้า!M200</f>
        <v>0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 t="str">
        <f>[2]หน้าผ้า!AA200</f>
        <v xml:space="preserve"> </v>
      </c>
      <c r="V191" s="10" t="str">
        <f>[2]หน้าผ้า!AJ200</f>
        <v>.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-5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>
        <f>[2]หน้าผ้า!M201</f>
        <v>0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 t="str">
        <f>[2]หน้าผ้า!DL201</f>
        <v>P5.2</v>
      </c>
      <c r="AI192" s="1">
        <f>[2]หน้าผ้า!DM201</f>
        <v>4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-11</v>
      </c>
      <c r="AM192" s="3">
        <f>[2]หน้าผ้า!DS201</f>
        <v>-4</v>
      </c>
      <c r="AN192" s="3">
        <f>[2]หน้าผ้า!DT201</f>
        <v>-3</v>
      </c>
      <c r="AO192" s="3">
        <f>[2]หน้าผ้า!DU201</f>
        <v>-3</v>
      </c>
      <c r="AP192" s="3">
        <f>[2]หน้าผ้า!DP201</f>
        <v>-15</v>
      </c>
      <c r="AQ192" s="3">
        <f>[2]หน้าผ้า!DW201</f>
        <v>-2</v>
      </c>
      <c r="AR192" s="3">
        <f>[2]หน้าผ้า!DX201</f>
        <v>-1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>
        <f>[2]หน้าผ้า!M202</f>
        <v>0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P5.3</v>
      </c>
      <c r="AI193" s="1">
        <f>[2]หน้าผ้า!DM202</f>
        <v>6</v>
      </c>
      <c r="AJ193" s="3">
        <f>[2]หน้าผ้า!DN202</f>
        <v>0</v>
      </c>
      <c r="AK193" s="3">
        <f>[2]หน้าผ้า!DQ202</f>
        <v>-6</v>
      </c>
      <c r="AL193" s="3">
        <f>[2]หน้าผ้า!DR202</f>
        <v>-12</v>
      </c>
      <c r="AM193" s="3">
        <f>[2]หน้าผ้า!DS202</f>
        <v>-5</v>
      </c>
      <c r="AN193" s="3">
        <f>[2]หน้าผ้า!DT202</f>
        <v>-4</v>
      </c>
      <c r="AO193" s="3">
        <f>[2]หน้าผ้า!DU202</f>
        <v>-3</v>
      </c>
      <c r="AP193" s="3">
        <f>[2]หน้าผ้า!DP202</f>
        <v>-15</v>
      </c>
      <c r="AQ193" s="3">
        <f>[2]หน้าผ้า!DW202</f>
        <v>-2</v>
      </c>
      <c r="AR193" s="3">
        <f>[2]หน้าผ้า!DX202</f>
        <v>-1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0</v>
      </c>
      <c r="F194" s="9">
        <f>[2]หน้าผ้า!H203</f>
        <v>0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0</v>
      </c>
      <c r="J194" s="9">
        <f>[2]หน้าผ้า!M203</f>
        <v>0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>
        <f>[2]หน้าผ้า!DL203</f>
        <v>0</v>
      </c>
      <c r="AI194" s="1">
        <f>[2]หน้าผ้า!DM203</f>
        <v>0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0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>
        <f>[2]หน้าผ้า!M204</f>
        <v>0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>
        <f>[2]หน้าผ้า!DL204</f>
        <v>0</v>
      </c>
      <c r="AI195" s="1">
        <f>[2]หน้าผ้า!DM204</f>
        <v>0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>
        <f>[2]หน้าผ้า!M205</f>
        <v>0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>
        <f>[2]หน้าผ้า!DL205</f>
        <v>0</v>
      </c>
      <c r="AI196" s="1">
        <f>[2]หน้าผ้า!DM205</f>
        <v>0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>
        <f>[2]หน้าผ้า!M206</f>
        <v>0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>
        <f>[2]หน้าผ้า!DL206</f>
        <v>0</v>
      </c>
      <c r="AI197" s="1">
        <f>[2]หน้าผ้า!DM206</f>
        <v>0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>
        <f>[2]หน้าผ้า!DL207</f>
        <v>0</v>
      </c>
      <c r="AI198" s="1">
        <f>[2]หน้าผ้า!DM207</f>
        <v>0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>
        <f>[2]หน้าผ้า!DL208</f>
        <v>0</v>
      </c>
      <c r="AI199" s="1">
        <f>[2]หน้าผ้า!DM208</f>
        <v>0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>
        <f>[2]หน้าผ้า!DM209</f>
        <v>0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>
        <f>[2]หน้าผ้า!DL210</f>
        <v>0</v>
      </c>
      <c r="AI201" s="1">
        <f>[2]หน้าผ้า!DM210</f>
        <v>0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>
        <f>[2]หน้าผ้า!DL211</f>
        <v>0</v>
      </c>
      <c r="AI202" s="1">
        <f>[2]หน้าผ้า!DM211</f>
        <v>0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 t="str">
        <f>[2]หน้าผ้า!H219</f>
        <v xml:space="preserve"> 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34" sqref="E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59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59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59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59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1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100</v>
      </c>
      <c r="B18" s="59">
        <v>96600</v>
      </c>
      <c r="C18" s="59">
        <v>44967.3</v>
      </c>
      <c r="D18" s="59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259</v>
      </c>
      <c r="B19" s="59">
        <v>100000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1" ht="16.5" customHeight="1" x14ac:dyDescent="0.2">
      <c r="A21" t="s">
        <v>83</v>
      </c>
      <c r="B21" s="59">
        <v>20000</v>
      </c>
      <c r="C21" s="59">
        <v>0</v>
      </c>
      <c r="D21" s="59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1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1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26FB-D1D8-4CA6-97DA-8635BAC6534C}">
  <sheetPr>
    <tabColor rgb="FF92D050"/>
  </sheetPr>
  <dimension ref="A3:P40"/>
  <sheetViews>
    <sheetView workbookViewId="0">
      <selection activeCell="I38" sqref="I38"/>
    </sheetView>
  </sheetViews>
  <sheetFormatPr defaultRowHeight="12.75" x14ac:dyDescent="0.2"/>
  <cols>
    <col min="1" max="1" width="19.5" style="74" bestFit="1" customWidth="1"/>
    <col min="2" max="2" width="10.625" style="74" bestFit="1" customWidth="1"/>
    <col min="3" max="3" width="10.25" style="74" bestFit="1" customWidth="1"/>
    <col min="4" max="4" width="5.625" style="74" bestFit="1" customWidth="1"/>
    <col min="5" max="5" width="7.875" style="74" bestFit="1" customWidth="1"/>
    <col min="6" max="7" width="7" style="74" bestFit="1" customWidth="1"/>
    <col min="8" max="8" width="6.5" style="74" bestFit="1" customWidth="1"/>
    <col min="9" max="15" width="7" style="74" bestFit="1" customWidth="1"/>
    <col min="16" max="16" width="10.25" style="74" bestFit="1" customWidth="1"/>
    <col min="17" max="17" width="9.625" style="74" bestFit="1" customWidth="1"/>
    <col min="18" max="18" width="13.375" style="74" bestFit="1" customWidth="1"/>
    <col min="19" max="19" width="9.625" style="74" bestFit="1" customWidth="1"/>
    <col min="20" max="20" width="13.375" style="74" bestFit="1" customWidth="1"/>
    <col min="21" max="16384" width="9" style="74"/>
  </cols>
  <sheetData>
    <row r="3" spans="1:16" x14ac:dyDescent="0.2">
      <c r="A3" s="73" t="s">
        <v>147</v>
      </c>
      <c r="B3" s="73" t="s">
        <v>450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6" customFormat="1" x14ac:dyDescent="0.2">
      <c r="A4" s="75" t="s">
        <v>449</v>
      </c>
      <c r="B4" s="75">
        <v>45842</v>
      </c>
      <c r="C4" s="75">
        <v>45843</v>
      </c>
      <c r="D4" s="75">
        <v>45844</v>
      </c>
      <c r="E4" s="75">
        <v>45847</v>
      </c>
      <c r="F4" s="75">
        <v>45850</v>
      </c>
      <c r="G4" s="75">
        <v>45854</v>
      </c>
      <c r="H4" s="75">
        <v>45855</v>
      </c>
      <c r="I4" s="75">
        <v>45856</v>
      </c>
      <c r="J4" s="75">
        <v>45857</v>
      </c>
      <c r="K4" s="75">
        <v>45858</v>
      </c>
      <c r="L4" s="75">
        <v>45863</v>
      </c>
      <c r="M4" s="75">
        <v>45870</v>
      </c>
      <c r="N4" s="75">
        <v>45878</v>
      </c>
      <c r="O4" s="75">
        <v>45892</v>
      </c>
      <c r="P4" s="75" t="s">
        <v>96</v>
      </c>
    </row>
    <row r="5" spans="1:16" x14ac:dyDescent="0.2">
      <c r="A5" s="73" t="s">
        <v>310</v>
      </c>
      <c r="B5" s="77"/>
      <c r="C5" s="77">
        <v>0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>
        <f>SUM(B5:O5)</f>
        <v>0</v>
      </c>
    </row>
    <row r="6" spans="1:16" x14ac:dyDescent="0.2">
      <c r="A6" s="73" t="s">
        <v>176</v>
      </c>
      <c r="B6" s="77">
        <v>2993.5740399999995</v>
      </c>
      <c r="C6" s="77"/>
      <c r="D6" s="77"/>
      <c r="E6" s="77"/>
      <c r="F6" s="77">
        <v>17325.84546</v>
      </c>
      <c r="G6" s="77"/>
      <c r="H6" s="77"/>
      <c r="I6" s="77"/>
      <c r="J6" s="77"/>
      <c r="K6" s="77"/>
      <c r="L6" s="77"/>
      <c r="M6" s="77"/>
      <c r="N6" s="77"/>
      <c r="O6" s="77"/>
      <c r="P6" s="77">
        <f t="shared" ref="P6:P17" si="0">SUM(B6:O6)</f>
        <v>20319.4195</v>
      </c>
    </row>
    <row r="7" spans="1:16" x14ac:dyDescent="0.2">
      <c r="A7" s="73" t="s">
        <v>144</v>
      </c>
      <c r="B7" s="77">
        <v>10756.900000000001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>
        <f t="shared" si="0"/>
        <v>10756.900000000001</v>
      </c>
    </row>
    <row r="8" spans="1:16" x14ac:dyDescent="0.2">
      <c r="A8" s="73" t="s">
        <v>81</v>
      </c>
      <c r="B8" s="77">
        <v>0</v>
      </c>
      <c r="C8" s="77">
        <v>0</v>
      </c>
      <c r="D8" s="77">
        <v>0</v>
      </c>
      <c r="E8" s="77">
        <v>59540.248267499999</v>
      </c>
      <c r="F8" s="77"/>
      <c r="G8" s="77">
        <v>86055.200000000012</v>
      </c>
      <c r="H8" s="77"/>
      <c r="I8" s="77"/>
      <c r="J8" s="77">
        <v>48406.05</v>
      </c>
      <c r="K8" s="77"/>
      <c r="L8" s="77"/>
      <c r="M8" s="77">
        <v>13983.970000000001</v>
      </c>
      <c r="N8" s="77"/>
      <c r="O8" s="77">
        <v>10756.900000000001</v>
      </c>
      <c r="P8" s="77">
        <f t="shared" si="0"/>
        <v>218742.36826750002</v>
      </c>
    </row>
    <row r="9" spans="1:16" x14ac:dyDescent="0.2">
      <c r="A9" s="73" t="s">
        <v>80</v>
      </c>
      <c r="B9" s="77">
        <v>7593.8000000000029</v>
      </c>
      <c r="C9" s="77"/>
      <c r="D9" s="77"/>
      <c r="E9" s="77">
        <v>16135.350000000002</v>
      </c>
      <c r="F9" s="77"/>
      <c r="G9" s="77"/>
      <c r="H9" s="77"/>
      <c r="I9" s="77">
        <v>10756.900000000001</v>
      </c>
      <c r="J9" s="77"/>
      <c r="K9" s="77"/>
      <c r="L9" s="77">
        <v>0</v>
      </c>
      <c r="M9" s="77"/>
      <c r="N9" s="77"/>
      <c r="O9" s="77"/>
      <c r="P9" s="77">
        <f t="shared" si="0"/>
        <v>34486.050000000003</v>
      </c>
    </row>
    <row r="10" spans="1:16" x14ac:dyDescent="0.2">
      <c r="A10" s="73" t="s">
        <v>123</v>
      </c>
      <c r="B10" s="77">
        <v>10756.900000000001</v>
      </c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>
        <v>0</v>
      </c>
      <c r="M10" s="77"/>
      <c r="N10" s="77"/>
      <c r="O10" s="77"/>
      <c r="P10" s="77">
        <f t="shared" si="0"/>
        <v>10756.900000000001</v>
      </c>
    </row>
    <row r="11" spans="1:16" x14ac:dyDescent="0.2">
      <c r="A11" s="73" t="s">
        <v>134</v>
      </c>
      <c r="B11" s="77"/>
      <c r="C11" s="77"/>
      <c r="D11" s="77"/>
      <c r="E11" s="77">
        <v>23696.75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>
        <f t="shared" si="0"/>
        <v>23696.75</v>
      </c>
    </row>
    <row r="12" spans="1:16" x14ac:dyDescent="0.2">
      <c r="A12" s="73" t="s">
        <v>443</v>
      </c>
      <c r="B12" s="77">
        <v>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>
        <f t="shared" si="0"/>
        <v>0</v>
      </c>
    </row>
    <row r="13" spans="1:16" x14ac:dyDescent="0.2">
      <c r="A13" s="73" t="s">
        <v>100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>
        <v>13443.499940000009</v>
      </c>
      <c r="M13" s="77"/>
      <c r="N13" s="77"/>
      <c r="O13" s="77"/>
      <c r="P13" s="77">
        <f t="shared" si="0"/>
        <v>13443.499940000009</v>
      </c>
    </row>
    <row r="14" spans="1:16" x14ac:dyDescent="0.2">
      <c r="A14" s="73" t="s">
        <v>259</v>
      </c>
      <c r="B14" s="77"/>
      <c r="C14" s="77"/>
      <c r="D14" s="77"/>
      <c r="E14" s="77">
        <v>0</v>
      </c>
      <c r="F14" s="77"/>
      <c r="G14" s="77"/>
      <c r="H14" s="77">
        <v>0</v>
      </c>
      <c r="I14" s="77"/>
      <c r="J14" s="77"/>
      <c r="K14" s="77"/>
      <c r="L14" s="77"/>
      <c r="M14" s="77"/>
      <c r="N14" s="77"/>
      <c r="O14" s="77"/>
      <c r="P14" s="77">
        <f t="shared" si="0"/>
        <v>0</v>
      </c>
    </row>
    <row r="15" spans="1:16" x14ac:dyDescent="0.2">
      <c r="A15" s="73" t="s">
        <v>232</v>
      </c>
      <c r="B15" s="77"/>
      <c r="C15" s="77"/>
      <c r="D15" s="77"/>
      <c r="E15" s="77">
        <v>8808.3500000000022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>
        <f t="shared" si="0"/>
        <v>8808.3500000000022</v>
      </c>
    </row>
    <row r="16" spans="1:16" x14ac:dyDescent="0.2">
      <c r="A16" s="73" t="s">
        <v>154</v>
      </c>
      <c r="B16" s="77">
        <v>8315.7000000000007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>
        <f t="shared" si="0"/>
        <v>8315.7000000000007</v>
      </c>
    </row>
    <row r="17" spans="1:16" x14ac:dyDescent="0.2">
      <c r="A17" s="73" t="s">
        <v>88</v>
      </c>
      <c r="B17" s="77">
        <v>14861.949999999997</v>
      </c>
      <c r="C17" s="77"/>
      <c r="D17" s="77"/>
      <c r="E17" s="77">
        <v>37299.899999999994</v>
      </c>
      <c r="F17" s="77"/>
      <c r="G17" s="77"/>
      <c r="H17" s="77"/>
      <c r="I17" s="77"/>
      <c r="J17" s="77"/>
      <c r="K17" s="77">
        <v>37299.899999999994</v>
      </c>
      <c r="L17" s="77"/>
      <c r="M17" s="77"/>
      <c r="N17" s="77">
        <v>24866.6</v>
      </c>
      <c r="O17" s="77"/>
      <c r="P17" s="77">
        <f t="shared" si="0"/>
        <v>114328.34999999998</v>
      </c>
    </row>
    <row r="18" spans="1:16" x14ac:dyDescent="0.2">
      <c r="A18" s="73" t="s">
        <v>96</v>
      </c>
      <c r="B18" s="77">
        <f>SUM(B5:B17)</f>
        <v>55278.824040000007</v>
      </c>
      <c r="C18" s="77">
        <f t="shared" ref="C18:P18" si="1">SUM(C5:C17)</f>
        <v>0</v>
      </c>
      <c r="D18" s="77">
        <f t="shared" si="1"/>
        <v>0</v>
      </c>
      <c r="E18" s="77">
        <f t="shared" si="1"/>
        <v>145480.5982675</v>
      </c>
      <c r="F18" s="77">
        <f t="shared" si="1"/>
        <v>17325.84546</v>
      </c>
      <c r="G18" s="77">
        <f t="shared" si="1"/>
        <v>86055.200000000012</v>
      </c>
      <c r="H18" s="77">
        <f t="shared" si="1"/>
        <v>0</v>
      </c>
      <c r="I18" s="77">
        <f t="shared" si="1"/>
        <v>10756.900000000001</v>
      </c>
      <c r="J18" s="77">
        <f t="shared" si="1"/>
        <v>48406.05</v>
      </c>
      <c r="K18" s="77">
        <f t="shared" si="1"/>
        <v>37299.899999999994</v>
      </c>
      <c r="L18" s="77">
        <f t="shared" si="1"/>
        <v>13443.499940000009</v>
      </c>
      <c r="M18" s="77">
        <f t="shared" si="1"/>
        <v>13983.970000000001</v>
      </c>
      <c r="N18" s="77">
        <f t="shared" si="1"/>
        <v>24866.6</v>
      </c>
      <c r="O18" s="77">
        <f t="shared" si="1"/>
        <v>10756.900000000001</v>
      </c>
      <c r="P18" s="77">
        <f t="shared" si="1"/>
        <v>463654.28770750004</v>
      </c>
    </row>
    <row r="23" spans="1:16" x14ac:dyDescent="0.2">
      <c r="A23" s="75" t="s">
        <v>449</v>
      </c>
      <c r="B23" s="75">
        <v>45863</v>
      </c>
    </row>
    <row r="24" spans="1:16" x14ac:dyDescent="0.2">
      <c r="A24" s="73" t="s">
        <v>137</v>
      </c>
      <c r="B24" s="77">
        <v>6900.65</v>
      </c>
    </row>
    <row r="25" spans="1:16" x14ac:dyDescent="0.2">
      <c r="A25" s="73" t="s">
        <v>180</v>
      </c>
      <c r="B25" s="77">
        <v>470322.92</v>
      </c>
    </row>
    <row r="26" spans="1:16" x14ac:dyDescent="0.2">
      <c r="A26" s="73" t="s">
        <v>176</v>
      </c>
      <c r="B26" s="77">
        <v>103378.00000000001</v>
      </c>
    </row>
    <row r="27" spans="1:16" x14ac:dyDescent="0.2">
      <c r="A27" s="73" t="s">
        <v>235</v>
      </c>
      <c r="B27" s="77">
        <v>0</v>
      </c>
    </row>
    <row r="28" spans="1:16" x14ac:dyDescent="0.2">
      <c r="A28" s="73" t="s">
        <v>144</v>
      </c>
      <c r="B28" s="77">
        <v>17602.2</v>
      </c>
    </row>
    <row r="29" spans="1:16" x14ac:dyDescent="0.2">
      <c r="A29" s="73" t="s">
        <v>81</v>
      </c>
      <c r="B29" s="77">
        <v>57626.250000000007</v>
      </c>
    </row>
    <row r="30" spans="1:16" x14ac:dyDescent="0.2">
      <c r="A30" s="73" t="s">
        <v>80</v>
      </c>
      <c r="B30" s="77">
        <v>258724.40000000002</v>
      </c>
    </row>
    <row r="31" spans="1:16" x14ac:dyDescent="0.2">
      <c r="A31" s="73" t="s">
        <v>357</v>
      </c>
      <c r="B31" s="77">
        <v>113157.00000000001</v>
      </c>
    </row>
    <row r="32" spans="1:16" x14ac:dyDescent="0.2">
      <c r="A32" s="73" t="s">
        <v>123</v>
      </c>
      <c r="B32" s="77">
        <v>334220.79999999999</v>
      </c>
    </row>
    <row r="33" spans="1:2" x14ac:dyDescent="0.2">
      <c r="A33" s="73" t="s">
        <v>134</v>
      </c>
      <c r="B33" s="77">
        <v>16554.45</v>
      </c>
    </row>
    <row r="34" spans="1:2" x14ac:dyDescent="0.2">
      <c r="A34" s="73" t="s">
        <v>83</v>
      </c>
      <c r="B34" s="77">
        <v>39674.800000000003</v>
      </c>
    </row>
    <row r="35" spans="1:2" x14ac:dyDescent="0.2">
      <c r="A35" s="73" t="s">
        <v>84</v>
      </c>
      <c r="B35" s="77">
        <v>9499.6</v>
      </c>
    </row>
    <row r="36" spans="1:2" x14ac:dyDescent="0.2">
      <c r="A36" s="73" t="s">
        <v>212</v>
      </c>
      <c r="B36" s="77">
        <v>0</v>
      </c>
    </row>
    <row r="37" spans="1:2" x14ac:dyDescent="0.2">
      <c r="A37" s="73" t="s">
        <v>88</v>
      </c>
      <c r="B37" s="77">
        <v>24866.6</v>
      </c>
    </row>
    <row r="38" spans="1:2" x14ac:dyDescent="0.2">
      <c r="A38" s="73" t="s">
        <v>131</v>
      </c>
      <c r="B38" s="77">
        <v>57872.5</v>
      </c>
    </row>
    <row r="39" spans="1:2" x14ac:dyDescent="0.2">
      <c r="A39" s="73" t="s">
        <v>185</v>
      </c>
      <c r="B39" s="77">
        <v>9918.7000000000007</v>
      </c>
    </row>
    <row r="40" spans="1:2" x14ac:dyDescent="0.2">
      <c r="A40" s="73" t="s">
        <v>96</v>
      </c>
      <c r="B40" s="77">
        <f>SUM(B24:B39)</f>
        <v>1520318.87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D24-2241-4E75-8ED4-64E661778F2D}">
  <sheetPr>
    <tabColor rgb="FFFFFF00"/>
  </sheetPr>
  <dimension ref="A1:BD149"/>
  <sheetViews>
    <sheetView tabSelected="1" zoomScale="80" zoomScaleNormal="80" workbookViewId="0">
      <selection activeCell="D8" sqref="D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45846</v>
      </c>
      <c r="E3" s="81" t="s">
        <v>52</v>
      </c>
      <c r="F3" s="81"/>
      <c r="G3" s="82">
        <v>9.4700000000000006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471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45852</v>
      </c>
      <c r="U15" s="11">
        <v>50000</v>
      </c>
      <c r="V15" s="10">
        <v>16500</v>
      </c>
      <c r="W15" s="10">
        <v>33500</v>
      </c>
      <c r="X15" s="10">
        <v>48362</v>
      </c>
      <c r="Y15" s="10">
        <v>1719.9</v>
      </c>
      <c r="Z15" s="9" t="s">
        <v>176</v>
      </c>
      <c r="AA15" s="8">
        <v>1513.7011890000001</v>
      </c>
      <c r="AB15" s="8">
        <v>1513.7011890000001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45852</v>
      </c>
      <c r="AK15" s="3">
        <v>0</v>
      </c>
      <c r="AL15" s="3">
        <v>45843</v>
      </c>
      <c r="AM15" s="3">
        <v>45850</v>
      </c>
      <c r="AN15" s="3">
        <v>45851</v>
      </c>
      <c r="AO15" s="3">
        <v>45851</v>
      </c>
      <c r="AP15" s="3">
        <v>45847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45852</v>
      </c>
      <c r="U16" s="11">
        <v>20000</v>
      </c>
      <c r="V16" s="10">
        <v>20071</v>
      </c>
      <c r="W16" s="10">
        <v>0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45852</v>
      </c>
      <c r="AK16" s="3">
        <v>0</v>
      </c>
      <c r="AL16" s="3">
        <v>45843</v>
      </c>
      <c r="AM16" s="3">
        <v>45850</v>
      </c>
      <c r="AN16" s="3">
        <v>45851</v>
      </c>
      <c r="AO16" s="3">
        <v>45851</v>
      </c>
      <c r="AP16" s="3">
        <v>45847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38050</v>
      </c>
      <c r="AC17" s="8">
        <v>11403.800000000003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828.16929777777807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104891.701189</v>
      </c>
      <c r="AB20" s="8">
        <v>39563.701188999999</v>
      </c>
      <c r="AC20" s="8">
        <v>65328.000000000007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452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453</v>
      </c>
      <c r="T21" s="12">
        <v>45853</v>
      </c>
      <c r="U21" s="11">
        <v>20000</v>
      </c>
      <c r="V21" s="10">
        <v>20000</v>
      </c>
      <c r="W21" s="10">
        <v>0</v>
      </c>
      <c r="X21" s="10">
        <v>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454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453</v>
      </c>
      <c r="T22" s="12">
        <v>45853</v>
      </c>
      <c r="U22" s="11">
        <v>20000</v>
      </c>
      <c r="V22" s="10">
        <v>10000</v>
      </c>
      <c r="W22" s="10">
        <v>10000</v>
      </c>
      <c r="X22" s="10">
        <v>0</v>
      </c>
      <c r="Y22" s="10">
        <v>0</v>
      </c>
      <c r="Z22" s="9" t="s">
        <v>180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458</v>
      </c>
      <c r="C23" s="9" t="s">
        <v>73</v>
      </c>
      <c r="D23" s="13" t="s">
        <v>459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460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458</v>
      </c>
      <c r="C24" s="9" t="s">
        <v>73</v>
      </c>
      <c r="D24" s="13" t="s">
        <v>461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460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465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465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466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54369</v>
      </c>
      <c r="AC31" s="8">
        <v>481017.28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36232.359384177777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581626.98</v>
      </c>
      <c r="AB32" s="8">
        <v>100609.7</v>
      </c>
      <c r="AC32" s="8">
        <v>481017.28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5242</v>
      </c>
      <c r="AC37" s="8">
        <v>12360.2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758.77894444444439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10560</v>
      </c>
      <c r="Y38" s="10">
        <v>0</v>
      </c>
      <c r="Z38" s="9" t="s">
        <v>144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17602.2</v>
      </c>
      <c r="AB39" s="8">
        <v>5242</v>
      </c>
      <c r="AC39" s="8">
        <v>12360.2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5250</v>
      </c>
      <c r="Y44" s="10">
        <v>4987.5</v>
      </c>
      <c r="Z44" s="9" t="s">
        <v>80</v>
      </c>
      <c r="AA44" s="8">
        <v>5365.0038750000003</v>
      </c>
      <c r="AB44" s="8">
        <v>5365.0038750000003</v>
      </c>
      <c r="AC44" s="8">
        <v>0</v>
      </c>
      <c r="AD44" s="8">
        <v>5365.0038750000003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5378.4500000000007</v>
      </c>
      <c r="AE45" s="8">
        <v>0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34956</v>
      </c>
      <c r="AC48" s="8">
        <v>69819.000000000015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5275.213333333334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305775.88387500006</v>
      </c>
      <c r="AB76" s="8">
        <v>56456.353875000001</v>
      </c>
      <c r="AC76" s="8">
        <v>249319.53</v>
      </c>
      <c r="AD76" s="8">
        <v>21500.353875000001</v>
      </c>
      <c r="AE76" s="8">
        <v>284275.53000000009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32082</v>
      </c>
      <c r="AC77" s="8">
        <v>81075.000000000015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6386.9083333333356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32082</v>
      </c>
      <c r="AC78" s="8">
        <v>81075.000000000015</v>
      </c>
      <c r="AD78" s="8">
        <v>0</v>
      </c>
      <c r="AE78" s="8">
        <v>0</v>
      </c>
      <c r="AF78" s="8" t="s">
        <v>58</v>
      </c>
      <c r="AG78" s="1" t="s">
        <v>119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45847</v>
      </c>
      <c r="U79" s="11">
        <v>19280</v>
      </c>
      <c r="V79" s="10">
        <v>0</v>
      </c>
      <c r="W79" s="10">
        <v>19280</v>
      </c>
      <c r="X79" s="10">
        <v>41600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 t="s">
        <v>362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361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45847</v>
      </c>
      <c r="U80" s="11">
        <v>6827</v>
      </c>
      <c r="V80" s="10">
        <v>0</v>
      </c>
      <c r="W80" s="10">
        <v>6827</v>
      </c>
      <c r="X80" s="10">
        <v>0</v>
      </c>
      <c r="Y80" s="10">
        <v>7168.35</v>
      </c>
      <c r="Z80" s="9" t="s">
        <v>81</v>
      </c>
      <c r="AA80" s="8">
        <v>7152.9892500000005</v>
      </c>
      <c r="AB80" s="8">
        <v>7152.9892500000005</v>
      </c>
      <c r="AC80" s="8">
        <v>0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45847</v>
      </c>
      <c r="AK80" s="3">
        <v>0</v>
      </c>
      <c r="AL80" s="3">
        <v>45838</v>
      </c>
      <c r="AM80" s="3">
        <v>45845</v>
      </c>
      <c r="AN80" s="3">
        <v>45846</v>
      </c>
      <c r="AO80" s="3">
        <v>45846</v>
      </c>
      <c r="AP80" s="3">
        <v>45842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363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345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45852</v>
      </c>
      <c r="U81" s="11">
        <v>80000</v>
      </c>
      <c r="V81" s="10">
        <v>0</v>
      </c>
      <c r="W81" s="10">
        <v>80000</v>
      </c>
      <c r="X81" s="10">
        <v>61250</v>
      </c>
      <c r="Y81" s="10">
        <v>19687.5</v>
      </c>
      <c r="Z81" s="9" t="s">
        <v>81</v>
      </c>
      <c r="AA81" s="8">
        <v>21177.646875000002</v>
      </c>
      <c r="AB81" s="8">
        <v>21177.646875000002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45852</v>
      </c>
      <c r="AK81" s="3">
        <v>0</v>
      </c>
      <c r="AL81" s="3">
        <v>45843</v>
      </c>
      <c r="AM81" s="3">
        <v>45850</v>
      </c>
      <c r="AN81" s="3">
        <v>45851</v>
      </c>
      <c r="AO81" s="3">
        <v>45851</v>
      </c>
      <c r="AP81" s="3">
        <v>45847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472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45859</v>
      </c>
      <c r="U82" s="11">
        <v>50000</v>
      </c>
      <c r="V82" s="10">
        <v>0</v>
      </c>
      <c r="W82" s="10">
        <v>50000</v>
      </c>
      <c r="X82" s="10">
        <v>0</v>
      </c>
      <c r="Y82" s="10">
        <v>52500</v>
      </c>
      <c r="Z82" s="9" t="s">
        <v>81</v>
      </c>
      <c r="AA82" s="8">
        <v>53784.500000000007</v>
      </c>
      <c r="AB82" s="8">
        <v>49717</v>
      </c>
      <c r="AC82" s="8">
        <v>4067.5000000000073</v>
      </c>
      <c r="AD82" s="8">
        <v>0</v>
      </c>
      <c r="AE82" s="8">
        <v>0</v>
      </c>
      <c r="AF82" s="8" t="s">
        <v>335</v>
      </c>
      <c r="AG82" s="1" t="s">
        <v>119</v>
      </c>
      <c r="AH82" s="1" t="s">
        <v>74</v>
      </c>
      <c r="AI82" s="1">
        <v>2</v>
      </c>
      <c r="AJ82" s="3">
        <v>45859</v>
      </c>
      <c r="AK82" s="3">
        <v>0</v>
      </c>
      <c r="AL82" s="3">
        <v>45850</v>
      </c>
      <c r="AM82" s="3">
        <v>45857</v>
      </c>
      <c r="AN82" s="3">
        <v>45858</v>
      </c>
      <c r="AO82" s="3">
        <v>45858</v>
      </c>
      <c r="AP82" s="3">
        <v>45854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310.93777777777831</v>
      </c>
    </row>
    <row r="83" spans="1:56" ht="27.75" customHeight="1" x14ac:dyDescent="0.45">
      <c r="A83" s="3">
        <v>45818</v>
      </c>
      <c r="B83" s="14" t="s">
        <v>341</v>
      </c>
      <c r="C83" s="9" t="s">
        <v>85</v>
      </c>
      <c r="D83" s="13" t="s">
        <v>336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81</v>
      </c>
      <c r="AA83" s="8">
        <v>32270.700000000004</v>
      </c>
      <c r="AB83" s="8">
        <v>0</v>
      </c>
      <c r="AC83" s="8">
        <v>32270.700000000004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2466.9157333333337</v>
      </c>
    </row>
    <row r="84" spans="1:56" ht="27.75" customHeight="1" x14ac:dyDescent="0.45">
      <c r="A84" s="3">
        <v>45831</v>
      </c>
      <c r="B84" s="14" t="s">
        <v>395</v>
      </c>
      <c r="C84" s="9" t="s">
        <v>85</v>
      </c>
      <c r="D84" s="13" t="s">
        <v>381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45862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45862</v>
      </c>
      <c r="AK84" s="3">
        <v>0</v>
      </c>
      <c r="AL84" s="3">
        <v>45853</v>
      </c>
      <c r="AM84" s="3">
        <v>45860</v>
      </c>
      <c r="AN84" s="3">
        <v>45861</v>
      </c>
      <c r="AO84" s="3">
        <v>45861</v>
      </c>
      <c r="AP84" s="3">
        <v>45857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261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0</v>
      </c>
      <c r="AF85" s="8" t="s">
        <v>291</v>
      </c>
      <c r="AG85" s="1" t="s">
        <v>61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3289.220977777778</v>
      </c>
    </row>
    <row r="86" spans="1:56" ht="27.75" customHeight="1" x14ac:dyDescent="0.45">
      <c r="A86" s="3">
        <v>45845</v>
      </c>
      <c r="B86" s="14" t="s">
        <v>473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45867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81</v>
      </c>
      <c r="AA86" s="8">
        <v>31432.500000000004</v>
      </c>
      <c r="AB86" s="8">
        <v>0</v>
      </c>
      <c r="AC86" s="8">
        <v>31432.500000000004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45867</v>
      </c>
      <c r="AK86" s="3">
        <v>0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2402.84</v>
      </c>
    </row>
    <row r="87" spans="1:56" ht="27.75" customHeight="1" x14ac:dyDescent="0.45">
      <c r="A87" s="3">
        <v>45842</v>
      </c>
      <c r="B87" s="14" t="s">
        <v>467</v>
      </c>
      <c r="C87" s="9" t="s">
        <v>73</v>
      </c>
      <c r="D87" s="13" t="s">
        <v>468</v>
      </c>
      <c r="E87" s="9">
        <v>20</v>
      </c>
      <c r="F87" s="9">
        <v>32</v>
      </c>
      <c r="G87" s="9" t="s">
        <v>60</v>
      </c>
      <c r="H87" s="9">
        <v>0</v>
      </c>
      <c r="I87" s="9">
        <v>72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148</v>
      </c>
      <c r="T87" s="12">
        <v>45867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119</v>
      </c>
      <c r="AH87" s="1" t="s">
        <v>74</v>
      </c>
      <c r="AI87" s="1">
        <v>2</v>
      </c>
      <c r="AJ87" s="3">
        <v>45867</v>
      </c>
      <c r="AK87" s="3">
        <v>0</v>
      </c>
      <c r="AL87" s="3">
        <v>45858</v>
      </c>
      <c r="AM87" s="3">
        <v>45865</v>
      </c>
      <c r="AN87" s="3">
        <v>45866</v>
      </c>
      <c r="AO87" s="3">
        <v>45866</v>
      </c>
      <c r="AP87" s="3">
        <v>45862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357.75617777777779</v>
      </c>
    </row>
    <row r="88" spans="1:56" ht="27.75" customHeight="1" x14ac:dyDescent="0.45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>
        <v>0</v>
      </c>
      <c r="I88" s="9">
        <v>78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55000</v>
      </c>
      <c r="V88" s="10">
        <v>0</v>
      </c>
      <c r="W88" s="10">
        <v>55000</v>
      </c>
      <c r="X88" s="10">
        <v>0</v>
      </c>
      <c r="Y88" s="10">
        <v>57750</v>
      </c>
      <c r="Z88" s="9" t="s">
        <v>81</v>
      </c>
      <c r="AA88" s="8">
        <v>57626.250000000007</v>
      </c>
      <c r="AB88" s="8">
        <v>0</v>
      </c>
      <c r="AC88" s="8">
        <v>57626.250000000007</v>
      </c>
      <c r="AD88" s="8">
        <v>0</v>
      </c>
      <c r="AE88" s="8">
        <v>0</v>
      </c>
      <c r="AF88" s="8" t="s">
        <v>228</v>
      </c>
      <c r="AG88" s="1" t="s">
        <v>119</v>
      </c>
      <c r="AH88" s="1" t="s">
        <v>74</v>
      </c>
      <c r="AI88" s="1">
        <v>2</v>
      </c>
      <c r="AJ88" s="3">
        <v>45868</v>
      </c>
      <c r="AK88" s="3">
        <v>0</v>
      </c>
      <c r="AL88" s="3">
        <v>45859</v>
      </c>
      <c r="AM88" s="3">
        <v>45866</v>
      </c>
      <c r="AN88" s="3">
        <v>45867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4405.2066666666669</v>
      </c>
    </row>
    <row r="89" spans="1:56" ht="27.75" customHeight="1" x14ac:dyDescent="0.45">
      <c r="A89" s="3">
        <v>45840</v>
      </c>
      <c r="B89" s="14" t="s">
        <v>438</v>
      </c>
      <c r="C89" s="9" t="s">
        <v>85</v>
      </c>
      <c r="D89" s="13" t="s">
        <v>439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45875</v>
      </c>
      <c r="U89" s="11">
        <v>13000</v>
      </c>
      <c r="V89" s="10">
        <v>0</v>
      </c>
      <c r="W89" s="10">
        <v>13000</v>
      </c>
      <c r="X89" s="10">
        <v>0</v>
      </c>
      <c r="Y89" s="10">
        <v>13650</v>
      </c>
      <c r="Z89" s="9" t="s">
        <v>81</v>
      </c>
      <c r="AA89" s="8">
        <v>13983.970000000001</v>
      </c>
      <c r="AB89" s="8">
        <v>0</v>
      </c>
      <c r="AC89" s="8">
        <v>13983.970000000001</v>
      </c>
      <c r="AD89" s="8">
        <v>0</v>
      </c>
      <c r="AE89" s="8">
        <v>0</v>
      </c>
      <c r="AF89" s="8" t="s">
        <v>440</v>
      </c>
      <c r="AG89" s="1" t="s">
        <v>118</v>
      </c>
      <c r="AH89" s="1" t="s">
        <v>74</v>
      </c>
      <c r="AI89" s="1">
        <v>2</v>
      </c>
      <c r="AJ89" s="3">
        <v>45875</v>
      </c>
      <c r="AK89" s="3">
        <v>0</v>
      </c>
      <c r="AL89" s="3">
        <v>45866</v>
      </c>
      <c r="AM89" s="3">
        <v>45873</v>
      </c>
      <c r="AN89" s="3">
        <v>45874</v>
      </c>
      <c r="AO89" s="3">
        <v>45874</v>
      </c>
      <c r="AP89" s="3">
        <v>45870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1068.996817777778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331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>
        <v>45834</v>
      </c>
      <c r="B91" s="14" t="s">
        <v>413</v>
      </c>
      <c r="C91" s="9" t="s">
        <v>85</v>
      </c>
      <c r="D91" s="13" t="s">
        <v>408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238</v>
      </c>
      <c r="T91" s="12">
        <v>45897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227</v>
      </c>
      <c r="AG91" s="1" t="s">
        <v>118</v>
      </c>
      <c r="AH91" s="1" t="s">
        <v>74</v>
      </c>
      <c r="AI91" s="1">
        <v>2</v>
      </c>
      <c r="AJ91" s="3">
        <v>45897</v>
      </c>
      <c r="AK91" s="3">
        <v>0</v>
      </c>
      <c r="AL91" s="3">
        <v>45888</v>
      </c>
      <c r="AM91" s="3">
        <v>45895</v>
      </c>
      <c r="AN91" s="3">
        <v>45896</v>
      </c>
      <c r="AO91" s="3">
        <v>45896</v>
      </c>
      <c r="AP91" s="3">
        <v>45892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281271.45612500003</v>
      </c>
      <c r="AB92" s="8">
        <v>78047.636125000005</v>
      </c>
      <c r="AC92" s="8">
        <v>203223.82000000004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>
        <v>45841</v>
      </c>
      <c r="B93" s="14" t="s">
        <v>455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445.06336793599996</v>
      </c>
      <c r="Q93" s="10">
        <v>0</v>
      </c>
      <c r="R93" s="10">
        <v>445.06336793599996</v>
      </c>
      <c r="S93" s="9" t="s">
        <v>71</v>
      </c>
      <c r="T93" s="12">
        <v>45852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134</v>
      </c>
      <c r="AA93" s="8">
        <v>22072.6</v>
      </c>
      <c r="AB93" s="8">
        <v>20621</v>
      </c>
      <c r="AC93" s="8">
        <v>1451.5999999999985</v>
      </c>
      <c r="AD93" s="8">
        <v>0</v>
      </c>
      <c r="AE93" s="8">
        <v>0</v>
      </c>
      <c r="AF93" s="8">
        <v>0</v>
      </c>
      <c r="AG93" s="1" t="s">
        <v>120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99.071699999999879</v>
      </c>
    </row>
    <row r="94" spans="1:56" ht="27.75" customHeight="1" x14ac:dyDescent="0.45">
      <c r="A94" s="3">
        <v>45846</v>
      </c>
      <c r="B94" s="14" t="s">
        <v>132</v>
      </c>
      <c r="C94" s="9" t="s">
        <v>474</v>
      </c>
      <c r="D94" s="13" t="s">
        <v>475</v>
      </c>
      <c r="E94" s="9">
        <v>21</v>
      </c>
      <c r="F94" s="9">
        <v>36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45863</v>
      </c>
      <c r="U94" s="11">
        <v>17000</v>
      </c>
      <c r="V94" s="10">
        <v>0</v>
      </c>
      <c r="W94" s="10">
        <v>17000</v>
      </c>
      <c r="X94" s="10">
        <v>0</v>
      </c>
      <c r="Y94" s="10">
        <v>17850</v>
      </c>
      <c r="Z94" s="9" t="s">
        <v>134</v>
      </c>
      <c r="AA94" s="8">
        <v>17811.75</v>
      </c>
      <c r="AB94" s="8">
        <v>0</v>
      </c>
      <c r="AC94" s="8">
        <v>17811.75</v>
      </c>
      <c r="AD94" s="8">
        <v>0</v>
      </c>
      <c r="AE94" s="8">
        <v>0</v>
      </c>
      <c r="AF94" s="8" t="s">
        <v>228</v>
      </c>
      <c r="AG94" s="1" t="s">
        <v>118</v>
      </c>
      <c r="AH94" s="1" t="s">
        <v>74</v>
      </c>
      <c r="AI94" s="1">
        <v>2</v>
      </c>
      <c r="AJ94" s="3">
        <v>45863</v>
      </c>
      <c r="AK94" s="3">
        <v>0</v>
      </c>
      <c r="AL94" s="3">
        <v>45854</v>
      </c>
      <c r="AM94" s="3">
        <v>45861</v>
      </c>
      <c r="AN94" s="3">
        <v>45862</v>
      </c>
      <c r="AO94" s="3">
        <v>45862</v>
      </c>
      <c r="AP94" s="3">
        <v>45858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 t="s">
        <v>476</v>
      </c>
      <c r="AZ94" s="2">
        <v>0</v>
      </c>
      <c r="BA94" s="2">
        <v>0</v>
      </c>
      <c r="BB94" s="2">
        <v>0</v>
      </c>
      <c r="BC94" s="1" t="s">
        <v>104</v>
      </c>
      <c r="BD94" s="56">
        <v>1215.6519374999996</v>
      </c>
    </row>
    <row r="95" spans="1:56" ht="27.75" customHeight="1" x14ac:dyDescent="0.45">
      <c r="A95" s="3" t="s">
        <v>139</v>
      </c>
      <c r="B95" s="14" t="s">
        <v>139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15000</v>
      </c>
      <c r="V95" s="10">
        <v>0</v>
      </c>
      <c r="W95" s="10">
        <v>15000</v>
      </c>
      <c r="X95" s="10">
        <v>0</v>
      </c>
      <c r="Y95" s="10">
        <v>0</v>
      </c>
      <c r="Z95" s="9" t="s">
        <v>134</v>
      </c>
      <c r="AA95" s="8">
        <v>16554.45</v>
      </c>
      <c r="AB95" s="8">
        <v>0</v>
      </c>
      <c r="AC95" s="8">
        <v>16554.45</v>
      </c>
      <c r="AD95" s="8">
        <v>0</v>
      </c>
      <c r="AE95" s="8">
        <v>0</v>
      </c>
      <c r="AF95" s="8">
        <v>0</v>
      </c>
      <c r="AG95" s="1" t="s">
        <v>118</v>
      </c>
      <c r="AH95" s="1" t="s">
        <v>77</v>
      </c>
      <c r="AI95" s="1">
        <v>1</v>
      </c>
      <c r="AJ95" s="3">
        <v>45868</v>
      </c>
      <c r="AK95" s="3">
        <v>0</v>
      </c>
      <c r="AL95" s="3">
        <v>0</v>
      </c>
      <c r="AM95" s="3">
        <v>0</v>
      </c>
      <c r="AN95" s="3">
        <v>0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1129.8412125</v>
      </c>
    </row>
    <row r="96" spans="1:56" ht="27.75" customHeight="1" x14ac:dyDescent="0.45">
      <c r="A96" s="3">
        <v>45842</v>
      </c>
      <c r="B96" s="14" t="s">
        <v>456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183.67005330431996</v>
      </c>
      <c r="Q96" s="10">
        <v>0</v>
      </c>
      <c r="R96" s="10">
        <v>183.67005330431996</v>
      </c>
      <c r="S96" s="9" t="s">
        <v>71</v>
      </c>
      <c r="T96" s="12">
        <v>45852</v>
      </c>
      <c r="U96" s="11">
        <v>10000</v>
      </c>
      <c r="V96" s="10">
        <v>600</v>
      </c>
      <c r="W96" s="10">
        <v>9400</v>
      </c>
      <c r="X96" s="10">
        <v>10285</v>
      </c>
      <c r="Y96" s="10">
        <v>0</v>
      </c>
      <c r="Z96" s="9" t="s">
        <v>134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56438.8</v>
      </c>
      <c r="AB97" s="8">
        <v>20621</v>
      </c>
      <c r="AC97" s="8">
        <v>35817.800000000003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457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6517</v>
      </c>
      <c r="Y98" s="10">
        <v>0</v>
      </c>
      <c r="Z98" s="9" t="s">
        <v>443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11.506516341759998</v>
      </c>
      <c r="Q100" s="10">
        <v>0</v>
      </c>
      <c r="R100" s="10">
        <v>11.506516341759998</v>
      </c>
      <c r="S100" s="9" t="s">
        <v>67</v>
      </c>
      <c r="T100" s="12">
        <v>45847</v>
      </c>
      <c r="U100" s="11">
        <v>1000</v>
      </c>
      <c r="V100" s="10">
        <v>470</v>
      </c>
      <c r="W100" s="10">
        <v>530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45850</v>
      </c>
      <c r="U101" s="11">
        <v>10000</v>
      </c>
      <c r="V101" s="10">
        <v>0</v>
      </c>
      <c r="W101" s="10">
        <v>10000</v>
      </c>
      <c r="X101" s="10">
        <v>10500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45850</v>
      </c>
      <c r="AK101" s="3">
        <v>45846</v>
      </c>
      <c r="AL101" s="3">
        <v>45840</v>
      </c>
      <c r="AM101" s="3">
        <v>45847</v>
      </c>
      <c r="AN101" s="3">
        <v>45848</v>
      </c>
      <c r="AO101" s="3">
        <v>45848</v>
      </c>
      <c r="AP101" s="3">
        <v>45845</v>
      </c>
      <c r="AQ101" s="3">
        <v>45849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45841</v>
      </c>
      <c r="B102" s="14" t="s">
        <v>445</v>
      </c>
      <c r="C102" s="9" t="s">
        <v>446</v>
      </c>
      <c r="D102" s="13" t="s">
        <v>447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97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45850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45850</v>
      </c>
      <c r="AK102" s="3">
        <v>45846</v>
      </c>
      <c r="AL102" s="3">
        <v>45840</v>
      </c>
      <c r="AM102" s="3">
        <v>45847</v>
      </c>
      <c r="AN102" s="3">
        <v>45848</v>
      </c>
      <c r="AO102" s="3">
        <v>45848</v>
      </c>
      <c r="AP102" s="3">
        <v>45845</v>
      </c>
      <c r="AQ102" s="3">
        <v>45849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45841</v>
      </c>
      <c r="B103" s="14" t="s">
        <v>445</v>
      </c>
      <c r="C103" s="9" t="s">
        <v>446</v>
      </c>
      <c r="D103" s="13" t="s">
        <v>448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97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71</v>
      </c>
      <c r="T103" s="12">
        <v>45850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68</v>
      </c>
      <c r="AI103" s="1">
        <v>4</v>
      </c>
      <c r="AJ103" s="3">
        <v>45850</v>
      </c>
      <c r="AK103" s="3">
        <v>45846</v>
      </c>
      <c r="AL103" s="3">
        <v>45840</v>
      </c>
      <c r="AM103" s="3">
        <v>45847</v>
      </c>
      <c r="AN103" s="3">
        <v>45848</v>
      </c>
      <c r="AO103" s="3">
        <v>45848</v>
      </c>
      <c r="AP103" s="3">
        <v>45845</v>
      </c>
      <c r="AQ103" s="3">
        <v>45849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45846</v>
      </c>
      <c r="B104" s="14" t="s">
        <v>132</v>
      </c>
      <c r="C104" s="9" t="s">
        <v>179</v>
      </c>
      <c r="D104" s="13" t="s">
        <v>477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434.20816383999994</v>
      </c>
      <c r="Q104" s="10">
        <v>0</v>
      </c>
      <c r="R104" s="10">
        <v>434.20816383999994</v>
      </c>
      <c r="S104" s="9" t="s">
        <v>71</v>
      </c>
      <c r="T104" s="12">
        <v>45854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123</v>
      </c>
      <c r="AA104" s="8">
        <v>21513.800000000003</v>
      </c>
      <c r="AB104" s="8">
        <v>21513.800000000003</v>
      </c>
      <c r="AC104" s="8">
        <v>0</v>
      </c>
      <c r="AD104" s="8">
        <v>0</v>
      </c>
      <c r="AE104" s="8">
        <v>21513.800000000003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45854</v>
      </c>
      <c r="AK104" s="3">
        <v>45850</v>
      </c>
      <c r="AL104" s="3">
        <v>45844</v>
      </c>
      <c r="AM104" s="3">
        <v>45851</v>
      </c>
      <c r="AN104" s="3">
        <v>45852</v>
      </c>
      <c r="AO104" s="3">
        <v>45852</v>
      </c>
      <c r="AP104" s="3">
        <v>45849</v>
      </c>
      <c r="AQ104" s="3">
        <v>45853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45846</v>
      </c>
      <c r="B105" s="14" t="s">
        <v>132</v>
      </c>
      <c r="C105" s="9" t="s">
        <v>478</v>
      </c>
      <c r="D105" s="13" t="s">
        <v>479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45856</v>
      </c>
      <c r="AK105" s="3">
        <v>45852</v>
      </c>
      <c r="AL105" s="3">
        <v>45846</v>
      </c>
      <c r="AM105" s="3">
        <v>45853</v>
      </c>
      <c r="AN105" s="3">
        <v>45854</v>
      </c>
      <c r="AO105" s="3">
        <v>45854</v>
      </c>
      <c r="AP105" s="3">
        <v>45851</v>
      </c>
      <c r="AQ105" s="3">
        <v>45855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114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300000</v>
      </c>
      <c r="V106" s="10">
        <v>0</v>
      </c>
      <c r="W106" s="10">
        <v>300000</v>
      </c>
      <c r="X106" s="10">
        <v>0</v>
      </c>
      <c r="Y106" s="10">
        <v>315000</v>
      </c>
      <c r="Z106" s="9" t="s">
        <v>123</v>
      </c>
      <c r="AA106" s="8">
        <v>322707</v>
      </c>
      <c r="AB106" s="8">
        <v>84018</v>
      </c>
      <c r="AC106" s="8">
        <v>238689</v>
      </c>
      <c r="AD106" s="8">
        <v>0</v>
      </c>
      <c r="AE106" s="8">
        <v>322707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17164.921619999997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424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434.20816383999994</v>
      </c>
      <c r="Q107" s="10">
        <v>0</v>
      </c>
      <c r="R107" s="10">
        <v>434.20816383999994</v>
      </c>
      <c r="S107" s="9" t="s">
        <v>71</v>
      </c>
      <c r="T107" s="12">
        <v>45868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123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1547.1290706666666</v>
      </c>
    </row>
    <row r="108" spans="1:56" ht="27.75" customHeight="1" x14ac:dyDescent="0.45">
      <c r="A108" s="3" t="s">
        <v>139</v>
      </c>
      <c r="B108" s="14" t="s">
        <v>139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>
        <v>45868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45826</v>
      </c>
      <c r="B109" s="14" t="s">
        <v>366</v>
      </c>
      <c r="C109" s="9" t="s">
        <v>110</v>
      </c>
      <c r="D109" s="13" t="s">
        <v>317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151.97285734399995</v>
      </c>
      <c r="Q109" s="10">
        <v>0</v>
      </c>
      <c r="R109" s="10">
        <v>151.97285734399995</v>
      </c>
      <c r="S109" s="9" t="s">
        <v>67</v>
      </c>
      <c r="T109" s="12" t="s">
        <v>63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123</v>
      </c>
      <c r="AA109" s="8">
        <v>7725.41</v>
      </c>
      <c r="AB109" s="8">
        <v>7725.41</v>
      </c>
      <c r="AC109" s="8">
        <v>0</v>
      </c>
      <c r="AD109" s="8">
        <v>0</v>
      </c>
      <c r="AE109" s="8">
        <v>7725.41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45628</v>
      </c>
      <c r="B110" s="14" t="s">
        <v>215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123</v>
      </c>
      <c r="AA110" s="8">
        <v>8605.52</v>
      </c>
      <c r="AB110" s="8">
        <v>8605.52</v>
      </c>
      <c r="AC110" s="8">
        <v>0</v>
      </c>
      <c r="AD110" s="8">
        <v>0</v>
      </c>
      <c r="AE110" s="8">
        <v>8605.52</v>
      </c>
      <c r="AF110" s="8">
        <v>0</v>
      </c>
      <c r="AG110" s="1" t="s">
        <v>61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239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45631</v>
      </c>
      <c r="B111" s="14" t="s">
        <v>218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16000</v>
      </c>
      <c r="V111" s="10">
        <v>0</v>
      </c>
      <c r="W111" s="10">
        <v>16000</v>
      </c>
      <c r="X111" s="10">
        <v>0</v>
      </c>
      <c r="Y111" s="10">
        <v>16800</v>
      </c>
      <c r="Z111" s="9" t="s">
        <v>123</v>
      </c>
      <c r="AA111" s="8">
        <v>17211.04</v>
      </c>
      <c r="AB111" s="8">
        <v>0</v>
      </c>
      <c r="AC111" s="8">
        <v>17211.04</v>
      </c>
      <c r="AD111" s="8">
        <v>0</v>
      </c>
      <c r="AE111" s="8">
        <v>17211.04</v>
      </c>
      <c r="AF111" s="8">
        <v>0</v>
      </c>
      <c r="AG111" s="1" t="s">
        <v>119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240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1237.7032565333332</v>
      </c>
    </row>
    <row r="112" spans="1:56" ht="27.75" customHeight="1" x14ac:dyDescent="0.45">
      <c r="A112" s="3">
        <v>45631</v>
      </c>
      <c r="B112" s="14" t="s">
        <v>219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241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 t="s">
        <v>139</v>
      </c>
      <c r="B113" s="14" t="s">
        <v>139</v>
      </c>
      <c r="C113" s="9" t="s">
        <v>110</v>
      </c>
      <c r="D113" s="13" t="s">
        <v>61</v>
      </c>
      <c r="E113" s="9">
        <v>21</v>
      </c>
      <c r="F113" s="9">
        <v>40</v>
      </c>
      <c r="G113" s="9" t="s">
        <v>60</v>
      </c>
      <c r="H113" s="9" t="s">
        <v>66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227.95928601599996</v>
      </c>
      <c r="Q113" s="10">
        <v>0</v>
      </c>
      <c r="R113" s="10">
        <v>227.95928601599996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11595.1</v>
      </c>
      <c r="AB113" s="8">
        <v>0</v>
      </c>
      <c r="AC113" s="8">
        <v>11595.1</v>
      </c>
      <c r="AD113" s="8">
        <v>0</v>
      </c>
      <c r="AE113" s="8">
        <v>11595.1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833.84229133333326</v>
      </c>
    </row>
    <row r="114" spans="1:56" ht="27.75" customHeight="1" x14ac:dyDescent="0.45">
      <c r="A114" s="3">
        <v>45066</v>
      </c>
      <c r="B114" s="14" t="s">
        <v>130</v>
      </c>
      <c r="C114" s="9" t="s">
        <v>79</v>
      </c>
      <c r="D114" s="13" t="s">
        <v>129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123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396.82856033333326</v>
      </c>
    </row>
    <row r="115" spans="1:56" ht="27.75" customHeight="1" x14ac:dyDescent="0.45">
      <c r="A115" s="3">
        <v>45800</v>
      </c>
      <c r="B115" s="14" t="s">
        <v>319</v>
      </c>
      <c r="C115" s="9" t="s">
        <v>79</v>
      </c>
      <c r="D115" s="13" t="s">
        <v>320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5.2886554355711999</v>
      </c>
      <c r="Q115" s="10">
        <v>0</v>
      </c>
      <c r="R115" s="10">
        <v>5.2886554355711999</v>
      </c>
      <c r="S115" s="9" t="s">
        <v>67</v>
      </c>
      <c r="T115" s="12" t="s">
        <v>136</v>
      </c>
      <c r="U115" s="11">
        <v>5000</v>
      </c>
      <c r="V115" s="10">
        <v>4768</v>
      </c>
      <c r="W115" s="10">
        <v>232</v>
      </c>
      <c r="X115" s="10">
        <v>10420</v>
      </c>
      <c r="Y115" s="10">
        <v>0</v>
      </c>
      <c r="Z115" s="9" t="s">
        <v>123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>
        <v>0</v>
      </c>
      <c r="H116" s="9">
        <v>0</v>
      </c>
      <c r="I116" s="9">
        <v>74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 t="s">
        <v>82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123</v>
      </c>
      <c r="AA116" s="8">
        <v>449736.20999999996</v>
      </c>
      <c r="AB116" s="8">
        <v>137998.07999999999</v>
      </c>
      <c r="AC116" s="8">
        <v>311738.12999999995</v>
      </c>
      <c r="AD116" s="8">
        <v>0</v>
      </c>
      <c r="AE116" s="8">
        <v>449736.20999999996</v>
      </c>
      <c r="AF116" s="8" t="s">
        <v>58</v>
      </c>
      <c r="AG116" s="1" t="s">
        <v>61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0</v>
      </c>
    </row>
    <row r="117" spans="1:56" ht="27.75" customHeight="1" x14ac:dyDescent="0.45">
      <c r="A117" s="3">
        <v>9</v>
      </c>
      <c r="B117" s="14" t="s">
        <v>296</v>
      </c>
      <c r="C117" s="9" t="s">
        <v>292</v>
      </c>
      <c r="D117" s="13" t="s">
        <v>293</v>
      </c>
      <c r="E117" s="9">
        <v>22</v>
      </c>
      <c r="F117" s="9">
        <v>34</v>
      </c>
      <c r="G117" s="9" t="s">
        <v>60</v>
      </c>
      <c r="H117" s="9" t="s">
        <v>66</v>
      </c>
      <c r="I117" s="9">
        <v>115</v>
      </c>
      <c r="J117" s="9" t="s">
        <v>78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294</v>
      </c>
      <c r="T117" s="12" t="s">
        <v>136</v>
      </c>
      <c r="U117" s="11">
        <v>239700</v>
      </c>
      <c r="V117" s="10">
        <v>239700</v>
      </c>
      <c r="W117" s="10">
        <v>0</v>
      </c>
      <c r="X117" s="10">
        <v>251442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295</v>
      </c>
      <c r="AG117" s="1" t="s">
        <v>61</v>
      </c>
      <c r="AH117" s="1" t="s">
        <v>68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21.6</v>
      </c>
      <c r="F118" s="9">
        <v>34</v>
      </c>
      <c r="G118" s="9">
        <v>0</v>
      </c>
      <c r="H118" s="9">
        <v>0</v>
      </c>
      <c r="I118" s="9">
        <v>97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237</v>
      </c>
      <c r="D119" s="13" t="s">
        <v>61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45868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83</v>
      </c>
      <c r="AA119" s="8">
        <v>39674.800000000003</v>
      </c>
      <c r="AB119" s="8">
        <v>0</v>
      </c>
      <c r="AC119" s="8">
        <v>39674.800000000003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45868</v>
      </c>
      <c r="AK119" s="3">
        <v>0</v>
      </c>
      <c r="AL119" s="3">
        <v>45859</v>
      </c>
      <c r="AM119" s="3">
        <v>45866</v>
      </c>
      <c r="AN119" s="3">
        <v>45867</v>
      </c>
      <c r="AO119" s="3">
        <v>45867</v>
      </c>
      <c r="AP119" s="3">
        <v>45863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2965.6913</v>
      </c>
    </row>
    <row r="120" spans="1:56" ht="27.75" customHeight="1" x14ac:dyDescent="0.45">
      <c r="A120" s="3" t="s">
        <v>139</v>
      </c>
      <c r="B120" s="14" t="s">
        <v>139</v>
      </c>
      <c r="C120" s="9" t="s">
        <v>244</v>
      </c>
      <c r="D120" s="13" t="s">
        <v>61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821.54158271999995</v>
      </c>
      <c r="Q120" s="10">
        <v>0</v>
      </c>
      <c r="R120" s="10">
        <v>821.54158271999995</v>
      </c>
      <c r="S120" s="9" t="s">
        <v>127</v>
      </c>
      <c r="T120" s="12">
        <v>45868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83</v>
      </c>
      <c r="AA120" s="8">
        <v>29756.100000000002</v>
      </c>
      <c r="AB120" s="8">
        <v>29756.100000000002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83</v>
      </c>
      <c r="AA121" s="8">
        <v>69430.900000000009</v>
      </c>
      <c r="AB121" s="8">
        <v>29756.100000000002</v>
      </c>
      <c r="AC121" s="8">
        <v>39674.800000000003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237</v>
      </c>
      <c r="D122" s="13" t="s">
        <v>61</v>
      </c>
      <c r="E122" s="9">
        <v>23</v>
      </c>
      <c r="F122" s="9">
        <v>34</v>
      </c>
      <c r="G122" s="9" t="s">
        <v>183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185</v>
      </c>
      <c r="AA122" s="8">
        <v>9918.7000000000007</v>
      </c>
      <c r="AB122" s="8">
        <v>0</v>
      </c>
      <c r="AC122" s="8">
        <v>9918.7000000000007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184</v>
      </c>
      <c r="BD122" s="56">
        <v>800.41704844444439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183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185</v>
      </c>
      <c r="AA123" s="8">
        <v>9918.7000000000007</v>
      </c>
      <c r="AB123" s="8">
        <v>0</v>
      </c>
      <c r="AC123" s="8">
        <v>9918.7000000000007</v>
      </c>
      <c r="AD123" s="8">
        <v>0</v>
      </c>
      <c r="AE123" s="8">
        <v>0</v>
      </c>
      <c r="AF123" s="8">
        <v>0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184</v>
      </c>
      <c r="BD123" s="56">
        <v>0</v>
      </c>
    </row>
    <row r="124" spans="1:56" ht="27.75" customHeight="1" x14ac:dyDescent="0.45">
      <c r="A124" s="3">
        <v>45839</v>
      </c>
      <c r="B124" s="14" t="s">
        <v>437</v>
      </c>
      <c r="C124" s="9" t="s">
        <v>426</v>
      </c>
      <c r="D124" s="13" t="s">
        <v>284</v>
      </c>
      <c r="E124" s="9">
        <v>23</v>
      </c>
      <c r="F124" s="9">
        <v>37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45852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232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0</v>
      </c>
      <c r="AF124" s="8" t="s">
        <v>427</v>
      </c>
      <c r="AG124" s="1" t="s">
        <v>118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428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45839</v>
      </c>
      <c r="B125" s="14" t="s">
        <v>437</v>
      </c>
      <c r="C125" s="9" t="s">
        <v>426</v>
      </c>
      <c r="D125" s="13" t="s">
        <v>429</v>
      </c>
      <c r="E125" s="9">
        <v>23</v>
      </c>
      <c r="F125" s="9">
        <v>37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45852</v>
      </c>
      <c r="U125" s="11">
        <v>5000</v>
      </c>
      <c r="V125" s="10">
        <v>0</v>
      </c>
      <c r="W125" s="10">
        <v>5000</v>
      </c>
      <c r="X125" s="10">
        <v>5440</v>
      </c>
      <c r="Y125" s="10">
        <v>0</v>
      </c>
      <c r="Z125" s="9" t="s">
        <v>232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428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45727</v>
      </c>
      <c r="B126" s="14" t="s">
        <v>275</v>
      </c>
      <c r="C126" s="9" t="s">
        <v>114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</v>
      </c>
      <c r="V126" s="10">
        <v>0</v>
      </c>
      <c r="W126" s="10">
        <v>1000</v>
      </c>
      <c r="X126" s="10">
        <v>0</v>
      </c>
      <c r="Y126" s="10">
        <v>0</v>
      </c>
      <c r="Z126" s="9" t="s">
        <v>232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234</v>
      </c>
      <c r="AG126" s="1" t="s">
        <v>118</v>
      </c>
      <c r="AH126" s="1" t="s">
        <v>153</v>
      </c>
      <c r="AI126" s="1">
        <v>2</v>
      </c>
      <c r="AJ126" s="3" t="s">
        <v>63</v>
      </c>
      <c r="AK126" s="3" t="e">
        <v>#VALUE!</v>
      </c>
      <c r="AL126" s="3">
        <v>0</v>
      </c>
      <c r="AM126" s="3">
        <v>0</v>
      </c>
      <c r="AN126" s="3">
        <v>0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150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232</v>
      </c>
      <c r="AA127" s="8">
        <v>11916.410000000002</v>
      </c>
      <c r="AB127" s="8">
        <v>11916.410000000002</v>
      </c>
      <c r="AC127" s="8">
        <v>0</v>
      </c>
      <c r="AD127" s="8">
        <v>1159.5100000000002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233</v>
      </c>
      <c r="BD127" s="56">
        <v>0</v>
      </c>
    </row>
    <row r="128" spans="1:56" ht="27.75" customHeight="1" x14ac:dyDescent="0.45">
      <c r="A128" s="3">
        <v>45601</v>
      </c>
      <c r="B128" s="14" t="s">
        <v>207</v>
      </c>
      <c r="C128" s="9" t="s">
        <v>93</v>
      </c>
      <c r="D128" s="13" t="s">
        <v>149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0</v>
      </c>
      <c r="Q128" s="10">
        <v>0</v>
      </c>
      <c r="R128" s="10">
        <v>0</v>
      </c>
      <c r="S128" s="9" t="s">
        <v>99</v>
      </c>
      <c r="T128" s="12">
        <v>45852</v>
      </c>
      <c r="U128" s="11">
        <v>50000</v>
      </c>
      <c r="V128" s="10">
        <v>50000</v>
      </c>
      <c r="W128" s="10">
        <v>0</v>
      </c>
      <c r="X128" s="10">
        <v>0</v>
      </c>
      <c r="Y128" s="10">
        <v>0</v>
      </c>
      <c r="Z128" s="9" t="s">
        <v>259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260</v>
      </c>
      <c r="AG128" s="1" t="s">
        <v>119</v>
      </c>
      <c r="AH128" s="1" t="s">
        <v>72</v>
      </c>
      <c r="AI128" s="1">
        <v>3</v>
      </c>
      <c r="AJ128" s="3">
        <v>45852</v>
      </c>
      <c r="AK128" s="3">
        <v>0</v>
      </c>
      <c r="AL128" s="3">
        <v>45842</v>
      </c>
      <c r="AM128" s="3">
        <v>45849</v>
      </c>
      <c r="AN128" s="3">
        <v>45850</v>
      </c>
      <c r="AO128" s="3">
        <v>45850</v>
      </c>
      <c r="AP128" s="3">
        <v>45847</v>
      </c>
      <c r="AQ128" s="3">
        <v>45851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116</v>
      </c>
      <c r="BD128" s="56">
        <v>0</v>
      </c>
    </row>
    <row r="129" spans="1:56" ht="27.75" customHeight="1" x14ac:dyDescent="0.45">
      <c r="A129" s="3">
        <v>45601</v>
      </c>
      <c r="B129" s="14" t="s">
        <v>207</v>
      </c>
      <c r="C129" s="9" t="s">
        <v>93</v>
      </c>
      <c r="D129" s="13" t="s">
        <v>149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0</v>
      </c>
      <c r="Q129" s="10">
        <v>0</v>
      </c>
      <c r="R129" s="10">
        <v>0</v>
      </c>
      <c r="S129" s="9" t="s">
        <v>99</v>
      </c>
      <c r="T129" s="12">
        <v>45860</v>
      </c>
      <c r="U129" s="11">
        <v>50000</v>
      </c>
      <c r="V129" s="10">
        <v>50000</v>
      </c>
      <c r="W129" s="10">
        <v>0</v>
      </c>
      <c r="X129" s="10">
        <v>0</v>
      </c>
      <c r="Y129" s="10">
        <v>0</v>
      </c>
      <c r="Z129" s="9" t="s">
        <v>259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260</v>
      </c>
      <c r="AG129" s="1" t="s">
        <v>118</v>
      </c>
      <c r="AH129" s="1" t="s">
        <v>72</v>
      </c>
      <c r="AI129" s="1">
        <v>3</v>
      </c>
      <c r="AJ129" s="3">
        <v>45860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45855</v>
      </c>
      <c r="AQ129" s="3">
        <v>45859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45858</v>
      </c>
      <c r="AZ129" s="2">
        <v>0</v>
      </c>
      <c r="BA129" s="2">
        <v>0</v>
      </c>
      <c r="BB129" s="2">
        <v>0</v>
      </c>
      <c r="BC129" s="1" t="s">
        <v>116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149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1394.6549118458877</v>
      </c>
      <c r="Q130" s="10">
        <v>0</v>
      </c>
      <c r="R130" s="10">
        <v>1394.6549118458877</v>
      </c>
      <c r="S130" s="9" t="s">
        <v>99</v>
      </c>
      <c r="T130" s="12">
        <v>45868</v>
      </c>
      <c r="U130" s="11">
        <v>45000</v>
      </c>
      <c r="V130" s="10">
        <v>2174</v>
      </c>
      <c r="W130" s="10">
        <v>42826</v>
      </c>
      <c r="X130" s="10">
        <v>0</v>
      </c>
      <c r="Y130" s="10">
        <v>44967.3</v>
      </c>
      <c r="Z130" s="9" t="s">
        <v>100</v>
      </c>
      <c r="AA130" s="8">
        <v>46067.499940000009</v>
      </c>
      <c r="AB130" s="8">
        <v>46067.499940000009</v>
      </c>
      <c r="AC130" s="8">
        <v>0</v>
      </c>
      <c r="AD130" s="8">
        <v>0</v>
      </c>
      <c r="AE130" s="8">
        <v>0</v>
      </c>
      <c r="AF130" s="8" t="s">
        <v>260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45858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14370.488259224063</v>
      </c>
      <c r="Q131" s="10">
        <v>0</v>
      </c>
      <c r="R131" s="10">
        <v>14370.488259224063</v>
      </c>
      <c r="S131" s="9" t="s">
        <v>99</v>
      </c>
      <c r="T131" s="12" t="s">
        <v>63</v>
      </c>
      <c r="U131" s="11">
        <v>441278</v>
      </c>
      <c r="V131" s="10">
        <v>0</v>
      </c>
      <c r="W131" s="10">
        <v>441278</v>
      </c>
      <c r="X131" s="10">
        <v>0</v>
      </c>
      <c r="Y131" s="10">
        <v>463341.9</v>
      </c>
      <c r="Z131" s="9" t="s">
        <v>100</v>
      </c>
      <c r="AA131" s="8">
        <v>474678.33182000002</v>
      </c>
      <c r="AB131" s="8">
        <v>11165</v>
      </c>
      <c r="AC131" s="8">
        <v>463513.33182000002</v>
      </c>
      <c r="AD131" s="8">
        <v>0</v>
      </c>
      <c r="AE131" s="8">
        <v>0</v>
      </c>
      <c r="AF131" s="8" t="s">
        <v>260</v>
      </c>
      <c r="AG131" s="1" t="s">
        <v>118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59377.731604284687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100</v>
      </c>
      <c r="AA132" s="8">
        <v>520745.83176000003</v>
      </c>
      <c r="AB132" s="8">
        <v>57232.499940000009</v>
      </c>
      <c r="AC132" s="8">
        <v>463513.33182000002</v>
      </c>
      <c r="AD132" s="8">
        <v>0</v>
      </c>
      <c r="AE132" s="8">
        <v>0</v>
      </c>
      <c r="AF132" s="8" t="s">
        <v>58</v>
      </c>
      <c r="AG132" s="1" t="s">
        <v>118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190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196</v>
      </c>
      <c r="T133" s="12">
        <v>45868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1790</v>
      </c>
      <c r="AC133" s="8">
        <v>7709.6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72</v>
      </c>
      <c r="AI133" s="1">
        <v>3</v>
      </c>
      <c r="AJ133" s="3">
        <v>45868</v>
      </c>
      <c r="AK133" s="3">
        <v>0</v>
      </c>
      <c r="AL133" s="3">
        <v>45858</v>
      </c>
      <c r="AM133" s="3">
        <v>45865</v>
      </c>
      <c r="AN133" s="3">
        <v>45866</v>
      </c>
      <c r="AO133" s="3">
        <v>45866</v>
      </c>
      <c r="AP133" s="3">
        <v>45863</v>
      </c>
      <c r="AQ133" s="3">
        <v>45867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622.50736888888889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9499.6</v>
      </c>
      <c r="AB134" s="8">
        <v>1790</v>
      </c>
      <c r="AC134" s="8">
        <v>7709.6</v>
      </c>
      <c r="AD134" s="8">
        <v>0</v>
      </c>
      <c r="AE134" s="8">
        <v>0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45839</v>
      </c>
      <c r="B135" s="14" t="s">
        <v>132</v>
      </c>
      <c r="C135" s="9" t="s">
        <v>143</v>
      </c>
      <c r="D135" s="13" t="s">
        <v>59</v>
      </c>
      <c r="E135" s="9">
        <v>26</v>
      </c>
      <c r="F135" s="9">
        <v>39</v>
      </c>
      <c r="G135" s="9" t="s">
        <v>60</v>
      </c>
      <c r="H135" s="9">
        <v>0</v>
      </c>
      <c r="I135" s="9">
        <v>93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45847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154</v>
      </c>
      <c r="AA135" s="8">
        <v>11315.7</v>
      </c>
      <c r="AB135" s="8">
        <v>10500</v>
      </c>
      <c r="AC135" s="8">
        <v>815.70000000000073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45847</v>
      </c>
      <c r="AK135" s="3">
        <v>0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73.286113333333404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154</v>
      </c>
      <c r="AA136" s="8">
        <v>11315.7</v>
      </c>
      <c r="AB136" s="8">
        <v>10500</v>
      </c>
      <c r="AC136" s="8">
        <v>815.70000000000073</v>
      </c>
      <c r="AD136" s="8">
        <v>0</v>
      </c>
      <c r="AE136" s="8">
        <v>0</v>
      </c>
      <c r="AF136" s="8" t="s">
        <v>58</v>
      </c>
      <c r="AG136" s="1" t="s">
        <v>121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212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77</v>
      </c>
      <c r="AI137" s="1">
        <v>1</v>
      </c>
      <c r="AJ137" s="3">
        <v>45868</v>
      </c>
      <c r="AK137" s="3">
        <v>0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212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213</v>
      </c>
      <c r="BD138" s="56">
        <v>0</v>
      </c>
    </row>
    <row r="139" spans="1:56" ht="27.75" customHeight="1" x14ac:dyDescent="0.45">
      <c r="A139" s="3">
        <v>45835</v>
      </c>
      <c r="B139" s="14" t="s">
        <v>414</v>
      </c>
      <c r="C139" s="9" t="s">
        <v>112</v>
      </c>
      <c r="D139" s="13" t="s">
        <v>229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45846</v>
      </c>
      <c r="U139" s="11">
        <v>10000</v>
      </c>
      <c r="V139" s="10">
        <v>7386</v>
      </c>
      <c r="W139" s="10">
        <v>2614</v>
      </c>
      <c r="X139" s="10">
        <v>12414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234</v>
      </c>
      <c r="AG139" s="1" t="s">
        <v>119</v>
      </c>
      <c r="AH139" s="1" t="s">
        <v>75</v>
      </c>
      <c r="AI139" s="1">
        <v>4</v>
      </c>
      <c r="AJ139" s="3">
        <v>45846</v>
      </c>
      <c r="AK139" s="3">
        <v>45842</v>
      </c>
      <c r="AL139" s="3">
        <v>45835</v>
      </c>
      <c r="AM139" s="3">
        <v>45843</v>
      </c>
      <c r="AN139" s="3">
        <v>45844</v>
      </c>
      <c r="AO139" s="3">
        <v>45845</v>
      </c>
      <c r="AP139" s="3">
        <v>45841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45">
      <c r="A140" s="3">
        <v>45832</v>
      </c>
      <c r="B140" s="14" t="s">
        <v>384</v>
      </c>
      <c r="C140" s="9" t="s">
        <v>112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45847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7311</v>
      </c>
      <c r="AE140" s="8">
        <v>11338.949999999997</v>
      </c>
      <c r="AF140" s="8" t="s">
        <v>234</v>
      </c>
      <c r="AG140" s="1" t="s">
        <v>119</v>
      </c>
      <c r="AH140" s="1" t="s">
        <v>153</v>
      </c>
      <c r="AI140" s="1">
        <v>2</v>
      </c>
      <c r="AJ140" s="3">
        <v>45847</v>
      </c>
      <c r="AK140" s="3">
        <v>45845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>
        <v>45832</v>
      </c>
      <c r="B141" s="14" t="s">
        <v>383</v>
      </c>
      <c r="C141" s="9" t="s">
        <v>112</v>
      </c>
      <c r="D141" s="13" t="s">
        <v>151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45852</v>
      </c>
      <c r="U141" s="11">
        <v>1500</v>
      </c>
      <c r="V141" s="10">
        <v>0</v>
      </c>
      <c r="W141" s="10">
        <v>1500</v>
      </c>
      <c r="X141" s="10">
        <v>0</v>
      </c>
      <c r="Y141" s="10">
        <v>1575</v>
      </c>
      <c r="Z141" s="9" t="s">
        <v>88</v>
      </c>
      <c r="AA141" s="8">
        <v>1864.9949999999999</v>
      </c>
      <c r="AB141" s="8">
        <v>1864.9949999999999</v>
      </c>
      <c r="AC141" s="8">
        <v>0</v>
      </c>
      <c r="AD141" s="8">
        <v>0</v>
      </c>
      <c r="AE141" s="8">
        <v>1864.9949999999999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45852</v>
      </c>
      <c r="AK141" s="3">
        <v>45848</v>
      </c>
      <c r="AL141" s="3">
        <v>45841</v>
      </c>
      <c r="AM141" s="3">
        <v>45849</v>
      </c>
      <c r="AN141" s="3">
        <v>45850</v>
      </c>
      <c r="AO141" s="3">
        <v>45851</v>
      </c>
      <c r="AP141" s="3">
        <v>45847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45">
      <c r="A142" s="3">
        <v>45832</v>
      </c>
      <c r="B142" s="14" t="s">
        <v>385</v>
      </c>
      <c r="C142" s="9" t="s">
        <v>112</v>
      </c>
      <c r="D142" s="13" t="s">
        <v>151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45852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1263</v>
      </c>
      <c r="AC142" s="8">
        <v>36036.899999999994</v>
      </c>
      <c r="AD142" s="8">
        <v>0</v>
      </c>
      <c r="AE142" s="8">
        <v>37299.899999999994</v>
      </c>
      <c r="AF142" s="8">
        <v>0</v>
      </c>
      <c r="AG142" s="1" t="s">
        <v>119</v>
      </c>
      <c r="AH142" s="1" t="s">
        <v>75</v>
      </c>
      <c r="AI142" s="1">
        <v>4</v>
      </c>
      <c r="AJ142" s="3">
        <v>45852</v>
      </c>
      <c r="AK142" s="3">
        <v>45848</v>
      </c>
      <c r="AL142" s="3">
        <v>45841</v>
      </c>
      <c r="AM142" s="3">
        <v>45849</v>
      </c>
      <c r="AN142" s="3">
        <v>45850</v>
      </c>
      <c r="AO142" s="3">
        <v>45851</v>
      </c>
      <c r="AP142" s="3">
        <v>45847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3716.6056199999998</v>
      </c>
    </row>
    <row r="143" spans="1:56" ht="27.75" customHeight="1" x14ac:dyDescent="0.45">
      <c r="A143" s="3">
        <v>45832</v>
      </c>
      <c r="B143" s="14" t="s">
        <v>386</v>
      </c>
      <c r="C143" s="9" t="s">
        <v>112</v>
      </c>
      <c r="D143" s="13" t="s">
        <v>151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45863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88</v>
      </c>
      <c r="AA143" s="8">
        <v>37299.899999999994</v>
      </c>
      <c r="AB143" s="8">
        <v>0</v>
      </c>
      <c r="AC143" s="8">
        <v>37299.899999999994</v>
      </c>
      <c r="AD143" s="8">
        <v>0</v>
      </c>
      <c r="AE143" s="8">
        <v>37299.899999999994</v>
      </c>
      <c r="AF143" s="8">
        <v>0</v>
      </c>
      <c r="AG143" s="1" t="s">
        <v>118</v>
      </c>
      <c r="AH143" s="1" t="s">
        <v>75</v>
      </c>
      <c r="AI143" s="1">
        <v>4</v>
      </c>
      <c r="AJ143" s="3">
        <v>45863</v>
      </c>
      <c r="AK143" s="3">
        <v>45859</v>
      </c>
      <c r="AL143" s="3">
        <v>45852</v>
      </c>
      <c r="AM143" s="3">
        <v>45860</v>
      </c>
      <c r="AN143" s="3">
        <v>45861</v>
      </c>
      <c r="AO143" s="3">
        <v>45862</v>
      </c>
      <c r="AP143" s="3">
        <v>45858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3846.8630200000002</v>
      </c>
    </row>
    <row r="144" spans="1:56" ht="27.75" customHeight="1" x14ac:dyDescent="0.45">
      <c r="A144" s="3" t="s">
        <v>139</v>
      </c>
      <c r="B144" s="14" t="s">
        <v>139</v>
      </c>
      <c r="C144" s="9" t="s">
        <v>112</v>
      </c>
      <c r="D144" s="13" t="s">
        <v>61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88</v>
      </c>
      <c r="AA144" s="8">
        <v>24866.6</v>
      </c>
      <c r="AB144" s="8">
        <v>0</v>
      </c>
      <c r="AC144" s="8">
        <v>24866.6</v>
      </c>
      <c r="AD144" s="8">
        <v>0</v>
      </c>
      <c r="AE144" s="8">
        <v>24866.6</v>
      </c>
      <c r="AF144" s="8">
        <v>0</v>
      </c>
      <c r="AG144" s="1" t="s">
        <v>118</v>
      </c>
      <c r="AH144" s="1" t="s">
        <v>75</v>
      </c>
      <c r="AI144" s="1">
        <v>4</v>
      </c>
      <c r="AJ144" s="3">
        <v>45868</v>
      </c>
      <c r="AK144" s="3">
        <v>45864</v>
      </c>
      <c r="AL144" s="3">
        <v>45857</v>
      </c>
      <c r="AM144" s="3">
        <v>45865</v>
      </c>
      <c r="AN144" s="3">
        <v>45866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2564.5753466666665</v>
      </c>
    </row>
    <row r="145" spans="1:56" ht="27.75" customHeight="1" x14ac:dyDescent="0.45">
      <c r="A145" s="3">
        <v>45832</v>
      </c>
      <c r="B145" s="14" t="s">
        <v>387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45883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88</v>
      </c>
      <c r="AA145" s="8">
        <v>24866.6</v>
      </c>
      <c r="AB145" s="8">
        <v>0</v>
      </c>
      <c r="AC145" s="8">
        <v>24866.6</v>
      </c>
      <c r="AD145" s="8">
        <v>0</v>
      </c>
      <c r="AE145" s="8">
        <v>24866.6</v>
      </c>
      <c r="AF145" s="8">
        <v>0</v>
      </c>
      <c r="AG145" s="1" t="s">
        <v>121</v>
      </c>
      <c r="AH145" s="1" t="s">
        <v>75</v>
      </c>
      <c r="AI145" s="1">
        <v>4</v>
      </c>
      <c r="AJ145" s="3">
        <v>45883</v>
      </c>
      <c r="AK145" s="3">
        <v>45879</v>
      </c>
      <c r="AL145" s="3">
        <v>45872</v>
      </c>
      <c r="AM145" s="3">
        <v>45880</v>
      </c>
      <c r="AN145" s="3">
        <v>45881</v>
      </c>
      <c r="AO145" s="3">
        <v>45882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2564.5753466666665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144847.94499999998</v>
      </c>
      <c r="AB146" s="8">
        <v>21777.944999999996</v>
      </c>
      <c r="AC146" s="8">
        <v>123070</v>
      </c>
      <c r="AD146" s="8">
        <v>7311</v>
      </c>
      <c r="AE146" s="8">
        <v>137536.94499999998</v>
      </c>
      <c r="AF146" s="8" t="s">
        <v>58</v>
      </c>
      <c r="AG146" s="1" t="s">
        <v>119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131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 t="s">
        <v>118</v>
      </c>
      <c r="AH147" s="1" t="s">
        <v>153</v>
      </c>
      <c r="AI147" s="1">
        <v>2</v>
      </c>
      <c r="AJ147" s="3">
        <v>45868</v>
      </c>
      <c r="AK147" s="3">
        <v>45866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7.75" customHeight="1" x14ac:dyDescent="0.45">
      <c r="A148" s="3" t="s">
        <v>139</v>
      </c>
      <c r="B148" s="14" t="s">
        <v>139</v>
      </c>
      <c r="C148" s="9" t="s">
        <v>155</v>
      </c>
      <c r="D148" s="13" t="s">
        <v>156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45868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131</v>
      </c>
      <c r="AA148" s="8">
        <v>59372.5</v>
      </c>
      <c r="AB148" s="8">
        <v>8970</v>
      </c>
      <c r="AC148" s="8">
        <v>50402.5</v>
      </c>
      <c r="AD148" s="8">
        <v>0</v>
      </c>
      <c r="AE148" s="8">
        <v>0</v>
      </c>
      <c r="AF148" s="8">
        <v>0</v>
      </c>
      <c r="AG148" s="1">
        <v>0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5664.6809722222233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28</v>
      </c>
      <c r="F149" s="9">
        <v>43</v>
      </c>
      <c r="G149" s="9">
        <v>0</v>
      </c>
      <c r="H149" s="9">
        <v>0</v>
      </c>
      <c r="I149" s="9">
        <v>130</v>
      </c>
      <c r="J149" s="9" t="s">
        <v>57</v>
      </c>
      <c r="K149" s="9">
        <v>3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131</v>
      </c>
      <c r="AA149" s="8">
        <v>66147.95</v>
      </c>
      <c r="AB149" s="8">
        <v>15745.45</v>
      </c>
      <c r="AC149" s="8">
        <v>50402.5</v>
      </c>
      <c r="AD149" s="8">
        <v>0</v>
      </c>
      <c r="AE149" s="8">
        <v>6775.4500000000007</v>
      </c>
      <c r="AF149" s="8" t="s">
        <v>58</v>
      </c>
      <c r="AG149" s="1">
        <v>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157</v>
      </c>
      <c r="BD149" s="56">
        <v>0</v>
      </c>
    </row>
  </sheetData>
  <autoFilter ref="A5:BD14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opLeftCell="B1" zoomScale="80" zoomScaleNormal="80" workbookViewId="0">
      <selection activeCell="I19" sqref="I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1" t="s">
        <v>52</v>
      </c>
      <c r="F3" s="81"/>
      <c r="G3" s="82">
        <v>13.03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1574.507875555556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452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453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180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454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453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180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458</v>
      </c>
      <c r="C23" s="9" t="s">
        <v>73</v>
      </c>
      <c r="D23" s="13" t="s">
        <v>459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460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458</v>
      </c>
      <c r="C24" s="9" t="s">
        <v>73</v>
      </c>
      <c r="D24" s="13" t="s">
        <v>461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460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465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465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466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38412.550104177775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914.52255555555553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144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660.35413888888888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7239.6577777777775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7521.4658888888907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120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360</v>
      </c>
      <c r="C80" s="9" t="s">
        <v>145</v>
      </c>
      <c r="D80" s="13" t="s">
        <v>350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228</v>
      </c>
      <c r="AG80" s="1" t="s">
        <v>120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362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45825</v>
      </c>
      <c r="B81" s="14" t="s">
        <v>361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363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336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335</v>
      </c>
      <c r="AG82" s="1" t="s">
        <v>118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346</v>
      </c>
      <c r="C83" s="9" t="s">
        <v>85</v>
      </c>
      <c r="D83" s="13" t="s">
        <v>347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291</v>
      </c>
      <c r="AG83" s="1" t="s">
        <v>122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45821</v>
      </c>
      <c r="B84" s="14" t="s">
        <v>346</v>
      </c>
      <c r="C84" s="9" t="s">
        <v>85</v>
      </c>
      <c r="D84" s="13" t="s">
        <v>348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45818</v>
      </c>
      <c r="B85" s="14" t="s">
        <v>339</v>
      </c>
      <c r="C85" s="9" t="s">
        <v>85</v>
      </c>
      <c r="D85" s="13" t="s">
        <v>337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334</v>
      </c>
      <c r="AG85" s="1" t="s">
        <v>119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345</v>
      </c>
      <c r="C86" s="9" t="s">
        <v>85</v>
      </c>
      <c r="D86" s="13" t="s">
        <v>290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335</v>
      </c>
      <c r="AG87" s="1" t="s">
        <v>119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1938.2106666666673</v>
      </c>
    </row>
    <row r="88" spans="1:56" ht="27.75" customHeight="1" x14ac:dyDescent="0.45">
      <c r="A88" s="3">
        <v>45818</v>
      </c>
      <c r="B88" s="14" t="s">
        <v>341</v>
      </c>
      <c r="C88" s="9" t="s">
        <v>85</v>
      </c>
      <c r="D88" s="13" t="s">
        <v>336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335</v>
      </c>
      <c r="AG88" s="1" t="s">
        <v>119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2466.9157333333337</v>
      </c>
    </row>
    <row r="89" spans="1:56" ht="27.75" customHeight="1" x14ac:dyDescent="0.45">
      <c r="A89" s="3">
        <v>45831</v>
      </c>
      <c r="B89" s="14" t="s">
        <v>395</v>
      </c>
      <c r="C89" s="9" t="s">
        <v>85</v>
      </c>
      <c r="D89" s="13" t="s">
        <v>381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45831</v>
      </c>
      <c r="B90" s="14" t="s">
        <v>395</v>
      </c>
      <c r="C90" s="9" t="s">
        <v>85</v>
      </c>
      <c r="D90" s="13" t="s">
        <v>261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291</v>
      </c>
      <c r="AG90" s="1" t="s">
        <v>119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3289.220977777778</v>
      </c>
    </row>
    <row r="91" spans="1:56" ht="27.75" customHeight="1" x14ac:dyDescent="0.45">
      <c r="A91" s="3">
        <v>45842</v>
      </c>
      <c r="B91" s="14" t="s">
        <v>467</v>
      </c>
      <c r="C91" s="9" t="s">
        <v>73</v>
      </c>
      <c r="D91" s="13" t="s">
        <v>468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148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357.75617777777779</v>
      </c>
    </row>
    <row r="92" spans="1:56" ht="27.75" customHeight="1" x14ac:dyDescent="0.45">
      <c r="A92" s="3">
        <v>45840</v>
      </c>
      <c r="B92" s="14" t="s">
        <v>438</v>
      </c>
      <c r="C92" s="9" t="s">
        <v>85</v>
      </c>
      <c r="D92" s="13" t="s">
        <v>439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440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1068.996817777778</v>
      </c>
    </row>
    <row r="93" spans="1:56" ht="27.75" customHeight="1" x14ac:dyDescent="0.45">
      <c r="A93" s="3">
        <v>45834</v>
      </c>
      <c r="B93" s="14" t="s">
        <v>413</v>
      </c>
      <c r="C93" s="9" t="s">
        <v>85</v>
      </c>
      <c r="D93" s="13" t="s">
        <v>331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238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227</v>
      </c>
      <c r="AG93" s="1" t="s">
        <v>118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45">
      <c r="A94" s="3">
        <v>45834</v>
      </c>
      <c r="B94" s="14" t="s">
        <v>413</v>
      </c>
      <c r="C94" s="9" t="s">
        <v>85</v>
      </c>
      <c r="D94" s="13" t="s">
        <v>408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238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227</v>
      </c>
      <c r="AG94" s="1" t="s">
        <v>118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 t="s">
        <v>139</v>
      </c>
      <c r="B95" s="14" t="s">
        <v>139</v>
      </c>
      <c r="C95" s="9" t="s">
        <v>145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228</v>
      </c>
      <c r="AG95" s="1" t="s">
        <v>118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4405.2066666666669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45841</v>
      </c>
      <c r="B97" s="14" t="s">
        <v>455</v>
      </c>
      <c r="C97" s="9" t="s">
        <v>179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134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118</v>
      </c>
      <c r="AH97" s="1" t="s">
        <v>316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405.30944999999991</v>
      </c>
    </row>
    <row r="98" spans="1:56" ht="27.75" customHeight="1" x14ac:dyDescent="0.45">
      <c r="A98" s="3" t="s">
        <v>139</v>
      </c>
      <c r="B98" s="14" t="s">
        <v>139</v>
      </c>
      <c r="C98" s="9" t="s">
        <v>179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134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118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1129.8412125</v>
      </c>
    </row>
    <row r="99" spans="1:56" ht="27.75" customHeight="1" x14ac:dyDescent="0.45">
      <c r="A99" s="3">
        <v>45842</v>
      </c>
      <c r="B99" s="14" t="s">
        <v>456</v>
      </c>
      <c r="C99" s="9" t="s">
        <v>221</v>
      </c>
      <c r="D99" s="13" t="s">
        <v>321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134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134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118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45841</v>
      </c>
      <c r="B101" s="14" t="s">
        <v>457</v>
      </c>
      <c r="C101" s="9" t="s">
        <v>441</v>
      </c>
      <c r="D101" s="13" t="s">
        <v>442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443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443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444</v>
      </c>
      <c r="BD102" s="56">
        <v>0</v>
      </c>
    </row>
    <row r="103" spans="1:56" ht="27.75" customHeight="1" x14ac:dyDescent="0.45">
      <c r="A103" s="3">
        <v>45826</v>
      </c>
      <c r="B103" s="14" t="s">
        <v>366</v>
      </c>
      <c r="C103" s="9" t="s">
        <v>110</v>
      </c>
      <c r="D103" s="13" t="s">
        <v>317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45833</v>
      </c>
      <c r="B104" s="14" t="s">
        <v>411</v>
      </c>
      <c r="C104" s="9" t="s">
        <v>179</v>
      </c>
      <c r="D104" s="13" t="s">
        <v>338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16956.948259999997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1237.7032565333332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127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470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127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470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470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232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100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59760.12088345136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208.05278000000007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234</v>
      </c>
      <c r="AG145" s="1" t="s">
        <v>119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383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3716.6056199999998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5999.5998611111117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1" t="s">
        <v>52</v>
      </c>
      <c r="F3" s="81"/>
      <c r="G3" s="82">
        <v>11.24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8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463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460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464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460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458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465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458</v>
      </c>
      <c r="C32" s="9" t="s">
        <v>73</v>
      </c>
      <c r="D32" s="13" t="s">
        <v>466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465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467</v>
      </c>
      <c r="C93" s="9" t="s">
        <v>73</v>
      </c>
      <c r="D93" s="13" t="s">
        <v>468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455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456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457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469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1" t="s">
        <v>52</v>
      </c>
      <c r="F3" s="81"/>
      <c r="G3" s="82">
        <v>11.55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455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455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456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457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1" t="s">
        <v>52</v>
      </c>
      <c r="F3" s="81"/>
      <c r="G3" s="82">
        <v>10.59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1" t="s">
        <v>52</v>
      </c>
      <c r="F3" s="81"/>
      <c r="G3" s="82">
        <v>14.03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18</vt:i4>
      </vt:variant>
      <vt:variant>
        <vt:lpstr>ช่วงที่มีชื่อ</vt:lpstr>
      </vt:variant>
      <vt:variant>
        <vt:i4>7</vt:i4>
      </vt:variant>
    </vt:vector>
  </HeadingPairs>
  <TitlesOfParts>
    <vt:vector size="25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ค้างทอ3-7-68</vt:lpstr>
      <vt:lpstr>8-7-68</vt:lpstr>
      <vt:lpstr>7-7-68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2025-07-08T02:53:16Z</dcterms:modified>
</cp:coreProperties>
</file>