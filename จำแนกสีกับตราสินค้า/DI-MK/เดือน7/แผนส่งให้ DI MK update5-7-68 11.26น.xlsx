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B3B7613B-701E-48D8-B75F-834ED60CAAA6}" xr6:coauthVersionLast="47" xr6:coauthVersionMax="47" xr10:uidLastSave="{00000000-0000-0000-0000-000000000000}"/>
  <bookViews>
    <workbookView xWindow="-120" yWindow="-120" windowWidth="29040" windowHeight="15720" tabRatio="762" firstSheet="1" activeTab="2" xr2:uid="{00000000-000D-0000-FFFF-FFFF00000000}"/>
  </bookViews>
  <sheets>
    <sheet name="Linkสูตรออร์เดอร์  (2)" sheetId="4462" r:id="rId1"/>
    <sheet name="4(Order+FC)" sheetId="4196" r:id="rId2"/>
    <sheet name="7(Order)" sheetId="4189" r:id="rId3"/>
    <sheet name="7(Order) แยกลูกค้า" sheetId="4314" r:id="rId4"/>
    <sheet name="7(Fc) แยกลูกค้า" sheetId="4042" r:id="rId5"/>
    <sheet name="6(Order+Fc) แยกลูกค้า" sheetId="4213" r:id="rId6"/>
    <sheet name="6(Order)" sheetId="4223" r:id="rId7"/>
    <sheet name="6(Order) แยกลูกค้า" sheetId="4123" r:id="rId8"/>
    <sheet name="6(Fc) แยกลูกค้" sheetId="4224" r:id="rId9"/>
    <sheet name="ค้างทอ3-7-68" sheetId="4475" r:id="rId10"/>
    <sheet name="5-7-68" sheetId="4477" r:id="rId11"/>
    <sheet name="4-7-68" sheetId="4476" r:id="rId12"/>
    <sheet name="3-7-68.1" sheetId="4473" r:id="rId13"/>
    <sheet name="3-7-68" sheetId="4472" r:id="rId14"/>
    <sheet name="2-7-68" sheetId="4471" r:id="rId15"/>
    <sheet name="1-7-68" sheetId="4470" r:id="rId16"/>
  </sheets>
  <externalReferences>
    <externalReference r:id="rId17"/>
    <externalReference r:id="rId18"/>
    <externalReference r:id="rId19"/>
  </externalReferences>
  <definedNames>
    <definedName name="_xlnm._FilterDatabase" localSheetId="15" hidden="1">'1-7-68'!$A$5:$BD$143</definedName>
    <definedName name="_xlnm._FilterDatabase" localSheetId="14" hidden="1">'2-7-68'!$A$5:$BD$162</definedName>
    <definedName name="_xlnm._FilterDatabase" localSheetId="13" hidden="1">'3-7-68'!$A$5:$BD$154</definedName>
    <definedName name="_xlnm._FilterDatabase" localSheetId="12" hidden="1">'3-7-68.1'!$A$5:$BD$160</definedName>
    <definedName name="_xlnm._FilterDatabase" localSheetId="11" hidden="1">'4-7-68'!$A$5:$BD$154</definedName>
    <definedName name="_xlnm._FilterDatabase" localSheetId="10" hidden="1">'5-7-68'!$A$5:$BD$158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6">'6(Order)'!$A$1:$G$23</definedName>
    <definedName name="_xlnm.Print_Area" localSheetId="7">'6(Order) แยกลูกค้า'!$A$4:$G$60</definedName>
    <definedName name="_xlnm.Print_Area" localSheetId="5">'6(Order+Fc) แยกลูกค้า'!$A$4:$I$80</definedName>
    <definedName name="_xlnm.Print_Area" localSheetId="4">'7(Fc) แยกลูกค้า'!$A$1:$H$39</definedName>
    <definedName name="_xlnm.Print_Area" localSheetId="2">'7(Order)'!$A$6:$G$43</definedName>
    <definedName name="_xlnm.Print_Area" localSheetId="3">'7(Order) แยกลูกค้า'!$A$4:$G$60</definedName>
    <definedName name="Z_A35135A6_BB02_445F_B09B_908EF37AECE2_.wvu.Cols" localSheetId="15" hidden="1">'1-7-68'!$A:$A,'1-7-68'!$AG:$AG</definedName>
    <definedName name="Z_A35135A6_BB02_445F_B09B_908EF37AECE2_.wvu.Cols" localSheetId="14" hidden="1">'2-7-68'!$A:$A,'2-7-68'!$AG:$AG</definedName>
    <definedName name="Z_A35135A6_BB02_445F_B09B_908EF37AECE2_.wvu.Cols" localSheetId="13" hidden="1">'3-7-68'!$A:$A,'3-7-68'!$AG:$AG</definedName>
    <definedName name="Z_A35135A6_BB02_445F_B09B_908EF37AECE2_.wvu.Cols" localSheetId="12" hidden="1">'3-7-68.1'!$A:$A,'3-7-68.1'!$AG:$AG</definedName>
    <definedName name="Z_A35135A6_BB02_445F_B09B_908EF37AECE2_.wvu.Cols" localSheetId="11" hidden="1">'4-7-68'!$A:$A,'4-7-68'!$AG:$AG</definedName>
    <definedName name="Z_A35135A6_BB02_445F_B09B_908EF37AECE2_.wvu.Cols" localSheetId="10" hidden="1">'5-7-68'!$A:$A,'5-7-68'!$AG:$AG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5" hidden="1">'1-7-68'!$B$5:$AC$143</definedName>
    <definedName name="Z_A35135A6_BB02_445F_B09B_908EF37AECE2_.wvu.FilterData" localSheetId="14" hidden="1">'2-7-68'!$B$5:$AC$162</definedName>
    <definedName name="Z_A35135A6_BB02_445F_B09B_908EF37AECE2_.wvu.FilterData" localSheetId="13" hidden="1">'3-7-68'!$B$5:$AC$154</definedName>
    <definedName name="Z_A35135A6_BB02_445F_B09B_908EF37AECE2_.wvu.FilterData" localSheetId="12" hidden="1">'3-7-68.1'!$B$5:$AC$160</definedName>
    <definedName name="Z_A35135A6_BB02_445F_B09B_908EF37AECE2_.wvu.FilterData" localSheetId="11" hidden="1">'4-7-68'!$B$5:$AC$154</definedName>
    <definedName name="Z_A35135A6_BB02_445F_B09B_908EF37AECE2_.wvu.FilterData" localSheetId="10" hidden="1">'5-7-68'!$B$5:$AC$158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5" hidden="1">'1-7-68'!$2:$2</definedName>
    <definedName name="Z_A35135A6_BB02_445F_B09B_908EF37AECE2_.wvu.Rows" localSheetId="14" hidden="1">'2-7-68'!$2:$2</definedName>
    <definedName name="Z_A35135A6_BB02_445F_B09B_908EF37AECE2_.wvu.Rows" localSheetId="13" hidden="1">'3-7-68'!$2:$2</definedName>
    <definedName name="Z_A35135A6_BB02_445F_B09B_908EF37AECE2_.wvu.Rows" localSheetId="12" hidden="1">'3-7-68.1'!$2:$2</definedName>
    <definedName name="Z_A35135A6_BB02_445F_B09B_908EF37AECE2_.wvu.Rows" localSheetId="11" hidden="1">'4-7-68'!$2:$2</definedName>
    <definedName name="Z_A35135A6_BB02_445F_B09B_908EF37AECE2_.wvu.Rows" localSheetId="10" hidden="1">'5-7-68'!$2:$2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0"/>
    <pivotCache cacheId="6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4189" l="1"/>
  <c r="L32" i="4189"/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B40" i="4475"/>
  <c r="P6" i="4475"/>
  <c r="P7" i="4475"/>
  <c r="P8" i="4475"/>
  <c r="P9" i="4475"/>
  <c r="P10" i="4475"/>
  <c r="P11" i="4475"/>
  <c r="P12" i="4475"/>
  <c r="P13" i="4475"/>
  <c r="P14" i="4475"/>
  <c r="P15" i="4475"/>
  <c r="P16" i="4475"/>
  <c r="P17" i="4475"/>
  <c r="P5" i="4475"/>
  <c r="C18" i="4475"/>
  <c r="D18" i="4475"/>
  <c r="E18" i="4475"/>
  <c r="F18" i="4475"/>
  <c r="G18" i="4475"/>
  <c r="H18" i="4475"/>
  <c r="I18" i="4475"/>
  <c r="J18" i="4475"/>
  <c r="K18" i="4475"/>
  <c r="L18" i="4475"/>
  <c r="M18" i="4475"/>
  <c r="N18" i="4475"/>
  <c r="O18" i="4475"/>
  <c r="B18" i="4475"/>
  <c r="Q4" i="4462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P18" i="4475" l="1"/>
  <c r="L11" i="4223"/>
  <c r="H43" i="4224"/>
  <c r="D36" i="4189" l="1"/>
  <c r="D34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<sst xmlns="http://schemas.openxmlformats.org/spreadsheetml/2006/main" count="13490" uniqueCount="470">
  <si>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</si>
  <si>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</si>
  <si>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</si>
  <si>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</si>
  <si>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</si>
  <si>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</si>
  <si>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</si>
  <si>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</si>
  <si>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</si>
  <si>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</si>
  <si>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</si>
  <si>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</si>
  <si>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</si>
  <si>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</si>
  <si>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</si>
  <si>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</si>
  <si>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</si>
  <si>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</si>
  <si>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</si>
  <si>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</si>
  <si>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</si>
  <si>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</si>
  <si>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</si>
  <si>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</si>
  <si>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</si>
  <si>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</si>
  <si>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</si>
  <si>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</si>
  <si>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</si>
  <si>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</si>
  <si>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</si>
  <si>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</si>
  <si>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</si>
  <si>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</si>
  <si>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</si>
  <si>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</si>
  <si>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</si>
  <si>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</si>
  <si>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</si>
  <si>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</si>
  <si>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</si>
  <si>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</si>
  <si>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</si>
  <si>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</si>
  <si>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</si>
  <si>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</si>
  <si>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</si>
  <si>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</si>
  <si>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</si>
  <si>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</si>
  <si>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</si>
  <si>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</si>
  <si>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</si>
  <si>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</si>
  <si>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</si>
  <si>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</si>
  <si>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</si>
  <si>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</si>
  <si>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</si>
  <si>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</si>
  <si>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</si>
  <si>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</si>
  <si>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</si>
  <si>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</si>
  <si>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</si>
  <si>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</si>
  <si>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</si>
  <si>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</si>
  <si>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</si>
  <si>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</si>
  <si>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</si>
  <si>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</si>
  <si>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</si>
  <si>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</si>
  <si>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</si>
  <si>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</si>
  <si>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</si>
  <si>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</si>
  <si>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</si>
  <si>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</si>
  <si>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</si>
  <si>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</si>
  <si>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</si>
  <si>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</si>
  <si>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</si>
  <si>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</si>
  <si>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</si>
  <si>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</si>
  <si>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</si>
  <si>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</si>
  <si>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</si>
  <si>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</si>
  <si>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</si>
  <si>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</si>
  <si>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</si>
  <si>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</si>
  <si>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</si>
  <si>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</si>
  <si>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</si>
  <si>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</si>
  <si>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</si>
  <si>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</si>
  <si>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</si>
  <si>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</si>
  <si>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</si>
  <si>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</si>
  <si>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</si>
  <si>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</si>
  <si>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</si>
  <si>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</si>
  <si>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</si>
  <si>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</si>
  <si>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</si>
  <si>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</si>
  <si>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</si>
  <si>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</si>
  <si>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</si>
  <si>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</si>
  <si>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</si>
  <si>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</si>
  <si>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</si>
  <si>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</si>
  <si>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</si>
  <si>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</si>
  <si>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</si>
  <si>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</si>
  <si>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</si>
  <si>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</si>
  <si>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</si>
  <si>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</si>
  <si>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</si>
  <si>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</si>
  <si>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</si>
  <si>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</si>
  <si>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</si>
  <si>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</si>
  <si>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</si>
  <si>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</si>
  <si>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</si>
  <si>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</si>
  <si>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</si>
  <si>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</si>
  <si>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</si>
  <si>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</si>
  <si>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</si>
  <si>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</si>
  <si>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</si>
  <si>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</si>
  <si>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</si>
  <si>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</si>
  <si>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</si>
  <si>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</si>
  <si>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</si>
  <si>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</si>
  <si>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</si>
  <si>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</si>
  <si>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</si>
  <si>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</si>
  <si>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</si>
  <si>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</si>
  <si>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</si>
  <si>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</si>
  <si>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</si>
  <si>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</si>
  <si>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</si>
  <si>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</si>
  <si>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</si>
  <si>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</si>
  <si>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</si>
  <si>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</si>
  <si>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</si>
  <si>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</si>
  <si>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</si>
  <si>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</si>
  <si>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</si>
  <si>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</si>
  <si>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</si>
  <si>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</si>
  <si>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</si>
  <si>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</si>
  <si>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</si>
  <si>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</si>
  <si>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</si>
  <si>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</si>
  <si>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</si>
  <si>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</si>
  <si>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</si>
  <si>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</si>
  <si>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</si>
  <si>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</si>
  <si>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</si>
  <si>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</si>
  <si>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</si>
  <si>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</si>
  <si>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</si>
  <si>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</si>
  <si>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</si>
  <si>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</si>
  <si>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</si>
  <si>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</si>
  <si>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</si>
  <si>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</si>
  <si>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</si>
  <si>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</si>
  <si>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</si>
  <si>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</si>
  <si>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</si>
  <si>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</si>
  <si>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</si>
  <si>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</si>
  <si>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</si>
  <si>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</si>
  <si>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</si>
  <si>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</si>
  <si>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</si>
  <si>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</si>
  <si>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</si>
  <si>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</si>
  <si>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</si>
  <si>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</si>
  <si>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</si>
  <si>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</si>
  <si>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</si>
  <si>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</si>
  <si>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</si>
  <si>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</si>
  <si>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</si>
  <si>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</si>
  <si>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</si>
  <si>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</si>
  <si>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</si>
  <si>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</si>
  <si>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</si>
  <si>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</si>
  <si>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</si>
  <si>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</si>
  <si>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</si>
  <si>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</si>
  <si>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</si>
  <si>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</si>
  <si>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</si>
  <si>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</si>
  <si>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</si>
  <si>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</si>
  <si>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</si>
  <si>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</si>
  <si>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</si>
  <si>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</si>
  <si>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</si>
  <si>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</si>
  <si>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</si>
  <si>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</si>
  <si>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</si>
  <si>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</si>
  <si>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</si>
  <si>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</si>
  <si>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</si>
  <si>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</si>
  <si>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</si>
  <si>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</si>
  <si>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</si>
  <si>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</si>
  <si>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</si>
  <si>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</si>
  <si>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</si>
  <si>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</si>
  <si>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</si>
  <si>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</si>
  <si>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</si>
  <si>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</si>
  <si>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</si>
  <si>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</si>
  <si>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</si>
  <si>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</si>
  <si>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</si>
  <si>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</si>
  <si>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</si>
  <si>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</si>
  <si>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</si>
  <si>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</si>
  <si>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</si>
  <si>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</si>
  <si>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</si>
  <si>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</si>
  <si>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ดวงใจ(ชมพู-ม่วง)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</si>
  <si>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</si>
  <si>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</si>
  <si>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</si>
  <si>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</si>
  <si>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</si>
  <si>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</si>
  <si>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</si>
  <si>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</si>
  <si>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</si>
  <si>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</si>
  <si>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</si>
  <si>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</si>
  <si>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</si>
  <si>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</si>
  <si>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</si>
  <si>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</si>
  <si>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</si>
  <si>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</si>
  <si>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</si>
  <si>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</si>
  <si>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</si>
  <si>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</si>
  <si>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</si>
  <si>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</si>
  <si>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</si>
  <si>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</si>
  <si>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</si>
  <si>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</si>
  <si>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</si>
  <si>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</si>
  <si>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</si>
  <si>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</si>
  <si>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</si>
  <si>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</si>
  <si>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</si>
  <si>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</si>
  <si>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</si>
  <si>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</si>
  <si>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</si>
  <si>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WSWTSCL052325650 ผลรวม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</si>
  <si>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</si>
  <si>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</si>
  <si>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</si>
  <si>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</si>
  <si>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</si>
  <si>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</si>
  <si>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</si>
  <si>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</si>
  <si>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</si>
  <si>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</si>
  <si>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</si>
  <si>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</si>
  <si>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</si>
  <si>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</si>
  <si>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</si>
  <si>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</si>
  <si>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</si>
  <si>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</si>
  <si>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</si>
  <si>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</si>
  <si>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</si>
  <si>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</si>
  <si>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</si>
  <si>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</si>
  <si>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</si>
  <si>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</si>
  <si>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</si>
  <si>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</si>
  <si>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</si>
  <si>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</si>
  <si>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</si>
  <si>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</si>
  <si>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</si>
  <si>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</si>
  <si>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</si>
  <si>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</si>
  <si>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</si>
  <si>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</si>
  <si>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</si>
  <si>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</si>
  <si>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</si>
  <si>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</si>
  <si>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</si>
  <si>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</si>
  <si>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</si>
  <si>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</si>
  <si>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</si>
  <si>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</si>
  <si>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</si>
  <si>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</si>
  <si>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</si>
  <si>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</si>
  <si>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</si>
  <si>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</si>
  <si>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</si>
  <si>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</si>
  <si>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</si>
  <si>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</si>
  <si>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</si>
  <si>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</si>
  <si>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</si>
  <si>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</si>
  <si>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</si>
  <si>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</si>
  <si>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</si>
  <si>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</si>
  <si>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</si>
  <si>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</si>
  <si>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</si>
  <si>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</si>
  <si>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</si>
  <si>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</si>
  <si>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</si>
  <si>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</si>
  <si>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</si>
  <si>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</si>
  <si>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</si>
  <si>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</si>
  <si>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</si>
  <si>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</si>
  <si>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</si>
  <si>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</si>
  <si>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</si>
  <si>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</si>
  <si>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</si>
  <si>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</si>
  <si>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</si>
  <si>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</si>
  <si>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</si>
  <si>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</si>
  <si>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</si>
  <si>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</si>
  <si>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</si>
  <si>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</si>
  <si>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</si>
  <si>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</si>
  <si>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</si>
  <si>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</si>
  <si>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</si>
  <si>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</si>
  <si>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</si>
  <si>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</si>
  <si>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</si>
  <si>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</si>
  <si>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</si>
  <si>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WSWT1625800SM ผลรวม</t>
  </si>
  <si>
    <t>WSWT2025850 ผลรวม</t>
  </si>
  <si>
    <t>WSWT19251000SM ผลรวม</t>
  </si>
  <si>
    <t>MK68-000851</t>
  </si>
  <si>
    <t>MK68-000854</t>
  </si>
  <si>
    <t>MK68-000853</t>
  </si>
  <si>
    <t>MK68-000850</t>
  </si>
  <si>
    <t>MK68-000852</t>
  </si>
  <si>
    <t>MK68-000857</t>
  </si>
  <si>
    <t>WB ฟาร์ม F914M 30kg.NM</t>
  </si>
  <si>
    <t>หนองบุญมาก</t>
  </si>
  <si>
    <t>ร้านสมคิดพันธุ์ข้าว</t>
  </si>
  <si>
    <t>ทองทั้งทุ่ง</t>
  </si>
  <si>
    <t>WSWT2125800</t>
  </si>
  <si>
    <t>WRWT210800/WRWT25800</t>
  </si>
  <si>
    <t>MK68-000856</t>
  </si>
  <si>
    <t>บจก.บลูฟาโล่</t>
  </si>
  <si>
    <t>เมอร์รี่ 882M</t>
  </si>
  <si>
    <t>เมอร์รี่ 882L</t>
  </si>
  <si>
    <t>ป้ายชื่อแถว</t>
  </si>
  <si>
    <t>ป้ายชื่อคอลัมน์</t>
  </si>
  <si>
    <t>MK68-000864</t>
  </si>
  <si>
    <t>MK68-000861</t>
  </si>
  <si>
    <t>ห่ออัดเบลแบน501</t>
  </si>
  <si>
    <t>MK68-000862</t>
  </si>
  <si>
    <t>MK68-000860</t>
  </si>
  <si>
    <t xml:space="preserve">MK68-000865 </t>
  </si>
  <si>
    <t>MK68-000859</t>
  </si>
  <si>
    <t>MK68-000866</t>
  </si>
  <si>
    <t>ปลาโลมาเทา</t>
  </si>
  <si>
    <t>PDR250212</t>
  </si>
  <si>
    <t>ถุงเงิน</t>
  </si>
  <si>
    <t>ปลาโลมาแดง</t>
  </si>
  <si>
    <t xml:space="preserve">แปดแต้มแดง  </t>
  </si>
  <si>
    <t>ดอกไม้เขียว</t>
  </si>
  <si>
    <t>PDR250213</t>
  </si>
  <si>
    <t>หีบเพลงฟ้า</t>
  </si>
  <si>
    <t>MK68-000867</t>
  </si>
  <si>
    <t>แปดแต้มแดง 25กก.</t>
  </si>
  <si>
    <t>18/7---7/7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</si>
</sst>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7" fontId="27" fillId="0" borderId="1" xfId="0" applyNumberFormat="1" applyFont="1" applyBorder="1"/>
    <xf numFmtId="187" fontId="27" fillId="0" borderId="0" xfId="0" applyNumberFormat="1" applyFont="1"/>
    <xf numFmtId="188" fontId="27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87" fontId="3" fillId="0" borderId="12" xfId="0" applyNumberFormat="1" applyFont="1" applyBorder="1" applyAlignment="1">
      <alignment vertical="center" wrapText="1"/>
    </xf>
    <xf numFmtId="188" fontId="0" fillId="0" borderId="0" xfId="0" applyNumberFormat="1" applyFill="1"/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73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MK68-000834</v>
          </cell>
          <cell r="C16">
            <v>45833</v>
          </cell>
          <cell r="E16" t="str">
            <v>บจก.น้ำตาลทิพย์สุโขทัย</v>
          </cell>
          <cell r="F16" t="str">
            <v>ไม่พิมพ์</v>
          </cell>
          <cell r="G16">
            <v>14</v>
          </cell>
          <cell r="H16">
            <v>20</v>
          </cell>
          <cell r="I16" t="str">
            <v>ขาว</v>
          </cell>
          <cell r="J16"/>
          <cell r="L16">
            <v>32</v>
          </cell>
          <cell r="M16" t="str">
            <v>±</v>
          </cell>
          <cell r="N16">
            <v>5</v>
          </cell>
          <cell r="R16" t="str">
            <v>ไม่</v>
          </cell>
          <cell r="T16">
            <v>15</v>
          </cell>
          <cell r="U16">
            <v>22</v>
          </cell>
          <cell r="V16">
            <v>40</v>
          </cell>
          <cell r="X16">
            <v>45848</v>
          </cell>
          <cell r="Z16" t="str">
            <v>500กระสอบแบน</v>
          </cell>
          <cell r="AA16">
            <v>6000</v>
          </cell>
          <cell r="AB16">
            <v>48.848418431999995</v>
          </cell>
          <cell r="AC16">
            <v>0</v>
          </cell>
          <cell r="AD16">
            <v>48.848418431999995</v>
          </cell>
          <cell r="AG16"/>
          <cell r="AI16"/>
          <cell r="AJ16">
            <v>0</v>
          </cell>
          <cell r="AL16">
            <v>6000</v>
          </cell>
          <cell r="AM16"/>
          <cell r="AN16">
            <v>0</v>
          </cell>
          <cell r="AO16" t="str">
            <v>WSWT1425800</v>
          </cell>
          <cell r="AQ16">
            <v>3604.2600000000007</v>
          </cell>
          <cell r="AR16">
            <v>3604.2600000000007</v>
          </cell>
          <cell r="AS16">
            <v>0</v>
          </cell>
          <cell r="AT16">
            <v>0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P13</v>
          </cell>
          <cell r="DM16">
            <v>2</v>
          </cell>
          <cell r="DN16">
            <v>45848</v>
          </cell>
          <cell r="DP16">
            <v>45843</v>
          </cell>
          <cell r="DQ16"/>
          <cell r="DR16"/>
          <cell r="DS16"/>
          <cell r="DT16"/>
          <cell r="DU16">
            <v>45846</v>
          </cell>
          <cell r="DW16">
            <v>45847</v>
          </cell>
          <cell r="DX16"/>
          <cell r="DY16"/>
          <cell r="DZ16"/>
          <cell r="EA16"/>
          <cell r="EB16"/>
          <cell r="EC16" t="str">
            <v>ตัด</v>
          </cell>
          <cell r="ED16"/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3604.2600000000007</v>
          </cell>
          <cell r="AR17">
            <v>3604.2600000000007</v>
          </cell>
          <cell r="AS17">
            <v>0</v>
          </cell>
          <cell r="AT17">
            <v>0</v>
          </cell>
          <cell r="AU17">
            <v>0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ใบรับคำสั่งซื้อ</v>
          </cell>
          <cell r="C18">
            <v>45842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ไม่</v>
          </cell>
          <cell r="T18">
            <v>19</v>
          </cell>
          <cell r="U18">
            <v>31</v>
          </cell>
          <cell r="V18">
            <v>40</v>
          </cell>
          <cell r="X18">
            <v>45855</v>
          </cell>
          <cell r="Z18" t="str">
            <v>500กระสอบ</v>
          </cell>
          <cell r="AA18">
            <v>5000</v>
          </cell>
          <cell r="AB18">
            <v>72.655854687999991</v>
          </cell>
          <cell r="AC18">
            <v>0</v>
          </cell>
          <cell r="AD18">
            <v>72.655854687999991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WSWT1625800SM</v>
          </cell>
          <cell r="AQ18">
            <v>4121.1500000000005</v>
          </cell>
          <cell r="AR18">
            <v>3175</v>
          </cell>
          <cell r="AS18">
            <v>946.15000000000055</v>
          </cell>
          <cell r="AT18">
            <v>3175</v>
          </cell>
          <cell r="AU18">
            <v>946.15000000000055</v>
          </cell>
          <cell r="BZ18" t="str">
            <v>WRWT25800/WRWT25800</v>
          </cell>
          <cell r="CA18">
            <v>53.825422222222265</v>
          </cell>
          <cell r="DL18" t="str">
            <v>P8</v>
          </cell>
          <cell r="DM18">
            <v>4</v>
          </cell>
          <cell r="DN18">
            <v>45855</v>
          </cell>
          <cell r="DP18">
            <v>45850</v>
          </cell>
          <cell r="DQ18">
            <v>45851</v>
          </cell>
          <cell r="DR18">
            <v>45845</v>
          </cell>
          <cell r="DS18">
            <v>45852</v>
          </cell>
          <cell r="DT18">
            <v>45853</v>
          </cell>
          <cell r="DU18">
            <v>45853</v>
          </cell>
          <cell r="DW18">
            <v>45854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>รอART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7823.2000000000007</v>
          </cell>
          <cell r="AR20">
            <v>3175</v>
          </cell>
          <cell r="AS20">
            <v>4648.2000000000007</v>
          </cell>
          <cell r="AT20">
            <v>3175</v>
          </cell>
          <cell r="AU20">
            <v>4648.2000000000007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/>
          <cell r="J22"/>
          <cell r="L22">
            <v>47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WSWT1621720SMFX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WRWT160720/WRWT21720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X24">
            <v>45868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>
            <v>45868</v>
          </cell>
          <cell r="DP24">
            <v>45863</v>
          </cell>
          <cell r="DQ24"/>
          <cell r="DR24">
            <v>45858</v>
          </cell>
          <cell r="DS24">
            <v>45865</v>
          </cell>
          <cell r="DT24">
            <v>45866</v>
          </cell>
          <cell r="DU24">
            <v>45866</v>
          </cell>
          <cell r="DW24">
            <v>45867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MK68-000830</v>
          </cell>
          <cell r="C26">
            <v>45831</v>
          </cell>
          <cell r="E26" t="str">
            <v>บจก.2เอ็ม อโกร เท็ค</v>
          </cell>
          <cell r="F26" t="str">
            <v>เลิฟซอยล์26-6-6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70</v>
          </cell>
          <cell r="X26">
            <v>45846</v>
          </cell>
          <cell r="Z26" t="str">
            <v>500กระสอบ</v>
          </cell>
          <cell r="AA26">
            <v>5000</v>
          </cell>
          <cell r="AB26">
            <v>135.35082607199999</v>
          </cell>
          <cell r="AC26">
            <v>0</v>
          </cell>
          <cell r="AD26">
            <v>135.35082607199999</v>
          </cell>
          <cell r="AG26"/>
          <cell r="AI26" t="str">
            <v>ขาด-เกินได้5%</v>
          </cell>
          <cell r="AJ26">
            <v>0</v>
          </cell>
          <cell r="AL26">
            <v>5000</v>
          </cell>
          <cell r="AM26">
            <v>5404</v>
          </cell>
          <cell r="AN26">
            <v>0</v>
          </cell>
          <cell r="AO26" t="str">
            <v>WSWT1825800SM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P8</v>
          </cell>
          <cell r="DM26">
            <v>4</v>
          </cell>
          <cell r="DN26">
            <v>45846</v>
          </cell>
          <cell r="DP26">
            <v>45841</v>
          </cell>
          <cell r="DQ26">
            <v>45842</v>
          </cell>
          <cell r="DR26">
            <v>45836</v>
          </cell>
          <cell r="DS26">
            <v>45843</v>
          </cell>
          <cell r="DT26">
            <v>45844</v>
          </cell>
          <cell r="DU26">
            <v>45844</v>
          </cell>
          <cell r="DW26">
            <v>45845</v>
          </cell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MK68-000811</v>
          </cell>
          <cell r="C28">
            <v>45827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X28">
            <v>45847</v>
          </cell>
          <cell r="Z28" t="str">
            <v>500กระสอบแบน</v>
          </cell>
          <cell r="AA28">
            <v>50000</v>
          </cell>
          <cell r="AB28">
            <v>0</v>
          </cell>
          <cell r="AC28">
            <v>0</v>
          </cell>
          <cell r="AD28">
            <v>0</v>
          </cell>
          <cell r="AG28" t="str">
            <v>เย็น8/7</v>
          </cell>
          <cell r="AI28"/>
          <cell r="AJ28">
            <v>2236</v>
          </cell>
          <cell r="AL28">
            <v>47764</v>
          </cell>
          <cell r="AM28">
            <v>20566</v>
          </cell>
          <cell r="AN28">
            <v>30905.7</v>
          </cell>
          <cell r="AO28" t="str">
            <v>WSWT1925800</v>
          </cell>
          <cell r="AQ28">
            <v>27200.415626999998</v>
          </cell>
          <cell r="AR28">
            <v>27200.415626999998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P7</v>
          </cell>
          <cell r="DM28">
            <v>2</v>
          </cell>
          <cell r="DN28">
            <v>45847</v>
          </cell>
          <cell r="DP28">
            <v>45842</v>
          </cell>
          <cell r="DQ28"/>
          <cell r="DR28">
            <v>45838</v>
          </cell>
          <cell r="DS28">
            <v>45845</v>
          </cell>
          <cell r="DT28">
            <v>45846</v>
          </cell>
          <cell r="DU28">
            <v>45846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MK68-000812</v>
          </cell>
          <cell r="C29">
            <v>45827</v>
          </cell>
          <cell r="E29" t="str">
            <v>บจก.เพรซิเดนท์ฟลาวมิลล์</v>
          </cell>
          <cell r="F29" t="str">
            <v>ผึ้งชมพู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45855</v>
          </cell>
          <cell r="Z29" t="str">
            <v>500กระสอบแบน</v>
          </cell>
          <cell r="AA29">
            <v>20000</v>
          </cell>
          <cell r="AB29">
            <v>0</v>
          </cell>
          <cell r="AC29">
            <v>0</v>
          </cell>
          <cell r="AD29">
            <v>0</v>
          </cell>
          <cell r="AG29" t="str">
            <v>เย็น16/7</v>
          </cell>
          <cell r="AI29"/>
          <cell r="AJ29">
            <v>314</v>
          </cell>
          <cell r="AL29">
            <v>19686</v>
          </cell>
          <cell r="AM29">
            <v>20900</v>
          </cell>
          <cell r="AN29">
            <v>0</v>
          </cell>
          <cell r="AO29" t="str">
            <v>WSWT1925800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0</v>
          </cell>
          <cell r="DL29" t="str">
            <v>P7</v>
          </cell>
          <cell r="DM29">
            <v>2</v>
          </cell>
          <cell r="DN29">
            <v>45855</v>
          </cell>
          <cell r="DP29">
            <v>45850</v>
          </cell>
          <cell r="DQ29"/>
          <cell r="DR29">
            <v>45846</v>
          </cell>
          <cell r="DS29">
            <v>45853</v>
          </cell>
          <cell r="DT29">
            <v>45854</v>
          </cell>
          <cell r="DU29">
            <v>45854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 xml:space="preserve"> /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บจก.ซีแมน</v>
          </cell>
          <cell r="F30" t="str">
            <v>รอแบบ</v>
          </cell>
          <cell r="G30">
            <v>19</v>
          </cell>
          <cell r="H30">
            <v>28</v>
          </cell>
          <cell r="I30" t="str">
            <v>ขาว</v>
          </cell>
          <cell r="J30"/>
          <cell r="L30">
            <v>56</v>
          </cell>
          <cell r="M30" t="str">
            <v>±</v>
          </cell>
          <cell r="N30">
            <v>5</v>
          </cell>
          <cell r="R30" t="str">
            <v>ไม่</v>
          </cell>
          <cell r="T30">
            <v>20</v>
          </cell>
          <cell r="U30">
            <v>30</v>
          </cell>
          <cell r="V30">
            <v>90</v>
          </cell>
          <cell r="X30">
            <v>45868</v>
          </cell>
          <cell r="Z30" t="str">
            <v>มัด100</v>
          </cell>
          <cell r="AA30">
            <v>60000</v>
          </cell>
          <cell r="AB30">
            <v>1998.3443903999996</v>
          </cell>
          <cell r="AC30">
            <v>0</v>
          </cell>
          <cell r="AD30">
            <v>1998.3443903999996</v>
          </cell>
          <cell r="AG30"/>
          <cell r="AI30"/>
          <cell r="AJ30">
            <v>0</v>
          </cell>
          <cell r="AL30">
            <v>60000</v>
          </cell>
          <cell r="AM30"/>
          <cell r="AN30">
            <v>63000</v>
          </cell>
          <cell r="AO30" t="str">
            <v>WSWT1925800</v>
          </cell>
          <cell r="AQ30">
            <v>49453.8</v>
          </cell>
          <cell r="AR30">
            <v>5219</v>
          </cell>
          <cell r="AS30">
            <v>44234.8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3212.4294755555566</v>
          </cell>
          <cell r="DL30" t="str">
            <v>P9</v>
          </cell>
          <cell r="DM30">
            <v>3</v>
          </cell>
          <cell r="DN30">
            <v>45868</v>
          </cell>
          <cell r="DP30">
            <v>45863</v>
          </cell>
          <cell r="DQ30"/>
          <cell r="DR30">
            <v>45858</v>
          </cell>
          <cell r="DS30">
            <v>45865</v>
          </cell>
          <cell r="DT30">
            <v>45866</v>
          </cell>
          <cell r="DU30">
            <v>45866</v>
          </cell>
          <cell r="DW30">
            <v>45867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45868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45868</v>
          </cell>
          <cell r="DP31">
            <v>45863</v>
          </cell>
          <cell r="DQ31"/>
          <cell r="DR31">
            <v>45859</v>
          </cell>
          <cell r="DS31">
            <v>45866</v>
          </cell>
          <cell r="DT31">
            <v>45867</v>
          </cell>
          <cell r="DU31">
            <v>45867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บจก.ไลม์มาสเตอร์</v>
          </cell>
          <cell r="F32" t="str">
            <v>LMC 25 kg</v>
          </cell>
          <cell r="G32">
            <v>19</v>
          </cell>
          <cell r="H32">
            <v>32</v>
          </cell>
          <cell r="I32" t="str">
            <v>ขาว</v>
          </cell>
          <cell r="J32"/>
          <cell r="L32">
            <v>64</v>
          </cell>
          <cell r="M32" t="str">
            <v>±</v>
          </cell>
          <cell r="N32">
            <v>5</v>
          </cell>
          <cell r="R32" t="str">
            <v>ไม่</v>
          </cell>
          <cell r="T32">
            <v>20</v>
          </cell>
          <cell r="U32">
            <v>35</v>
          </cell>
          <cell r="V32">
            <v>40</v>
          </cell>
          <cell r="X32">
            <v>45868</v>
          </cell>
          <cell r="Z32" t="str">
            <v>500กระสอบแบน</v>
          </cell>
          <cell r="AA32">
            <v>20000</v>
          </cell>
          <cell r="AB32">
            <v>345.39285759999996</v>
          </cell>
          <cell r="AC32">
            <v>0</v>
          </cell>
          <cell r="AD32">
            <v>345.39285759999996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18719.800000000003</v>
          </cell>
          <cell r="AR32">
            <v>0</v>
          </cell>
          <cell r="AS32">
            <v>18719.800000000003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1359.4734755555558</v>
          </cell>
          <cell r="DL32" t="str">
            <v>P9</v>
          </cell>
          <cell r="DM32">
            <v>3</v>
          </cell>
          <cell r="DN32">
            <v>45868</v>
          </cell>
          <cell r="DP32">
            <v>45863</v>
          </cell>
          <cell r="DQ32"/>
          <cell r="DR32">
            <v>45858</v>
          </cell>
          <cell r="DS32">
            <v>45865</v>
          </cell>
          <cell r="DT32">
            <v>45866</v>
          </cell>
          <cell r="DU32">
            <v>45866</v>
          </cell>
          <cell r="DW32">
            <v>45867</v>
          </cell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>
            <v>0</v>
          </cell>
          <cell r="C33"/>
          <cell r="E33"/>
          <cell r="F33"/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>
            <v>0</v>
          </cell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WSWT1925800</v>
          </cell>
          <cell r="AQ33">
            <v>130578.41562699999</v>
          </cell>
          <cell r="AR33">
            <v>32419.415626999998</v>
          </cell>
          <cell r="AS33">
            <v>98159.000000000015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B33"/>
          <cell r="EC33"/>
          <cell r="ED33"/>
          <cell r="EG33"/>
          <cell r="EH33"/>
          <cell r="EI33">
            <v>0</v>
          </cell>
        </row>
        <row r="34">
          <cell r="B34" t="str">
            <v>MK68-000831</v>
          </cell>
          <cell r="C34">
            <v>45833</v>
          </cell>
          <cell r="E34" t="str">
            <v>บจก.เคอรี่ฟลาวมิลล์</v>
          </cell>
          <cell r="F34" t="str">
            <v>BS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45845</v>
          </cell>
          <cell r="Z34" t="str">
            <v>ห่ออัดเบลแบน500</v>
          </cell>
          <cell r="AA34">
            <v>3000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PDR250207</v>
          </cell>
          <cell r="AJ34">
            <v>2794</v>
          </cell>
          <cell r="AL34">
            <v>206</v>
          </cell>
          <cell r="AM34">
            <v>3300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45845</v>
          </cell>
          <cell r="DP34">
            <v>45840</v>
          </cell>
          <cell r="DQ34"/>
          <cell r="DR34">
            <v>45836</v>
          </cell>
          <cell r="DS34">
            <v>45843</v>
          </cell>
          <cell r="DT34">
            <v>45844</v>
          </cell>
          <cell r="DU34">
            <v>45844</v>
          </cell>
          <cell r="DW34"/>
          <cell r="DX34"/>
          <cell r="DY34"/>
          <cell r="DZ34"/>
          <cell r="EB34"/>
          <cell r="EC34" t="str">
            <v>งานพิมพ์</v>
          </cell>
          <cell r="ED34"/>
          <cell r="EG34"/>
          <cell r="EH34"/>
          <cell r="EI34"/>
        </row>
        <row r="35">
          <cell r="B35" t="str">
            <v>MK68-000864</v>
          </cell>
          <cell r="C35">
            <v>45842</v>
          </cell>
          <cell r="E35" t="str">
            <v>บจก.เคอรี่ฟลาวมิลล์</v>
          </cell>
          <cell r="F35" t="str">
            <v>บะหมี่เตี๊ยว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63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45845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5091</v>
          </cell>
          <cell r="AL35">
            <v>0</v>
          </cell>
          <cell r="AM35">
            <v>5800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45845</v>
          </cell>
          <cell r="DP35">
            <v>45840</v>
          </cell>
          <cell r="DQ35"/>
          <cell r="DR35">
            <v>45836</v>
          </cell>
          <cell r="DS35">
            <v>45843</v>
          </cell>
          <cell r="DT35">
            <v>45844</v>
          </cell>
          <cell r="DU35">
            <v>45844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/>
          <cell r="EG35"/>
          <cell r="EH35"/>
          <cell r="EI35"/>
        </row>
        <row r="36">
          <cell r="B36" t="str">
            <v>MK68-000861</v>
          </cell>
          <cell r="C36">
            <v>45842</v>
          </cell>
          <cell r="E36" t="str">
            <v>บจก.เคอรี่ฟลาวมิลล์</v>
          </cell>
          <cell r="F36" t="str">
            <v>ไม่พิมพ์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63</v>
          </cell>
          <cell r="M36" t="str">
            <v>+</v>
          </cell>
          <cell r="N36">
            <v>5</v>
          </cell>
          <cell r="R36" t="str">
            <v>ไม่</v>
          </cell>
          <cell r="T36" t="str">
            <v>ไม่สวมถุงใน</v>
          </cell>
          <cell r="U36"/>
          <cell r="V36"/>
          <cell r="X36">
            <v>45853</v>
          </cell>
          <cell r="Z36" t="str">
            <v>ห่ออัดเบลแบน501</v>
          </cell>
          <cell r="AA36">
            <v>20000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20000</v>
          </cell>
          <cell r="AM36"/>
          <cell r="AN36">
            <v>0</v>
          </cell>
          <cell r="AO36" t="str">
            <v>WSWT1921720</v>
          </cell>
          <cell r="AQ36">
            <v>17602.2</v>
          </cell>
          <cell r="AR36">
            <v>17602.2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P3</v>
          </cell>
          <cell r="DM36">
            <v>1</v>
          </cell>
          <cell r="DN36">
            <v>45853</v>
          </cell>
          <cell r="DP36">
            <v>45848</v>
          </cell>
          <cell r="DQ36"/>
          <cell r="DR36"/>
          <cell r="DS36"/>
          <cell r="DT36"/>
          <cell r="DU36">
            <v>45852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/>
          <cell r="EG36"/>
          <cell r="EH36"/>
          <cell r="EI36"/>
        </row>
        <row r="37">
          <cell r="B37" t="str">
            <v>MK68-000862</v>
          </cell>
          <cell r="C37">
            <v>45842</v>
          </cell>
          <cell r="E37" t="str">
            <v>บจก.เคอรี่ฟลาวมิลล์</v>
          </cell>
          <cell r="F37" t="str">
            <v>ไม่พิมพ์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ไม่</v>
          </cell>
          <cell r="T37" t="str">
            <v>ไม่สวมถุงใน</v>
          </cell>
          <cell r="U37"/>
          <cell r="V37"/>
          <cell r="X37">
            <v>45853</v>
          </cell>
          <cell r="Z37" t="str">
            <v>ห่ออัดเบลแบน501</v>
          </cell>
          <cell r="AA37">
            <v>20000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20000</v>
          </cell>
          <cell r="AM37"/>
          <cell r="AN37">
            <v>0</v>
          </cell>
          <cell r="AO37" t="str">
            <v>WSWT1921720</v>
          </cell>
          <cell r="AQ37">
            <v>17602.2</v>
          </cell>
          <cell r="AR37">
            <v>17602.2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P3</v>
          </cell>
          <cell r="DM37">
            <v>1</v>
          </cell>
          <cell r="DN37">
            <v>45853</v>
          </cell>
          <cell r="DP37">
            <v>45848</v>
          </cell>
          <cell r="DQ37"/>
          <cell r="DR37"/>
          <cell r="DS37"/>
          <cell r="DT37"/>
          <cell r="DU37">
            <v>45852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/>
          <cell r="EG37"/>
          <cell r="EH37"/>
          <cell r="EI37"/>
        </row>
        <row r="38">
          <cell r="B38" t="str">
            <v>MK68-000866</v>
          </cell>
          <cell r="C38">
            <v>45843</v>
          </cell>
          <cell r="E38" t="str">
            <v>บจก.เคอรี่ฟลาวมิลล์</v>
          </cell>
          <cell r="F38" t="str">
            <v>ปลาโลมาเทา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45864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PDR250212</v>
          </cell>
          <cell r="AJ38">
            <v>0</v>
          </cell>
          <cell r="AL38">
            <v>5000</v>
          </cell>
          <cell r="AM38"/>
          <cell r="AN38">
            <v>5250</v>
          </cell>
          <cell r="AO38" t="str">
            <v>WSWT1921720</v>
          </cell>
          <cell r="AQ38">
            <v>4679.9500000000007</v>
          </cell>
          <cell r="AR38">
            <v>4679.9500000000007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45864</v>
          </cell>
          <cell r="DP38">
            <v>45859</v>
          </cell>
          <cell r="DQ38"/>
          <cell r="DR38">
            <v>45855</v>
          </cell>
          <cell r="DS38">
            <v>45862</v>
          </cell>
          <cell r="DT38">
            <v>45863</v>
          </cell>
          <cell r="DU38">
            <v>45863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>รอART</v>
          </cell>
          <cell r="EG38"/>
          <cell r="EH38"/>
          <cell r="EI38"/>
        </row>
        <row r="39">
          <cell r="B39" t="str">
            <v>MK68-000866</v>
          </cell>
          <cell r="C39">
            <v>45843</v>
          </cell>
          <cell r="E39" t="str">
            <v>บจก.เคอรี่ฟลาวมิลล์</v>
          </cell>
          <cell r="F39" t="str">
            <v>ถุงเงิน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45864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PDR250212</v>
          </cell>
          <cell r="AJ39">
            <v>0</v>
          </cell>
          <cell r="AL39">
            <v>5000</v>
          </cell>
          <cell r="AM39"/>
          <cell r="AN39">
            <v>5250</v>
          </cell>
          <cell r="AO39" t="str">
            <v>WSWT1921720</v>
          </cell>
          <cell r="AQ39">
            <v>4679.9500000000007</v>
          </cell>
          <cell r="AR39">
            <v>4679.9500000000007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45864</v>
          </cell>
          <cell r="DP39">
            <v>45859</v>
          </cell>
          <cell r="DQ39"/>
          <cell r="DR39">
            <v>45855</v>
          </cell>
          <cell r="DS39">
            <v>45862</v>
          </cell>
          <cell r="DT39">
            <v>45863</v>
          </cell>
          <cell r="DU39">
            <v>45863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>รอART</v>
          </cell>
          <cell r="EG39"/>
          <cell r="EH39"/>
          <cell r="EI39"/>
        </row>
        <row r="40">
          <cell r="B40" t="str">
            <v>MK68-000866</v>
          </cell>
          <cell r="C40">
            <v>45843</v>
          </cell>
          <cell r="E40" t="str">
            <v>บจก.เคอรี่ฟลาวมิลล์</v>
          </cell>
          <cell r="F40" t="str">
            <v>ปลาโลมาแดง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45864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PDR250212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4679.9500000000007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45864</v>
          </cell>
          <cell r="DP40">
            <v>45859</v>
          </cell>
          <cell r="DQ40"/>
          <cell r="DR40">
            <v>45855</v>
          </cell>
          <cell r="DS40">
            <v>45862</v>
          </cell>
          <cell r="DT40">
            <v>45863</v>
          </cell>
          <cell r="DU40">
            <v>45863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>รอART</v>
          </cell>
          <cell r="EG40"/>
          <cell r="EH40"/>
          <cell r="EI40"/>
        </row>
        <row r="41">
          <cell r="B41" t="str">
            <v>MK68-000866</v>
          </cell>
          <cell r="C41">
            <v>45843</v>
          </cell>
          <cell r="E41" t="str">
            <v>บจก.เคอรี่ฟลาวมิลล์</v>
          </cell>
          <cell r="F41" t="str">
            <v xml:space="preserve">แปดแต้มแดง  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45864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PDR250212</v>
          </cell>
          <cell r="AJ41">
            <v>0</v>
          </cell>
          <cell r="AL41">
            <v>5000</v>
          </cell>
          <cell r="AM41"/>
          <cell r="AN41">
            <v>5250</v>
          </cell>
          <cell r="AO41" t="str">
            <v>WSWT1921720</v>
          </cell>
          <cell r="AQ41">
            <v>4679.9500000000007</v>
          </cell>
          <cell r="AR41">
            <v>4679.9500000000007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45864</v>
          </cell>
          <cell r="DP41">
            <v>45859</v>
          </cell>
          <cell r="DQ41"/>
          <cell r="DR41">
            <v>45855</v>
          </cell>
          <cell r="DS41">
            <v>45862</v>
          </cell>
          <cell r="DT41">
            <v>45863</v>
          </cell>
          <cell r="DU41">
            <v>45863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>รอART</v>
          </cell>
          <cell r="EG41"/>
          <cell r="EH41"/>
          <cell r="EI41"/>
        </row>
        <row r="42">
          <cell r="B42" t="str">
            <v>MK68-000866</v>
          </cell>
          <cell r="C42">
            <v>45843</v>
          </cell>
          <cell r="E42" t="str">
            <v>บจก.เคอรี่ฟลาวมิลล์</v>
          </cell>
          <cell r="F42" t="str">
            <v>ดอกไม้เขียว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45864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PDR250212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4679.9500000000007</v>
          </cell>
          <cell r="AR42">
            <v>4679.9500000000007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45864</v>
          </cell>
          <cell r="DP42">
            <v>45859</v>
          </cell>
          <cell r="DQ42"/>
          <cell r="DR42">
            <v>45855</v>
          </cell>
          <cell r="DS42">
            <v>45862</v>
          </cell>
          <cell r="DT42">
            <v>45863</v>
          </cell>
          <cell r="DU42">
            <v>45863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>รอART</v>
          </cell>
          <cell r="EG42"/>
          <cell r="EH42"/>
          <cell r="EI42"/>
        </row>
        <row r="43">
          <cell r="B43" t="str">
            <v>MK68-000866</v>
          </cell>
          <cell r="C43">
            <v>45843</v>
          </cell>
          <cell r="E43" t="str">
            <v>บจก.เคอรี่ฟลาวมิลล์</v>
          </cell>
          <cell r="F43" t="str">
            <v>แต้มแดง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45867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PDR250213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45867</v>
          </cell>
          <cell r="DP43">
            <v>45862</v>
          </cell>
          <cell r="DQ43"/>
          <cell r="DR43">
            <v>45858</v>
          </cell>
          <cell r="DS43">
            <v>45865</v>
          </cell>
          <cell r="DT43">
            <v>45866</v>
          </cell>
          <cell r="DU43">
            <v>45866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>รอART</v>
          </cell>
          <cell r="EG43"/>
          <cell r="EH43"/>
          <cell r="EI43"/>
        </row>
        <row r="44">
          <cell r="B44" t="str">
            <v>MK68-000866</v>
          </cell>
          <cell r="C44">
            <v>45843</v>
          </cell>
          <cell r="E44" t="str">
            <v>บจก.เคอรี่ฟลาวมิลล์</v>
          </cell>
          <cell r="F44" t="str">
            <v>ดอกไม้แดง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45867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PDR250213</v>
          </cell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4679.9500000000007</v>
          </cell>
          <cell r="AR44">
            <v>4679.9500000000007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45867</v>
          </cell>
          <cell r="DP44">
            <v>45862</v>
          </cell>
          <cell r="DQ44"/>
          <cell r="DR44">
            <v>45858</v>
          </cell>
          <cell r="DS44">
            <v>45865</v>
          </cell>
          <cell r="DT44">
            <v>45866</v>
          </cell>
          <cell r="DU44">
            <v>45866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>รอART</v>
          </cell>
          <cell r="EG44"/>
          <cell r="EH44"/>
          <cell r="EI44"/>
        </row>
        <row r="45">
          <cell r="B45" t="str">
            <v>MK68-000866</v>
          </cell>
          <cell r="C45">
            <v>45843</v>
          </cell>
          <cell r="E45" t="str">
            <v>บจก.เคอรี่ฟลาวมิลล์</v>
          </cell>
          <cell r="F45" t="str">
            <v>หีบเพลงฟ้า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45867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PDR250213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4679.9500000000007</v>
          </cell>
          <cell r="AR45">
            <v>0</v>
          </cell>
          <cell r="AS45">
            <v>4679.9500000000007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352.51463377777782</v>
          </cell>
          <cell r="DL45" t="str">
            <v>P7</v>
          </cell>
          <cell r="DM45">
            <v>2</v>
          </cell>
          <cell r="DN45">
            <v>45867</v>
          </cell>
          <cell r="DP45">
            <v>45862</v>
          </cell>
          <cell r="DQ45"/>
          <cell r="DR45">
            <v>45858</v>
          </cell>
          <cell r="DS45">
            <v>45865</v>
          </cell>
          <cell r="DT45">
            <v>45866</v>
          </cell>
          <cell r="DU45">
            <v>45866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>รอART</v>
          </cell>
          <cell r="EG45"/>
          <cell r="EH45"/>
          <cell r="EI45"/>
        </row>
        <row r="46">
          <cell r="B46" t="str">
            <v>ประมาณการ</v>
          </cell>
          <cell r="C46" t="str">
            <v>ประมาณการ</v>
          </cell>
          <cell r="E46" t="str">
            <v>บจก.เคอรี่ฟลาวมิลล์</v>
          </cell>
          <cell r="F46" t="str">
            <v>รอแบบ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45868</v>
          </cell>
          <cell r="Z46" t="str">
            <v>ห่ออัดเบลแบน500</v>
          </cell>
          <cell r="AA46">
            <v>572000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0</v>
          </cell>
          <cell r="AL46">
            <v>572000</v>
          </cell>
          <cell r="AM46"/>
          <cell r="AN46">
            <v>600600</v>
          </cell>
          <cell r="AO46" t="str">
            <v>WSWT1921720</v>
          </cell>
          <cell r="AQ46">
            <v>535386.28</v>
          </cell>
          <cell r="AR46">
            <v>0</v>
          </cell>
          <cell r="AS46">
            <v>535386.28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40327.674104177771</v>
          </cell>
          <cell r="DL46" t="str">
            <v>P7</v>
          </cell>
          <cell r="DM46">
            <v>2</v>
          </cell>
          <cell r="DN46">
            <v>45868</v>
          </cell>
          <cell r="DP46">
            <v>45863</v>
          </cell>
          <cell r="DQ46"/>
          <cell r="DR46">
            <v>45859</v>
          </cell>
          <cell r="DS46">
            <v>45866</v>
          </cell>
          <cell r="DT46">
            <v>45867</v>
          </cell>
          <cell r="DU46">
            <v>45867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>
            <v>0</v>
          </cell>
          <cell r="C47"/>
          <cell r="E47"/>
          <cell r="F47"/>
          <cell r="G47">
            <v>19</v>
          </cell>
          <cell r="H47">
            <v>30</v>
          </cell>
          <cell r="I47"/>
          <cell r="J47"/>
          <cell r="L47">
            <v>63</v>
          </cell>
          <cell r="M47" t="str">
            <v>+</v>
          </cell>
          <cell r="N47">
            <v>5</v>
          </cell>
          <cell r="R47"/>
          <cell r="T47"/>
          <cell r="U47"/>
          <cell r="V47"/>
          <cell r="X47"/>
          <cell r="Z47"/>
          <cell r="AA47">
            <v>0</v>
          </cell>
          <cell r="AB47"/>
          <cell r="AC47">
            <v>0</v>
          </cell>
          <cell r="AD47"/>
          <cell r="AG47"/>
          <cell r="AI47" t="str">
            <v>ระบุในSD</v>
          </cell>
          <cell r="AJ47">
            <v>0</v>
          </cell>
          <cell r="AL47">
            <v>0</v>
          </cell>
          <cell r="AM47"/>
          <cell r="AN47">
            <v>0</v>
          </cell>
          <cell r="AO47" t="str">
            <v>WSWT1921720</v>
          </cell>
          <cell r="AQ47">
            <v>608030.28</v>
          </cell>
          <cell r="AR47">
            <v>67964.049999999988</v>
          </cell>
          <cell r="AS47">
            <v>540066.23</v>
          </cell>
          <cell r="AT47">
            <v>0</v>
          </cell>
          <cell r="AU47">
            <v>0</v>
          </cell>
          <cell r="BZ47" t="str">
            <v>WRWT190720/WRWT25800</v>
          </cell>
          <cell r="CA47">
            <v>0</v>
          </cell>
          <cell r="DL47"/>
          <cell r="DM47" t="str">
            <v>Lead time</v>
          </cell>
          <cell r="DN47"/>
          <cell r="DP47"/>
          <cell r="DQ47"/>
          <cell r="DR47"/>
          <cell r="DS47"/>
          <cell r="DT47"/>
          <cell r="DU47"/>
          <cell r="DW47"/>
          <cell r="DX47"/>
          <cell r="DY47"/>
          <cell r="DZ47"/>
          <cell r="EA47"/>
          <cell r="EB47"/>
          <cell r="EC47"/>
          <cell r="ED47"/>
          <cell r="EG47"/>
          <cell r="EH47">
            <v>0</v>
          </cell>
          <cell r="EI47">
            <v>0</v>
          </cell>
        </row>
        <row r="48">
          <cell r="B48" t="str">
            <v>ประมาณการ</v>
          </cell>
          <cell r="C48" t="str">
            <v>ประมาณการ</v>
          </cell>
          <cell r="E48" t="str">
            <v>บจก.เอเชี่ยนเคมิคัล</v>
          </cell>
          <cell r="F48" t="str">
            <v>A.C.C.</v>
          </cell>
          <cell r="G48">
            <v>19</v>
          </cell>
          <cell r="H48">
            <v>26</v>
          </cell>
          <cell r="I48" t="str">
            <v>ขาว</v>
          </cell>
          <cell r="J48" t="str">
            <v>ด้าน</v>
          </cell>
          <cell r="L48">
            <v>70</v>
          </cell>
          <cell r="M48" t="str">
            <v>±</v>
          </cell>
          <cell r="N48">
            <v>5</v>
          </cell>
          <cell r="R48" t="str">
            <v>ไม่</v>
          </cell>
          <cell r="T48">
            <v>20</v>
          </cell>
          <cell r="U48">
            <v>28</v>
          </cell>
          <cell r="V48">
            <v>50</v>
          </cell>
          <cell r="X48">
            <v>45868</v>
          </cell>
          <cell r="Z48" t="str">
            <v>มัด100</v>
          </cell>
          <cell r="AA48">
            <v>15000</v>
          </cell>
          <cell r="AB48">
            <v>259.04464319999994</v>
          </cell>
          <cell r="AC48">
            <v>0</v>
          </cell>
          <cell r="AD48">
            <v>259.04464319999994</v>
          </cell>
          <cell r="AG48"/>
          <cell r="AI48"/>
          <cell r="AJ48">
            <v>0</v>
          </cell>
          <cell r="AL48">
            <v>15000</v>
          </cell>
          <cell r="AM48"/>
          <cell r="AN48">
            <v>15750</v>
          </cell>
          <cell r="AO48" t="str">
            <v>WSWT1925800SM</v>
          </cell>
          <cell r="AQ48">
            <v>11525.250000000002</v>
          </cell>
          <cell r="AR48">
            <v>11525.250000000002</v>
          </cell>
          <cell r="AS48">
            <v>0</v>
          </cell>
          <cell r="AT48">
            <v>0</v>
          </cell>
          <cell r="AU48">
            <v>11525.250000000002</v>
          </cell>
          <cell r="BZ48" t="str">
            <v>WRWT25800/WRWT25800</v>
          </cell>
          <cell r="CA48">
            <v>0</v>
          </cell>
          <cell r="DL48" t="str">
            <v>P8</v>
          </cell>
          <cell r="DM48">
            <v>4</v>
          </cell>
          <cell r="DN48">
            <v>45868</v>
          </cell>
          <cell r="DP48">
            <v>45863</v>
          </cell>
          <cell r="DQ48">
            <v>45864</v>
          </cell>
          <cell r="DR48">
            <v>45858</v>
          </cell>
          <cell r="DS48">
            <v>45865</v>
          </cell>
          <cell r="DT48">
            <v>45866</v>
          </cell>
          <cell r="DU48">
            <v>45866</v>
          </cell>
          <cell r="DW48">
            <v>45867</v>
          </cell>
          <cell r="DX48"/>
          <cell r="DY48"/>
          <cell r="DZ48"/>
          <cell r="EA48"/>
          <cell r="EB48"/>
          <cell r="EC48" t="str">
            <v>งานเคลือบ+พิมพ์</v>
          </cell>
          <cell r="ED48"/>
          <cell r="EG48"/>
          <cell r="EH48"/>
          <cell r="EI48"/>
        </row>
        <row r="49">
          <cell r="B49">
            <v>0</v>
          </cell>
          <cell r="C49"/>
          <cell r="E49"/>
          <cell r="F49"/>
          <cell r="G49">
            <v>19</v>
          </cell>
          <cell r="H49">
            <v>30</v>
          </cell>
          <cell r="I49"/>
          <cell r="J49"/>
          <cell r="L49">
            <v>56</v>
          </cell>
          <cell r="M49" t="str">
            <v>±</v>
          </cell>
          <cell r="N49">
            <v>5</v>
          </cell>
          <cell r="R49"/>
          <cell r="T49"/>
          <cell r="U49"/>
          <cell r="V49"/>
          <cell r="X49"/>
          <cell r="Z49"/>
          <cell r="AA49">
            <v>0</v>
          </cell>
          <cell r="AB49"/>
          <cell r="AC49">
            <v>0</v>
          </cell>
          <cell r="AD49"/>
          <cell r="AG49"/>
          <cell r="AI49" t="str">
            <v>ระบุในSD</v>
          </cell>
          <cell r="AJ49" t="str">
            <v xml:space="preserve"> </v>
          </cell>
          <cell r="AL49">
            <v>0</v>
          </cell>
          <cell r="AM49"/>
          <cell r="AN49">
            <v>0</v>
          </cell>
          <cell r="AO49" t="str">
            <v>WSWT1925800SM</v>
          </cell>
          <cell r="AQ49">
            <v>11525.250000000002</v>
          </cell>
          <cell r="AR49">
            <v>11525.250000000002</v>
          </cell>
          <cell r="AS49">
            <v>0</v>
          </cell>
          <cell r="AT49">
            <v>0</v>
          </cell>
          <cell r="AU49">
            <v>11525.250000000002</v>
          </cell>
          <cell r="BZ49" t="str">
            <v>WRWT190800/WRWT25800</v>
          </cell>
          <cell r="CA49">
            <v>0</v>
          </cell>
          <cell r="DL49"/>
          <cell r="DM49" t="str">
            <v>Lead time</v>
          </cell>
          <cell r="DN49"/>
          <cell r="DP49"/>
          <cell r="DQ49"/>
          <cell r="DR49"/>
          <cell r="DS49"/>
          <cell r="DT49"/>
          <cell r="DU49"/>
          <cell r="DW49"/>
          <cell r="DX49"/>
          <cell r="DY49"/>
          <cell r="DZ49"/>
          <cell r="EA49"/>
          <cell r="EB49"/>
          <cell r="EC49"/>
          <cell r="ED49"/>
          <cell r="EG49"/>
          <cell r="EH49">
            <v>0</v>
          </cell>
          <cell r="EI49">
            <v>0</v>
          </cell>
        </row>
        <row r="50">
          <cell r="B50" t="str">
            <v>MK68-000680</v>
          </cell>
          <cell r="C50">
            <v>45796</v>
          </cell>
          <cell r="E50" t="str">
            <v>บจก.อินเทคค์ โกลบอล</v>
          </cell>
          <cell r="F50" t="str">
            <v>เพอเฟคค์103P โกลด์</v>
          </cell>
          <cell r="G50">
            <v>19</v>
          </cell>
          <cell r="H50">
            <v>34</v>
          </cell>
          <cell r="I50" t="str">
            <v>ขาว</v>
          </cell>
          <cell r="J50" t="str">
            <v>ด้าน</v>
          </cell>
          <cell r="L50">
            <v>100</v>
          </cell>
          <cell r="M50" t="str">
            <v>±</v>
          </cell>
          <cell r="N50">
            <v>5</v>
          </cell>
          <cell r="R50" t="str">
            <v>จับจีบ4"</v>
          </cell>
          <cell r="T50" t="str">
            <v>ไม่สวมถุงใน</v>
          </cell>
          <cell r="U50"/>
          <cell r="V50"/>
          <cell r="X50" t="str">
            <v>รอแจ้ง</v>
          </cell>
          <cell r="Z50" t="str">
            <v>มัด80 ใช้สายรัด</v>
          </cell>
          <cell r="AA50">
            <v>503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503</v>
          </cell>
          <cell r="AM50">
            <v>5250</v>
          </cell>
          <cell r="AN50">
            <v>0</v>
          </cell>
          <cell r="AO50" t="str">
            <v>WSWT19251000SM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WRWT251000/WRWT251000</v>
          </cell>
          <cell r="CA50">
            <v>0</v>
          </cell>
          <cell r="DL50" t="str">
            <v>P6</v>
          </cell>
          <cell r="DM50">
            <v>4</v>
          </cell>
          <cell r="DN50" t="str">
            <v>รอแจ้ง</v>
          </cell>
          <cell r="DP50" t="e">
            <v>#VALUE!</v>
          </cell>
          <cell r="DQ50" t="e">
            <v>#VALUE!</v>
          </cell>
          <cell r="DR50" t="e">
            <v>#VALUE!</v>
          </cell>
          <cell r="DS50" t="e">
            <v>#VALUE!</v>
          </cell>
          <cell r="DT50" t="e">
            <v>#VALUE!</v>
          </cell>
          <cell r="DU50" t="e">
            <v>#VALUE!</v>
          </cell>
          <cell r="DW50"/>
          <cell r="DX50"/>
          <cell r="DY50"/>
          <cell r="DZ50"/>
          <cell r="EA50"/>
          <cell r="EB50"/>
          <cell r="EC50" t="str">
            <v>งานเคลือบ+พิมพ์</v>
          </cell>
          <cell r="ED50" t="str">
            <v xml:space="preserve"> /</v>
          </cell>
          <cell r="EG50"/>
          <cell r="EH50"/>
          <cell r="EI50"/>
        </row>
        <row r="51">
          <cell r="B51">
            <v>0</v>
          </cell>
          <cell r="C51"/>
          <cell r="E51"/>
          <cell r="F51"/>
          <cell r="G51">
            <v>19</v>
          </cell>
          <cell r="H51">
            <v>34</v>
          </cell>
          <cell r="I51" t="str">
            <v>ขาว</v>
          </cell>
          <cell r="J51"/>
          <cell r="L51">
            <v>80</v>
          </cell>
          <cell r="M51" t="str">
            <v>±</v>
          </cell>
          <cell r="N51">
            <v>5</v>
          </cell>
          <cell r="R51"/>
          <cell r="T51"/>
          <cell r="U51"/>
          <cell r="V51"/>
          <cell r="X51"/>
          <cell r="Z51"/>
          <cell r="AA51"/>
          <cell r="AB51">
            <v>0</v>
          </cell>
          <cell r="AC51">
            <v>0</v>
          </cell>
          <cell r="AD51"/>
          <cell r="AG51"/>
          <cell r="AI51" t="str">
            <v>ระบุในSD</v>
          </cell>
          <cell r="AJ51"/>
          <cell r="AL51">
            <v>0</v>
          </cell>
          <cell r="AM51"/>
          <cell r="AN51">
            <v>0</v>
          </cell>
          <cell r="AO51" t="str">
            <v>WSWT19251000SM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WRWT251000/WRYL251000</v>
          </cell>
          <cell r="CA51">
            <v>0</v>
          </cell>
          <cell r="DL51"/>
          <cell r="DM51" t="str">
            <v>Lead time</v>
          </cell>
          <cell r="DN51"/>
          <cell r="DP51"/>
          <cell r="DQ51"/>
          <cell r="DR51"/>
          <cell r="DS51"/>
          <cell r="DT51"/>
          <cell r="DU51"/>
          <cell r="DW51"/>
          <cell r="DX51"/>
          <cell r="DY51"/>
          <cell r="DZ51"/>
          <cell r="EA51"/>
          <cell r="EB51"/>
          <cell r="EC51"/>
          <cell r="ED51"/>
          <cell r="EG51"/>
          <cell r="EH51"/>
          <cell r="EI51">
            <v>0</v>
          </cell>
        </row>
        <row r="52">
          <cell r="B52" t="str">
            <v>ประมาณการ</v>
          </cell>
          <cell r="C52" t="str">
            <v>ประมาณการ</v>
          </cell>
          <cell r="E52" t="str">
            <v>บจก.หนองบัวฟีดมิลล์</v>
          </cell>
          <cell r="F52" t="str">
            <v>ไม่พิมพ์</v>
          </cell>
          <cell r="G52">
            <v>20</v>
          </cell>
          <cell r="H52">
            <v>30</v>
          </cell>
          <cell r="I52" t="str">
            <v>ขาว</v>
          </cell>
          <cell r="J52"/>
          <cell r="L52">
            <v>53</v>
          </cell>
          <cell r="M52" t="str">
            <v>±</v>
          </cell>
          <cell r="N52">
            <v>5</v>
          </cell>
          <cell r="R52" t="str">
            <v>ไม่</v>
          </cell>
          <cell r="T52" t="str">
            <v>ไม่สวมถุงใน</v>
          </cell>
          <cell r="U52"/>
          <cell r="V52"/>
          <cell r="X52">
            <v>45868</v>
          </cell>
          <cell r="Z52" t="str">
            <v>500กระสอบ</v>
          </cell>
          <cell r="AA52">
            <v>20000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20000</v>
          </cell>
          <cell r="AM52"/>
          <cell r="AN52">
            <v>0</v>
          </cell>
          <cell r="AO52" t="str">
            <v>WSWT2025650</v>
          </cell>
          <cell r="AQ52">
            <v>17602.2</v>
          </cell>
          <cell r="AR52">
            <v>0</v>
          </cell>
          <cell r="AS52">
            <v>17602.2</v>
          </cell>
          <cell r="AT52">
            <v>0</v>
          </cell>
          <cell r="AU52">
            <v>0</v>
          </cell>
          <cell r="BZ52" t="str">
            <v>WRWT25650/WRWT25650</v>
          </cell>
          <cell r="CA52">
            <v>1080.5795000000001</v>
          </cell>
          <cell r="DL52" t="str">
            <v>P3</v>
          </cell>
          <cell r="DM52">
            <v>1</v>
          </cell>
          <cell r="DN52">
            <v>45868</v>
          </cell>
          <cell r="DP52">
            <v>45863</v>
          </cell>
          <cell r="DQ52"/>
          <cell r="DR52"/>
          <cell r="DS52"/>
          <cell r="DT52"/>
          <cell r="DU52">
            <v>45867</v>
          </cell>
          <cell r="DW52"/>
          <cell r="DX52"/>
          <cell r="DY52"/>
          <cell r="DZ52"/>
          <cell r="EA52"/>
          <cell r="EB52"/>
          <cell r="EC52" t="str">
            <v>ตัด</v>
          </cell>
          <cell r="ED52"/>
          <cell r="EG52"/>
          <cell r="EH52"/>
          <cell r="EI52"/>
        </row>
        <row r="53">
          <cell r="B53" t="str">
            <v>MK68-000851</v>
          </cell>
          <cell r="C53">
            <v>45839</v>
          </cell>
          <cell r="E53" t="str">
            <v>สหกรณ์โคนมพิมาย</v>
          </cell>
          <cell r="F53" t="str">
            <v>พ.ม.21 ผงใช้ในฟาร์ม(แถบบานเย็น)</v>
          </cell>
          <cell r="G53">
            <v>20</v>
          </cell>
          <cell r="H53">
            <v>37</v>
          </cell>
          <cell r="I53" t="str">
            <v>ขาว</v>
          </cell>
          <cell r="J53"/>
          <cell r="L53">
            <v>65</v>
          </cell>
          <cell r="M53" t="str">
            <v>±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45847</v>
          </cell>
          <cell r="Z53" t="str">
            <v>500กระสอบ</v>
          </cell>
          <cell r="AA53">
            <v>10000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10000</v>
          </cell>
          <cell r="AM53"/>
          <cell r="AN53">
            <v>10500</v>
          </cell>
          <cell r="AO53" t="str">
            <v>WSWT2025650</v>
          </cell>
          <cell r="AQ53">
            <v>10756.900000000001</v>
          </cell>
          <cell r="AR53">
            <v>0</v>
          </cell>
          <cell r="AS53">
            <v>10756.900000000001</v>
          </cell>
          <cell r="AT53">
            <v>0</v>
          </cell>
          <cell r="AU53">
            <v>0</v>
          </cell>
          <cell r="BZ53" t="str">
            <v>WRWT25650/WRWT25650</v>
          </cell>
          <cell r="CA53">
            <v>660.35413888888888</v>
          </cell>
          <cell r="DL53" t="str">
            <v>P7</v>
          </cell>
          <cell r="DM53">
            <v>2</v>
          </cell>
          <cell r="DN53">
            <v>45847</v>
          </cell>
          <cell r="DP53">
            <v>45842</v>
          </cell>
          <cell r="DQ53"/>
          <cell r="DR53">
            <v>45838</v>
          </cell>
          <cell r="DS53">
            <v>45845</v>
          </cell>
          <cell r="DT53">
            <v>45846</v>
          </cell>
          <cell r="DU53">
            <v>45846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/>
          <cell r="EG53"/>
          <cell r="EH53"/>
          <cell r="EI53"/>
        </row>
        <row r="54">
          <cell r="B54">
            <v>0</v>
          </cell>
          <cell r="C54"/>
          <cell r="E54"/>
          <cell r="F54"/>
          <cell r="G54">
            <v>20</v>
          </cell>
          <cell r="H54">
            <v>37</v>
          </cell>
          <cell r="I54" t="str">
            <v>ขาว</v>
          </cell>
          <cell r="J54"/>
          <cell r="L54">
            <v>65</v>
          </cell>
          <cell r="M54" t="str">
            <v>±</v>
          </cell>
          <cell r="N54">
            <v>5</v>
          </cell>
          <cell r="R54"/>
          <cell r="T54"/>
          <cell r="U54"/>
          <cell r="V54"/>
          <cell r="X54"/>
          <cell r="Z54"/>
          <cell r="AA54"/>
          <cell r="AB54">
            <v>0</v>
          </cell>
          <cell r="AC54">
            <v>0</v>
          </cell>
          <cell r="AD54"/>
          <cell r="AG54"/>
          <cell r="AI54" t="str">
            <v>ระบุในSD</v>
          </cell>
          <cell r="AJ54"/>
          <cell r="AL54">
            <v>0</v>
          </cell>
          <cell r="AM54"/>
          <cell r="AN54">
            <v>0</v>
          </cell>
          <cell r="AO54" t="str">
            <v>WSWT2025650</v>
          </cell>
          <cell r="AQ54">
            <v>28359.100000000002</v>
          </cell>
          <cell r="AR54">
            <v>0</v>
          </cell>
          <cell r="AS54">
            <v>28359.100000000002</v>
          </cell>
          <cell r="AT54">
            <v>0</v>
          </cell>
          <cell r="AU54">
            <v>0</v>
          </cell>
          <cell r="BZ54" t="str">
            <v>WRWT25650/WRWT25650</v>
          </cell>
          <cell r="CA54">
            <v>0</v>
          </cell>
          <cell r="DL54"/>
          <cell r="DM54" t="str">
            <v>Lead time</v>
          </cell>
          <cell r="DN54"/>
          <cell r="DP54"/>
          <cell r="DQ54"/>
          <cell r="DR54"/>
          <cell r="DS54"/>
          <cell r="DT54"/>
          <cell r="DU54"/>
          <cell r="DW54"/>
          <cell r="DX54"/>
          <cell r="DY54"/>
          <cell r="DZ54"/>
          <cell r="EA54"/>
          <cell r="EB54"/>
          <cell r="EC54"/>
          <cell r="ED54"/>
          <cell r="EG54"/>
          <cell r="EH54"/>
          <cell r="EI54">
            <v>0</v>
          </cell>
        </row>
        <row r="55">
          <cell r="B55">
            <v>0</v>
          </cell>
          <cell r="C55"/>
          <cell r="E55"/>
          <cell r="F55"/>
          <cell r="G55">
            <v>20</v>
          </cell>
          <cell r="H55">
            <v>37</v>
          </cell>
          <cell r="I55" t="str">
            <v>ขาว</v>
          </cell>
          <cell r="J55"/>
          <cell r="L55">
            <v>70</v>
          </cell>
          <cell r="M55" t="str">
            <v>±</v>
          </cell>
          <cell r="N55">
            <v>5</v>
          </cell>
          <cell r="R55"/>
          <cell r="T55"/>
          <cell r="U55"/>
          <cell r="V55"/>
          <cell r="X55"/>
          <cell r="Z55"/>
          <cell r="AA55"/>
          <cell r="AB55">
            <v>0</v>
          </cell>
          <cell r="AC55">
            <v>0</v>
          </cell>
          <cell r="AD55"/>
          <cell r="AG55"/>
          <cell r="AI55" t="str">
            <v>ระบุในSD</v>
          </cell>
          <cell r="AJ55"/>
          <cell r="AL55">
            <v>0</v>
          </cell>
          <cell r="AM55"/>
          <cell r="AN55">
            <v>0</v>
          </cell>
          <cell r="AO55" t="str">
            <v>WSWT2025700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BZ55" t="str">
            <v>WRWT25800/WRWT25650</v>
          </cell>
          <cell r="CA55">
            <v>0</v>
          </cell>
          <cell r="DL55"/>
          <cell r="DM55" t="str">
            <v>Lead time</v>
          </cell>
          <cell r="DN55"/>
          <cell r="DP55"/>
          <cell r="DQ55"/>
          <cell r="DR55"/>
          <cell r="DS55"/>
          <cell r="DT55"/>
          <cell r="DU55"/>
          <cell r="DW55"/>
          <cell r="DX55"/>
          <cell r="DY55"/>
          <cell r="DZ55"/>
          <cell r="EA55"/>
          <cell r="EB55"/>
          <cell r="EC55"/>
          <cell r="ED55"/>
          <cell r="EG55"/>
          <cell r="EH55"/>
          <cell r="EI55">
            <v>0</v>
          </cell>
        </row>
        <row r="56">
          <cell r="B56" t="str">
            <v>MK68-000796</v>
          </cell>
          <cell r="C56">
            <v>45825</v>
          </cell>
          <cell r="E56" t="str">
            <v>บจก.อินเทคค์ โกลบอล</v>
          </cell>
          <cell r="F56" t="str">
            <v>เฟิร์สช้อย 911</v>
          </cell>
          <cell r="G56">
            <v>20</v>
          </cell>
          <cell r="H56">
            <v>36</v>
          </cell>
          <cell r="I56" t="str">
            <v>ขาว</v>
          </cell>
          <cell r="J56" t="str">
            <v>ด้าน</v>
          </cell>
          <cell r="L56">
            <v>100</v>
          </cell>
          <cell r="M56" t="str">
            <v>±</v>
          </cell>
          <cell r="N56">
            <v>5</v>
          </cell>
          <cell r="R56" t="str">
            <v>จับจีบ4"</v>
          </cell>
          <cell r="T56" t="str">
            <v>ไม่สวมถุงใน</v>
          </cell>
          <cell r="U56"/>
          <cell r="V56"/>
          <cell r="X56">
            <v>45843</v>
          </cell>
          <cell r="Z56" t="str">
            <v>มัด80 ใช้สายรัด</v>
          </cell>
          <cell r="AA56">
            <v>127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127</v>
          </cell>
          <cell r="AM56">
            <v>6000</v>
          </cell>
          <cell r="AN56">
            <v>0</v>
          </cell>
          <cell r="AO56" t="str">
            <v>WSWT2025800SM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WRWT25850/WRWT25850</v>
          </cell>
          <cell r="CA56">
            <v>0</v>
          </cell>
          <cell r="DL56" t="str">
            <v>P6</v>
          </cell>
          <cell r="DM56">
            <v>4</v>
          </cell>
          <cell r="DN56">
            <v>45843</v>
          </cell>
          <cell r="DP56">
            <v>45838</v>
          </cell>
          <cell r="DQ56">
            <v>45839</v>
          </cell>
          <cell r="DR56">
            <v>45832</v>
          </cell>
          <cell r="DS56">
            <v>45840</v>
          </cell>
          <cell r="DT56">
            <v>45841</v>
          </cell>
          <cell r="DU56">
            <v>45842</v>
          </cell>
          <cell r="DW56"/>
          <cell r="DX56"/>
          <cell r="DY56"/>
          <cell r="DZ56"/>
          <cell r="EA56"/>
          <cell r="EB56"/>
          <cell r="EC56" t="str">
            <v>งานเคลือบ+พิมพ์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MK68-000609</v>
          </cell>
          <cell r="C57">
            <v>45782</v>
          </cell>
          <cell r="E57" t="str">
            <v>บจก.เอสพีเอ็ม อาหารสัตว์</v>
          </cell>
          <cell r="F57" t="str">
            <v xml:space="preserve">SW 441 </v>
          </cell>
          <cell r="G57">
            <v>20</v>
          </cell>
          <cell r="H57">
            <v>38</v>
          </cell>
          <cell r="I57" t="str">
            <v>ขาว</v>
          </cell>
          <cell r="J57" t="str">
            <v>ใส</v>
          </cell>
          <cell r="L57">
            <v>100</v>
          </cell>
          <cell r="M57" t="str">
            <v>±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45846</v>
          </cell>
          <cell r="Z57" t="str">
            <v>500กระสอบแบน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3318</v>
          </cell>
          <cell r="AL57">
            <v>1682</v>
          </cell>
          <cell r="AM57">
            <v>5538</v>
          </cell>
          <cell r="AN57">
            <v>0</v>
          </cell>
          <cell r="AO57" t="str">
            <v>WSWT2025800SM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WRWT25850/WRWT25850</v>
          </cell>
          <cell r="CA57">
            <v>0</v>
          </cell>
          <cell r="DL57" t="str">
            <v>P6</v>
          </cell>
          <cell r="DM57">
            <v>4</v>
          </cell>
          <cell r="DN57">
            <v>45846</v>
          </cell>
          <cell r="DP57">
            <v>45841</v>
          </cell>
          <cell r="DQ57">
            <v>45842</v>
          </cell>
          <cell r="DR57">
            <v>45835</v>
          </cell>
          <cell r="DS57">
            <v>45843</v>
          </cell>
          <cell r="DT57">
            <v>45844</v>
          </cell>
          <cell r="DU57">
            <v>45845</v>
          </cell>
          <cell r="DW57"/>
          <cell r="DX57"/>
          <cell r="DY57"/>
          <cell r="DZ57"/>
          <cell r="EA57"/>
          <cell r="EB57"/>
          <cell r="EC57" t="str">
            <v>งานเคลือบ+พิมพ์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MK68-000741</v>
          </cell>
          <cell r="C58">
            <v>45810</v>
          </cell>
          <cell r="E58" t="str">
            <v>บจก.เอสพีเอ็ม อาหารสัตว์</v>
          </cell>
          <cell r="F58" t="str">
            <v>SPM 915</v>
          </cell>
          <cell r="G58">
            <v>20</v>
          </cell>
          <cell r="H58">
            <v>38</v>
          </cell>
          <cell r="I58" t="str">
            <v>ขาว</v>
          </cell>
          <cell r="J58" t="str">
            <v>ด้าน</v>
          </cell>
          <cell r="L58">
            <v>100</v>
          </cell>
          <cell r="M58" t="str">
            <v>±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45846</v>
          </cell>
          <cell r="Z58" t="str">
            <v>500กระสอบแบน</v>
          </cell>
          <cell r="AA58">
            <v>3000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3000</v>
          </cell>
          <cell r="AM58"/>
          <cell r="AN58">
            <v>3150</v>
          </cell>
          <cell r="AO58" t="str">
            <v>WSWT2025800SM</v>
          </cell>
          <cell r="AQ58">
            <v>3310.89</v>
          </cell>
          <cell r="AR58">
            <v>3310.89</v>
          </cell>
          <cell r="AS58">
            <v>0</v>
          </cell>
          <cell r="AT58">
            <v>3310.89</v>
          </cell>
          <cell r="AU58">
            <v>0</v>
          </cell>
          <cell r="BZ58" t="str">
            <v>WRWT25850/WRWT25850</v>
          </cell>
          <cell r="CA58">
            <v>0</v>
          </cell>
          <cell r="DL58" t="str">
            <v>P6</v>
          </cell>
          <cell r="DM58">
            <v>4</v>
          </cell>
          <cell r="DN58">
            <v>45846</v>
          </cell>
          <cell r="DP58">
            <v>45841</v>
          </cell>
          <cell r="DQ58">
            <v>45842</v>
          </cell>
          <cell r="DR58">
            <v>45835</v>
          </cell>
          <cell r="DS58">
            <v>45843</v>
          </cell>
          <cell r="DT58">
            <v>45844</v>
          </cell>
          <cell r="DU58">
            <v>45845</v>
          </cell>
          <cell r="DW58"/>
          <cell r="DX58"/>
          <cell r="DY58"/>
          <cell r="DZ58"/>
          <cell r="EA58"/>
          <cell r="EB58"/>
          <cell r="EC58" t="str">
            <v>งานเคลือบ+พิมพ์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MK68-000854</v>
          </cell>
          <cell r="C59">
            <v>45839</v>
          </cell>
          <cell r="E59" t="str">
            <v>บจก.วีซีเอฟ</v>
          </cell>
          <cell r="F59" t="str">
            <v>VC 181</v>
          </cell>
          <cell r="G59">
            <v>20</v>
          </cell>
          <cell r="H59">
            <v>37</v>
          </cell>
          <cell r="I59" t="str">
            <v>ขาว</v>
          </cell>
          <cell r="J59" t="str">
            <v>ใส</v>
          </cell>
          <cell r="L59">
            <v>100</v>
          </cell>
          <cell r="M59" t="str">
            <v>±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45847</v>
          </cell>
          <cell r="Z59" t="str">
            <v>500กระสอบแบน</v>
          </cell>
          <cell r="AA59">
            <v>20000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20000</v>
          </cell>
          <cell r="AM59">
            <v>20200</v>
          </cell>
          <cell r="AN59">
            <v>0</v>
          </cell>
          <cell r="AO59" t="str">
            <v>WSWT2025800SM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Z59" t="str">
            <v>WRWT25850/WRWT25850</v>
          </cell>
          <cell r="CA59">
            <v>0</v>
          </cell>
          <cell r="DL59" t="str">
            <v>P6</v>
          </cell>
          <cell r="DM59">
            <v>4</v>
          </cell>
          <cell r="DN59">
            <v>45847</v>
          </cell>
          <cell r="DP59">
            <v>45842</v>
          </cell>
          <cell r="DQ59">
            <v>45843</v>
          </cell>
          <cell r="DR59">
            <v>45836</v>
          </cell>
          <cell r="DS59">
            <v>45844</v>
          </cell>
          <cell r="DT59">
            <v>45845</v>
          </cell>
          <cell r="DU59">
            <v>45846</v>
          </cell>
          <cell r="DW59"/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MK68-000853</v>
          </cell>
          <cell r="C60">
            <v>45839</v>
          </cell>
          <cell r="E60" t="str">
            <v>บจก.วีซีเอฟ</v>
          </cell>
          <cell r="F60" t="str">
            <v>JET 153</v>
          </cell>
          <cell r="G60">
            <v>20</v>
          </cell>
          <cell r="H60">
            <v>37</v>
          </cell>
          <cell r="I60" t="str">
            <v>ขาว</v>
          </cell>
          <cell r="J60" t="str">
            <v>ใส</v>
          </cell>
          <cell r="L60">
            <v>100</v>
          </cell>
          <cell r="M60" t="str">
            <v>±</v>
          </cell>
          <cell r="N60">
            <v>5</v>
          </cell>
          <cell r="R60" t="str">
            <v>ไม่</v>
          </cell>
          <cell r="T60" t="str">
            <v>ไม่สวมถุงใน</v>
          </cell>
          <cell r="U60"/>
          <cell r="V60"/>
          <cell r="X60">
            <v>45852</v>
          </cell>
          <cell r="Z60" t="str">
            <v>500กระสอบแบน</v>
          </cell>
          <cell r="AA60">
            <v>10000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10000</v>
          </cell>
          <cell r="AM60"/>
          <cell r="AN60">
            <v>10500</v>
          </cell>
          <cell r="AO60" t="str">
            <v>WSWT2025800SM</v>
          </cell>
          <cell r="AQ60">
            <v>10756.900000000001</v>
          </cell>
          <cell r="AR60">
            <v>10756.900000000001</v>
          </cell>
          <cell r="AS60">
            <v>0</v>
          </cell>
          <cell r="AT60">
            <v>0</v>
          </cell>
          <cell r="AU60">
            <v>10756.900000000001</v>
          </cell>
          <cell r="BZ60" t="str">
            <v>WRWT25850/WRWT25850</v>
          </cell>
          <cell r="CA60">
            <v>0</v>
          </cell>
          <cell r="DL60" t="str">
            <v>P6</v>
          </cell>
          <cell r="DM60">
            <v>4</v>
          </cell>
          <cell r="DN60">
            <v>45852</v>
          </cell>
          <cell r="DP60">
            <v>45847</v>
          </cell>
          <cell r="DQ60">
            <v>45848</v>
          </cell>
          <cell r="DR60">
            <v>45841</v>
          </cell>
          <cell r="DS60">
            <v>45849</v>
          </cell>
          <cell r="DT60">
            <v>45850</v>
          </cell>
          <cell r="DU60">
            <v>45851</v>
          </cell>
          <cell r="DW60"/>
          <cell r="DX60"/>
          <cell r="DY60"/>
          <cell r="DZ60"/>
          <cell r="EA60"/>
          <cell r="EB60"/>
          <cell r="EC60" t="str">
            <v>งานเคลือบ+พิมพ์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MK68-000853</v>
          </cell>
          <cell r="C61">
            <v>45839</v>
          </cell>
          <cell r="E61" t="str">
            <v>บจก.วีซีเอฟ</v>
          </cell>
          <cell r="F61" t="str">
            <v>SPEED PLUS 333 เขมร</v>
          </cell>
          <cell r="G61">
            <v>20</v>
          </cell>
          <cell r="H61">
            <v>37</v>
          </cell>
          <cell r="I61" t="str">
            <v>ขาว</v>
          </cell>
          <cell r="J61" t="str">
            <v>ใส</v>
          </cell>
          <cell r="L61">
            <v>100</v>
          </cell>
          <cell r="M61" t="str">
            <v>±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45852</v>
          </cell>
          <cell r="Z61" t="str">
            <v>500กระสอบแบน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WSWT2025800SM</v>
          </cell>
          <cell r="AQ61">
            <v>5378.4500000000007</v>
          </cell>
          <cell r="AR61">
            <v>0</v>
          </cell>
          <cell r="AS61">
            <v>5378.4500000000007</v>
          </cell>
          <cell r="AT61">
            <v>0</v>
          </cell>
          <cell r="AU61">
            <v>5378.4500000000007</v>
          </cell>
          <cell r="BZ61" t="str">
            <v>WRWT25850/WRWT25850</v>
          </cell>
          <cell r="CA61">
            <v>406.37177777777782</v>
          </cell>
          <cell r="DL61" t="str">
            <v>P6</v>
          </cell>
          <cell r="DM61">
            <v>4</v>
          </cell>
          <cell r="DN61">
            <v>45852</v>
          </cell>
          <cell r="DP61">
            <v>45847</v>
          </cell>
          <cell r="DQ61">
            <v>45848</v>
          </cell>
          <cell r="DR61">
            <v>45841</v>
          </cell>
          <cell r="DS61">
            <v>45849</v>
          </cell>
          <cell r="DT61">
            <v>45850</v>
          </cell>
          <cell r="DU61">
            <v>45851</v>
          </cell>
          <cell r="DW61"/>
          <cell r="DX61"/>
          <cell r="DY61"/>
          <cell r="DZ61"/>
          <cell r="EA61"/>
          <cell r="EB61"/>
          <cell r="EC61" t="str">
            <v>งานเคลือบ+พิมพ์</v>
          </cell>
          <cell r="ED61" t="str">
            <v>รอART</v>
          </cell>
          <cell r="EG61"/>
          <cell r="EH61"/>
          <cell r="EI61"/>
        </row>
        <row r="62">
          <cell r="B62" t="str">
            <v>MK68-000806</v>
          </cell>
          <cell r="C62">
            <v>45826</v>
          </cell>
          <cell r="E62" t="str">
            <v>บจก.เอพีเอ็ม อะโกร</v>
          </cell>
          <cell r="F62" t="str">
            <v>ฟีล กู๊ด พี6</v>
          </cell>
          <cell r="G62">
            <v>20</v>
          </cell>
          <cell r="H62">
            <v>38</v>
          </cell>
          <cell r="I62" t="str">
            <v>ขาว</v>
          </cell>
          <cell r="J62" t="str">
            <v>ใส</v>
          </cell>
          <cell r="L62">
            <v>100</v>
          </cell>
          <cell r="M62" t="str">
            <v>±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45856</v>
          </cell>
          <cell r="Z62" t="str">
            <v>500กระสอบแบน</v>
          </cell>
          <cell r="AA62">
            <v>3000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3000</v>
          </cell>
          <cell r="AM62"/>
          <cell r="AN62">
            <v>3150</v>
          </cell>
          <cell r="AO62" t="str">
            <v>WSWT2025800SM</v>
          </cell>
          <cell r="AQ62">
            <v>3310.89</v>
          </cell>
          <cell r="AR62">
            <v>3310.89</v>
          </cell>
          <cell r="AS62">
            <v>0</v>
          </cell>
          <cell r="AT62">
            <v>3310.89</v>
          </cell>
          <cell r="AU62">
            <v>0</v>
          </cell>
          <cell r="BZ62" t="str">
            <v>WRWT25850/WRWT25850</v>
          </cell>
          <cell r="CA62">
            <v>0</v>
          </cell>
          <cell r="DL62" t="str">
            <v>P6</v>
          </cell>
          <cell r="DM62">
            <v>4</v>
          </cell>
          <cell r="DN62">
            <v>45856</v>
          </cell>
          <cell r="DP62">
            <v>45851</v>
          </cell>
          <cell r="DQ62">
            <v>45852</v>
          </cell>
          <cell r="DR62">
            <v>45845</v>
          </cell>
          <cell r="DS62">
            <v>45853</v>
          </cell>
          <cell r="DT62">
            <v>45854</v>
          </cell>
          <cell r="DU62">
            <v>45855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MK68-000853</v>
          </cell>
          <cell r="C63">
            <v>45839</v>
          </cell>
          <cell r="E63" t="str">
            <v>บจก.วีซีเอฟ</v>
          </cell>
          <cell r="F63" t="str">
            <v>R FEED 405A</v>
          </cell>
          <cell r="G63">
            <v>20</v>
          </cell>
          <cell r="H63">
            <v>37</v>
          </cell>
          <cell r="I63" t="str">
            <v>ขาว</v>
          </cell>
          <cell r="J63" t="str">
            <v>ใส</v>
          </cell>
          <cell r="L63">
            <v>100</v>
          </cell>
          <cell r="M63" t="str">
            <v>±</v>
          </cell>
          <cell r="N63">
            <v>5</v>
          </cell>
          <cell r="R63" t="str">
            <v>ไม่</v>
          </cell>
          <cell r="T63" t="str">
            <v>ไม่สวมถุงใน</v>
          </cell>
          <cell r="U63"/>
          <cell r="V63"/>
          <cell r="X63">
            <v>45861</v>
          </cell>
          <cell r="Z63" t="str">
            <v>500กระสอบแบน</v>
          </cell>
          <cell r="AA63">
            <v>10000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10000</v>
          </cell>
          <cell r="AM63"/>
          <cell r="AN63">
            <v>10500</v>
          </cell>
          <cell r="AO63" t="str">
            <v>WSWT2025800SM</v>
          </cell>
          <cell r="AQ63">
            <v>10756.900000000001</v>
          </cell>
          <cell r="AR63">
            <v>0</v>
          </cell>
          <cell r="AS63">
            <v>10756.900000000001</v>
          </cell>
          <cell r="AT63">
            <v>0</v>
          </cell>
          <cell r="AU63">
            <v>10756.900000000001</v>
          </cell>
          <cell r="BZ63" t="str">
            <v>WRWT25850/WRWT25850</v>
          </cell>
          <cell r="CA63">
            <v>812.74355555555564</v>
          </cell>
          <cell r="DL63" t="str">
            <v>P6</v>
          </cell>
          <cell r="DM63">
            <v>4</v>
          </cell>
          <cell r="DN63">
            <v>45861</v>
          </cell>
          <cell r="DP63">
            <v>45856</v>
          </cell>
          <cell r="DQ63">
            <v>45857</v>
          </cell>
          <cell r="DR63">
            <v>45850</v>
          </cell>
          <cell r="DS63">
            <v>45858</v>
          </cell>
          <cell r="DT63">
            <v>45859</v>
          </cell>
          <cell r="DU63">
            <v>45860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>รอART</v>
          </cell>
          <cell r="EG63"/>
          <cell r="EH63"/>
          <cell r="EI63"/>
        </row>
        <row r="64">
          <cell r="B64" t="str">
            <v>ประมาณการ</v>
          </cell>
          <cell r="C64" t="str">
            <v>ประมาณการ</v>
          </cell>
          <cell r="E64" t="str">
            <v>บจก.อินเทคค์ โกลบอล</v>
          </cell>
          <cell r="F64" t="str">
            <v>รอแบบ</v>
          </cell>
          <cell r="G64">
            <v>20</v>
          </cell>
          <cell r="H64">
            <v>36</v>
          </cell>
          <cell r="I64" t="str">
            <v>ขาว</v>
          </cell>
          <cell r="J64" t="str">
            <v>ด้าน</v>
          </cell>
          <cell r="L64">
            <v>100</v>
          </cell>
          <cell r="M64" t="str">
            <v>±</v>
          </cell>
          <cell r="N64">
            <v>5</v>
          </cell>
          <cell r="R64" t="str">
            <v>จับจีบ</v>
          </cell>
          <cell r="T64" t="str">
            <v>ไม่สวมถุงใน</v>
          </cell>
          <cell r="U64"/>
          <cell r="V64"/>
          <cell r="X64">
            <v>45868</v>
          </cell>
          <cell r="Z64" t="str">
            <v>มัด80 ใช้สายรัด</v>
          </cell>
          <cell r="AA64">
            <v>100000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100000</v>
          </cell>
          <cell r="AM64"/>
          <cell r="AN64">
            <v>105000</v>
          </cell>
          <cell r="AO64" t="str">
            <v>WSWT2025800SM</v>
          </cell>
          <cell r="AQ64">
            <v>104775.00000000001</v>
          </cell>
          <cell r="AR64">
            <v>0</v>
          </cell>
          <cell r="AS64">
            <v>104775.00000000001</v>
          </cell>
          <cell r="AT64">
            <v>0</v>
          </cell>
          <cell r="AU64">
            <v>104775.00000000001</v>
          </cell>
          <cell r="BZ64" t="str">
            <v>WRWT25850/WRWT25850</v>
          </cell>
          <cell r="CA64">
            <v>7916.333333333333</v>
          </cell>
          <cell r="DL64" t="str">
            <v>P6</v>
          </cell>
          <cell r="DM64">
            <v>4</v>
          </cell>
          <cell r="DN64">
            <v>45868</v>
          </cell>
          <cell r="DP64">
            <v>45863</v>
          </cell>
          <cell r="DQ64">
            <v>45864</v>
          </cell>
          <cell r="DR64">
            <v>45857</v>
          </cell>
          <cell r="DS64">
            <v>45865</v>
          </cell>
          <cell r="DT64">
            <v>45866</v>
          </cell>
          <cell r="DU64">
            <v>45867</v>
          </cell>
          <cell r="DW64"/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>รอART</v>
          </cell>
          <cell r="EG64"/>
          <cell r="EH64"/>
          <cell r="EI64"/>
        </row>
        <row r="65">
          <cell r="B65" t="str">
            <v>ประมาณการ</v>
          </cell>
          <cell r="C65" t="str">
            <v>ประมาณการ</v>
          </cell>
          <cell r="E65" t="str">
            <v>บจก.เอสพีเอ็ม อาหารสัตว์</v>
          </cell>
          <cell r="F65" t="str">
            <v>รอแบบ</v>
          </cell>
          <cell r="G65">
            <v>20</v>
          </cell>
          <cell r="H65">
            <v>38</v>
          </cell>
          <cell r="I65" t="str">
            <v>ขาว</v>
          </cell>
          <cell r="J65" t="str">
            <v>ใส</v>
          </cell>
          <cell r="L65">
            <v>100</v>
          </cell>
          <cell r="M65" t="str">
            <v>±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45868</v>
          </cell>
          <cell r="Z65" t="str">
            <v>500กระสอบแบน</v>
          </cell>
          <cell r="AA65">
            <v>20000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20000</v>
          </cell>
          <cell r="AM65"/>
          <cell r="AN65">
            <v>21000</v>
          </cell>
          <cell r="AO65" t="str">
            <v>WSWT2025800SM</v>
          </cell>
          <cell r="AQ65">
            <v>22072.6</v>
          </cell>
          <cell r="AR65">
            <v>0</v>
          </cell>
          <cell r="AS65">
            <v>22072.6</v>
          </cell>
          <cell r="AT65">
            <v>0</v>
          </cell>
          <cell r="AU65">
            <v>22072.6</v>
          </cell>
          <cell r="BZ65" t="str">
            <v>WRWT25850/WRWT25850</v>
          </cell>
          <cell r="CA65">
            <v>1667.7075555555555</v>
          </cell>
          <cell r="DL65" t="str">
            <v>P6</v>
          </cell>
          <cell r="DM65">
            <v>4</v>
          </cell>
          <cell r="DN65">
            <v>45868</v>
          </cell>
          <cell r="DP65">
            <v>45863</v>
          </cell>
          <cell r="DQ65">
            <v>45864</v>
          </cell>
          <cell r="DR65">
            <v>45857</v>
          </cell>
          <cell r="DS65">
            <v>45865</v>
          </cell>
          <cell r="DT65">
            <v>45866</v>
          </cell>
          <cell r="DU65">
            <v>45867</v>
          </cell>
          <cell r="DW65"/>
          <cell r="DX65"/>
          <cell r="DY65"/>
          <cell r="DZ65"/>
          <cell r="EA65"/>
          <cell r="EB65"/>
          <cell r="EC65" t="str">
            <v>งานเคลือบ+พิมพ์</v>
          </cell>
          <cell r="ED65" t="str">
            <v>รอART</v>
          </cell>
          <cell r="EG65"/>
          <cell r="EH65"/>
          <cell r="EI65"/>
        </row>
        <row r="66">
          <cell r="B66" t="str">
            <v>ประมาณการ</v>
          </cell>
          <cell r="C66" t="str">
            <v>ประมาณการ</v>
          </cell>
          <cell r="E66" t="str">
            <v>บจก.ไทยธรรมดี</v>
          </cell>
          <cell r="F66" t="str">
            <v>รอแบบ</v>
          </cell>
          <cell r="G66">
            <v>20</v>
          </cell>
          <cell r="H66">
            <v>37</v>
          </cell>
          <cell r="I66" t="str">
            <v>ขาว</v>
          </cell>
          <cell r="J66" t="str">
            <v>ด้าน</v>
          </cell>
          <cell r="L66">
            <v>97</v>
          </cell>
          <cell r="M66" t="str">
            <v>±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45868</v>
          </cell>
          <cell r="Z66" t="str">
            <v>500กระสอบ</v>
          </cell>
          <cell r="AA66">
            <v>20000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20000</v>
          </cell>
          <cell r="AM66"/>
          <cell r="AN66">
            <v>21000</v>
          </cell>
          <cell r="AO66" t="str">
            <v>WSWT2025800SM</v>
          </cell>
          <cell r="AQ66">
            <v>21513.800000000003</v>
          </cell>
          <cell r="AR66">
            <v>0</v>
          </cell>
          <cell r="AS66">
            <v>21513.800000000003</v>
          </cell>
          <cell r="AT66">
            <v>0</v>
          </cell>
          <cell r="AU66">
            <v>21513.800000000003</v>
          </cell>
          <cell r="BZ66" t="str">
            <v>WRWT25850/WRWT25850</v>
          </cell>
          <cell r="CA66">
            <v>1625.4871111111113</v>
          </cell>
          <cell r="DL66" t="str">
            <v>P6</v>
          </cell>
          <cell r="DM66">
            <v>4</v>
          </cell>
          <cell r="DN66">
            <v>45868</v>
          </cell>
          <cell r="DP66">
            <v>45863</v>
          </cell>
          <cell r="DQ66">
            <v>45864</v>
          </cell>
          <cell r="DR66">
            <v>45857</v>
          </cell>
          <cell r="DS66">
            <v>45865</v>
          </cell>
          <cell r="DT66">
            <v>45866</v>
          </cell>
          <cell r="DU66">
            <v>45867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>รอART</v>
          </cell>
          <cell r="EG66"/>
          <cell r="EH66"/>
          <cell r="EI66"/>
        </row>
        <row r="67">
          <cell r="B67" t="str">
            <v>ประมาณการ</v>
          </cell>
          <cell r="C67" t="str">
            <v>ประมาณการ</v>
          </cell>
          <cell r="E67" t="str">
            <v>บจก.ซันฟีด</v>
          </cell>
          <cell r="F67" t="str">
            <v>รอแบบ</v>
          </cell>
          <cell r="G67">
            <v>20</v>
          </cell>
          <cell r="H67">
            <v>38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+</v>
          </cell>
          <cell r="N67"/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45868</v>
          </cell>
          <cell r="Z67" t="str">
            <v xml:space="preserve">300กระสอบแบนเต็มใบ </v>
          </cell>
          <cell r="AA67">
            <v>100000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100000</v>
          </cell>
          <cell r="AM67"/>
          <cell r="AN67">
            <v>105000</v>
          </cell>
          <cell r="AO67" t="str">
            <v>WSWT2025800SM</v>
          </cell>
          <cell r="AQ67">
            <v>110363</v>
          </cell>
          <cell r="AR67">
            <v>0</v>
          </cell>
          <cell r="AS67">
            <v>110363</v>
          </cell>
          <cell r="AT67">
            <v>0</v>
          </cell>
          <cell r="AU67">
            <v>110363</v>
          </cell>
          <cell r="BZ67" t="str">
            <v>WRWT25850/WRWT25850</v>
          </cell>
          <cell r="CA67">
            <v>8338.5377777777776</v>
          </cell>
          <cell r="DL67" t="str">
            <v>P6</v>
          </cell>
          <cell r="DM67">
            <v>4</v>
          </cell>
          <cell r="DN67">
            <v>45868</v>
          </cell>
          <cell r="DP67">
            <v>45863</v>
          </cell>
          <cell r="DQ67">
            <v>45864</v>
          </cell>
          <cell r="DR67">
            <v>45857</v>
          </cell>
          <cell r="DS67">
            <v>45865</v>
          </cell>
          <cell r="DT67">
            <v>45866</v>
          </cell>
          <cell r="DU67">
            <v>45867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>รอART</v>
          </cell>
          <cell r="EG67"/>
          <cell r="EH67"/>
          <cell r="EI67"/>
        </row>
        <row r="68">
          <cell r="B68" t="str">
            <v>MK68-000801</v>
          </cell>
          <cell r="C68">
            <v>45825</v>
          </cell>
          <cell r="E68" t="str">
            <v>บจก.อินเทคค์ โกลบอล</v>
          </cell>
          <cell r="F68" t="str">
            <v>สุบรรณ 111</v>
          </cell>
          <cell r="G68">
            <v>20</v>
          </cell>
          <cell r="H68">
            <v>36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จับจีบ3.5"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มัด80 ใช้สายรัด</v>
          </cell>
          <cell r="AA68">
            <v>894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894</v>
          </cell>
          <cell r="AM68">
            <v>6000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 t="str">
            <v>รอแจ้ง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 </v>
          </cell>
          <cell r="EG68"/>
          <cell r="EH68"/>
          <cell r="EI68"/>
        </row>
        <row r="69">
          <cell r="B69" t="str">
            <v>MK68-000810</v>
          </cell>
          <cell r="C69">
            <v>45827</v>
          </cell>
          <cell r="E69" t="str">
            <v>บจก.อินเทคค์ โกลบอล</v>
          </cell>
          <cell r="F69" t="str">
            <v>เฟิร์สคลาส 912</v>
          </cell>
          <cell r="G69">
            <v>20</v>
          </cell>
          <cell r="H69">
            <v>35</v>
          </cell>
          <cell r="I69" t="str">
            <v>ขาว</v>
          </cell>
          <cell r="J69" t="str">
            <v>ด้าน</v>
          </cell>
          <cell r="L69">
            <v>97</v>
          </cell>
          <cell r="M69" t="str">
            <v>±</v>
          </cell>
          <cell r="N69">
            <v>5</v>
          </cell>
          <cell r="R69" t="str">
            <v>จับจีบ4"</v>
          </cell>
          <cell r="T69" t="str">
            <v>ไม่สวมถุงใน</v>
          </cell>
          <cell r="U69"/>
          <cell r="V69"/>
          <cell r="X69" t="str">
            <v>รอแจ้ง</v>
          </cell>
          <cell r="Z69" t="str">
            <v>มัด80 ใช้สายรัด</v>
          </cell>
          <cell r="AA69">
            <v>455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455</v>
          </cell>
          <cell r="AM69">
            <v>6000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 t="str">
            <v>รอแจ้ง</v>
          </cell>
          <cell r="DP69" t="e">
            <v>#VALUE!</v>
          </cell>
          <cell r="DQ69" t="e">
            <v>#VALUE!</v>
          </cell>
          <cell r="DR69" t="e">
            <v>#VALUE!</v>
          </cell>
          <cell r="DS69" t="e">
            <v>#VALUE!</v>
          </cell>
          <cell r="DT69" t="e">
            <v>#VALUE!</v>
          </cell>
          <cell r="DU69" t="e">
            <v>#VALUE!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MK68-000609</v>
          </cell>
          <cell r="C70">
            <v>45782</v>
          </cell>
          <cell r="E70" t="str">
            <v>บจก.เอสพีเอ็ม อาหารสัตว์</v>
          </cell>
          <cell r="F70" t="str">
            <v xml:space="preserve">SW 441 </v>
          </cell>
          <cell r="G70">
            <v>20</v>
          </cell>
          <cell r="H70">
            <v>38</v>
          </cell>
          <cell r="I70" t="str">
            <v>ขาว</v>
          </cell>
          <cell r="J70" t="str">
            <v>ใส</v>
          </cell>
          <cell r="L70">
            <v>100</v>
          </cell>
          <cell r="M70" t="str">
            <v>±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 t="str">
            <v>รอแจ้ง</v>
          </cell>
          <cell r="Z70" t="str">
            <v>500กระสอบแบน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5000</v>
          </cell>
          <cell r="AM70">
            <v>5250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 t="str">
            <v>รอแจ้ง</v>
          </cell>
          <cell r="DP70" t="e">
            <v>#VALUE!</v>
          </cell>
          <cell r="DQ70" t="e">
            <v>#VALUE!</v>
          </cell>
          <cell r="DR70" t="e">
            <v>#VALUE!</v>
          </cell>
          <cell r="DS70" t="e">
            <v>#VALUE!</v>
          </cell>
          <cell r="DT70" t="e">
            <v>#VALUE!</v>
          </cell>
          <cell r="DU70" t="e">
            <v>#VALUE!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 </v>
          </cell>
          <cell r="EG70"/>
          <cell r="EH70"/>
          <cell r="EI70"/>
        </row>
        <row r="71">
          <cell r="B71" t="str">
            <v>MK68-000694</v>
          </cell>
          <cell r="C71">
            <v>45799</v>
          </cell>
          <cell r="E71" t="str">
            <v>บจก.เอ.เจ.ฟาร์ม่าแล็บ</v>
          </cell>
          <cell r="F71" t="str">
            <v>เบส-มิน</v>
          </cell>
          <cell r="G71">
            <v>20</v>
          </cell>
          <cell r="H71">
            <v>34</v>
          </cell>
          <cell r="I71" t="str">
            <v>ขาว</v>
          </cell>
          <cell r="J71" t="str">
            <v>ใส</v>
          </cell>
          <cell r="L71">
            <v>95</v>
          </cell>
          <cell r="M71" t="str">
            <v>±</v>
          </cell>
          <cell r="N71">
            <v>5</v>
          </cell>
          <cell r="R71" t="str">
            <v>จับจีบ</v>
          </cell>
          <cell r="T71" t="str">
            <v>ไม่สวมถุงใน</v>
          </cell>
          <cell r="U71"/>
          <cell r="V71"/>
          <cell r="X71" t="str">
            <v>รอส่ง</v>
          </cell>
          <cell r="Z71" t="str">
            <v>500กระสอบ</v>
          </cell>
          <cell r="AA71">
            <v>8000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ห้ามขาด-ห้ามเกิน</v>
          </cell>
          <cell r="AJ71">
            <v>7840</v>
          </cell>
          <cell r="AL71">
            <v>160</v>
          </cell>
          <cell r="AM71">
            <v>8450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รอส่ง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MK68-000672</v>
          </cell>
          <cell r="C72">
            <v>45796</v>
          </cell>
          <cell r="E72" t="str">
            <v>บจก.อินเทคค์ โกลบอล</v>
          </cell>
          <cell r="F72" t="str">
            <v>เฟิร์สช้อย 912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</v>
          </cell>
          <cell r="T72" t="str">
            <v>ไม่สวมถุงใน</v>
          </cell>
          <cell r="U72"/>
          <cell r="V72"/>
          <cell r="X72" t="str">
            <v>รอแจ้ง</v>
          </cell>
          <cell r="Z72" t="str">
            <v>มัด80 ใช้สายรัด</v>
          </cell>
          <cell r="AA72">
            <v>3853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3853</v>
          </cell>
          <cell r="AM72">
            <v>15401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 t="str">
            <v>รอแจ้ง</v>
          </cell>
          <cell r="DP72" t="e">
            <v>#VALUE!</v>
          </cell>
          <cell r="DQ72" t="e">
            <v>#VALUE!</v>
          </cell>
          <cell r="DR72" t="e">
            <v>#VALUE!</v>
          </cell>
          <cell r="DS72" t="e">
            <v>#VALUE!</v>
          </cell>
          <cell r="DT72" t="e">
            <v>#VALUE!</v>
          </cell>
          <cell r="DU72" t="e">
            <v>#VALUE!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MK68-000675</v>
          </cell>
          <cell r="C73">
            <v>45796</v>
          </cell>
          <cell r="E73" t="str">
            <v>บจก.อินเทคค์ โกลบอล</v>
          </cell>
          <cell r="F73" t="str">
            <v>เพอเฟคค์ 914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</v>
          </cell>
          <cell r="T73" t="str">
            <v>ไม่สวมถุงใน</v>
          </cell>
          <cell r="U73"/>
          <cell r="V73"/>
          <cell r="X73" t="str">
            <v>รอแจ้ง</v>
          </cell>
          <cell r="Z73" t="str">
            <v>มัด80 ใช้สายรัด</v>
          </cell>
          <cell r="AA73">
            <v>3360</v>
          </cell>
          <cell r="AB73">
            <v>0</v>
          </cell>
          <cell r="AC73">
            <v>0</v>
          </cell>
          <cell r="AD73">
            <v>0</v>
          </cell>
          <cell r="AG73" t="str">
            <v>2/6---6/6</v>
          </cell>
          <cell r="AI73"/>
          <cell r="AJ73">
            <v>0</v>
          </cell>
          <cell r="AL73">
            <v>3360</v>
          </cell>
          <cell r="AM73">
            <v>35200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 t="str">
            <v>รอแจ้ง</v>
          </cell>
          <cell r="DP73" t="e">
            <v>#VALUE!</v>
          </cell>
          <cell r="DQ73" t="e">
            <v>#VALUE!</v>
          </cell>
          <cell r="DR73" t="e">
            <v>#VALUE!</v>
          </cell>
          <cell r="DS73" t="e">
            <v>#VALUE!</v>
          </cell>
          <cell r="DT73" t="e">
            <v>#VALUE!</v>
          </cell>
          <cell r="DU73" t="e">
            <v>#VALUE!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MK68-000676</v>
          </cell>
          <cell r="C74">
            <v>45796</v>
          </cell>
          <cell r="E74" t="str">
            <v>บจก.อินเทคค์ โกลบอล</v>
          </cell>
          <cell r="F74" t="str">
            <v>เพอเฟคค์ 916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 t="str">
            <v>รอแจ้ง</v>
          </cell>
          <cell r="Z74" t="str">
            <v>มัด80 ใช้สายรัด</v>
          </cell>
          <cell r="AA74">
            <v>614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614</v>
          </cell>
          <cell r="AM74">
            <v>12101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 t="str">
            <v>รอแจ้ง</v>
          </cell>
          <cell r="DP74" t="e">
            <v>#VALUE!</v>
          </cell>
          <cell r="DQ74" t="e">
            <v>#VALUE!</v>
          </cell>
          <cell r="DR74" t="e">
            <v>#VALUE!</v>
          </cell>
          <cell r="DS74" t="e">
            <v>#VALUE!</v>
          </cell>
          <cell r="DT74" t="e">
            <v>#VALUE!</v>
          </cell>
          <cell r="DU74" t="e">
            <v>#VALUE!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MK68-000671</v>
          </cell>
          <cell r="C75">
            <v>45796</v>
          </cell>
          <cell r="E75" t="str">
            <v>บจก.อินเทคค์ โกลบอล</v>
          </cell>
          <cell r="F75" t="str">
            <v>เฟิร์สช้อย 902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</v>
          </cell>
          <cell r="T75" t="str">
            <v>ไม่สวมถุงใน</v>
          </cell>
          <cell r="U75"/>
          <cell r="V75"/>
          <cell r="X75" t="str">
            <v>รอแจ้ง</v>
          </cell>
          <cell r="Z75" t="str">
            <v>มัด80 ใช้สายรัด</v>
          </cell>
          <cell r="AA75">
            <v>366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366</v>
          </cell>
          <cell r="AM75">
            <v>5113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 t="str">
            <v>รอแจ้ง</v>
          </cell>
          <cell r="DP75" t="e">
            <v>#VALUE!</v>
          </cell>
          <cell r="DQ75" t="e">
            <v>#VALUE!</v>
          </cell>
          <cell r="DR75" t="e">
            <v>#VALUE!</v>
          </cell>
          <cell r="DS75" t="e">
            <v>#VALUE!</v>
          </cell>
          <cell r="DT75" t="e">
            <v>#VALUE!</v>
          </cell>
          <cell r="DU75" t="e">
            <v>#VALUE!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MK68-000673</v>
          </cell>
          <cell r="C76">
            <v>45796</v>
          </cell>
          <cell r="E76" t="str">
            <v>บจก.อินเทคค์ โกลบอล</v>
          </cell>
          <cell r="F76" t="str">
            <v>เพอเฟคค์ 000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 t="str">
            <v>รอแจ้ง</v>
          </cell>
          <cell r="Z76" t="str">
            <v>มัด80 ใช้สายรัด</v>
          </cell>
          <cell r="AA76">
            <v>179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179</v>
          </cell>
          <cell r="AM76">
            <v>11000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 t="str">
            <v>รอแจ้ง</v>
          </cell>
          <cell r="DP76" t="e">
            <v>#VALUE!</v>
          </cell>
          <cell r="DQ76" t="e">
            <v>#VALUE!</v>
          </cell>
          <cell r="DR76" t="e">
            <v>#VALUE!</v>
          </cell>
          <cell r="DS76" t="e">
            <v>#VALUE!</v>
          </cell>
          <cell r="DT76" t="e">
            <v>#VALUE!</v>
          </cell>
          <cell r="DU76" t="e">
            <v>#VALUE!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MK68-000673</v>
          </cell>
          <cell r="C77">
            <v>45796</v>
          </cell>
          <cell r="E77" t="str">
            <v>บจก.อินเทคค์ โกลบอล</v>
          </cell>
          <cell r="F77" t="str">
            <v>เพอเฟคค์ 902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 t="str">
            <v>รอแจ้ง</v>
          </cell>
          <cell r="Z77" t="str">
            <v>มัด80 ใช้สายรัด</v>
          </cell>
          <cell r="AA77">
            <v>302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302</v>
          </cell>
          <cell r="AM77">
            <v>5300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 t="str">
            <v>รอแจ้ง</v>
          </cell>
          <cell r="DP77" t="e">
            <v>#VALUE!</v>
          </cell>
          <cell r="DQ77" t="e">
            <v>#VALUE!</v>
          </cell>
          <cell r="DR77" t="e">
            <v>#VALUE!</v>
          </cell>
          <cell r="DS77" t="e">
            <v>#VALUE!</v>
          </cell>
          <cell r="DT77" t="e">
            <v>#VALUE!</v>
          </cell>
          <cell r="DU77" t="e">
            <v>#VALUE!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MK68-000674</v>
          </cell>
          <cell r="C78">
            <v>45796</v>
          </cell>
          <cell r="E78" t="str">
            <v>บจก.อินเทคค์ โกลบอล</v>
          </cell>
          <cell r="F78" t="str">
            <v>เพอเฟคค์ 913</v>
          </cell>
          <cell r="G78">
            <v>20</v>
          </cell>
          <cell r="H78">
            <v>36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มัด80 ใช้สายรัด</v>
          </cell>
          <cell r="AA78">
            <v>1200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1200</v>
          </cell>
          <cell r="AM78">
            <v>10700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MK68-000693</v>
          </cell>
          <cell r="C79">
            <v>45798</v>
          </cell>
          <cell r="E79" t="str">
            <v>บจก.เอพีเอ็ม อะโกร</v>
          </cell>
          <cell r="F79" t="str">
            <v>ฟีล กู๊ด พี07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บิด</v>
          </cell>
          <cell r="T79" t="str">
            <v>ไม่สวมถุงใน</v>
          </cell>
          <cell r="U79"/>
          <cell r="V79"/>
          <cell r="X79" t="str">
            <v>รอแจ้ง</v>
          </cell>
          <cell r="Z79" t="str">
            <v>500กระสอบแบน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5000</v>
          </cell>
          <cell r="AM79"/>
          <cell r="AN79">
            <v>5250</v>
          </cell>
          <cell r="AO79" t="str">
            <v>WSWT2025800SM</v>
          </cell>
          <cell r="AQ79">
            <v>5518.15</v>
          </cell>
          <cell r="AR79">
            <v>0</v>
          </cell>
          <cell r="AS79">
            <v>5518.15</v>
          </cell>
          <cell r="AT79">
            <v>0</v>
          </cell>
          <cell r="AU79">
            <v>5518.15</v>
          </cell>
          <cell r="BZ79" t="str">
            <v>WRWT25850/WRWT25850</v>
          </cell>
          <cell r="CA79">
            <v>416.92688888888887</v>
          </cell>
          <cell r="DL79" t="str">
            <v>P6</v>
          </cell>
          <cell r="DM79">
            <v>4</v>
          </cell>
          <cell r="DN79" t="str">
            <v>รอแจ้ง</v>
          </cell>
          <cell r="DP79" t="e">
            <v>#VALUE!</v>
          </cell>
          <cell r="DQ79" t="e">
            <v>#VALUE!</v>
          </cell>
          <cell r="DR79" t="e">
            <v>#VALUE!</v>
          </cell>
          <cell r="DS79" t="e">
            <v>#VALUE!</v>
          </cell>
          <cell r="DT79" t="e">
            <v>#VALUE!</v>
          </cell>
          <cell r="DU79" t="e">
            <v>#VALUE!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 </v>
          </cell>
          <cell r="EG79"/>
          <cell r="EH79"/>
          <cell r="EI79"/>
        </row>
        <row r="80">
          <cell r="B80" t="str">
            <v>MK68-000609</v>
          </cell>
          <cell r="C80">
            <v>45782</v>
          </cell>
          <cell r="E80" t="str">
            <v>บจก.เอสพีเอ็ม อาหารสัตว์</v>
          </cell>
          <cell r="F80" t="str">
            <v xml:space="preserve">SW 441 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ใส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 t="str">
            <v>รอแจ้ง</v>
          </cell>
          <cell r="Z80" t="str">
            <v>500กระสอบแบน</v>
          </cell>
          <cell r="AA80">
            <v>10000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10000</v>
          </cell>
          <cell r="AM80">
            <v>0</v>
          </cell>
          <cell r="AN80">
            <v>10500</v>
          </cell>
          <cell r="AO80" t="str">
            <v>WSWT2025800SM</v>
          </cell>
          <cell r="AQ80">
            <v>11036.3</v>
          </cell>
          <cell r="AR80">
            <v>0</v>
          </cell>
          <cell r="AS80">
            <v>11036.3</v>
          </cell>
          <cell r="AT80">
            <v>0</v>
          </cell>
          <cell r="AU80">
            <v>11036.3</v>
          </cell>
          <cell r="BZ80" t="str">
            <v>WRWT25850/WRWT25850</v>
          </cell>
          <cell r="CA80">
            <v>833.85377777777774</v>
          </cell>
          <cell r="DL80" t="str">
            <v>P6</v>
          </cell>
          <cell r="DM80">
            <v>4</v>
          </cell>
          <cell r="DN80" t="str">
            <v>รอแจ้ง</v>
          </cell>
          <cell r="DP80" t="e">
            <v>#VALUE!</v>
          </cell>
          <cell r="DQ80" t="e">
            <v>#VALUE!</v>
          </cell>
          <cell r="DR80" t="e">
            <v>#VALUE!</v>
          </cell>
          <cell r="DS80" t="e">
            <v>#VALUE!</v>
          </cell>
          <cell r="DT80" t="e">
            <v>#VALUE!</v>
          </cell>
          <cell r="DU80" t="e">
            <v>#VALUE!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 </v>
          </cell>
          <cell r="EG80"/>
          <cell r="EH80"/>
          <cell r="EI80"/>
        </row>
        <row r="81">
          <cell r="B81" t="str">
            <v>MK68-000742</v>
          </cell>
          <cell r="C81">
            <v>45810</v>
          </cell>
          <cell r="E81" t="str">
            <v>บจก.เอสพีเอ็ม อาหารสัตว์</v>
          </cell>
          <cell r="F81" t="str">
            <v>นีโอ 05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ไม่</v>
          </cell>
          <cell r="T81" t="str">
            <v>ไม่สวมถุงใน</v>
          </cell>
          <cell r="U81"/>
          <cell r="V81"/>
          <cell r="X81" t="str">
            <v>รอแจ้ง</v>
          </cell>
          <cell r="Z81" t="str">
            <v>500กระสอบแบน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WSWT2025800SM</v>
          </cell>
          <cell r="AQ81">
            <v>5518.15</v>
          </cell>
          <cell r="AR81">
            <v>0</v>
          </cell>
          <cell r="AS81">
            <v>5518.15</v>
          </cell>
          <cell r="AT81">
            <v>0</v>
          </cell>
          <cell r="AU81">
            <v>5518.15</v>
          </cell>
          <cell r="BZ81" t="str">
            <v>WRWT25850/WRWT25850</v>
          </cell>
          <cell r="CA81">
            <v>416.92688888888887</v>
          </cell>
          <cell r="DL81" t="str">
            <v>P6</v>
          </cell>
          <cell r="DM81">
            <v>4</v>
          </cell>
          <cell r="DN81" t="str">
            <v>รอแจ้ง</v>
          </cell>
          <cell r="DP81" t="e">
            <v>#VALUE!</v>
          </cell>
          <cell r="DQ81" t="e">
            <v>#VALUE!</v>
          </cell>
          <cell r="DR81" t="e">
            <v>#VALUE!</v>
          </cell>
          <cell r="DS81" t="e">
            <v>#VALUE!</v>
          </cell>
          <cell r="DT81" t="e">
            <v>#VALUE!</v>
          </cell>
          <cell r="DU81" t="e">
            <v>#VALUE!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MK68-000122</v>
          </cell>
          <cell r="C82">
            <v>45681</v>
          </cell>
          <cell r="E82" t="str">
            <v>บจก.เอสพีเอ็ม อาหารสัตว์</v>
          </cell>
          <cell r="F82" t="str">
            <v>SPM 212</v>
          </cell>
          <cell r="G82">
            <v>20</v>
          </cell>
          <cell r="H82">
            <v>40</v>
          </cell>
          <cell r="I82" t="str">
            <v>ขาว</v>
          </cell>
          <cell r="J82" t="str">
            <v>ด้าน</v>
          </cell>
          <cell r="L82">
            <v>108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 t="str">
            <v>รอแจ้ง</v>
          </cell>
          <cell r="Z82" t="str">
            <v>500กระสอบแบน</v>
          </cell>
          <cell r="AA82">
            <v>3000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3000</v>
          </cell>
          <cell r="AM82"/>
          <cell r="AN82">
            <v>3150</v>
          </cell>
          <cell r="AO82" t="str">
            <v>WSWT2025800SM</v>
          </cell>
          <cell r="AQ82">
            <v>3478.5300000000007</v>
          </cell>
          <cell r="AR82">
            <v>0</v>
          </cell>
          <cell r="AS82">
            <v>3478.5300000000007</v>
          </cell>
          <cell r="AT82">
            <v>0</v>
          </cell>
          <cell r="AU82">
            <v>3478.5300000000007</v>
          </cell>
          <cell r="BZ82" t="str">
            <v>WRWT25850/WRWT25850</v>
          </cell>
          <cell r="CA82">
            <v>262.82226666666674</v>
          </cell>
          <cell r="DL82" t="str">
            <v>P6</v>
          </cell>
          <cell r="DM82">
            <v>4</v>
          </cell>
          <cell r="DN82" t="str">
            <v>รอแจ้ง</v>
          </cell>
          <cell r="DP82" t="e">
            <v>#VALUE!</v>
          </cell>
          <cell r="DQ82" t="e">
            <v>#VALUE!</v>
          </cell>
          <cell r="DR82" t="e">
            <v>#VALUE!</v>
          </cell>
          <cell r="DS82" t="e">
            <v>#VALUE!</v>
          </cell>
          <cell r="DT82" t="e">
            <v>#VALUE!</v>
          </cell>
          <cell r="DU82" t="e">
            <v>#VALUE!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MK68-000093</v>
          </cell>
          <cell r="C83">
            <v>45674</v>
          </cell>
          <cell r="E83" t="str">
            <v>บจก.อินเทคค์ โกลบอล</v>
          </cell>
          <cell r="F83" t="str">
            <v>เฟิร์สคลาส 902</v>
          </cell>
          <cell r="G83">
            <v>20</v>
          </cell>
          <cell r="H83">
            <v>35</v>
          </cell>
          <cell r="I83" t="str">
            <v>ขาว</v>
          </cell>
          <cell r="J83" t="str">
            <v>ด้าน</v>
          </cell>
          <cell r="L83">
            <v>97</v>
          </cell>
          <cell r="M83" t="str">
            <v>±</v>
          </cell>
          <cell r="N83">
            <v>5</v>
          </cell>
          <cell r="R83" t="str">
            <v>จับจีบ4"</v>
          </cell>
          <cell r="T83" t="str">
            <v>ไม่สวมถุงใน</v>
          </cell>
          <cell r="U83"/>
          <cell r="V83"/>
          <cell r="X83" t="str">
            <v>รอแจ้ง</v>
          </cell>
          <cell r="Z83" t="str">
            <v>มัด80 ใช้สายรัด</v>
          </cell>
          <cell r="AA83">
            <v>152</v>
          </cell>
          <cell r="AB83">
            <v>0</v>
          </cell>
          <cell r="AC83">
            <v>0</v>
          </cell>
          <cell r="AD83">
            <v>0</v>
          </cell>
          <cell r="AG83" t="str">
            <v>ลบสี 5040</v>
          </cell>
          <cell r="AI83">
            <v>5987</v>
          </cell>
          <cell r="AJ83">
            <v>0</v>
          </cell>
          <cell r="AL83">
            <v>152</v>
          </cell>
          <cell r="AM83">
            <v>6000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 t="str">
            <v>รอแจ้ง</v>
          </cell>
          <cell r="DP83" t="e">
            <v>#VALUE!</v>
          </cell>
          <cell r="DQ83" t="e">
            <v>#VALUE!</v>
          </cell>
          <cell r="DR83" t="e">
            <v>#VALUE!</v>
          </cell>
          <cell r="DS83" t="e">
            <v>#VALUE!</v>
          </cell>
          <cell r="DT83" t="e">
            <v>#VALUE!</v>
          </cell>
          <cell r="DU83" t="e">
            <v>#VALUE!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MK67-001532</v>
          </cell>
          <cell r="C84">
            <v>45611</v>
          </cell>
          <cell r="E84" t="str">
            <v>บจก.อินเทคค์ โกลบอล</v>
          </cell>
          <cell r="F84" t="str">
            <v>เฟิร์สช้อย 903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</v>
          </cell>
          <cell r="T84" t="str">
            <v>ไม่สวมถุงใน</v>
          </cell>
          <cell r="U84"/>
          <cell r="V84"/>
          <cell r="X84" t="str">
            <v>รอแจ้ง</v>
          </cell>
          <cell r="Z84" t="str">
            <v>มัด80 ใช้สายรัด</v>
          </cell>
          <cell r="AA84">
            <v>117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117</v>
          </cell>
          <cell r="AM84">
            <v>10065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 t="str">
            <v>รอแจ้ง</v>
          </cell>
          <cell r="DP84" t="e">
            <v>#VALUE!</v>
          </cell>
          <cell r="DQ84" t="e">
            <v>#VALUE!</v>
          </cell>
          <cell r="DR84" t="e">
            <v>#VALUE!</v>
          </cell>
          <cell r="DS84" t="e">
            <v>#VALUE!</v>
          </cell>
          <cell r="DT84" t="e">
            <v>#VALUE!</v>
          </cell>
          <cell r="DU84" t="e">
            <v>#VALUE!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MK67-001153</v>
          </cell>
          <cell r="C85">
            <v>45523</v>
          </cell>
          <cell r="E85" t="str">
            <v>บจก.อินเทคค์ โกลบอล</v>
          </cell>
          <cell r="F85" t="str">
            <v>สุบรรณ 777</v>
          </cell>
          <cell r="G85">
            <v>20</v>
          </cell>
          <cell r="H85">
            <v>36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จับจีบ</v>
          </cell>
          <cell r="T85" t="str">
            <v>ไม่สวมถุงใน</v>
          </cell>
          <cell r="U85"/>
          <cell r="V85"/>
          <cell r="X85" t="str">
            <v>รอแจ้ง</v>
          </cell>
          <cell r="Z85" t="str">
            <v>มัด80 ใช้สายรัด</v>
          </cell>
          <cell r="AA85">
            <v>1260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1260</v>
          </cell>
          <cell r="AM85">
            <v>11095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 t="str">
            <v>รอแจ้ง</v>
          </cell>
          <cell r="DP85" t="e">
            <v>#VALUE!</v>
          </cell>
          <cell r="DQ85" t="e">
            <v>#VALUE!</v>
          </cell>
          <cell r="DR85" t="e">
            <v>#VALUE!</v>
          </cell>
          <cell r="DS85" t="e">
            <v>#VALUE!</v>
          </cell>
          <cell r="DT85" t="e">
            <v>#VALUE!</v>
          </cell>
          <cell r="DU85" t="e">
            <v>#VALUE!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MK67-001153</v>
          </cell>
          <cell r="C86">
            <v>45523</v>
          </cell>
          <cell r="E86" t="str">
            <v>บจก.อินเทคค์ โกลบอล</v>
          </cell>
          <cell r="F86" t="str">
            <v>สุบรรณ 666</v>
          </cell>
          <cell r="G86">
            <v>20</v>
          </cell>
          <cell r="H86">
            <v>36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จับจีบ</v>
          </cell>
          <cell r="T86" t="str">
            <v>ไม่สวมถุงใน</v>
          </cell>
          <cell r="U86"/>
          <cell r="V86"/>
          <cell r="X86" t="str">
            <v>รอแจ้ง</v>
          </cell>
          <cell r="Z86" t="str">
            <v>มัด80 ใช้สายรัด</v>
          </cell>
          <cell r="AA86">
            <v>89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89</v>
          </cell>
          <cell r="AM86">
            <v>11180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 t="str">
            <v>รอแจ้ง</v>
          </cell>
          <cell r="DP86" t="e">
            <v>#VALUE!</v>
          </cell>
          <cell r="DQ86" t="e">
            <v>#VALUE!</v>
          </cell>
          <cell r="DR86" t="e">
            <v>#VALUE!</v>
          </cell>
          <cell r="DS86" t="e">
            <v>#VALUE!</v>
          </cell>
          <cell r="DT86" t="e">
            <v>#VALUE!</v>
          </cell>
          <cell r="DU86" t="e">
            <v>#VALUE!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MK68-000452</v>
          </cell>
          <cell r="C87">
            <v>45741</v>
          </cell>
          <cell r="E87" t="str">
            <v>บจก.เอพีเอ็ม อะโกร</v>
          </cell>
          <cell r="F87" t="str">
            <v>วี-ฟีด วี 07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ใส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 t="str">
            <v>รอส่ง</v>
          </cell>
          <cell r="Z87" t="str">
            <v>500กระสอบแบน</v>
          </cell>
          <cell r="AA87">
            <v>4000</v>
          </cell>
          <cell r="AB87">
            <v>0</v>
          </cell>
          <cell r="AC87">
            <v>0</v>
          </cell>
          <cell r="AD87">
            <v>0</v>
          </cell>
          <cell r="AG87" t="str">
            <v>มีลบสี</v>
          </cell>
          <cell r="AI87"/>
          <cell r="AJ87">
            <v>3857</v>
          </cell>
          <cell r="AL87">
            <v>143</v>
          </cell>
          <cell r="AM87">
            <v>4200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 t="str">
            <v>รอส่ง</v>
          </cell>
          <cell r="DP87" t="e">
            <v>#VALUE!</v>
          </cell>
          <cell r="DQ87" t="e">
            <v>#VALUE!</v>
          </cell>
          <cell r="DR87" t="e">
            <v>#VALUE!</v>
          </cell>
          <cell r="DS87" t="e">
            <v>#VALUE!</v>
          </cell>
          <cell r="DT87" t="e">
            <v>#VALUE!</v>
          </cell>
          <cell r="DU87" t="e">
            <v>#VALUE!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ใบรับคำสั่งซื้อ</v>
          </cell>
          <cell r="C88">
            <v>45720</v>
          </cell>
          <cell r="E88" t="str">
            <v>บจก.เอพีเอ็ม อะโกร</v>
          </cell>
          <cell r="F88" t="str">
            <v>นีโอ พี3(เอส)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 t="str">
            <v>รอส่ง</v>
          </cell>
          <cell r="Z88" t="str">
            <v>500กระสอบแบน</v>
          </cell>
          <cell r="AA88">
            <v>4000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4010</v>
          </cell>
          <cell r="AL88">
            <v>0</v>
          </cell>
          <cell r="AM88">
            <v>4470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 t="str">
            <v>รอส่ง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ใบรับคำสั่งซื้อ</v>
          </cell>
          <cell r="C89">
            <v>45720</v>
          </cell>
          <cell r="E89" t="str">
            <v>บจก.เอพีเอ็ม อะโกร</v>
          </cell>
          <cell r="F89" t="str">
            <v>นีโอ พี4(เอส)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 t="str">
            <v>รอส่ง</v>
          </cell>
          <cell r="Z89" t="str">
            <v>500กระสอบแบน</v>
          </cell>
          <cell r="AA89">
            <v>3000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3065</v>
          </cell>
          <cell r="AL89">
            <v>0</v>
          </cell>
          <cell r="AM89">
            <v>3300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 t="str">
            <v>รอส่ง</v>
          </cell>
          <cell r="DP89" t="e">
            <v>#VALUE!</v>
          </cell>
          <cell r="DQ89" t="e">
            <v>#VALUE!</v>
          </cell>
          <cell r="DR89" t="e">
            <v>#VALUE!</v>
          </cell>
          <cell r="DS89" t="e">
            <v>#VALUE!</v>
          </cell>
          <cell r="DT89" t="e">
            <v>#VALUE!</v>
          </cell>
          <cell r="DU89" t="e">
            <v>#VALUE!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MK67-001236</v>
          </cell>
          <cell r="C90">
            <v>45541</v>
          </cell>
          <cell r="E90" t="str">
            <v>บจก.เอพีเอ็ม อะโกร</v>
          </cell>
          <cell r="F90" t="str">
            <v>ยูฟีด รวมไก่ วัว</v>
          </cell>
          <cell r="G90">
            <v>20</v>
          </cell>
          <cell r="H90">
            <v>40</v>
          </cell>
          <cell r="I90" t="str">
            <v>ขาว</v>
          </cell>
          <cell r="J90" t="str">
            <v>ด้าน</v>
          </cell>
          <cell r="L90">
            <v>108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 t="str">
            <v>รอส่ง</v>
          </cell>
          <cell r="Z90" t="str">
            <v>500กระสอบแบน</v>
          </cell>
          <cell r="AA90">
            <v>3000</v>
          </cell>
          <cell r="AB90">
            <v>0</v>
          </cell>
          <cell r="AC90">
            <v>0</v>
          </cell>
          <cell r="AD90">
            <v>0</v>
          </cell>
          <cell r="AG90" t="str">
            <v>ลูกค้าต้องการเคลือบใส แต่เปิดมาเคลือบด้าน</v>
          </cell>
          <cell r="AI90" t="str">
            <v>ลูกค้าสั่งผิดเอาไปส่งเดือน10</v>
          </cell>
          <cell r="AJ90">
            <v>3318</v>
          </cell>
          <cell r="AL90">
            <v>0</v>
          </cell>
          <cell r="AM90"/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 t="str">
            <v>รอส่ง</v>
          </cell>
          <cell r="DP90" t="e">
            <v>#VALUE!</v>
          </cell>
          <cell r="DQ90" t="e">
            <v>#VALUE!</v>
          </cell>
          <cell r="DR90" t="e">
            <v>#VALUE!</v>
          </cell>
          <cell r="DS90" t="e">
            <v>#VALUE!</v>
          </cell>
          <cell r="DT90" t="e">
            <v>#VALUE!</v>
          </cell>
          <cell r="DU90" t="e">
            <v>#VALUE!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/>
          <cell r="EG90"/>
          <cell r="EH90"/>
          <cell r="EI90"/>
        </row>
        <row r="91">
          <cell r="B91" t="str">
            <v>MK67-001396</v>
          </cell>
          <cell r="C91">
            <v>45581</v>
          </cell>
          <cell r="E91" t="str">
            <v>บจก.เอพีเอ็ม อะโกร</v>
          </cell>
          <cell r="F91" t="str">
            <v>นีโอ พี4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บิด</v>
          </cell>
          <cell r="T91" t="str">
            <v>ไม่สวมถุงใน</v>
          </cell>
          <cell r="U91"/>
          <cell r="V91"/>
          <cell r="X91" t="str">
            <v>รอส่ง</v>
          </cell>
          <cell r="Z91" t="str">
            <v>500กระสอบแบน</v>
          </cell>
          <cell r="AA91">
            <v>3000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3194</v>
          </cell>
          <cell r="AL91">
            <v>0</v>
          </cell>
          <cell r="AM91">
            <v>5632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 t="str">
            <v>รอส่ง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>
            <v>0</v>
          </cell>
          <cell r="C92"/>
          <cell r="E92"/>
          <cell r="F92"/>
          <cell r="G92">
            <v>20</v>
          </cell>
          <cell r="H92">
            <v>38</v>
          </cell>
          <cell r="I92"/>
          <cell r="J92"/>
          <cell r="L92">
            <v>84</v>
          </cell>
          <cell r="M92" t="str">
            <v>±</v>
          </cell>
          <cell r="N92">
            <v>5</v>
          </cell>
          <cell r="R92"/>
          <cell r="T92"/>
          <cell r="U92"/>
          <cell r="V92"/>
          <cell r="X92"/>
          <cell r="Z92"/>
          <cell r="AA92"/>
          <cell r="AB92">
            <v>0</v>
          </cell>
          <cell r="AC92">
            <v>0</v>
          </cell>
          <cell r="AD92"/>
          <cell r="AG92"/>
          <cell r="AI92" t="str">
            <v>ระบุในSD</v>
          </cell>
          <cell r="AJ92"/>
          <cell r="AL92">
            <v>0</v>
          </cell>
          <cell r="AM92"/>
          <cell r="AN92">
            <v>0</v>
          </cell>
          <cell r="AO92" t="str">
            <v>WSWT2025800SM</v>
          </cell>
          <cell r="AQ92">
            <v>317789.56000000011</v>
          </cell>
          <cell r="AR92">
            <v>17378.68</v>
          </cell>
          <cell r="AS92">
            <v>300410.88000000006</v>
          </cell>
          <cell r="AT92">
            <v>6621.78</v>
          </cell>
          <cell r="AU92">
            <v>311167.78000000009</v>
          </cell>
          <cell r="BZ92" t="str">
            <v>WRWT25850/WRWT25850</v>
          </cell>
          <cell r="CA92">
            <v>0</v>
          </cell>
          <cell r="DL92"/>
          <cell r="DM92" t="str">
            <v>Lead time</v>
          </cell>
          <cell r="DN92"/>
          <cell r="DP92"/>
          <cell r="DQ92"/>
          <cell r="DR92"/>
          <cell r="DS92"/>
          <cell r="DT92"/>
          <cell r="DU92"/>
          <cell r="DW92"/>
          <cell r="DX92"/>
          <cell r="DY92"/>
          <cell r="DZ92"/>
          <cell r="EA92"/>
          <cell r="EB92"/>
          <cell r="EC92"/>
          <cell r="ED92"/>
          <cell r="EG92"/>
          <cell r="EH92">
            <v>0</v>
          </cell>
          <cell r="EI92">
            <v>0</v>
          </cell>
        </row>
        <row r="93">
          <cell r="B93" t="str">
            <v>ประมาณการ</v>
          </cell>
          <cell r="C93" t="str">
            <v>ประมาณการ</v>
          </cell>
          <cell r="E93" t="str">
            <v>บจก.ซันฟีด</v>
          </cell>
          <cell r="F93" t="str">
            <v>รอแบบ</v>
          </cell>
          <cell r="G93">
            <v>20</v>
          </cell>
          <cell r="H93">
            <v>39</v>
          </cell>
          <cell r="I93" t="str">
            <v>ขาว</v>
          </cell>
          <cell r="J93"/>
          <cell r="L93">
            <v>84</v>
          </cell>
          <cell r="M93" t="str">
            <v>+</v>
          </cell>
          <cell r="N93"/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45868</v>
          </cell>
          <cell r="Z93" t="str">
            <v xml:space="preserve">300กระสอบแบนเต็มใบ </v>
          </cell>
          <cell r="AA93">
            <v>100000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100000</v>
          </cell>
          <cell r="AM93"/>
          <cell r="AN93">
            <v>105000</v>
          </cell>
          <cell r="AO93" t="str">
            <v>WSWT2025850</v>
          </cell>
          <cell r="AQ93">
            <v>113157.00000000001</v>
          </cell>
          <cell r="AR93">
            <v>7720</v>
          </cell>
          <cell r="AS93">
            <v>105437.00000000001</v>
          </cell>
          <cell r="AT93">
            <v>0</v>
          </cell>
          <cell r="AU93">
            <v>0</v>
          </cell>
          <cell r="BZ93" t="str">
            <v>WRWT25850/WRWT25800</v>
          </cell>
          <cell r="CA93">
            <v>8306.0925555555586</v>
          </cell>
          <cell r="DL93" t="str">
            <v>P7</v>
          </cell>
          <cell r="DM93">
            <v>2</v>
          </cell>
          <cell r="DN93">
            <v>45868</v>
          </cell>
          <cell r="DP93">
            <v>45863</v>
          </cell>
          <cell r="DQ93"/>
          <cell r="DR93">
            <v>45859</v>
          </cell>
          <cell r="DS93">
            <v>45866</v>
          </cell>
          <cell r="DT93">
            <v>45867</v>
          </cell>
          <cell r="DU93">
            <v>45867</v>
          </cell>
          <cell r="DW93"/>
          <cell r="DX93"/>
          <cell r="DY93"/>
          <cell r="DZ93"/>
          <cell r="EA93"/>
          <cell r="EB93"/>
          <cell r="EC93" t="str">
            <v>งานพิมพ์</v>
          </cell>
          <cell r="ED93" t="str">
            <v>รอART</v>
          </cell>
          <cell r="EG93"/>
          <cell r="EH93"/>
          <cell r="EI93"/>
        </row>
        <row r="94">
          <cell r="B94">
            <v>0</v>
          </cell>
          <cell r="C94"/>
          <cell r="E94"/>
          <cell r="F94"/>
          <cell r="G94">
            <v>20</v>
          </cell>
          <cell r="H94">
            <v>38</v>
          </cell>
          <cell r="I94"/>
          <cell r="J94"/>
          <cell r="L94">
            <v>82</v>
          </cell>
          <cell r="M94" t="str">
            <v>+</v>
          </cell>
          <cell r="N94">
            <v>2</v>
          </cell>
          <cell r="R94"/>
          <cell r="T94"/>
          <cell r="U94"/>
          <cell r="V94"/>
          <cell r="X94"/>
          <cell r="Z94"/>
          <cell r="AA94"/>
          <cell r="AB94"/>
          <cell r="AC94">
            <v>0</v>
          </cell>
          <cell r="AD94"/>
          <cell r="AG94"/>
          <cell r="AI94" t="str">
            <v>ระบุในSD</v>
          </cell>
          <cell r="AJ94"/>
          <cell r="AL94">
            <v>0</v>
          </cell>
          <cell r="AM94"/>
          <cell r="AN94">
            <v>0</v>
          </cell>
          <cell r="AO94" t="str">
            <v>WSWT2025850</v>
          </cell>
          <cell r="AQ94">
            <v>113157.00000000001</v>
          </cell>
          <cell r="AR94">
            <v>7720</v>
          </cell>
          <cell r="AS94">
            <v>105437.00000000001</v>
          </cell>
          <cell r="AT94">
            <v>0</v>
          </cell>
          <cell r="AU94">
            <v>0</v>
          </cell>
          <cell r="BZ94" t="str">
            <v>WRWT200850/WRWT25800</v>
          </cell>
          <cell r="CA94">
            <v>0</v>
          </cell>
          <cell r="DL94"/>
          <cell r="DM94" t="str">
            <v>Lead time</v>
          </cell>
          <cell r="DN94"/>
          <cell r="DP94"/>
          <cell r="DQ94"/>
          <cell r="DR94"/>
          <cell r="DS94"/>
          <cell r="DT94"/>
          <cell r="DU94"/>
          <cell r="DW94"/>
          <cell r="DX94"/>
          <cell r="DY94"/>
          <cell r="DZ94"/>
          <cell r="EA94"/>
          <cell r="EB94"/>
          <cell r="EC94"/>
          <cell r="ED94"/>
          <cell r="EG94"/>
          <cell r="EH94"/>
          <cell r="EI94"/>
        </row>
        <row r="95">
          <cell r="B95">
            <v>0</v>
          </cell>
          <cell r="C95"/>
          <cell r="E95"/>
          <cell r="F95"/>
          <cell r="G95">
            <v>20</v>
          </cell>
          <cell r="H95">
            <v>37</v>
          </cell>
          <cell r="I95"/>
          <cell r="J95"/>
          <cell r="L95">
            <v>82</v>
          </cell>
          <cell r="M95" t="str">
            <v>±</v>
          </cell>
          <cell r="N95">
            <v>5</v>
          </cell>
          <cell r="R95"/>
          <cell r="T95"/>
          <cell r="U95"/>
          <cell r="V95"/>
          <cell r="X95"/>
          <cell r="Z95"/>
          <cell r="AA95"/>
          <cell r="AB95"/>
          <cell r="AC95">
            <v>0</v>
          </cell>
          <cell r="AD95"/>
          <cell r="AG95"/>
          <cell r="AI95" t="str">
            <v>ระบุในSD</v>
          </cell>
          <cell r="AJ95"/>
          <cell r="AL95">
            <v>0</v>
          </cell>
          <cell r="AM95"/>
          <cell r="AN95">
            <v>0</v>
          </cell>
          <cell r="AO95" t="str">
            <v>WSWT2021750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BZ95" t="str">
            <v>WRWT200750/WRWT21750</v>
          </cell>
          <cell r="CA95">
            <v>0</v>
          </cell>
          <cell r="DL95"/>
          <cell r="DM95" t="str">
            <v>Lead time</v>
          </cell>
          <cell r="DN95"/>
          <cell r="DP95"/>
          <cell r="DQ95"/>
          <cell r="DR95"/>
          <cell r="DS95"/>
          <cell r="DT95"/>
          <cell r="DU95"/>
          <cell r="DW95"/>
          <cell r="DX95"/>
          <cell r="DY95"/>
          <cell r="DZ95"/>
          <cell r="EA95"/>
          <cell r="EB95"/>
          <cell r="EC95"/>
          <cell r="ED95"/>
          <cell r="EG95"/>
          <cell r="EH95">
            <v>0</v>
          </cell>
          <cell r="EI95">
            <v>0</v>
          </cell>
        </row>
        <row r="96">
          <cell r="B96" t="str">
            <v>MK68-000798</v>
          </cell>
          <cell r="C96">
            <v>45825</v>
          </cell>
          <cell r="E96" t="str">
            <v>บจก.อินเทคค์ โกลบอล</v>
          </cell>
          <cell r="F96" t="str">
            <v>เพอเฟคค์ 664</v>
          </cell>
          <cell r="G96">
            <v>20</v>
          </cell>
          <cell r="H96">
            <v>36</v>
          </cell>
          <cell r="I96" t="str">
            <v>ขาว</v>
          </cell>
          <cell r="J96"/>
          <cell r="L96">
            <v>78</v>
          </cell>
          <cell r="M96" t="str">
            <v>±</v>
          </cell>
          <cell r="N96">
            <v>5</v>
          </cell>
          <cell r="R96" t="str">
            <v>จับจีบ4"</v>
          </cell>
          <cell r="T96" t="str">
            <v>ไม่สวมถุงใน</v>
          </cell>
          <cell r="U96"/>
          <cell r="V96"/>
          <cell r="X96">
            <v>45845</v>
          </cell>
          <cell r="Z96" t="str">
            <v>มัด80 ใช้สายรัด</v>
          </cell>
          <cell r="AA96">
            <v>2080</v>
          </cell>
          <cell r="AB96">
            <v>0</v>
          </cell>
          <cell r="AC96">
            <v>0</v>
          </cell>
          <cell r="AD96">
            <v>0</v>
          </cell>
          <cell r="AG96"/>
          <cell r="AI96" t="str">
            <v>ห้ามขาด-ห้ามเกิน</v>
          </cell>
          <cell r="AJ96">
            <v>0</v>
          </cell>
          <cell r="AL96">
            <v>2080</v>
          </cell>
          <cell r="AM96">
            <v>52080</v>
          </cell>
          <cell r="AN96">
            <v>0</v>
          </cell>
          <cell r="AO96" t="str">
            <v>WSWT2025800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WRWT25800/WRWT25800</v>
          </cell>
          <cell r="CA96">
            <v>0</v>
          </cell>
          <cell r="DL96" t="str">
            <v>P7</v>
          </cell>
          <cell r="DM96">
            <v>2</v>
          </cell>
          <cell r="DN96">
            <v>45845</v>
          </cell>
          <cell r="DP96">
            <v>45840</v>
          </cell>
          <cell r="DQ96"/>
          <cell r="DR96">
            <v>45836</v>
          </cell>
          <cell r="DS96">
            <v>45843</v>
          </cell>
          <cell r="DT96">
            <v>45844</v>
          </cell>
          <cell r="DU96">
            <v>45844</v>
          </cell>
          <cell r="DW96"/>
          <cell r="DX96"/>
          <cell r="DY96"/>
          <cell r="DZ96"/>
          <cell r="EA96"/>
          <cell r="EB96"/>
          <cell r="EC96" t="str">
            <v>งานพิมพ์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MK68-000798</v>
          </cell>
          <cell r="C97">
            <v>45825</v>
          </cell>
          <cell r="E97" t="str">
            <v>บจก.อินเทคค์ โกลบอล</v>
          </cell>
          <cell r="F97" t="str">
            <v>เพอเฟคค์ 664</v>
          </cell>
          <cell r="G97">
            <v>20</v>
          </cell>
          <cell r="H97">
            <v>36</v>
          </cell>
          <cell r="I97" t="str">
            <v>ขาว</v>
          </cell>
          <cell r="J97"/>
          <cell r="L97">
            <v>78</v>
          </cell>
          <cell r="M97" t="str">
            <v>±</v>
          </cell>
          <cell r="N97">
            <v>5</v>
          </cell>
          <cell r="R97" t="str">
            <v>จับจีบ4"</v>
          </cell>
          <cell r="T97" t="str">
            <v>ไม่สวมถุงใน</v>
          </cell>
          <cell r="U97"/>
          <cell r="V97"/>
          <cell r="X97">
            <v>45845</v>
          </cell>
          <cell r="Z97" t="str">
            <v>มัด80 ใช้สายรัด</v>
          </cell>
          <cell r="AA97">
            <v>40000</v>
          </cell>
          <cell r="AB97">
            <v>0</v>
          </cell>
          <cell r="AC97">
            <v>0</v>
          </cell>
          <cell r="AD97">
            <v>0</v>
          </cell>
          <cell r="AG97" t="str">
            <v>3/7 5/7 9/7 12/7</v>
          </cell>
          <cell r="AI97" t="str">
            <v>ห้ามขาด-ห้ามเกิน</v>
          </cell>
          <cell r="AJ97">
            <v>0</v>
          </cell>
          <cell r="AL97">
            <v>40000</v>
          </cell>
          <cell r="AM97">
            <v>0</v>
          </cell>
          <cell r="AN97">
            <v>42000</v>
          </cell>
          <cell r="AO97" t="str">
            <v>WSWT2025800</v>
          </cell>
          <cell r="AQ97">
            <v>41910</v>
          </cell>
          <cell r="AR97">
            <v>41910</v>
          </cell>
          <cell r="AS97">
            <v>0</v>
          </cell>
          <cell r="AT97">
            <v>0</v>
          </cell>
          <cell r="AU97">
            <v>0</v>
          </cell>
          <cell r="BZ97" t="str">
            <v>WRWT25800/WRWT25800</v>
          </cell>
          <cell r="CA97">
            <v>0</v>
          </cell>
          <cell r="DL97" t="str">
            <v>P7</v>
          </cell>
          <cell r="DM97">
            <v>2</v>
          </cell>
          <cell r="DN97">
            <v>45845</v>
          </cell>
          <cell r="DP97">
            <v>45840</v>
          </cell>
          <cell r="DQ97"/>
          <cell r="DR97">
            <v>45836</v>
          </cell>
          <cell r="DS97">
            <v>45843</v>
          </cell>
          <cell r="DT97">
            <v>45844</v>
          </cell>
          <cell r="DU97">
            <v>45844</v>
          </cell>
          <cell r="DW97"/>
          <cell r="DX97"/>
          <cell r="DY97"/>
          <cell r="DZ97"/>
          <cell r="EA97"/>
          <cell r="EB97"/>
          <cell r="EC97" t="str">
            <v>งานพิมพ์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MK68-000799</v>
          </cell>
          <cell r="C98">
            <v>45825</v>
          </cell>
          <cell r="E98" t="str">
            <v>บจก.อินเทคค์ โกลบอล</v>
          </cell>
          <cell r="F98" t="str">
            <v>เพอเฟคค์ 664HP</v>
          </cell>
          <cell r="G98">
            <v>20</v>
          </cell>
          <cell r="H98">
            <v>36</v>
          </cell>
          <cell r="I98" t="str">
            <v>ขาว</v>
          </cell>
          <cell r="J98"/>
          <cell r="L98">
            <v>78</v>
          </cell>
          <cell r="M98" t="str">
            <v>±</v>
          </cell>
          <cell r="N98">
            <v>5</v>
          </cell>
          <cell r="R98" t="str">
            <v>จับจีบ4"</v>
          </cell>
          <cell r="T98" t="str">
            <v>ไม่สวมถุงใน</v>
          </cell>
          <cell r="U98"/>
          <cell r="V98"/>
          <cell r="X98">
            <v>45845</v>
          </cell>
          <cell r="Z98" t="str">
            <v>มัด80 ใช้สายรัด</v>
          </cell>
          <cell r="AA98">
            <v>6827</v>
          </cell>
          <cell r="AB98">
            <v>0</v>
          </cell>
          <cell r="AC98">
            <v>0</v>
          </cell>
          <cell r="AD98">
            <v>0</v>
          </cell>
          <cell r="AG98" t="str">
            <v>1/7 5/7 7/7  12/7 14/7 19/7</v>
          </cell>
          <cell r="AI98" t="str">
            <v>ห้ามขาด-ห้ามเกิน</v>
          </cell>
          <cell r="AJ98">
            <v>0</v>
          </cell>
          <cell r="AL98">
            <v>6827</v>
          </cell>
          <cell r="AM98">
            <v>0</v>
          </cell>
          <cell r="AN98">
            <v>7168.35</v>
          </cell>
          <cell r="AO98" t="str">
            <v>WSWT2025800</v>
          </cell>
          <cell r="AQ98">
            <v>7152.9892500000005</v>
          </cell>
          <cell r="AR98">
            <v>7152.9892500000005</v>
          </cell>
          <cell r="AS98">
            <v>0</v>
          </cell>
          <cell r="AT98">
            <v>0</v>
          </cell>
          <cell r="AU98">
            <v>0</v>
          </cell>
          <cell r="BZ98" t="str">
            <v>WRWT25800/WRWT25800</v>
          </cell>
          <cell r="CA98">
            <v>0</v>
          </cell>
          <cell r="DL98" t="str">
            <v>P7</v>
          </cell>
          <cell r="DM98">
            <v>2</v>
          </cell>
          <cell r="DN98">
            <v>45845</v>
          </cell>
          <cell r="DP98">
            <v>45840</v>
          </cell>
          <cell r="DQ98"/>
          <cell r="DR98">
            <v>45836</v>
          </cell>
          <cell r="DS98">
            <v>45843</v>
          </cell>
          <cell r="DT98">
            <v>45844</v>
          </cell>
          <cell r="DU98">
            <v>45844</v>
          </cell>
          <cell r="DW98"/>
          <cell r="DX98"/>
          <cell r="DY98"/>
          <cell r="DZ98"/>
          <cell r="EA98"/>
          <cell r="EB98"/>
          <cell r="EC98" t="str">
            <v>งานพิมพ์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MK68-000768</v>
          </cell>
          <cell r="C99">
            <v>45818</v>
          </cell>
          <cell r="E99" t="str">
            <v>บจก.เบทาโกร</v>
          </cell>
          <cell r="F99" t="str">
            <v xml:space="preserve">WB ฟาร์ม F931L 30kg </v>
          </cell>
          <cell r="G99">
            <v>20</v>
          </cell>
          <cell r="H99">
            <v>37</v>
          </cell>
          <cell r="I99" t="str">
            <v>ขาว</v>
          </cell>
          <cell r="J99"/>
          <cell r="L99">
            <v>80</v>
          </cell>
          <cell r="M99" t="str">
            <v>±</v>
          </cell>
          <cell r="N99">
            <v>3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45847</v>
          </cell>
          <cell r="Z99" t="str">
            <v>500กระสอบแบน พร้อมระบุชื่อบริษัท รายการสินค้า จำนวนแต่ละแพ็ค</v>
          </cell>
          <cell r="AA99">
            <v>30000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>ลพบุรี1</v>
          </cell>
          <cell r="AJ99">
            <v>0</v>
          </cell>
          <cell r="AL99">
            <v>30000</v>
          </cell>
          <cell r="AM99">
            <v>31500</v>
          </cell>
          <cell r="AN99">
            <v>0</v>
          </cell>
          <cell r="AO99" t="str">
            <v>WSWT2025800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WRWT25800/WRWT25800</v>
          </cell>
          <cell r="CA99">
            <v>0</v>
          </cell>
          <cell r="DL99" t="str">
            <v>P7</v>
          </cell>
          <cell r="DM99">
            <v>2</v>
          </cell>
          <cell r="DN99">
            <v>45847</v>
          </cell>
          <cell r="DP99">
            <v>45842</v>
          </cell>
          <cell r="DQ99"/>
          <cell r="DR99">
            <v>45838</v>
          </cell>
          <cell r="DS99">
            <v>45845</v>
          </cell>
          <cell r="DT99">
            <v>45846</v>
          </cell>
          <cell r="DU99">
            <v>45846</v>
          </cell>
          <cell r="DW99"/>
          <cell r="DX99"/>
          <cell r="DY99"/>
          <cell r="DZ99"/>
          <cell r="EA99"/>
          <cell r="EB99"/>
          <cell r="EC99" t="str">
            <v>งานพิมพ์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MK68-000790</v>
          </cell>
          <cell r="C100">
            <v>45821</v>
          </cell>
          <cell r="E100" t="str">
            <v>บจก.เบทาโกร</v>
          </cell>
          <cell r="F100" t="str">
            <v>บาลานส์ 945</v>
          </cell>
          <cell r="G100">
            <v>20</v>
          </cell>
          <cell r="H100">
            <v>37</v>
          </cell>
          <cell r="I100" t="str">
            <v>ขาว</v>
          </cell>
          <cell r="J100"/>
          <cell r="L100">
            <v>80</v>
          </cell>
          <cell r="M100" t="str">
            <v>±</v>
          </cell>
          <cell r="N100">
            <v>3</v>
          </cell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45848</v>
          </cell>
          <cell r="Z100" t="str">
            <v>500กระสอบแบน พร้อมระบุชื่อบริษัท รายการสินค้า จำนวนแต่ละแพ็ค</v>
          </cell>
          <cell r="AA100">
            <v>5000</v>
          </cell>
          <cell r="AB100">
            <v>0</v>
          </cell>
          <cell r="AC100">
            <v>0</v>
          </cell>
          <cell r="AD100">
            <v>0</v>
          </cell>
          <cell r="AG100"/>
          <cell r="AI100" t="str">
            <v>ลพบุรี3</v>
          </cell>
          <cell r="AJ100">
            <v>0</v>
          </cell>
          <cell r="AL100">
            <v>5000</v>
          </cell>
          <cell r="AM100">
            <v>5500</v>
          </cell>
          <cell r="AN100">
            <v>0</v>
          </cell>
          <cell r="AO100" t="str">
            <v>WSWT2025800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WRWT25800/WRWT25800</v>
          </cell>
          <cell r="CA100">
            <v>0</v>
          </cell>
          <cell r="DL100" t="str">
            <v>P7</v>
          </cell>
          <cell r="DM100">
            <v>2</v>
          </cell>
          <cell r="DN100">
            <v>45848</v>
          </cell>
          <cell r="DP100">
            <v>45843</v>
          </cell>
          <cell r="DQ100"/>
          <cell r="DR100">
            <v>45839</v>
          </cell>
          <cell r="DS100">
            <v>45846</v>
          </cell>
          <cell r="DT100">
            <v>45847</v>
          </cell>
          <cell r="DU100">
            <v>45847</v>
          </cell>
          <cell r="DW100"/>
          <cell r="DX100"/>
          <cell r="DY100"/>
          <cell r="DZ100"/>
          <cell r="EA100"/>
          <cell r="EB100"/>
          <cell r="EC100" t="str">
            <v>งานพิมพ์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MK68-000790</v>
          </cell>
          <cell r="C101">
            <v>45821</v>
          </cell>
          <cell r="E101" t="str">
            <v>บจก.เบทาโกร</v>
          </cell>
          <cell r="F101" t="str">
            <v>เบทาโกร 327</v>
          </cell>
          <cell r="G101">
            <v>20</v>
          </cell>
          <cell r="H101">
            <v>37</v>
          </cell>
          <cell r="I101" t="str">
            <v>ขาว</v>
          </cell>
          <cell r="J101"/>
          <cell r="L101">
            <v>80</v>
          </cell>
          <cell r="M101" t="str">
            <v>±</v>
          </cell>
          <cell r="N101">
            <v>3</v>
          </cell>
          <cell r="R101" t="str">
            <v>ไม่</v>
          </cell>
          <cell r="T101" t="str">
            <v>ไม่สวมถุงใน</v>
          </cell>
          <cell r="U101"/>
          <cell r="V101"/>
          <cell r="X101">
            <v>45848</v>
          </cell>
          <cell r="Z101" t="str">
            <v>500กระสอบแบน พร้อมระบุชื่อบริษัท รายการสินค้า จำนวนแต่ละแพ็ค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 t="str">
            <v>ลพบุรี3</v>
          </cell>
          <cell r="AJ101">
            <v>0</v>
          </cell>
          <cell r="AL101">
            <v>5000</v>
          </cell>
          <cell r="AM101">
            <v>5300</v>
          </cell>
          <cell r="AN101">
            <v>0</v>
          </cell>
          <cell r="AO101" t="str">
            <v>WSWT2025800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WRWT25800/WRWT25800</v>
          </cell>
          <cell r="CA101">
            <v>0</v>
          </cell>
          <cell r="DL101" t="str">
            <v>P7</v>
          </cell>
          <cell r="DM101">
            <v>2</v>
          </cell>
          <cell r="DN101">
            <v>45848</v>
          </cell>
          <cell r="DP101">
            <v>45843</v>
          </cell>
          <cell r="DQ101"/>
          <cell r="DR101">
            <v>45839</v>
          </cell>
          <cell r="DS101">
            <v>45846</v>
          </cell>
          <cell r="DT101">
            <v>45847</v>
          </cell>
          <cell r="DU101">
            <v>45847</v>
          </cell>
          <cell r="DW101"/>
          <cell r="DX101"/>
          <cell r="DY101"/>
          <cell r="DZ101"/>
          <cell r="EA101"/>
          <cell r="EB101"/>
          <cell r="EC101" t="str">
            <v>งานพิมพ์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MK68-000770</v>
          </cell>
          <cell r="C102">
            <v>45818</v>
          </cell>
          <cell r="E102" t="str">
            <v>บจก.เบทาโกร</v>
          </cell>
          <cell r="F102" t="str">
            <v>WB ฟาร์ม F992 30kg LP</v>
          </cell>
          <cell r="G102">
            <v>20</v>
          </cell>
          <cell r="H102">
            <v>37</v>
          </cell>
          <cell r="I102" t="str">
            <v>ขาว</v>
          </cell>
          <cell r="J102"/>
          <cell r="L102">
            <v>80</v>
          </cell>
          <cell r="M102" t="str">
            <v>±</v>
          </cell>
          <cell r="N102">
            <v>3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45849</v>
          </cell>
          <cell r="Z102" t="str">
            <v>500กระสอบแบน พร้อมระบุชื่อบริษัท รายการสินค้า จำนวนแต่ละแพ็ค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 t="str">
            <v>ลำพูน</v>
          </cell>
          <cell r="AJ102">
            <v>5072</v>
          </cell>
          <cell r="AL102">
            <v>0</v>
          </cell>
          <cell r="AM102">
            <v>5435</v>
          </cell>
          <cell r="AN102">
            <v>0</v>
          </cell>
          <cell r="AO102" t="str">
            <v>WSWT2025800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WRWT25800/WRWT25800</v>
          </cell>
          <cell r="CA102">
            <v>0</v>
          </cell>
          <cell r="DL102" t="str">
            <v>P7</v>
          </cell>
          <cell r="DM102">
            <v>2</v>
          </cell>
          <cell r="DN102">
            <v>45849</v>
          </cell>
          <cell r="DP102">
            <v>45844</v>
          </cell>
          <cell r="DQ102"/>
          <cell r="DR102">
            <v>45840</v>
          </cell>
          <cell r="DS102">
            <v>45847</v>
          </cell>
          <cell r="DT102">
            <v>45848</v>
          </cell>
          <cell r="DU102">
            <v>45848</v>
          </cell>
          <cell r="DW102"/>
          <cell r="DX102"/>
          <cell r="DY102"/>
          <cell r="DZ102"/>
          <cell r="EA102"/>
          <cell r="EB102"/>
          <cell r="EC102" t="str">
            <v>งานพิมพ์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MK68-000789</v>
          </cell>
          <cell r="C103">
            <v>45821</v>
          </cell>
          <cell r="E103" t="str">
            <v>บจก.เบทาโกร</v>
          </cell>
          <cell r="F103" t="str">
            <v>WB ฟาร์ม F992 30kg LR</v>
          </cell>
          <cell r="G103">
            <v>20</v>
          </cell>
          <cell r="H103">
            <v>37</v>
          </cell>
          <cell r="I103" t="str">
            <v>ขาว</v>
          </cell>
          <cell r="J103"/>
          <cell r="L103">
            <v>80</v>
          </cell>
          <cell r="M103" t="str">
            <v>±</v>
          </cell>
          <cell r="N103">
            <v>3</v>
          </cell>
          <cell r="R103" t="str">
            <v>ไม่</v>
          </cell>
          <cell r="T103" t="str">
            <v>ไม่สวมถุงใน</v>
          </cell>
          <cell r="U103"/>
          <cell r="V103"/>
          <cell r="X103">
            <v>45852</v>
          </cell>
          <cell r="Z103" t="str">
            <v>500กระสอบแบน พร้อมระบุชื่อบริษัท รายการสินค้า จำนวนแต่ละแพ็ค</v>
          </cell>
          <cell r="AA103">
            <v>80000</v>
          </cell>
          <cell r="AB103">
            <v>0</v>
          </cell>
          <cell r="AC103">
            <v>0</v>
          </cell>
          <cell r="AD103">
            <v>0</v>
          </cell>
          <cell r="AG103"/>
          <cell r="AI103" t="str">
            <v>ลพบุรี3</v>
          </cell>
          <cell r="AJ103">
            <v>0</v>
          </cell>
          <cell r="AL103">
            <v>80000</v>
          </cell>
          <cell r="AM103">
            <v>42215</v>
          </cell>
          <cell r="AN103">
            <v>39674.25</v>
          </cell>
          <cell r="AO103" t="str">
            <v>WSWT2025800</v>
          </cell>
          <cell r="AQ103">
            <v>42677.193982500001</v>
          </cell>
          <cell r="AR103">
            <v>27654</v>
          </cell>
          <cell r="AS103">
            <v>15023.193982500001</v>
          </cell>
          <cell r="AT103">
            <v>0</v>
          </cell>
          <cell r="AU103">
            <v>0</v>
          </cell>
          <cell r="BZ103" t="str">
            <v>WRWT25800/WRWT25800</v>
          </cell>
          <cell r="CA103">
            <v>1148.4397177733333</v>
          </cell>
          <cell r="DL103" t="str">
            <v>P7</v>
          </cell>
          <cell r="DM103">
            <v>2</v>
          </cell>
          <cell r="DN103">
            <v>45852</v>
          </cell>
          <cell r="DP103">
            <v>45847</v>
          </cell>
          <cell r="DQ103"/>
          <cell r="DR103">
            <v>45843</v>
          </cell>
          <cell r="DS103">
            <v>45850</v>
          </cell>
          <cell r="DT103">
            <v>45851</v>
          </cell>
          <cell r="DU103">
            <v>45851</v>
          </cell>
          <cell r="DW103"/>
          <cell r="DX103"/>
          <cell r="DY103"/>
          <cell r="DZ103"/>
          <cell r="EA103"/>
          <cell r="EB103"/>
          <cell r="EC103" t="str">
            <v>งานพิมพ์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MK68-000768</v>
          </cell>
          <cell r="C104">
            <v>45818</v>
          </cell>
          <cell r="E104" t="str">
            <v>บจก.เบทาโกร</v>
          </cell>
          <cell r="F104" t="str">
            <v>WB ฟาร์ม F992 30kg LR</v>
          </cell>
          <cell r="G104">
            <v>20</v>
          </cell>
          <cell r="H104">
            <v>37</v>
          </cell>
          <cell r="I104" t="str">
            <v>ขาว</v>
          </cell>
          <cell r="J104"/>
          <cell r="L104">
            <v>80</v>
          </cell>
          <cell r="M104" t="str">
            <v>±</v>
          </cell>
          <cell r="N104">
            <v>3</v>
          </cell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45859</v>
          </cell>
          <cell r="Z104" t="str">
            <v>500กระสอบแบน พร้อมระบุชื่อบริษัท รายการสินค้า จำนวนแต่ละแพ็ค</v>
          </cell>
          <cell r="AA104">
            <v>50000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ลพบุรี1</v>
          </cell>
          <cell r="AJ104">
            <v>0</v>
          </cell>
          <cell r="AL104">
            <v>50000</v>
          </cell>
          <cell r="AM104"/>
          <cell r="AN104">
            <v>52500</v>
          </cell>
          <cell r="AO104" t="str">
            <v>WSWT2025800</v>
          </cell>
          <cell r="AQ104">
            <v>53784.500000000007</v>
          </cell>
          <cell r="AR104">
            <v>0</v>
          </cell>
          <cell r="AS104">
            <v>53784.500000000007</v>
          </cell>
          <cell r="AT104">
            <v>0</v>
          </cell>
          <cell r="AU104">
            <v>0</v>
          </cell>
          <cell r="BZ104" t="str">
            <v>WRWT25800/WRWT25800</v>
          </cell>
          <cell r="CA104">
            <v>4111.5262222222227</v>
          </cell>
          <cell r="DL104" t="str">
            <v>P7</v>
          </cell>
          <cell r="DM104">
            <v>2</v>
          </cell>
          <cell r="DN104">
            <v>45859</v>
          </cell>
          <cell r="DP104">
            <v>45854</v>
          </cell>
          <cell r="DQ104"/>
          <cell r="DR104">
            <v>45850</v>
          </cell>
          <cell r="DS104">
            <v>45857</v>
          </cell>
          <cell r="DT104">
            <v>45858</v>
          </cell>
          <cell r="DU104">
            <v>45858</v>
          </cell>
          <cell r="DW104"/>
          <cell r="DX104"/>
          <cell r="DY104"/>
          <cell r="DZ104"/>
          <cell r="EA104"/>
          <cell r="EB104"/>
          <cell r="EC104" t="str">
            <v>งานพิมพ์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MK68-000769</v>
          </cell>
          <cell r="C105">
            <v>45818</v>
          </cell>
          <cell r="E105" t="str">
            <v>บจก.เบทาโกร</v>
          </cell>
          <cell r="F105" t="str">
            <v xml:space="preserve">WB ฟาร์ม F931L 30kg </v>
          </cell>
          <cell r="G105">
            <v>20</v>
          </cell>
          <cell r="H105">
            <v>37</v>
          </cell>
          <cell r="I105" t="str">
            <v>ขาว</v>
          </cell>
          <cell r="J105"/>
          <cell r="L105">
            <v>80</v>
          </cell>
          <cell r="M105" t="str">
            <v>±</v>
          </cell>
          <cell r="N105">
            <v>3</v>
          </cell>
          <cell r="R105" t="str">
            <v>ไม่</v>
          </cell>
          <cell r="T105" t="str">
            <v>ไม่สวมถุงใน</v>
          </cell>
          <cell r="U105"/>
          <cell r="V105"/>
          <cell r="X105">
            <v>45859</v>
          </cell>
          <cell r="Z105" t="str">
            <v>500กระสอบแบน พร้อมระบุชื่อบริษัท รายการสินค้า จำนวนแต่ละแพ็ค</v>
          </cell>
          <cell r="AA105">
            <v>30000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ลพบุรี1</v>
          </cell>
          <cell r="AJ105">
            <v>0</v>
          </cell>
          <cell r="AL105">
            <v>30000</v>
          </cell>
          <cell r="AM105"/>
          <cell r="AN105">
            <v>31500</v>
          </cell>
          <cell r="AO105" t="str">
            <v>WSWT2025800</v>
          </cell>
          <cell r="AQ105">
            <v>32270.700000000004</v>
          </cell>
          <cell r="AR105">
            <v>0</v>
          </cell>
          <cell r="AS105">
            <v>32270.700000000004</v>
          </cell>
          <cell r="AT105">
            <v>0</v>
          </cell>
          <cell r="AU105">
            <v>0</v>
          </cell>
          <cell r="BZ105" t="str">
            <v>WRWT25800/WRWT25800</v>
          </cell>
          <cell r="CA105">
            <v>2466.9157333333337</v>
          </cell>
          <cell r="DL105" t="str">
            <v>P7</v>
          </cell>
          <cell r="DM105">
            <v>2</v>
          </cell>
          <cell r="DN105">
            <v>45859</v>
          </cell>
          <cell r="DP105">
            <v>45854</v>
          </cell>
          <cell r="DQ105"/>
          <cell r="DR105">
            <v>45850</v>
          </cell>
          <cell r="DS105">
            <v>45857</v>
          </cell>
          <cell r="DT105">
            <v>45858</v>
          </cell>
          <cell r="DU105">
            <v>45858</v>
          </cell>
          <cell r="DW105"/>
          <cell r="DX105"/>
          <cell r="DY105"/>
          <cell r="DZ105"/>
          <cell r="EA105"/>
          <cell r="EB105"/>
          <cell r="EC105" t="str">
            <v>งานพิมพ์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MK68-000827</v>
          </cell>
          <cell r="C106">
            <v>45831</v>
          </cell>
          <cell r="E106" t="str">
            <v>บจก.เบทาโกร</v>
          </cell>
          <cell r="F106" t="str">
            <v>มาสเตอร์ 5556</v>
          </cell>
          <cell r="G106">
            <v>20</v>
          </cell>
          <cell r="H106">
            <v>37</v>
          </cell>
          <cell r="I106" t="str">
            <v>ขาว</v>
          </cell>
          <cell r="J106"/>
          <cell r="L106">
            <v>80</v>
          </cell>
          <cell r="M106" t="str">
            <v>±</v>
          </cell>
          <cell r="N106">
            <v>3</v>
          </cell>
          <cell r="R106" t="str">
            <v>ไม่</v>
          </cell>
          <cell r="T106" t="str">
            <v>ไม่สวมถุงใน</v>
          </cell>
          <cell r="U106"/>
          <cell r="V106"/>
          <cell r="X106">
            <v>45862</v>
          </cell>
          <cell r="Z106" t="str">
            <v>500กระสอบแบน พร้อมระบุชื่อบริษัท รายการสินค้า จำนวนแต่ละแพ็ค</v>
          </cell>
          <cell r="AA106">
            <v>5000</v>
          </cell>
          <cell r="AB106">
            <v>0</v>
          </cell>
          <cell r="AC106">
            <v>0</v>
          </cell>
          <cell r="AD106">
            <v>0</v>
          </cell>
          <cell r="AG106"/>
          <cell r="AI106" t="str">
            <v>ลพบุรี3</v>
          </cell>
          <cell r="AJ106">
            <v>0</v>
          </cell>
          <cell r="AL106">
            <v>5000</v>
          </cell>
          <cell r="AM106"/>
          <cell r="AN106">
            <v>5250</v>
          </cell>
          <cell r="AO106" t="str">
            <v>WSWT2025800</v>
          </cell>
          <cell r="AQ106">
            <v>5378.4500000000007</v>
          </cell>
          <cell r="AR106">
            <v>0</v>
          </cell>
          <cell r="AS106">
            <v>5378.4500000000007</v>
          </cell>
          <cell r="AT106">
            <v>0</v>
          </cell>
          <cell r="AU106">
            <v>0</v>
          </cell>
          <cell r="BZ106" t="str">
            <v>WRWT25800/WRWT25800</v>
          </cell>
          <cell r="CA106">
            <v>411.15262222222225</v>
          </cell>
          <cell r="DL106" t="str">
            <v>P7</v>
          </cell>
          <cell r="DM106">
            <v>2</v>
          </cell>
          <cell r="DN106">
            <v>45862</v>
          </cell>
          <cell r="DP106">
            <v>45857</v>
          </cell>
          <cell r="DQ106"/>
          <cell r="DR106">
            <v>45853</v>
          </cell>
          <cell r="DS106">
            <v>45860</v>
          </cell>
          <cell r="DT106">
            <v>45861</v>
          </cell>
          <cell r="DU106">
            <v>45861</v>
          </cell>
          <cell r="DW106"/>
          <cell r="DX106"/>
          <cell r="DY106"/>
          <cell r="DZ106"/>
          <cell r="EA106"/>
          <cell r="EB106"/>
          <cell r="EC106" t="str">
            <v>งานพิมพ์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MK68-000827</v>
          </cell>
          <cell r="C107">
            <v>45831</v>
          </cell>
          <cell r="E107" t="str">
            <v>บจก.เบทาโกร</v>
          </cell>
          <cell r="F107" t="str">
            <v>เบทาโกร 405</v>
          </cell>
          <cell r="G107">
            <v>20</v>
          </cell>
          <cell r="H107">
            <v>37</v>
          </cell>
          <cell r="I107" t="str">
            <v>ขาว</v>
          </cell>
          <cell r="J107"/>
          <cell r="L107">
            <v>80</v>
          </cell>
          <cell r="M107" t="str">
            <v>±</v>
          </cell>
          <cell r="N107">
            <v>3</v>
          </cell>
          <cell r="R107" t="str">
            <v>ไม่</v>
          </cell>
          <cell r="T107" t="str">
            <v>ไม่สวมถุงใน</v>
          </cell>
          <cell r="U107"/>
          <cell r="V107"/>
          <cell r="X107">
            <v>45862</v>
          </cell>
          <cell r="Z107" t="str">
            <v>500กระสอบแบน พร้อมระบุชื่อบริษัท รายการสินค้า จำนวนแต่ละแพ็ค</v>
          </cell>
          <cell r="AA107">
            <v>40000</v>
          </cell>
          <cell r="AB107">
            <v>0</v>
          </cell>
          <cell r="AC107">
            <v>0</v>
          </cell>
          <cell r="AD107">
            <v>0</v>
          </cell>
          <cell r="AG107"/>
          <cell r="AI107" t="str">
            <v>ลพบุรี3</v>
          </cell>
          <cell r="AJ107">
            <v>0</v>
          </cell>
          <cell r="AL107">
            <v>40000</v>
          </cell>
          <cell r="AM107"/>
          <cell r="AN107">
            <v>42000</v>
          </cell>
          <cell r="AO107" t="str">
            <v>WSWT2025800</v>
          </cell>
          <cell r="AQ107">
            <v>43027.600000000006</v>
          </cell>
          <cell r="AR107">
            <v>0</v>
          </cell>
          <cell r="AS107">
            <v>43027.600000000006</v>
          </cell>
          <cell r="AT107">
            <v>0</v>
          </cell>
          <cell r="AU107">
            <v>0</v>
          </cell>
          <cell r="BZ107" t="str">
            <v>WRWT25800/WRWT25800</v>
          </cell>
          <cell r="CA107">
            <v>3289.220977777778</v>
          </cell>
          <cell r="DL107" t="str">
            <v>P7</v>
          </cell>
          <cell r="DM107">
            <v>2</v>
          </cell>
          <cell r="DN107">
            <v>45862</v>
          </cell>
          <cell r="DP107">
            <v>45857</v>
          </cell>
          <cell r="DQ107"/>
          <cell r="DR107">
            <v>45853</v>
          </cell>
          <cell r="DS107">
            <v>45860</v>
          </cell>
          <cell r="DT107">
            <v>45861</v>
          </cell>
          <cell r="DU107">
            <v>45861</v>
          </cell>
          <cell r="DW107"/>
          <cell r="DX107"/>
          <cell r="DY107"/>
          <cell r="DZ107"/>
          <cell r="EA107"/>
          <cell r="EB107"/>
          <cell r="EC107" t="str">
            <v>งานพิมพ์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MK68-000867</v>
          </cell>
          <cell r="C108">
            <v>45842</v>
          </cell>
          <cell r="E108" t="str">
            <v>บจก.เคอรี่ฟลาวมิลล์</v>
          </cell>
          <cell r="F108" t="str">
            <v>แปดแต้มแดง 25กก.</v>
          </cell>
          <cell r="G108">
            <v>20</v>
          </cell>
          <cell r="H108">
            <v>32</v>
          </cell>
          <cell r="I108" t="str">
            <v>ขาว</v>
          </cell>
          <cell r="J108"/>
          <cell r="L108">
            <v>72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45867</v>
          </cell>
          <cell r="Z108" t="str">
            <v>ห่ออัดเบลแบน500</v>
          </cell>
          <cell r="AA108">
            <v>5000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5000</v>
          </cell>
          <cell r="AM108"/>
          <cell r="AN108">
            <v>5250</v>
          </cell>
          <cell r="AO108" t="str">
            <v>WSWT2025800</v>
          </cell>
          <cell r="AQ108">
            <v>4679.9500000000007</v>
          </cell>
          <cell r="AR108">
            <v>0</v>
          </cell>
          <cell r="AS108">
            <v>4679.9500000000007</v>
          </cell>
          <cell r="AT108">
            <v>0</v>
          </cell>
          <cell r="AU108">
            <v>0</v>
          </cell>
          <cell r="BZ108" t="str">
            <v>WRWT25800/WRWT25800</v>
          </cell>
          <cell r="CA108">
            <v>357.75617777777779</v>
          </cell>
          <cell r="DL108" t="str">
            <v>P7</v>
          </cell>
          <cell r="DM108">
            <v>2</v>
          </cell>
          <cell r="DN108">
            <v>45867</v>
          </cell>
          <cell r="DP108">
            <v>45862</v>
          </cell>
          <cell r="DQ108"/>
          <cell r="DR108">
            <v>45858</v>
          </cell>
          <cell r="DS108">
            <v>45865</v>
          </cell>
          <cell r="DT108">
            <v>45866</v>
          </cell>
          <cell r="DU108">
            <v>45866</v>
          </cell>
          <cell r="DW108"/>
          <cell r="DX108"/>
          <cell r="DY108"/>
          <cell r="DZ108"/>
          <cell r="EA108"/>
          <cell r="EB108"/>
          <cell r="EC108" t="str">
            <v>งานพิมพ์</v>
          </cell>
          <cell r="ED108" t="str">
            <v>รอART</v>
          </cell>
          <cell r="EG108"/>
          <cell r="EH108"/>
          <cell r="EI108"/>
        </row>
        <row r="109">
          <cell r="B109" t="str">
            <v>MK68-000857</v>
          </cell>
          <cell r="C109">
            <v>45840</v>
          </cell>
          <cell r="E109" t="str">
            <v>บจก.เบทาโกร</v>
          </cell>
          <cell r="F109" t="str">
            <v>WB ฟาร์ม F914M 30kg.NM</v>
          </cell>
          <cell r="G109">
            <v>20</v>
          </cell>
          <cell r="H109">
            <v>37</v>
          </cell>
          <cell r="I109" t="str">
            <v>ขาว</v>
          </cell>
          <cell r="J109"/>
          <cell r="L109">
            <v>80</v>
          </cell>
          <cell r="M109" t="str">
            <v>±</v>
          </cell>
          <cell r="N109">
            <v>3</v>
          </cell>
          <cell r="R109" t="str">
            <v>ไม่</v>
          </cell>
          <cell r="T109" t="str">
            <v>ไม่สวมถุงใน</v>
          </cell>
          <cell r="U109"/>
          <cell r="V109"/>
          <cell r="X109">
            <v>45875</v>
          </cell>
          <cell r="Z109" t="str">
            <v>500กระสอบแบน พร้อมระบุชื่อบริษัท รายการสินค้า จำนวนแต่ละแพ็ค</v>
          </cell>
          <cell r="AA109">
            <v>13000</v>
          </cell>
          <cell r="AB109">
            <v>0</v>
          </cell>
          <cell r="AC109">
            <v>0</v>
          </cell>
          <cell r="AD109">
            <v>0</v>
          </cell>
          <cell r="AG109"/>
          <cell r="AI109" t="str">
            <v>หนองบุญมาก</v>
          </cell>
          <cell r="AJ109">
            <v>0</v>
          </cell>
          <cell r="AL109">
            <v>13000</v>
          </cell>
          <cell r="AM109"/>
          <cell r="AN109">
            <v>13650</v>
          </cell>
          <cell r="AO109" t="str">
            <v>WSWT2025800</v>
          </cell>
          <cell r="AQ109">
            <v>13983.970000000001</v>
          </cell>
          <cell r="AR109">
            <v>0</v>
          </cell>
          <cell r="AS109">
            <v>13983.970000000001</v>
          </cell>
          <cell r="AT109">
            <v>0</v>
          </cell>
          <cell r="AU109">
            <v>0</v>
          </cell>
          <cell r="BZ109" t="str">
            <v>WRWT25800/WRWT25800</v>
          </cell>
          <cell r="CA109">
            <v>1068.996817777778</v>
          </cell>
          <cell r="DL109" t="str">
            <v>P7</v>
          </cell>
          <cell r="DM109">
            <v>2</v>
          </cell>
          <cell r="DN109">
            <v>45875</v>
          </cell>
          <cell r="DP109">
            <v>45870</v>
          </cell>
          <cell r="DQ109"/>
          <cell r="DR109">
            <v>45866</v>
          </cell>
          <cell r="DS109">
            <v>45873</v>
          </cell>
          <cell r="DT109">
            <v>45874</v>
          </cell>
          <cell r="DU109">
            <v>45874</v>
          </cell>
          <cell r="DW109"/>
          <cell r="DX109"/>
          <cell r="DY109"/>
          <cell r="DZ109"/>
          <cell r="EA109"/>
          <cell r="EB109"/>
          <cell r="EC109" t="str">
            <v>งานพิมพ์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MK68-000838</v>
          </cell>
          <cell r="C110">
            <v>45834</v>
          </cell>
          <cell r="E110" t="str">
            <v>บจก.เบทาโกร</v>
          </cell>
          <cell r="F110" t="str">
            <v>WB ฟาร์ม F914M 30kg.</v>
          </cell>
          <cell r="G110">
            <v>20</v>
          </cell>
          <cell r="H110">
            <v>37</v>
          </cell>
          <cell r="I110" t="str">
            <v>ขาว</v>
          </cell>
          <cell r="J110"/>
          <cell r="L110">
            <v>80</v>
          </cell>
          <cell r="M110" t="str">
            <v>±</v>
          </cell>
          <cell r="N110">
            <v>3</v>
          </cell>
          <cell r="R110" t="str">
            <v>ไม่</v>
          </cell>
          <cell r="T110" t="str">
            <v>ไม่สวมถุงใน</v>
          </cell>
          <cell r="U110"/>
          <cell r="V110"/>
          <cell r="X110">
            <v>45897</v>
          </cell>
          <cell r="Z110" t="str">
            <v>500กระสอบ พร้อมระบุชื่อบริษัท รายการสินค้า จำนวนแต่ละแพ็ค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 t="str">
            <v>พระประแดง</v>
          </cell>
          <cell r="AJ110">
            <v>0</v>
          </cell>
          <cell r="AL110">
            <v>5000</v>
          </cell>
          <cell r="AM110"/>
          <cell r="AN110">
            <v>5250</v>
          </cell>
          <cell r="AO110" t="str">
            <v>WSWT2025800</v>
          </cell>
          <cell r="AQ110">
            <v>5378.4500000000007</v>
          </cell>
          <cell r="AR110">
            <v>0</v>
          </cell>
          <cell r="AS110">
            <v>5378.4500000000007</v>
          </cell>
          <cell r="AT110">
            <v>0</v>
          </cell>
          <cell r="AU110">
            <v>0</v>
          </cell>
          <cell r="BZ110" t="str">
            <v>WRWT25800/WRWT25800</v>
          </cell>
          <cell r="CA110">
            <v>411.15262222222225</v>
          </cell>
          <cell r="DL110" t="str">
            <v>P7</v>
          </cell>
          <cell r="DM110">
            <v>2</v>
          </cell>
          <cell r="DN110">
            <v>45897</v>
          </cell>
          <cell r="DP110">
            <v>45892</v>
          </cell>
          <cell r="DQ110"/>
          <cell r="DR110">
            <v>45888</v>
          </cell>
          <cell r="DS110">
            <v>45895</v>
          </cell>
          <cell r="DT110">
            <v>45896</v>
          </cell>
          <cell r="DU110">
            <v>45896</v>
          </cell>
          <cell r="DW110"/>
          <cell r="DX110"/>
          <cell r="DY110"/>
          <cell r="DZ110"/>
          <cell r="EA110"/>
          <cell r="EB110"/>
          <cell r="EC110" t="str">
            <v>งานพิมพ์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MK68-000838</v>
          </cell>
          <cell r="C111">
            <v>45834</v>
          </cell>
          <cell r="E111" t="str">
            <v>บจก.เบทาโกร</v>
          </cell>
          <cell r="F111" t="str">
            <v>WB ฟาร์ม F911 30kg.</v>
          </cell>
          <cell r="G111">
            <v>20</v>
          </cell>
          <cell r="H111">
            <v>37</v>
          </cell>
          <cell r="I111" t="str">
            <v>ขาว</v>
          </cell>
          <cell r="J111"/>
          <cell r="L111">
            <v>80</v>
          </cell>
          <cell r="M111" t="str">
            <v>±</v>
          </cell>
          <cell r="N111">
            <v>3</v>
          </cell>
          <cell r="R111" t="str">
            <v>ไม่</v>
          </cell>
          <cell r="T111" t="str">
            <v>ไม่สวมถุงใน</v>
          </cell>
          <cell r="U111"/>
          <cell r="V111"/>
          <cell r="X111">
            <v>45897</v>
          </cell>
          <cell r="Z111" t="str">
            <v>500กระสอบ พร้อมระบุชื่อบริษัท รายการสินค้า จำนวนแต่ละแพ็ค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 t="str">
            <v>พระประแดง</v>
          </cell>
          <cell r="AJ111">
            <v>0</v>
          </cell>
          <cell r="AL111">
            <v>5000</v>
          </cell>
          <cell r="AM111"/>
          <cell r="AN111">
            <v>5250</v>
          </cell>
          <cell r="AO111" t="str">
            <v>WSWT2025800</v>
          </cell>
          <cell r="AQ111">
            <v>5378.4500000000007</v>
          </cell>
          <cell r="AR111">
            <v>0</v>
          </cell>
          <cell r="AS111">
            <v>5378.4500000000007</v>
          </cell>
          <cell r="AT111">
            <v>0</v>
          </cell>
          <cell r="AU111">
            <v>0</v>
          </cell>
          <cell r="BZ111" t="str">
            <v>WRWT25800/WRWT25800</v>
          </cell>
          <cell r="CA111">
            <v>411.15262222222225</v>
          </cell>
          <cell r="DL111" t="str">
            <v>P7</v>
          </cell>
          <cell r="DM111">
            <v>2</v>
          </cell>
          <cell r="DN111">
            <v>45897</v>
          </cell>
          <cell r="DP111">
            <v>45892</v>
          </cell>
          <cell r="DQ111"/>
          <cell r="DR111">
            <v>45888</v>
          </cell>
          <cell r="DS111">
            <v>45895</v>
          </cell>
          <cell r="DT111">
            <v>45896</v>
          </cell>
          <cell r="DU111">
            <v>45896</v>
          </cell>
          <cell r="DW111"/>
          <cell r="DX111"/>
          <cell r="DY111"/>
          <cell r="DZ111"/>
          <cell r="EA111"/>
          <cell r="EB111"/>
          <cell r="EC111" t="str">
            <v>งานพิมพ์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ประมาณการ</v>
          </cell>
          <cell r="C112" t="str">
            <v>ประมาณการ</v>
          </cell>
          <cell r="E112" t="str">
            <v>บจก.อินเทคค์ โกลบอล</v>
          </cell>
          <cell r="F112" t="str">
            <v>รอแบบ</v>
          </cell>
          <cell r="G112">
            <v>20</v>
          </cell>
          <cell r="H112">
            <v>36</v>
          </cell>
          <cell r="I112" t="str">
            <v>ขาว</v>
          </cell>
          <cell r="J112"/>
          <cell r="L112">
            <v>78</v>
          </cell>
          <cell r="M112" t="str">
            <v>±</v>
          </cell>
          <cell r="N112">
            <v>5</v>
          </cell>
          <cell r="R112" t="str">
            <v>จับจีบ4"</v>
          </cell>
          <cell r="T112" t="str">
            <v>ไม่สวมถุงใน</v>
          </cell>
          <cell r="U112"/>
          <cell r="V112"/>
          <cell r="X112">
            <v>45868</v>
          </cell>
          <cell r="Z112" t="str">
            <v>มัด80 ใช้สายรัด</v>
          </cell>
          <cell r="AA112">
            <v>55000</v>
          </cell>
          <cell r="AB112">
            <v>0</v>
          </cell>
          <cell r="AC112">
            <v>0</v>
          </cell>
          <cell r="AD112">
            <v>0</v>
          </cell>
          <cell r="AG112"/>
          <cell r="AI112" t="str">
            <v>ห้ามขาด-ห้ามเกิน</v>
          </cell>
          <cell r="AJ112">
            <v>0</v>
          </cell>
          <cell r="AL112">
            <v>55000</v>
          </cell>
          <cell r="AM112">
            <v>0</v>
          </cell>
          <cell r="AN112">
            <v>57750</v>
          </cell>
          <cell r="AO112" t="str">
            <v>WSWT2025800</v>
          </cell>
          <cell r="AQ112">
            <v>57626.250000000007</v>
          </cell>
          <cell r="AR112">
            <v>0</v>
          </cell>
          <cell r="AS112">
            <v>57626.250000000007</v>
          </cell>
          <cell r="AT112">
            <v>0</v>
          </cell>
          <cell r="AU112">
            <v>0</v>
          </cell>
          <cell r="BZ112" t="str">
            <v>WRWT25800/WRWT25800</v>
          </cell>
          <cell r="CA112">
            <v>4405.2066666666669</v>
          </cell>
          <cell r="DL112" t="str">
            <v>P7</v>
          </cell>
          <cell r="DM112">
            <v>2</v>
          </cell>
          <cell r="DN112">
            <v>45868</v>
          </cell>
          <cell r="DP112">
            <v>45863</v>
          </cell>
          <cell r="DQ112"/>
          <cell r="DR112">
            <v>45859</v>
          </cell>
          <cell r="DS112">
            <v>45866</v>
          </cell>
          <cell r="DT112">
            <v>45867</v>
          </cell>
          <cell r="DU112">
            <v>45867</v>
          </cell>
          <cell r="DW112"/>
          <cell r="DX112"/>
          <cell r="DY112"/>
          <cell r="DZ112"/>
          <cell r="EA112"/>
          <cell r="EB112"/>
          <cell r="EC112" t="str">
            <v>งานพิมพ์</v>
          </cell>
          <cell r="ED112" t="str">
            <v xml:space="preserve"> /</v>
          </cell>
          <cell r="EG112"/>
          <cell r="EH112"/>
          <cell r="EI112"/>
        </row>
        <row r="113">
          <cell r="B113">
            <v>0</v>
          </cell>
          <cell r="C113"/>
          <cell r="E113"/>
          <cell r="F113"/>
          <cell r="G113">
            <v>20</v>
          </cell>
          <cell r="H113">
            <v>37</v>
          </cell>
          <cell r="I113"/>
          <cell r="J113"/>
          <cell r="L113">
            <v>80</v>
          </cell>
          <cell r="M113" t="str">
            <v>±</v>
          </cell>
          <cell r="N113">
            <v>3</v>
          </cell>
          <cell r="R113"/>
          <cell r="T113"/>
          <cell r="U113"/>
          <cell r="V113"/>
          <cell r="X113"/>
          <cell r="Z113"/>
          <cell r="AA113"/>
          <cell r="AB113">
            <v>0</v>
          </cell>
          <cell r="AC113">
            <v>0</v>
          </cell>
          <cell r="AD113"/>
          <cell r="AG113"/>
          <cell r="AI113" t="str">
            <v>ระบุในSD</v>
          </cell>
          <cell r="AJ113"/>
          <cell r="AL113">
            <v>0</v>
          </cell>
          <cell r="AM113"/>
          <cell r="AN113">
            <v>0</v>
          </cell>
          <cell r="AO113" t="str">
            <v>WSWT2025800</v>
          </cell>
          <cell r="AQ113">
            <v>313248.50323250011</v>
          </cell>
          <cell r="AR113">
            <v>76716.989249999999</v>
          </cell>
          <cell r="AS113">
            <v>236531.51398250004</v>
          </cell>
          <cell r="AT113">
            <v>0</v>
          </cell>
          <cell r="AU113">
            <v>0</v>
          </cell>
          <cell r="BZ113" t="str">
            <v>WRWT25800/WRWT25800</v>
          </cell>
          <cell r="CA113">
            <v>0</v>
          </cell>
          <cell r="DL113"/>
          <cell r="DM113" t="str">
            <v>Lead time</v>
          </cell>
          <cell r="DN113"/>
          <cell r="DP113"/>
          <cell r="DQ113"/>
          <cell r="DR113"/>
          <cell r="DS113"/>
          <cell r="DT113"/>
          <cell r="DU113"/>
          <cell r="DW113"/>
          <cell r="DX113"/>
          <cell r="DY113"/>
          <cell r="DZ113"/>
          <cell r="EA113"/>
          <cell r="EB113"/>
          <cell r="EC113"/>
          <cell r="ED113"/>
          <cell r="EG113"/>
          <cell r="EH113"/>
          <cell r="EI113">
            <v>0</v>
          </cell>
        </row>
        <row r="114">
          <cell r="B114">
            <v>0</v>
          </cell>
          <cell r="C114"/>
          <cell r="E114"/>
          <cell r="F114"/>
          <cell r="G114">
            <v>20</v>
          </cell>
          <cell r="H114">
            <v>34</v>
          </cell>
          <cell r="I114"/>
          <cell r="J114"/>
          <cell r="L114">
            <v>98</v>
          </cell>
          <cell r="M114" t="str">
            <v>±</v>
          </cell>
          <cell r="N114">
            <v>5</v>
          </cell>
          <cell r="R114"/>
          <cell r="T114"/>
          <cell r="U114"/>
          <cell r="V114"/>
          <cell r="X114"/>
          <cell r="Z114"/>
          <cell r="AA114"/>
          <cell r="AB114"/>
          <cell r="AC114">
            <v>0</v>
          </cell>
          <cell r="AD114"/>
          <cell r="AG114"/>
          <cell r="AI114" t="str">
            <v>ระบุในSD</v>
          </cell>
          <cell r="AJ114"/>
          <cell r="AL114">
            <v>0</v>
          </cell>
          <cell r="AM114"/>
          <cell r="AN114">
            <v>0</v>
          </cell>
          <cell r="AO114" t="str">
            <v>WSWT2021950UV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BZ114" t="str">
            <v>WRWT200950/WRWT21950</v>
          </cell>
          <cell r="CA114">
            <v>0</v>
          </cell>
          <cell r="DL114"/>
          <cell r="DM114" t="str">
            <v>Lead time</v>
          </cell>
          <cell r="DN114"/>
          <cell r="DP114"/>
          <cell r="DQ114"/>
          <cell r="DR114"/>
          <cell r="DS114"/>
          <cell r="DT114"/>
          <cell r="DU114"/>
          <cell r="DW114"/>
          <cell r="DX114"/>
          <cell r="DY114"/>
          <cell r="DZ114"/>
          <cell r="EA114"/>
          <cell r="EB114"/>
          <cell r="EC114"/>
          <cell r="ED114"/>
          <cell r="EG114"/>
          <cell r="EH114"/>
          <cell r="EI114"/>
        </row>
        <row r="115">
          <cell r="B115">
            <v>0</v>
          </cell>
          <cell r="C115"/>
          <cell r="E115"/>
          <cell r="F115"/>
          <cell r="G115">
            <v>20</v>
          </cell>
          <cell r="H115">
            <v>34</v>
          </cell>
          <cell r="I115"/>
          <cell r="J115"/>
          <cell r="L115">
            <v>95</v>
          </cell>
          <cell r="M115" t="str">
            <v>±</v>
          </cell>
          <cell r="N115">
            <v>5</v>
          </cell>
          <cell r="R115"/>
          <cell r="T115"/>
          <cell r="U115"/>
          <cell r="V115"/>
          <cell r="X115"/>
          <cell r="Z115"/>
          <cell r="AA115"/>
          <cell r="AB115"/>
          <cell r="AC115">
            <v>0</v>
          </cell>
          <cell r="AD115"/>
          <cell r="AG115"/>
          <cell r="AI115" t="str">
            <v>ระบุในSD</v>
          </cell>
          <cell r="AJ115"/>
          <cell r="AL115">
            <v>0</v>
          </cell>
          <cell r="AM115"/>
          <cell r="AN115">
            <v>0</v>
          </cell>
          <cell r="AO115" t="str">
            <v>WSWT2021900UV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BZ115" t="str">
            <v>WRWT200900/WRWT21900</v>
          </cell>
          <cell r="CA115">
            <v>0</v>
          </cell>
          <cell r="DL115"/>
          <cell r="DM115" t="str">
            <v>Lead time</v>
          </cell>
          <cell r="DN115"/>
          <cell r="DP115"/>
          <cell r="DQ115"/>
          <cell r="DR115"/>
          <cell r="DS115"/>
          <cell r="DT115"/>
          <cell r="DU115"/>
          <cell r="DW115"/>
          <cell r="DX115"/>
          <cell r="DY115"/>
          <cell r="DZ115"/>
          <cell r="EA115"/>
          <cell r="EB115"/>
          <cell r="EC115"/>
          <cell r="ED115"/>
          <cell r="EG115"/>
          <cell r="EH115"/>
          <cell r="EI115"/>
        </row>
        <row r="116">
          <cell r="B116">
            <v>0</v>
          </cell>
          <cell r="C116"/>
          <cell r="E116"/>
          <cell r="F116"/>
          <cell r="G116">
            <v>20</v>
          </cell>
          <cell r="H116">
            <v>34</v>
          </cell>
          <cell r="I116"/>
          <cell r="J116"/>
          <cell r="L116">
            <v>80</v>
          </cell>
          <cell r="M116" t="str">
            <v>±</v>
          </cell>
          <cell r="N116">
            <v>5</v>
          </cell>
          <cell r="R116"/>
          <cell r="T116"/>
          <cell r="U116"/>
          <cell r="V116"/>
          <cell r="X116"/>
          <cell r="Z116"/>
          <cell r="AA116"/>
          <cell r="AB116"/>
          <cell r="AC116">
            <v>0</v>
          </cell>
          <cell r="AD116"/>
          <cell r="AG116"/>
          <cell r="AI116" t="str">
            <v>ระบุในSD</v>
          </cell>
          <cell r="AJ116"/>
          <cell r="AL116">
            <v>0</v>
          </cell>
          <cell r="AM116"/>
          <cell r="AN116">
            <v>0</v>
          </cell>
          <cell r="AO116" t="str">
            <v>WSWT2021750UV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BZ116" t="str">
            <v>WRWT200750/WRWT21750</v>
          </cell>
          <cell r="CA116">
            <v>0</v>
          </cell>
          <cell r="DL116"/>
          <cell r="DM116" t="str">
            <v>Lead time</v>
          </cell>
          <cell r="DN116"/>
          <cell r="DP116"/>
          <cell r="DQ116"/>
          <cell r="DR116"/>
          <cell r="DS116"/>
          <cell r="DT116"/>
          <cell r="DU116"/>
          <cell r="DW116"/>
          <cell r="DX116"/>
          <cell r="DY116"/>
          <cell r="DZ116"/>
          <cell r="EA116"/>
          <cell r="EB116"/>
          <cell r="EC116"/>
          <cell r="ED116"/>
          <cell r="EG116"/>
          <cell r="EH116"/>
          <cell r="EI116"/>
        </row>
        <row r="117">
          <cell r="B117">
            <v>0</v>
          </cell>
          <cell r="C117"/>
          <cell r="E117"/>
          <cell r="F117"/>
          <cell r="G117">
            <v>20</v>
          </cell>
          <cell r="H117">
            <v>34</v>
          </cell>
          <cell r="I117"/>
          <cell r="J117"/>
          <cell r="L117">
            <v>80</v>
          </cell>
          <cell r="M117" t="str">
            <v>±</v>
          </cell>
          <cell r="N117">
            <v>5</v>
          </cell>
          <cell r="R117"/>
          <cell r="T117"/>
          <cell r="U117"/>
          <cell r="V117"/>
          <cell r="X117"/>
          <cell r="Z117"/>
          <cell r="AA117"/>
          <cell r="AB117"/>
          <cell r="AC117">
            <v>0</v>
          </cell>
          <cell r="AD117"/>
          <cell r="AG117"/>
          <cell r="AI117" t="str">
            <v>ระบุในSD</v>
          </cell>
          <cell r="AJ117"/>
          <cell r="AL117">
            <v>0</v>
          </cell>
          <cell r="AM117"/>
          <cell r="AN117">
            <v>0</v>
          </cell>
          <cell r="AO117" t="str">
            <v>WSWT2021800UV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BZ117" t="str">
            <v>WRWT200800/WRWT21800</v>
          </cell>
          <cell r="CA117">
            <v>0</v>
          </cell>
          <cell r="DL117"/>
          <cell r="DM117" t="str">
            <v>Lead time</v>
          </cell>
          <cell r="DN117"/>
          <cell r="DP117"/>
          <cell r="DQ117"/>
          <cell r="DR117"/>
          <cell r="DS117"/>
          <cell r="DT117"/>
          <cell r="DU117"/>
          <cell r="DW117"/>
          <cell r="DX117"/>
          <cell r="DY117"/>
          <cell r="DZ117"/>
          <cell r="EA117"/>
          <cell r="EB117"/>
          <cell r="EC117"/>
          <cell r="ED117"/>
          <cell r="EG117"/>
          <cell r="EH117">
            <v>0</v>
          </cell>
          <cell r="EI117"/>
        </row>
        <row r="118">
          <cell r="B118">
            <v>0</v>
          </cell>
          <cell r="C118"/>
          <cell r="E118"/>
          <cell r="F118"/>
          <cell r="G118">
            <v>20</v>
          </cell>
          <cell r="H118">
            <v>37</v>
          </cell>
          <cell r="I118" t="str">
            <v>ขาว</v>
          </cell>
          <cell r="J118"/>
          <cell r="L118">
            <v>70</v>
          </cell>
          <cell r="M118" t="str">
            <v>±</v>
          </cell>
          <cell r="N118">
            <v>5</v>
          </cell>
          <cell r="R118"/>
          <cell r="T118"/>
          <cell r="U118"/>
          <cell r="V118"/>
          <cell r="X118"/>
          <cell r="Z118"/>
          <cell r="AA118"/>
          <cell r="AB118"/>
          <cell r="AC118">
            <v>0</v>
          </cell>
          <cell r="AD118"/>
          <cell r="AG118"/>
          <cell r="AI118" t="str">
            <v>ระบุในSD</v>
          </cell>
          <cell r="AJ118"/>
          <cell r="AL118">
            <v>0</v>
          </cell>
          <cell r="AM118"/>
          <cell r="AN118">
            <v>0</v>
          </cell>
          <cell r="AO118" t="str">
            <v>WSWT2025700(1)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BZ118" t="str">
            <v>WRWT200800/WRWT25650</v>
          </cell>
          <cell r="CA118">
            <v>0</v>
          </cell>
          <cell r="DL118"/>
          <cell r="DM118" t="str">
            <v>Lead time</v>
          </cell>
          <cell r="DN118"/>
          <cell r="DP118"/>
          <cell r="DQ118"/>
          <cell r="DR118"/>
          <cell r="DS118"/>
          <cell r="DT118"/>
          <cell r="DU118"/>
          <cell r="DW118"/>
          <cell r="DX118"/>
          <cell r="DY118"/>
          <cell r="DZ118"/>
          <cell r="EA118"/>
          <cell r="EB118"/>
          <cell r="EC118"/>
          <cell r="ED118"/>
          <cell r="EG118"/>
          <cell r="EH118"/>
          <cell r="EI118"/>
        </row>
        <row r="119">
          <cell r="B119">
            <v>0</v>
          </cell>
          <cell r="C119"/>
          <cell r="E119"/>
          <cell r="F119"/>
          <cell r="G119">
            <v>20</v>
          </cell>
          <cell r="H119">
            <v>34</v>
          </cell>
          <cell r="I119"/>
          <cell r="J119"/>
          <cell r="L119">
            <v>85</v>
          </cell>
          <cell r="M119" t="str">
            <v>±</v>
          </cell>
          <cell r="N119">
            <v>5</v>
          </cell>
          <cell r="R119"/>
          <cell r="T119"/>
          <cell r="U119"/>
          <cell r="V119"/>
          <cell r="X119"/>
          <cell r="Z119"/>
          <cell r="AA119"/>
          <cell r="AB119"/>
          <cell r="AC119">
            <v>0</v>
          </cell>
          <cell r="AD119"/>
          <cell r="AG119"/>
          <cell r="AI119" t="str">
            <v>ระบุในSD</v>
          </cell>
          <cell r="AJ119"/>
          <cell r="AL119">
            <v>0</v>
          </cell>
          <cell r="AM119"/>
          <cell r="AN119">
            <v>0</v>
          </cell>
          <cell r="AO119" t="str">
            <v>WSWT2021850UV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BZ119" t="str">
            <v>WRWT200850/WRWT21850</v>
          </cell>
          <cell r="CA119">
            <v>0</v>
          </cell>
          <cell r="DL119"/>
          <cell r="DM119"/>
          <cell r="DN119"/>
          <cell r="DP119"/>
          <cell r="DQ119"/>
          <cell r="DR119"/>
          <cell r="DS119"/>
          <cell r="DT119"/>
          <cell r="DU119"/>
          <cell r="DW119"/>
          <cell r="DX119"/>
          <cell r="DY119"/>
          <cell r="DZ119"/>
          <cell r="EA119"/>
          <cell r="EB119"/>
          <cell r="EC119"/>
          <cell r="ED119"/>
          <cell r="EG119"/>
          <cell r="EH119">
            <v>0</v>
          </cell>
          <cell r="EI119"/>
        </row>
        <row r="120">
          <cell r="B120">
            <v>0</v>
          </cell>
          <cell r="C120"/>
          <cell r="E120"/>
          <cell r="F120"/>
          <cell r="G120">
            <v>20</v>
          </cell>
          <cell r="H120">
            <v>34</v>
          </cell>
          <cell r="I120"/>
          <cell r="J120"/>
          <cell r="L120">
            <v>80</v>
          </cell>
          <cell r="M120" t="str">
            <v>±</v>
          </cell>
          <cell r="N120">
            <v>5</v>
          </cell>
          <cell r="R120"/>
          <cell r="T120"/>
          <cell r="U120"/>
          <cell r="V120"/>
          <cell r="X120"/>
          <cell r="Z120"/>
          <cell r="AA120"/>
          <cell r="AB120"/>
          <cell r="AC120">
            <v>0</v>
          </cell>
          <cell r="AD120"/>
          <cell r="AG120"/>
          <cell r="AI120" t="str">
            <v>ระบุในSD</v>
          </cell>
          <cell r="AJ120"/>
          <cell r="AL120">
            <v>0</v>
          </cell>
          <cell r="AM120"/>
          <cell r="AN120">
            <v>0</v>
          </cell>
          <cell r="AO120" t="str">
            <v>WSWT2021750UV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BZ120" t="str">
            <v>WRWT200750/WRWT21750</v>
          </cell>
          <cell r="CA120">
            <v>0</v>
          </cell>
          <cell r="DL120"/>
          <cell r="DM120"/>
          <cell r="DN120"/>
          <cell r="DP120"/>
          <cell r="DQ120"/>
          <cell r="DR120"/>
          <cell r="DS120"/>
          <cell r="DT120"/>
          <cell r="DU120"/>
          <cell r="DW120"/>
          <cell r="DX120"/>
          <cell r="DY120"/>
          <cell r="DZ120"/>
          <cell r="EA120"/>
          <cell r="EB120"/>
          <cell r="EC120"/>
          <cell r="ED120"/>
          <cell r="EG120"/>
          <cell r="EH120">
            <v>0</v>
          </cell>
          <cell r="EI120"/>
        </row>
        <row r="121">
          <cell r="B121">
            <v>0</v>
          </cell>
          <cell r="C121"/>
          <cell r="E121"/>
          <cell r="F121"/>
          <cell r="G121">
            <v>21</v>
          </cell>
          <cell r="H121">
            <v>39</v>
          </cell>
          <cell r="I121"/>
          <cell r="J121"/>
          <cell r="L121">
            <v>78</v>
          </cell>
          <cell r="M121" t="str">
            <v>±</v>
          </cell>
          <cell r="N121">
            <v>3</v>
          </cell>
          <cell r="R121"/>
          <cell r="T121"/>
          <cell r="U121"/>
          <cell r="V121"/>
          <cell r="X121"/>
          <cell r="Z121"/>
          <cell r="AA121"/>
          <cell r="AB121"/>
          <cell r="AC121">
            <v>0</v>
          </cell>
          <cell r="AD121"/>
          <cell r="AG121"/>
          <cell r="AI121" t="str">
            <v>ระบุในSD</v>
          </cell>
          <cell r="AJ121"/>
          <cell r="AL121">
            <v>0</v>
          </cell>
          <cell r="AM121"/>
          <cell r="AN121">
            <v>0</v>
          </cell>
          <cell r="AO121" t="str">
            <v>WSWT2125700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BZ121" t="str">
            <v>WRWT210800/WRWT25650</v>
          </cell>
          <cell r="CA121">
            <v>0</v>
          </cell>
          <cell r="DL121"/>
          <cell r="DM121"/>
          <cell r="DN121"/>
          <cell r="DP121"/>
          <cell r="DQ121"/>
          <cell r="DR121"/>
          <cell r="DS121"/>
          <cell r="DT121"/>
          <cell r="DU121"/>
          <cell r="DW121"/>
          <cell r="DX121"/>
          <cell r="DY121"/>
          <cell r="DZ121"/>
          <cell r="EA121"/>
          <cell r="EB121"/>
          <cell r="EC121"/>
          <cell r="ED121"/>
          <cell r="EG121"/>
          <cell r="EH121">
            <v>0</v>
          </cell>
          <cell r="EI121"/>
        </row>
        <row r="122">
          <cell r="B122" t="str">
            <v>MK68-000860</v>
          </cell>
          <cell r="C122">
            <v>45841</v>
          </cell>
          <cell r="E122" t="str">
            <v>บจก.หนองบัวฟีดมิลล์</v>
          </cell>
          <cell r="F122" t="str">
            <v>ไม่พิมพ์</v>
          </cell>
          <cell r="G122">
            <v>21</v>
          </cell>
          <cell r="H122">
            <v>38</v>
          </cell>
          <cell r="I122" t="str">
            <v>ขาว</v>
          </cell>
          <cell r="J122"/>
          <cell r="L122">
            <v>69</v>
          </cell>
          <cell r="M122" t="str">
            <v>±</v>
          </cell>
          <cell r="N122">
            <v>5</v>
          </cell>
          <cell r="R122" t="str">
            <v>ไม่</v>
          </cell>
          <cell r="T122">
            <v>22</v>
          </cell>
          <cell r="U122">
            <v>41</v>
          </cell>
          <cell r="V122">
            <v>40</v>
          </cell>
          <cell r="X122">
            <v>45852</v>
          </cell>
          <cell r="Z122" t="str">
            <v>500กระสอบ</v>
          </cell>
          <cell r="AA122">
            <v>25000</v>
          </cell>
          <cell r="AB122">
            <v>554.10389308031984</v>
          </cell>
          <cell r="AC122">
            <v>0</v>
          </cell>
          <cell r="AD122">
            <v>554.10389308031984</v>
          </cell>
          <cell r="AG122"/>
          <cell r="AI122"/>
          <cell r="AJ122">
            <v>100</v>
          </cell>
          <cell r="AL122">
            <v>24900</v>
          </cell>
          <cell r="AM122"/>
          <cell r="AN122">
            <v>0</v>
          </cell>
          <cell r="AO122" t="str">
            <v>WSWT2125650</v>
          </cell>
          <cell r="AQ122">
            <v>27480.386999999999</v>
          </cell>
          <cell r="AR122">
            <v>8894</v>
          </cell>
          <cell r="AS122">
            <v>18586.386999999999</v>
          </cell>
          <cell r="AT122">
            <v>0</v>
          </cell>
          <cell r="AU122">
            <v>0</v>
          </cell>
          <cell r="BZ122" t="str">
            <v>WRWT25650/WRWT25650</v>
          </cell>
          <cell r="CA122">
            <v>1268.5209127499998</v>
          </cell>
          <cell r="DL122" t="str">
            <v>P13</v>
          </cell>
          <cell r="DM122">
            <v>2</v>
          </cell>
          <cell r="DN122">
            <v>45852</v>
          </cell>
          <cell r="DP122">
            <v>45847</v>
          </cell>
          <cell r="DQ122"/>
          <cell r="DR122"/>
          <cell r="DS122"/>
          <cell r="DT122"/>
          <cell r="DU122">
            <v>45850</v>
          </cell>
          <cell r="DW122">
            <v>45851</v>
          </cell>
          <cell r="DX122"/>
          <cell r="DY122"/>
          <cell r="DZ122"/>
          <cell r="EA122"/>
          <cell r="EB122"/>
          <cell r="EC122" t="str">
            <v>ตัด</v>
          </cell>
          <cell r="ED122"/>
          <cell r="EG122"/>
          <cell r="EH122"/>
          <cell r="EI122"/>
        </row>
        <row r="123">
          <cell r="B123" t="str">
            <v>ประมาณการ</v>
          </cell>
          <cell r="C123" t="str">
            <v>ประมาณการ</v>
          </cell>
          <cell r="E123" t="str">
            <v>บจก.หนองบัวฟีดมิลล์</v>
          </cell>
          <cell r="F123" t="str">
            <v>ไม่พิมพ์</v>
          </cell>
          <cell r="G123">
            <v>21</v>
          </cell>
          <cell r="H123">
            <v>38</v>
          </cell>
          <cell r="I123" t="str">
            <v>ขาว</v>
          </cell>
          <cell r="J123"/>
          <cell r="L123">
            <v>69</v>
          </cell>
          <cell r="M123" t="str">
            <v>±</v>
          </cell>
          <cell r="N123">
            <v>5</v>
          </cell>
          <cell r="R123" t="str">
            <v>ไม่</v>
          </cell>
          <cell r="T123" t="str">
            <v>ไม่สวมถุงใน</v>
          </cell>
          <cell r="U123"/>
          <cell r="V123"/>
          <cell r="X123">
            <v>45868</v>
          </cell>
          <cell r="Z123" t="str">
            <v>500กระสอบ</v>
          </cell>
          <cell r="AA123">
            <v>15000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15000</v>
          </cell>
          <cell r="AM123"/>
          <cell r="AN123">
            <v>0</v>
          </cell>
          <cell r="AO123" t="str">
            <v>WSWT2125650</v>
          </cell>
          <cell r="AQ123">
            <v>16554.45</v>
          </cell>
          <cell r="AR123">
            <v>0</v>
          </cell>
          <cell r="AS123">
            <v>16554.45</v>
          </cell>
          <cell r="AT123">
            <v>0</v>
          </cell>
          <cell r="AU123">
            <v>0</v>
          </cell>
          <cell r="BZ123" t="str">
            <v>WRWT25650/WRWT25650</v>
          </cell>
          <cell r="CA123">
            <v>1129.8412125</v>
          </cell>
          <cell r="DL123" t="str">
            <v>P3</v>
          </cell>
          <cell r="DM123">
            <v>1</v>
          </cell>
          <cell r="DN123">
            <v>45868</v>
          </cell>
          <cell r="DP123">
            <v>45863</v>
          </cell>
          <cell r="DQ123"/>
          <cell r="DR123"/>
          <cell r="DS123"/>
          <cell r="DT123"/>
          <cell r="DU123">
            <v>45867</v>
          </cell>
          <cell r="DW123"/>
          <cell r="DX123"/>
          <cell r="DY123"/>
          <cell r="DZ123"/>
          <cell r="EA123"/>
          <cell r="EB123"/>
          <cell r="EC123" t="str">
            <v>ตัด</v>
          </cell>
          <cell r="ED123"/>
          <cell r="EG123"/>
          <cell r="EH123"/>
          <cell r="EI123"/>
        </row>
        <row r="124">
          <cell r="B124" t="str">
            <v xml:space="preserve">MK68-000865 </v>
          </cell>
          <cell r="C124">
            <v>45842</v>
          </cell>
          <cell r="E124" t="str">
            <v>บจก.ไลม์มาสเตอร์</v>
          </cell>
          <cell r="F124" t="str">
            <v>LMC 20 kg</v>
          </cell>
          <cell r="G124">
            <v>21</v>
          </cell>
          <cell r="H124">
            <v>34</v>
          </cell>
          <cell r="I124" t="str">
            <v>ขาว</v>
          </cell>
          <cell r="J124"/>
          <cell r="L124">
            <v>60</v>
          </cell>
          <cell r="M124" t="str">
            <v>±</v>
          </cell>
          <cell r="N124">
            <v>5</v>
          </cell>
          <cell r="R124" t="str">
            <v>ไม่</v>
          </cell>
          <cell r="T124">
            <v>22</v>
          </cell>
          <cell r="U124">
            <v>36</v>
          </cell>
          <cell r="V124">
            <v>40</v>
          </cell>
          <cell r="X124">
            <v>45852</v>
          </cell>
          <cell r="Z124" t="str">
            <v>500กระสอบ</v>
          </cell>
          <cell r="AA124">
            <v>10000</v>
          </cell>
          <cell r="AB124">
            <v>195.39367372799995</v>
          </cell>
          <cell r="AC124">
            <v>0</v>
          </cell>
          <cell r="AD124">
            <v>195.39367372799995</v>
          </cell>
          <cell r="AG124"/>
          <cell r="AI124"/>
          <cell r="AJ124">
            <v>0</v>
          </cell>
          <cell r="AL124">
            <v>10000</v>
          </cell>
          <cell r="AM124"/>
          <cell r="AN124">
            <v>10500</v>
          </cell>
          <cell r="AO124" t="str">
            <v>WSWT2125650</v>
          </cell>
          <cell r="AQ124">
            <v>9918.7000000000007</v>
          </cell>
          <cell r="AR124">
            <v>9918.7000000000007</v>
          </cell>
          <cell r="AS124">
            <v>0</v>
          </cell>
          <cell r="AT124">
            <v>0</v>
          </cell>
          <cell r="AU124">
            <v>0</v>
          </cell>
          <cell r="BZ124" t="str">
            <v>WRWT25650/WRWT25650</v>
          </cell>
          <cell r="CA124">
            <v>0</v>
          </cell>
          <cell r="DL124" t="str">
            <v>P9</v>
          </cell>
          <cell r="DM124">
            <v>3</v>
          </cell>
          <cell r="DN124">
            <v>45852</v>
          </cell>
          <cell r="DP124">
            <v>45847</v>
          </cell>
          <cell r="DQ124"/>
          <cell r="DR124">
            <v>45842</v>
          </cell>
          <cell r="DS124">
            <v>45849</v>
          </cell>
          <cell r="DT124">
            <v>45850</v>
          </cell>
          <cell r="DU124">
            <v>45850</v>
          </cell>
          <cell r="DW124">
            <v>45851</v>
          </cell>
          <cell r="DX124"/>
          <cell r="DY124"/>
          <cell r="DZ124"/>
          <cell r="EA124"/>
          <cell r="EB124"/>
          <cell r="EC124" t="str">
            <v>งานพิมพ์</v>
          </cell>
          <cell r="ED124" t="str">
            <v>รอART</v>
          </cell>
          <cell r="EG124"/>
          <cell r="EH124"/>
          <cell r="EI124"/>
        </row>
        <row r="125">
          <cell r="B125">
            <v>0</v>
          </cell>
          <cell r="C125"/>
          <cell r="E125"/>
          <cell r="F125"/>
          <cell r="G125">
            <v>21</v>
          </cell>
          <cell r="H125">
            <v>37</v>
          </cell>
          <cell r="I125" t="str">
            <v>ขาว</v>
          </cell>
          <cell r="J125"/>
          <cell r="L125">
            <v>67</v>
          </cell>
          <cell r="M125" t="str">
            <v>±</v>
          </cell>
          <cell r="N125">
            <v>5</v>
          </cell>
          <cell r="R125"/>
          <cell r="T125"/>
          <cell r="U125"/>
          <cell r="V125"/>
          <cell r="X125"/>
          <cell r="Z125"/>
          <cell r="AA125"/>
          <cell r="AB125">
            <v>0</v>
          </cell>
          <cell r="AC125">
            <v>0</v>
          </cell>
          <cell r="AD125"/>
          <cell r="AG125"/>
          <cell r="AI125" t="str">
            <v>ระบุในSD</v>
          </cell>
          <cell r="AJ125"/>
          <cell r="AL125">
            <v>0</v>
          </cell>
          <cell r="AM125"/>
          <cell r="AN125">
            <v>0</v>
          </cell>
          <cell r="AO125" t="str">
            <v>WSWT2125650</v>
          </cell>
          <cell r="AQ125">
            <v>53953.536999999997</v>
          </cell>
          <cell r="AR125">
            <v>18812.7</v>
          </cell>
          <cell r="AS125">
            <v>35140.837</v>
          </cell>
          <cell r="AT125">
            <v>0</v>
          </cell>
          <cell r="AU125">
            <v>0</v>
          </cell>
          <cell r="BZ125" t="str">
            <v>WRWT25650/WRWT25650</v>
          </cell>
          <cell r="CA125">
            <v>0</v>
          </cell>
          <cell r="DL125"/>
          <cell r="DM125" t="str">
            <v>Lead time</v>
          </cell>
          <cell r="DN125"/>
          <cell r="DP125"/>
          <cell r="DQ125"/>
          <cell r="DR125"/>
          <cell r="DS125"/>
          <cell r="DT125"/>
          <cell r="DU125"/>
          <cell r="DW125"/>
          <cell r="DX125"/>
          <cell r="DY125"/>
          <cell r="DZ125"/>
          <cell r="EA125"/>
          <cell r="EB125"/>
          <cell r="EC125"/>
          <cell r="ED125"/>
          <cell r="EG125"/>
          <cell r="EH125"/>
          <cell r="EI125">
            <v>0</v>
          </cell>
        </row>
        <row r="126">
          <cell r="B126">
            <v>0</v>
          </cell>
          <cell r="C126"/>
          <cell r="E126"/>
          <cell r="F126"/>
          <cell r="G126">
            <v>21</v>
          </cell>
          <cell r="H126">
            <v>37</v>
          </cell>
          <cell r="I126" t="str">
            <v>ขาวแถบใส5</v>
          </cell>
          <cell r="J126"/>
          <cell r="L126">
            <v>67</v>
          </cell>
          <cell r="M126" t="str">
            <v>±</v>
          </cell>
          <cell r="N126">
            <v>5</v>
          </cell>
          <cell r="R126"/>
          <cell r="T126"/>
          <cell r="U126"/>
          <cell r="V126"/>
          <cell r="X126"/>
          <cell r="Z126"/>
          <cell r="AA126"/>
          <cell r="AB126">
            <v>0</v>
          </cell>
          <cell r="AC126">
            <v>0</v>
          </cell>
          <cell r="AD126"/>
          <cell r="AG126"/>
          <cell r="AI126" t="str">
            <v>ระบุในSD</v>
          </cell>
          <cell r="AJ126"/>
          <cell r="AL126">
            <v>0</v>
          </cell>
          <cell r="AM126"/>
          <cell r="AN126">
            <v>0</v>
          </cell>
          <cell r="AO126" t="str">
            <v>WSWTSCL052125650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BZ126" t="str">
            <v>WRWT25650/WRCL25680</v>
          </cell>
          <cell r="CA126">
            <v>0</v>
          </cell>
          <cell r="DL126"/>
          <cell r="DM126" t="str">
            <v>Lead time</v>
          </cell>
          <cell r="DN126"/>
          <cell r="DP126"/>
          <cell r="DQ126"/>
          <cell r="DR126"/>
          <cell r="DS126"/>
          <cell r="DT126"/>
          <cell r="DU126"/>
          <cell r="DW126"/>
          <cell r="DX126"/>
          <cell r="DY126"/>
          <cell r="DZ126"/>
          <cell r="EA126"/>
          <cell r="EB126"/>
          <cell r="EC126"/>
          <cell r="ED126"/>
          <cell r="EG126"/>
          <cell r="EH126">
            <v>0</v>
          </cell>
          <cell r="EI126">
            <v>0</v>
          </cell>
        </row>
        <row r="127">
          <cell r="B127" t="str">
            <v>MK68-000859</v>
          </cell>
          <cell r="C127">
            <v>45841</v>
          </cell>
          <cell r="E127" t="str">
            <v>ร้านสมคิดพันธุ์ข้าว</v>
          </cell>
          <cell r="F127" t="str">
            <v>ทองทั้งทุ่ง</v>
          </cell>
          <cell r="G127">
            <v>21</v>
          </cell>
          <cell r="H127">
            <v>34</v>
          </cell>
          <cell r="I127" t="str">
            <v>ขาว</v>
          </cell>
          <cell r="J127"/>
          <cell r="L127">
            <v>76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45847</v>
          </cell>
          <cell r="Z127" t="str">
            <v>500กระสอบ</v>
          </cell>
          <cell r="AA127">
            <v>6000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6000</v>
          </cell>
          <cell r="AM127"/>
          <cell r="AN127">
            <v>6300</v>
          </cell>
          <cell r="AO127" t="str">
            <v>WSWT2125800</v>
          </cell>
          <cell r="AQ127">
            <v>5951.22</v>
          </cell>
          <cell r="AR127">
            <v>5951.22</v>
          </cell>
          <cell r="AS127">
            <v>0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0</v>
          </cell>
          <cell r="DL127" t="str">
            <v>P7</v>
          </cell>
          <cell r="DM127">
            <v>2</v>
          </cell>
          <cell r="DN127">
            <v>45847</v>
          </cell>
          <cell r="DP127">
            <v>45842</v>
          </cell>
          <cell r="DQ127"/>
          <cell r="DR127">
            <v>45838</v>
          </cell>
          <cell r="DS127">
            <v>45845</v>
          </cell>
          <cell r="DT127">
            <v>45846</v>
          </cell>
          <cell r="DU127">
            <v>45846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>รอART</v>
          </cell>
          <cell r="EG127"/>
          <cell r="EH127"/>
          <cell r="EI127"/>
        </row>
        <row r="128">
          <cell r="B128">
            <v>0</v>
          </cell>
          <cell r="C128"/>
          <cell r="E128"/>
          <cell r="F128"/>
          <cell r="G128">
            <v>21</v>
          </cell>
          <cell r="H128">
            <v>37</v>
          </cell>
          <cell r="I128" t="str">
            <v>ขาว</v>
          </cell>
          <cell r="J128"/>
          <cell r="L128">
            <v>83</v>
          </cell>
          <cell r="M128" t="str">
            <v>±</v>
          </cell>
          <cell r="N128">
            <v>5</v>
          </cell>
          <cell r="R128"/>
          <cell r="T128"/>
          <cell r="U128"/>
          <cell r="V128"/>
          <cell r="X128"/>
          <cell r="Z128"/>
          <cell r="AA128"/>
          <cell r="AB128"/>
          <cell r="AC128">
            <v>0</v>
          </cell>
          <cell r="AD128"/>
          <cell r="AG128"/>
          <cell r="AI128" t="str">
            <v>ระบุในSD</v>
          </cell>
          <cell r="AJ128"/>
          <cell r="AL128">
            <v>0</v>
          </cell>
          <cell r="AM128"/>
          <cell r="AN128">
            <v>0</v>
          </cell>
          <cell r="AO128" t="str">
            <v>WSWT2125800</v>
          </cell>
          <cell r="AQ128">
            <v>5951.22</v>
          </cell>
          <cell r="AR128">
            <v>5951.22</v>
          </cell>
          <cell r="AS128">
            <v>0</v>
          </cell>
          <cell r="AT128">
            <v>0</v>
          </cell>
          <cell r="AU128">
            <v>0</v>
          </cell>
          <cell r="BZ128" t="str">
            <v>WRWT210800/WRWT25800</v>
          </cell>
          <cell r="CA128">
            <v>0</v>
          </cell>
          <cell r="DL128"/>
          <cell r="DM128"/>
          <cell r="DN128"/>
          <cell r="DP128"/>
          <cell r="DQ128"/>
          <cell r="DR128"/>
          <cell r="DS128"/>
          <cell r="DT128"/>
          <cell r="DU128"/>
          <cell r="DW128"/>
          <cell r="DX128"/>
          <cell r="DY128"/>
          <cell r="DZ128"/>
          <cell r="EA128"/>
          <cell r="EB128"/>
          <cell r="EC128"/>
          <cell r="ED128"/>
          <cell r="EG128"/>
          <cell r="EH128"/>
          <cell r="EI128"/>
        </row>
        <row r="129">
          <cell r="B129" t="str">
            <v>MK68-000850</v>
          </cell>
          <cell r="C129">
            <v>45839</v>
          </cell>
          <cell r="E129" t="str">
            <v>บจก.เอพีเอ็ม อะโกร</v>
          </cell>
          <cell r="F129" t="str">
            <v>โมโม่ 402</v>
          </cell>
          <cell r="G129">
            <v>21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จับจีบ</v>
          </cell>
          <cell r="T129">
            <v>22</v>
          </cell>
          <cell r="U129">
            <v>40</v>
          </cell>
          <cell r="V129">
            <v>40</v>
          </cell>
          <cell r="X129">
            <v>45845</v>
          </cell>
          <cell r="Z129" t="str">
            <v>500กระสอบแบน</v>
          </cell>
          <cell r="AA129">
            <v>5000</v>
          </cell>
          <cell r="AB129">
            <v>0.260524898304</v>
          </cell>
          <cell r="AC129">
            <v>0</v>
          </cell>
          <cell r="AD129">
            <v>0.260524898304</v>
          </cell>
          <cell r="AG129"/>
          <cell r="AI129"/>
          <cell r="AJ129">
            <v>4988</v>
          </cell>
          <cell r="AL129">
            <v>12</v>
          </cell>
          <cell r="AM129">
            <v>5400</v>
          </cell>
          <cell r="AN129">
            <v>0</v>
          </cell>
          <cell r="AO129" t="str">
            <v>WSWT2121670SM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WRWT21670/WRWT21670</v>
          </cell>
          <cell r="CA129">
            <v>0</v>
          </cell>
          <cell r="DL129" t="str">
            <v>P8</v>
          </cell>
          <cell r="DM129">
            <v>4</v>
          </cell>
          <cell r="DN129">
            <v>45845</v>
          </cell>
          <cell r="DP129">
            <v>45840</v>
          </cell>
          <cell r="DQ129">
            <v>45841</v>
          </cell>
          <cell r="DR129">
            <v>45835</v>
          </cell>
          <cell r="DS129">
            <v>45842</v>
          </cell>
          <cell r="DT129">
            <v>45843</v>
          </cell>
          <cell r="DU129">
            <v>45843</v>
          </cell>
          <cell r="DW129">
            <v>45844</v>
          </cell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MK68-000805</v>
          </cell>
          <cell r="C130">
            <v>45826</v>
          </cell>
          <cell r="E130" t="str">
            <v>บจก.เอพีเอ็ม อะโกร</v>
          </cell>
          <cell r="F130" t="str">
            <v>ฟีล กู๊ด 801</v>
          </cell>
          <cell r="G130">
            <v>21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102</v>
          </cell>
          <cell r="M130" t="str">
            <v>±</v>
          </cell>
          <cell r="N130">
            <v>5</v>
          </cell>
          <cell r="R130" t="str">
            <v>บิด</v>
          </cell>
          <cell r="T130">
            <v>22</v>
          </cell>
          <cell r="U130">
            <v>40</v>
          </cell>
          <cell r="V130">
            <v>40</v>
          </cell>
          <cell r="X130">
            <v>45845</v>
          </cell>
          <cell r="Z130" t="str">
            <v>500กระสอบแบน</v>
          </cell>
          <cell r="AA130">
            <v>3000</v>
          </cell>
          <cell r="AB130">
            <v>57.250346402303983</v>
          </cell>
          <cell r="AC130">
            <v>0</v>
          </cell>
          <cell r="AD130">
            <v>57.250346402303983</v>
          </cell>
          <cell r="AG130" t="str">
            <v>18/7---7/7</v>
          </cell>
          <cell r="AI130"/>
          <cell r="AJ130">
            <v>363</v>
          </cell>
          <cell r="AL130">
            <v>2637</v>
          </cell>
          <cell r="AM130">
            <v>3500</v>
          </cell>
          <cell r="AN130">
            <v>0</v>
          </cell>
          <cell r="AO130" t="str">
            <v>WSWT2121670SM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WRWT21670/WRWT21670</v>
          </cell>
          <cell r="CA130">
            <v>0</v>
          </cell>
          <cell r="DL130" t="str">
            <v>P8</v>
          </cell>
          <cell r="DM130">
            <v>4</v>
          </cell>
          <cell r="DN130">
            <v>45845</v>
          </cell>
          <cell r="DP130">
            <v>45840</v>
          </cell>
          <cell r="DQ130">
            <v>45841</v>
          </cell>
          <cell r="DR130">
            <v>45835</v>
          </cell>
          <cell r="DS130">
            <v>45842</v>
          </cell>
          <cell r="DT130">
            <v>45843</v>
          </cell>
          <cell r="DU130">
            <v>45843</v>
          </cell>
          <cell r="DW130">
            <v>45844</v>
          </cell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MK68-000804</v>
          </cell>
          <cell r="C131">
            <v>45826</v>
          </cell>
          <cell r="E131" t="str">
            <v>บจก.เอพีเอ็ม อะโกร</v>
          </cell>
          <cell r="F131" t="str">
            <v>ฟีล กู๊ด 802</v>
          </cell>
          <cell r="G131">
            <v>21</v>
          </cell>
          <cell r="H131">
            <v>38</v>
          </cell>
          <cell r="I131" t="str">
            <v>ขาว</v>
          </cell>
          <cell r="J131" t="str">
            <v>ใส</v>
          </cell>
          <cell r="L131">
            <v>102</v>
          </cell>
          <cell r="M131" t="str">
            <v>±</v>
          </cell>
          <cell r="N131">
            <v>5</v>
          </cell>
          <cell r="R131" t="str">
            <v>บิด</v>
          </cell>
          <cell r="T131">
            <v>22</v>
          </cell>
          <cell r="U131">
            <v>40</v>
          </cell>
          <cell r="V131">
            <v>40</v>
          </cell>
          <cell r="X131">
            <v>45847</v>
          </cell>
          <cell r="Z131" t="str">
            <v>500กระสอบแบน</v>
          </cell>
          <cell r="AA131">
            <v>1000</v>
          </cell>
          <cell r="AB131">
            <v>11.506516341759998</v>
          </cell>
          <cell r="AC131">
            <v>0</v>
          </cell>
          <cell r="AD131">
            <v>11.506516341759998</v>
          </cell>
          <cell r="AG131"/>
          <cell r="AI131"/>
          <cell r="AJ131">
            <v>470</v>
          </cell>
          <cell r="AL131">
            <v>530</v>
          </cell>
          <cell r="AM131">
            <v>8250</v>
          </cell>
          <cell r="AN131">
            <v>0</v>
          </cell>
          <cell r="AO131" t="str">
            <v>WSWT2121670SM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WRWT21670/WRWT21670</v>
          </cell>
          <cell r="CA131">
            <v>0</v>
          </cell>
          <cell r="DL131" t="str">
            <v>P8</v>
          </cell>
          <cell r="DM131">
            <v>4</v>
          </cell>
          <cell r="DN131">
            <v>45847</v>
          </cell>
          <cell r="DP131">
            <v>45842</v>
          </cell>
          <cell r="DQ131">
            <v>45843</v>
          </cell>
          <cell r="DR131">
            <v>45837</v>
          </cell>
          <cell r="DS131">
            <v>45844</v>
          </cell>
          <cell r="DT131">
            <v>45845</v>
          </cell>
          <cell r="DU131">
            <v>45845</v>
          </cell>
          <cell r="DW131">
            <v>45846</v>
          </cell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MK68-000833</v>
          </cell>
          <cell r="C132">
            <v>45833</v>
          </cell>
          <cell r="E132" t="str">
            <v>บจก.หนองบัวฟีดมิลล์</v>
          </cell>
          <cell r="F132" t="str">
            <v>ยูนิคอร์นฟิช202</v>
          </cell>
          <cell r="G132">
            <v>21</v>
          </cell>
          <cell r="H132">
            <v>37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>
            <v>22</v>
          </cell>
          <cell r="U132">
            <v>40</v>
          </cell>
          <cell r="V132">
            <v>40</v>
          </cell>
          <cell r="X132">
            <v>45850</v>
          </cell>
          <cell r="Z132" t="str">
            <v>500กระสอบ</v>
          </cell>
          <cell r="AA132">
            <v>10000</v>
          </cell>
          <cell r="AB132">
            <v>217.10408191999997</v>
          </cell>
          <cell r="AC132">
            <v>0</v>
          </cell>
          <cell r="AD132">
            <v>217.10408191999997</v>
          </cell>
          <cell r="AG132"/>
          <cell r="AI132"/>
          <cell r="AJ132">
            <v>0</v>
          </cell>
          <cell r="AL132">
            <v>10000</v>
          </cell>
          <cell r="AM132">
            <v>0</v>
          </cell>
          <cell r="AN132">
            <v>10500</v>
          </cell>
          <cell r="AO132" t="str">
            <v>WSWT2121670SM</v>
          </cell>
          <cell r="AQ132">
            <v>10756.900000000001</v>
          </cell>
          <cell r="AR132">
            <v>10756.900000000001</v>
          </cell>
          <cell r="AS132">
            <v>0</v>
          </cell>
          <cell r="AT132">
            <v>10756.900000000001</v>
          </cell>
          <cell r="AU132">
            <v>0</v>
          </cell>
          <cell r="BZ132" t="str">
            <v>WRWT21670/WRWT21670</v>
          </cell>
          <cell r="CA132">
            <v>0</v>
          </cell>
          <cell r="DL132" t="str">
            <v>P8</v>
          </cell>
          <cell r="DM132">
            <v>4</v>
          </cell>
          <cell r="DN132">
            <v>45850</v>
          </cell>
          <cell r="DP132">
            <v>45845</v>
          </cell>
          <cell r="DQ132">
            <v>45846</v>
          </cell>
          <cell r="DR132">
            <v>45840</v>
          </cell>
          <cell r="DS132">
            <v>45847</v>
          </cell>
          <cell r="DT132">
            <v>45848</v>
          </cell>
          <cell r="DU132">
            <v>45848</v>
          </cell>
          <cell r="DW132">
            <v>45849</v>
          </cell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MK68-000856</v>
          </cell>
          <cell r="C133">
            <v>45841</v>
          </cell>
          <cell r="E133" t="str">
            <v>บจก.บลูฟาโล่</v>
          </cell>
          <cell r="F133" t="str">
            <v>เมอร์รี่ 882M</v>
          </cell>
          <cell r="G133">
            <v>21</v>
          </cell>
          <cell r="H133">
            <v>37</v>
          </cell>
          <cell r="I133" t="str">
            <v>ขาว</v>
          </cell>
          <cell r="J133" t="str">
            <v>ใส</v>
          </cell>
          <cell r="L133">
            <v>97</v>
          </cell>
          <cell r="M133" t="str">
            <v>±</v>
          </cell>
          <cell r="N133">
            <v>5</v>
          </cell>
          <cell r="R133" t="str">
            <v>บิด</v>
          </cell>
          <cell r="T133">
            <v>22</v>
          </cell>
          <cell r="U133">
            <v>40</v>
          </cell>
          <cell r="V133">
            <v>40</v>
          </cell>
          <cell r="X133">
            <v>45850</v>
          </cell>
          <cell r="Z133" t="str">
            <v>500กระสอบ</v>
          </cell>
          <cell r="AA133">
            <v>5000</v>
          </cell>
          <cell r="AB133">
            <v>108.55204095999999</v>
          </cell>
          <cell r="AC133">
            <v>0</v>
          </cell>
          <cell r="AD133">
            <v>108.55204095999999</v>
          </cell>
          <cell r="AG133"/>
          <cell r="AI133"/>
          <cell r="AJ133">
            <v>0</v>
          </cell>
          <cell r="AL133">
            <v>5000</v>
          </cell>
          <cell r="AM133"/>
          <cell r="AN133">
            <v>5250</v>
          </cell>
          <cell r="AO133" t="str">
            <v>WSWT2121670SM</v>
          </cell>
          <cell r="AQ133">
            <v>5378.4500000000007</v>
          </cell>
          <cell r="AR133">
            <v>5378.4500000000007</v>
          </cell>
          <cell r="AS133">
            <v>0</v>
          </cell>
          <cell r="AT133">
            <v>0</v>
          </cell>
          <cell r="AU133">
            <v>5378.4500000000007</v>
          </cell>
          <cell r="BZ133" t="str">
            <v>WRWT21670/WRWT21670</v>
          </cell>
          <cell r="CA133">
            <v>0</v>
          </cell>
          <cell r="DL133" t="str">
            <v>P8</v>
          </cell>
          <cell r="DM133">
            <v>4</v>
          </cell>
          <cell r="DN133">
            <v>45850</v>
          </cell>
          <cell r="DP133">
            <v>45845</v>
          </cell>
          <cell r="DQ133">
            <v>45846</v>
          </cell>
          <cell r="DR133">
            <v>45840</v>
          </cell>
          <cell r="DS133">
            <v>45847</v>
          </cell>
          <cell r="DT133">
            <v>45848</v>
          </cell>
          <cell r="DU133">
            <v>45848</v>
          </cell>
          <cell r="DW133">
            <v>45849</v>
          </cell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MK68-000856</v>
          </cell>
          <cell r="C134">
            <v>45841</v>
          </cell>
          <cell r="E134" t="str">
            <v>บจก.บลูฟาโล่</v>
          </cell>
          <cell r="F134" t="str">
            <v>เมอร์รี่ 882L</v>
          </cell>
          <cell r="G134">
            <v>21</v>
          </cell>
          <cell r="H134">
            <v>37</v>
          </cell>
          <cell r="I134" t="str">
            <v>ขาว</v>
          </cell>
          <cell r="J134" t="str">
            <v>ใส</v>
          </cell>
          <cell r="L134">
            <v>97</v>
          </cell>
          <cell r="M134" t="str">
            <v>±</v>
          </cell>
          <cell r="N134">
            <v>5</v>
          </cell>
          <cell r="R134" t="str">
            <v>บิด</v>
          </cell>
          <cell r="T134">
            <v>22</v>
          </cell>
          <cell r="U134">
            <v>40</v>
          </cell>
          <cell r="V134">
            <v>40</v>
          </cell>
          <cell r="X134">
            <v>45850</v>
          </cell>
          <cell r="Z134" t="str">
            <v>500กระสอบ</v>
          </cell>
          <cell r="AA134">
            <v>5000</v>
          </cell>
          <cell r="AB134">
            <v>108.55204095999999</v>
          </cell>
          <cell r="AC134">
            <v>0</v>
          </cell>
          <cell r="AD134">
            <v>108.55204095999999</v>
          </cell>
          <cell r="AG134"/>
          <cell r="AI134"/>
          <cell r="AJ134">
            <v>0</v>
          </cell>
          <cell r="AL134">
            <v>5000</v>
          </cell>
          <cell r="AM134"/>
          <cell r="AN134">
            <v>5250</v>
          </cell>
          <cell r="AO134" t="str">
            <v>WSWT2121670SM</v>
          </cell>
          <cell r="AQ134">
            <v>5378.4500000000007</v>
          </cell>
          <cell r="AR134">
            <v>5378.4500000000007</v>
          </cell>
          <cell r="AS134">
            <v>0</v>
          </cell>
          <cell r="AT134">
            <v>0</v>
          </cell>
          <cell r="AU134">
            <v>5378.4500000000007</v>
          </cell>
          <cell r="BZ134" t="str">
            <v>WRWT21670/WRWT21670</v>
          </cell>
          <cell r="CA134">
            <v>0</v>
          </cell>
          <cell r="DL134" t="str">
            <v>P8</v>
          </cell>
          <cell r="DM134">
            <v>4</v>
          </cell>
          <cell r="DN134">
            <v>45850</v>
          </cell>
          <cell r="DP134">
            <v>45845</v>
          </cell>
          <cell r="DQ134">
            <v>45846</v>
          </cell>
          <cell r="DR134">
            <v>45840</v>
          </cell>
          <cell r="DS134">
            <v>45847</v>
          </cell>
          <cell r="DT134">
            <v>45848</v>
          </cell>
          <cell r="DU134">
            <v>45848</v>
          </cell>
          <cell r="DW134">
            <v>45849</v>
          </cell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ประมาณการ</v>
          </cell>
          <cell r="C135" t="str">
            <v>ประมาณการ</v>
          </cell>
          <cell r="E135" t="str">
            <v>บจก.แอมโก้เวท</v>
          </cell>
          <cell r="F135" t="str">
            <v>รอแบบ</v>
          </cell>
          <cell r="G135">
            <v>21</v>
          </cell>
          <cell r="H135">
            <v>37</v>
          </cell>
          <cell r="I135" t="str">
            <v>ขาว</v>
          </cell>
          <cell r="J135" t="str">
            <v>ใส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45868</v>
          </cell>
          <cell r="Z135" t="str">
            <v>500กระสอบ</v>
          </cell>
          <cell r="AA135">
            <v>300000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300000</v>
          </cell>
          <cell r="AM135"/>
          <cell r="AN135">
            <v>315000</v>
          </cell>
          <cell r="AO135" t="str">
            <v>WSWT2121670SM</v>
          </cell>
          <cell r="AQ135">
            <v>322707</v>
          </cell>
          <cell r="AR135">
            <v>48000</v>
          </cell>
          <cell r="AS135">
            <v>274707</v>
          </cell>
          <cell r="AT135">
            <v>0</v>
          </cell>
          <cell r="AU135">
            <v>322707</v>
          </cell>
          <cell r="BZ135" t="str">
            <v>WRWT21670/WRWT21670</v>
          </cell>
          <cell r="CA135">
            <v>19755.096059999996</v>
          </cell>
          <cell r="DL135" t="str">
            <v>P8</v>
          </cell>
          <cell r="DM135">
            <v>4</v>
          </cell>
          <cell r="DN135">
            <v>45868</v>
          </cell>
          <cell r="DP135">
            <v>45863</v>
          </cell>
          <cell r="DQ135">
            <v>45864</v>
          </cell>
          <cell r="DR135">
            <v>45858</v>
          </cell>
          <cell r="DS135">
            <v>45865</v>
          </cell>
          <cell r="DT135">
            <v>45866</v>
          </cell>
          <cell r="DU135">
            <v>45866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>รอART</v>
          </cell>
          <cell r="EG135"/>
          <cell r="EH135"/>
          <cell r="EI135"/>
        </row>
        <row r="136">
          <cell r="B136" t="str">
            <v>ประมาณการ</v>
          </cell>
          <cell r="C136" t="str">
            <v>ประมาณการ</v>
          </cell>
          <cell r="E136" t="str">
            <v>บจก.เอ็นบี</v>
          </cell>
          <cell r="F136" t="str">
            <v>รอแบบ</v>
          </cell>
          <cell r="G136">
            <v>21</v>
          </cell>
          <cell r="H136">
            <v>37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>
            <v>22</v>
          </cell>
          <cell r="U136">
            <v>40</v>
          </cell>
          <cell r="V136">
            <v>40</v>
          </cell>
          <cell r="X136">
            <v>45868</v>
          </cell>
          <cell r="Z136" t="str">
            <v>500กระสอบ</v>
          </cell>
          <cell r="AA136">
            <v>20000</v>
          </cell>
          <cell r="AB136">
            <v>434.20816383999994</v>
          </cell>
          <cell r="AC136">
            <v>0</v>
          </cell>
          <cell r="AD136">
            <v>434.20816383999994</v>
          </cell>
          <cell r="AG136"/>
          <cell r="AI136"/>
          <cell r="AJ136">
            <v>0</v>
          </cell>
          <cell r="AL136">
            <v>20000</v>
          </cell>
          <cell r="AM136"/>
          <cell r="AN136">
            <v>21000</v>
          </cell>
          <cell r="AO136" t="str">
            <v>WSWT2121670SM</v>
          </cell>
          <cell r="AQ136">
            <v>21513.800000000003</v>
          </cell>
          <cell r="AR136">
            <v>0</v>
          </cell>
          <cell r="AS136">
            <v>21513.800000000003</v>
          </cell>
          <cell r="AT136">
            <v>0</v>
          </cell>
          <cell r="AU136">
            <v>21513.800000000003</v>
          </cell>
          <cell r="BZ136" t="str">
            <v>WRWT21670/WRWT21670</v>
          </cell>
          <cell r="CA136">
            <v>1547.1290706666666</v>
          </cell>
          <cell r="DL136" t="str">
            <v>P8</v>
          </cell>
          <cell r="DM136">
            <v>4</v>
          </cell>
          <cell r="DN136">
            <v>45868</v>
          </cell>
          <cell r="DP136">
            <v>45863</v>
          </cell>
          <cell r="DQ136">
            <v>45864</v>
          </cell>
          <cell r="DR136">
            <v>45858</v>
          </cell>
          <cell r="DS136">
            <v>45865</v>
          </cell>
          <cell r="DT136">
            <v>45866</v>
          </cell>
          <cell r="DU136">
            <v>45866</v>
          </cell>
          <cell r="DW136">
            <v>45867</v>
          </cell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>รอART</v>
          </cell>
          <cell r="EG136"/>
          <cell r="EH136"/>
          <cell r="EI136"/>
        </row>
        <row r="137">
          <cell r="B137" t="str">
            <v>ประมาณการ</v>
          </cell>
          <cell r="C137" t="str">
            <v>ประมาณการ</v>
          </cell>
          <cell r="E137" t="str">
            <v>บจก.ที.ซี.ยูเนี่ยน อโกรเทค</v>
          </cell>
          <cell r="F137" t="str">
            <v>Zhejiang UN</v>
          </cell>
          <cell r="G137">
            <v>21</v>
          </cell>
          <cell r="H137">
            <v>37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ไม่</v>
          </cell>
          <cell r="T137" t="str">
            <v>ไม่สวมถุงใน</v>
          </cell>
          <cell r="U137"/>
          <cell r="V137"/>
          <cell r="X137">
            <v>45868</v>
          </cell>
          <cell r="Z137" t="str">
            <v xml:space="preserve">300กระสอบแบนเต็มใบ </v>
          </cell>
          <cell r="AA137">
            <v>10000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10000</v>
          </cell>
          <cell r="AM137"/>
          <cell r="AN137">
            <v>10500</v>
          </cell>
          <cell r="AO137" t="str">
            <v>WSWT2121670SM</v>
          </cell>
          <cell r="AQ137">
            <v>10756.900000000001</v>
          </cell>
          <cell r="AR137">
            <v>10756.900000000001</v>
          </cell>
          <cell r="AS137">
            <v>0</v>
          </cell>
          <cell r="AT137">
            <v>0</v>
          </cell>
          <cell r="AU137">
            <v>10756.900000000001</v>
          </cell>
          <cell r="BZ137" t="str">
            <v>WRWT21670/WRWT21670</v>
          </cell>
          <cell r="CA137">
            <v>0</v>
          </cell>
          <cell r="DL137" t="str">
            <v>P8</v>
          </cell>
          <cell r="DM137">
            <v>4</v>
          </cell>
          <cell r="DN137">
            <v>45868</v>
          </cell>
          <cell r="DP137">
            <v>45863</v>
          </cell>
          <cell r="DQ137">
            <v>45864</v>
          </cell>
          <cell r="DR137">
            <v>45858</v>
          </cell>
          <cell r="DS137">
            <v>45865</v>
          </cell>
          <cell r="DT137">
            <v>45866</v>
          </cell>
          <cell r="DU137">
            <v>45866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MK68-000804</v>
          </cell>
          <cell r="C138">
            <v>45826</v>
          </cell>
          <cell r="E138" t="str">
            <v>บจก.เอพีเอ็ม อะโกร</v>
          </cell>
          <cell r="F138" t="str">
            <v>ฟีล กู๊ด 802</v>
          </cell>
          <cell r="G138">
            <v>21</v>
          </cell>
          <cell r="H138">
            <v>38</v>
          </cell>
          <cell r="I138" t="str">
            <v>ขาว</v>
          </cell>
          <cell r="J138" t="str">
            <v>ใส</v>
          </cell>
          <cell r="L138">
            <v>102</v>
          </cell>
          <cell r="M138" t="str">
            <v>±</v>
          </cell>
          <cell r="N138">
            <v>5</v>
          </cell>
          <cell r="R138" t="str">
            <v>บิด</v>
          </cell>
          <cell r="T138">
            <v>22</v>
          </cell>
          <cell r="U138">
            <v>40</v>
          </cell>
          <cell r="V138">
            <v>40</v>
          </cell>
          <cell r="X138" t="str">
            <v>รอแจ้ง</v>
          </cell>
          <cell r="Z138" t="str">
            <v>500กระสอบแบน</v>
          </cell>
          <cell r="AA138">
            <v>7000</v>
          </cell>
          <cell r="AB138">
            <v>151.97285734399995</v>
          </cell>
          <cell r="AC138">
            <v>0</v>
          </cell>
          <cell r="AD138">
            <v>151.97285734399995</v>
          </cell>
          <cell r="AG138"/>
          <cell r="AI138"/>
          <cell r="AJ138">
            <v>0</v>
          </cell>
          <cell r="AL138">
            <v>7000</v>
          </cell>
          <cell r="AM138"/>
          <cell r="AN138">
            <v>7350</v>
          </cell>
          <cell r="AO138" t="str">
            <v>WSWT2121670SM</v>
          </cell>
          <cell r="AQ138">
            <v>7725.41</v>
          </cell>
          <cell r="AR138">
            <v>7725.41</v>
          </cell>
          <cell r="AS138">
            <v>0</v>
          </cell>
          <cell r="AT138">
            <v>0</v>
          </cell>
          <cell r="AU138">
            <v>7725.41</v>
          </cell>
          <cell r="BZ138" t="str">
            <v>WRWT21670/WRWT21670</v>
          </cell>
          <cell r="CA138">
            <v>0</v>
          </cell>
          <cell r="DL138" t="str">
            <v>P8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 t="e">
            <v>#VALUE!</v>
          </cell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MK67-001617</v>
          </cell>
          <cell r="C139">
            <v>45628</v>
          </cell>
          <cell r="E139" t="str">
            <v>บจก.ที.ซี.ยูเนี่ยน อโกรเทค</v>
          </cell>
          <cell r="F139" t="str">
            <v>Zhejiang UN</v>
          </cell>
          <cell r="G139">
            <v>21</v>
          </cell>
          <cell r="H139">
            <v>37</v>
          </cell>
          <cell r="I139" t="str">
            <v>ขาว</v>
          </cell>
          <cell r="J139" t="str">
            <v>ใส</v>
          </cell>
          <cell r="L139">
            <v>100</v>
          </cell>
          <cell r="M139" t="str">
            <v>±</v>
          </cell>
          <cell r="N139">
            <v>5</v>
          </cell>
          <cell r="R139" t="str">
            <v>ไม่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 xml:space="preserve">300กระสอบแบนเต็มใบ </v>
          </cell>
          <cell r="AA139">
            <v>8000</v>
          </cell>
          <cell r="AB139">
            <v>0</v>
          </cell>
          <cell r="AC139">
            <v>0</v>
          </cell>
          <cell r="AD139">
            <v>0</v>
          </cell>
          <cell r="AG139" t="str">
            <v>20/1--5/3 ลูกค้าแจ้งเลื่อน</v>
          </cell>
          <cell r="AI139"/>
          <cell r="AJ139">
            <v>0</v>
          </cell>
          <cell r="AL139">
            <v>8000</v>
          </cell>
          <cell r="AM139">
            <v>0</v>
          </cell>
          <cell r="AN139">
            <v>8400</v>
          </cell>
          <cell r="AO139" t="str">
            <v>WSWT2121670SM</v>
          </cell>
          <cell r="AQ139">
            <v>8605.52</v>
          </cell>
          <cell r="AR139">
            <v>8605.52</v>
          </cell>
          <cell r="AS139">
            <v>0</v>
          </cell>
          <cell r="AT139">
            <v>0</v>
          </cell>
          <cell r="AU139">
            <v>8605.52</v>
          </cell>
          <cell r="BZ139" t="str">
            <v>WRWT21670/WRWT21670</v>
          </cell>
          <cell r="CA139">
            <v>0</v>
          </cell>
          <cell r="DL139" t="str">
            <v>P8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MK67-001642</v>
          </cell>
          <cell r="C140">
            <v>45631</v>
          </cell>
          <cell r="E140" t="str">
            <v>บจก.ที.ซี.ยูเนี่ยน อโกรเทค</v>
          </cell>
          <cell r="F140" t="str">
            <v>Zhejiang UN</v>
          </cell>
          <cell r="G140">
            <v>21</v>
          </cell>
          <cell r="H140">
            <v>37</v>
          </cell>
          <cell r="I140" t="str">
            <v>ขาว</v>
          </cell>
          <cell r="J140" t="str">
            <v>ใส</v>
          </cell>
          <cell r="L140">
            <v>100</v>
          </cell>
          <cell r="M140" t="str">
            <v>±</v>
          </cell>
          <cell r="N140">
            <v>5</v>
          </cell>
          <cell r="R140" t="str">
            <v>ไม่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 xml:space="preserve">300กระสอบแบนเต็มใบ </v>
          </cell>
          <cell r="AA140">
            <v>16000</v>
          </cell>
          <cell r="AB140">
            <v>0</v>
          </cell>
          <cell r="AC140">
            <v>0</v>
          </cell>
          <cell r="AD140">
            <v>0</v>
          </cell>
          <cell r="AG140" t="str">
            <v>3/2---19/3 ลูกค้าแจ้งเลื่อน</v>
          </cell>
          <cell r="AI140"/>
          <cell r="AJ140">
            <v>0</v>
          </cell>
          <cell r="AL140">
            <v>16000</v>
          </cell>
          <cell r="AM140"/>
          <cell r="AN140">
            <v>16800</v>
          </cell>
          <cell r="AO140" t="str">
            <v>WSWT2121670SM</v>
          </cell>
          <cell r="AQ140">
            <v>17211.04</v>
          </cell>
          <cell r="AR140">
            <v>0</v>
          </cell>
          <cell r="AS140">
            <v>17211.04</v>
          </cell>
          <cell r="AT140">
            <v>0</v>
          </cell>
          <cell r="AU140">
            <v>17211.04</v>
          </cell>
          <cell r="BZ140" t="str">
            <v>WRWT21670/WRWT21670</v>
          </cell>
          <cell r="CA140">
            <v>1237.7032565333332</v>
          </cell>
          <cell r="DL140" t="str">
            <v>P8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MK67-001643</v>
          </cell>
          <cell r="C141">
            <v>45631</v>
          </cell>
          <cell r="E141" t="str">
            <v>บจก.ที.ซี.ยูเนี่ยน อโกรเทค</v>
          </cell>
          <cell r="F141" t="str">
            <v>Zhejiang UN</v>
          </cell>
          <cell r="G141">
            <v>21</v>
          </cell>
          <cell r="H141">
            <v>37</v>
          </cell>
          <cell r="I141" t="str">
            <v>ขาว</v>
          </cell>
          <cell r="J141" t="str">
            <v>ใส</v>
          </cell>
          <cell r="L141">
            <v>100</v>
          </cell>
          <cell r="M141" t="str">
            <v>±</v>
          </cell>
          <cell r="N141">
            <v>5</v>
          </cell>
          <cell r="R141" t="str">
            <v>ไม่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 xml:space="preserve">300กระสอบแบนเต็มใบ </v>
          </cell>
          <cell r="AA141">
            <v>16000</v>
          </cell>
          <cell r="AB141">
            <v>0</v>
          </cell>
          <cell r="AC141">
            <v>0</v>
          </cell>
          <cell r="AD141">
            <v>0</v>
          </cell>
          <cell r="AG141" t="str">
            <v>17/2---28/3 ลูกค้าแจ้งเลื่อน</v>
          </cell>
          <cell r="AI141"/>
          <cell r="AJ141">
            <v>0</v>
          </cell>
          <cell r="AL141">
            <v>16000</v>
          </cell>
          <cell r="AM141"/>
          <cell r="AN141">
            <v>16800</v>
          </cell>
          <cell r="AO141" t="str">
            <v>WSWT2121670SM</v>
          </cell>
          <cell r="AQ141">
            <v>17211.04</v>
          </cell>
          <cell r="AR141">
            <v>0</v>
          </cell>
          <cell r="AS141">
            <v>17211.04</v>
          </cell>
          <cell r="AT141">
            <v>0</v>
          </cell>
          <cell r="AU141">
            <v>17211.04</v>
          </cell>
          <cell r="BZ141" t="str">
            <v>WRWT21670/WRWT21670</v>
          </cell>
          <cell r="CA141">
            <v>1237.7032565333332</v>
          </cell>
          <cell r="DL141" t="str">
            <v>P8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ประมาณการ</v>
          </cell>
          <cell r="C142" t="str">
            <v>ประมาณการ</v>
          </cell>
          <cell r="E142" t="str">
            <v>บจก.เอพีเอ็ม อะโกร</v>
          </cell>
          <cell r="F142" t="str">
            <v>รอแบบ</v>
          </cell>
          <cell r="G142">
            <v>21</v>
          </cell>
          <cell r="H142">
            <v>40</v>
          </cell>
          <cell r="I142" t="str">
            <v>ขาว</v>
          </cell>
          <cell r="J142" t="str">
            <v>ใส</v>
          </cell>
          <cell r="L142">
            <v>108</v>
          </cell>
          <cell r="M142" t="str">
            <v>±</v>
          </cell>
          <cell r="N142">
            <v>5</v>
          </cell>
          <cell r="R142" t="str">
            <v>จับจีบ</v>
          </cell>
          <cell r="T142">
            <v>22</v>
          </cell>
          <cell r="U142">
            <v>42</v>
          </cell>
          <cell r="V142">
            <v>40</v>
          </cell>
          <cell r="X142" t="str">
            <v>รอแจ้ง</v>
          </cell>
          <cell r="Z142" t="str">
            <v>500กระสอบแบน</v>
          </cell>
          <cell r="AA142">
            <v>10000</v>
          </cell>
          <cell r="AB142">
            <v>227.95928601599996</v>
          </cell>
          <cell r="AC142">
            <v>0</v>
          </cell>
          <cell r="AD142">
            <v>227.95928601599996</v>
          </cell>
          <cell r="AG142"/>
          <cell r="AI142"/>
          <cell r="AJ142">
            <v>0</v>
          </cell>
          <cell r="AL142">
            <v>10000</v>
          </cell>
          <cell r="AM142"/>
          <cell r="AN142">
            <v>10500</v>
          </cell>
          <cell r="AO142" t="str">
            <v>WSWT2121670SM</v>
          </cell>
          <cell r="AQ142">
            <v>11595.1</v>
          </cell>
          <cell r="AR142">
            <v>0</v>
          </cell>
          <cell r="AS142">
            <v>11595.1</v>
          </cell>
          <cell r="AT142">
            <v>0</v>
          </cell>
          <cell r="AU142">
            <v>11595.1</v>
          </cell>
          <cell r="BZ142" t="str">
            <v>WRWT21670/WRWT21670</v>
          </cell>
          <cell r="CA142">
            <v>833.84229133333326</v>
          </cell>
          <cell r="DL142" t="str">
            <v>P8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 t="e">
            <v>#VALUE!</v>
          </cell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>รอART</v>
          </cell>
          <cell r="EG142"/>
          <cell r="EH142"/>
          <cell r="EI142"/>
        </row>
        <row r="143">
          <cell r="B143" t="str">
            <v>MK66-000701</v>
          </cell>
          <cell r="C143">
            <v>45066</v>
          </cell>
          <cell r="E143" t="str">
            <v>บจก.เอสพีเอ็ม อาหารสัตว์</v>
          </cell>
          <cell r="F143" t="str">
            <v>มาซูฟีด ซี041</v>
          </cell>
          <cell r="G143">
            <v>21</v>
          </cell>
          <cell r="H143">
            <v>38</v>
          </cell>
          <cell r="I143" t="str">
            <v>ขาว</v>
          </cell>
          <cell r="J143" t="str">
            <v>ด้าน</v>
          </cell>
          <cell r="L143">
            <v>102</v>
          </cell>
          <cell r="M143" t="str">
            <v>±</v>
          </cell>
          <cell r="N143">
            <v>5</v>
          </cell>
          <cell r="R143" t="str">
            <v>บิด</v>
          </cell>
          <cell r="T143">
            <v>22</v>
          </cell>
          <cell r="U143">
            <v>40</v>
          </cell>
          <cell r="V143">
            <v>40</v>
          </cell>
          <cell r="X143" t="str">
            <v>รอแจ้ง</v>
          </cell>
          <cell r="Z143" t="str">
            <v>500กระสอบแบน</v>
          </cell>
          <cell r="AA143">
            <v>5000</v>
          </cell>
          <cell r="AB143">
            <v>108.55204095999999</v>
          </cell>
          <cell r="AC143">
            <v>0</v>
          </cell>
          <cell r="AD143">
            <v>108.55204095999999</v>
          </cell>
          <cell r="AG143"/>
          <cell r="AI143"/>
          <cell r="AJ143">
            <v>0</v>
          </cell>
          <cell r="AL143">
            <v>5000</v>
          </cell>
          <cell r="AM143"/>
          <cell r="AN143">
            <v>5250</v>
          </cell>
          <cell r="AO143" t="str">
            <v>WSWT2121670SM</v>
          </cell>
          <cell r="AQ143">
            <v>5518.15</v>
          </cell>
          <cell r="AR143">
            <v>0</v>
          </cell>
          <cell r="AS143">
            <v>5518.15</v>
          </cell>
          <cell r="AT143">
            <v>0</v>
          </cell>
          <cell r="AU143">
            <v>5518.15</v>
          </cell>
          <cell r="BZ143" t="str">
            <v>WRWT21670/WRWT21670</v>
          </cell>
          <cell r="CA143">
            <v>396.82856033333326</v>
          </cell>
          <cell r="DL143" t="str">
            <v>P8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 t="e">
            <v>#VALUE!</v>
          </cell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MK68-000703</v>
          </cell>
          <cell r="C144">
            <v>45800</v>
          </cell>
          <cell r="E144" t="str">
            <v>บจก.เอสพีเอ็ม อาหารสัตว์</v>
          </cell>
          <cell r="F144" t="str">
            <v>มาซู ฟีดบี0434</v>
          </cell>
          <cell r="G144">
            <v>21</v>
          </cell>
          <cell r="H144">
            <v>40</v>
          </cell>
          <cell r="I144" t="str">
            <v>ขาว</v>
          </cell>
          <cell r="J144" t="str">
            <v>ด้าน</v>
          </cell>
          <cell r="L144">
            <v>108</v>
          </cell>
          <cell r="M144" t="str">
            <v>±</v>
          </cell>
          <cell r="N144">
            <v>5</v>
          </cell>
          <cell r="R144" t="str">
            <v>บิด</v>
          </cell>
          <cell r="T144">
            <v>22</v>
          </cell>
          <cell r="U144">
            <v>42</v>
          </cell>
          <cell r="V144">
            <v>40</v>
          </cell>
          <cell r="X144" t="str">
            <v>รอส่ง</v>
          </cell>
          <cell r="Z144" t="str">
            <v>500กระสอบแบน</v>
          </cell>
          <cell r="AA144">
            <v>5000</v>
          </cell>
          <cell r="AB144">
            <v>5.2886554355711999</v>
          </cell>
          <cell r="AC144">
            <v>0</v>
          </cell>
          <cell r="AD144">
            <v>5.2886554355711999</v>
          </cell>
          <cell r="AG144"/>
          <cell r="AI144"/>
          <cell r="AJ144">
            <v>4768</v>
          </cell>
          <cell r="AL144">
            <v>232</v>
          </cell>
          <cell r="AM144">
            <v>10420</v>
          </cell>
          <cell r="AN144">
            <v>0</v>
          </cell>
          <cell r="AO144" t="str">
            <v>WSWT2121670SM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WRWT21670/WRWT21670</v>
          </cell>
          <cell r="CA144">
            <v>0</v>
          </cell>
          <cell r="DL144" t="str">
            <v>P8</v>
          </cell>
          <cell r="DM144">
            <v>4</v>
          </cell>
          <cell r="DN144" t="str">
            <v>รอส่ง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 t="e">
            <v>#VALUE!</v>
          </cell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>
            <v>0</v>
          </cell>
          <cell r="C145"/>
          <cell r="E145"/>
          <cell r="F145"/>
          <cell r="G145">
            <v>21</v>
          </cell>
          <cell r="H145">
            <v>37</v>
          </cell>
          <cell r="I145"/>
          <cell r="J145"/>
          <cell r="L145">
            <v>74</v>
          </cell>
          <cell r="M145" t="str">
            <v>±</v>
          </cell>
          <cell r="N145">
            <v>5</v>
          </cell>
          <cell r="R145"/>
          <cell r="T145"/>
          <cell r="U145"/>
          <cell r="V145"/>
          <cell r="X145"/>
          <cell r="Z145"/>
          <cell r="AA145"/>
          <cell r="AB145"/>
          <cell r="AC145" t="str">
            <v>ว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WSWT2121670SM</v>
          </cell>
          <cell r="AQ145">
            <v>444357.75999999995</v>
          </cell>
          <cell r="AR145">
            <v>96601.630000000019</v>
          </cell>
          <cell r="AS145">
            <v>347756.12999999995</v>
          </cell>
          <cell r="AT145">
            <v>10756.900000000001</v>
          </cell>
          <cell r="AU145">
            <v>433600.86</v>
          </cell>
          <cell r="BZ145" t="str">
            <v>WRWT210670/WRWT21670</v>
          </cell>
          <cell r="CA145">
            <v>0</v>
          </cell>
          <cell r="DL145"/>
          <cell r="DM145" t="str">
            <v>Lead time</v>
          </cell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>
            <v>0</v>
          </cell>
          <cell r="EI145">
            <v>0</v>
          </cell>
        </row>
        <row r="146">
          <cell r="B146" t="str">
            <v>MK68-000640</v>
          </cell>
          <cell r="C146">
            <v>9</v>
          </cell>
          <cell r="E146" t="str">
            <v>กรมการข้าว</v>
          </cell>
          <cell r="F146" t="str">
            <v>เมล็ดพันธุ์ข้าว</v>
          </cell>
          <cell r="G146">
            <v>22</v>
          </cell>
          <cell r="H146">
            <v>34</v>
          </cell>
          <cell r="I146" t="str">
            <v>ขาว</v>
          </cell>
          <cell r="J146" t="str">
            <v>ใส</v>
          </cell>
          <cell r="L146">
            <v>115</v>
          </cell>
          <cell r="M146" t="str">
            <v>+</v>
          </cell>
          <cell r="N146">
            <v>5</v>
          </cell>
          <cell r="R146" t="str">
            <v>ไม่</v>
          </cell>
          <cell r="T146" t="str">
            <v>ไม่สวมถุงใน</v>
          </cell>
          <cell r="U146"/>
          <cell r="V146"/>
          <cell r="X146" t="str">
            <v>รอส่ง</v>
          </cell>
          <cell r="Z146" t="str">
            <v>300กระสอบแบนเต็มใบ</v>
          </cell>
          <cell r="AA146">
            <v>239700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ห้ามขาด-ผลิตเกิน 300</v>
          </cell>
          <cell r="AJ146">
            <v>239700</v>
          </cell>
          <cell r="AL146">
            <v>0</v>
          </cell>
          <cell r="AM146">
            <v>251442</v>
          </cell>
          <cell r="AN146">
            <v>0</v>
          </cell>
          <cell r="AO146" t="str">
            <v>WSWT2221940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WRWT21940/WRWT21940</v>
          </cell>
          <cell r="CA146">
            <v>0</v>
          </cell>
          <cell r="DL146" t="str">
            <v>P8</v>
          </cell>
          <cell r="DM146">
            <v>4</v>
          </cell>
          <cell r="DN146" t="str">
            <v>รอส่ง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>
            <v>0</v>
          </cell>
          <cell r="C147"/>
          <cell r="E147"/>
          <cell r="F147"/>
          <cell r="G147">
            <v>21.6</v>
          </cell>
          <cell r="H147">
            <v>34</v>
          </cell>
          <cell r="I147"/>
          <cell r="J147"/>
          <cell r="L147">
            <v>97</v>
          </cell>
          <cell r="M147" t="str">
            <v>±</v>
          </cell>
          <cell r="N147">
            <v>5</v>
          </cell>
          <cell r="R147"/>
          <cell r="T147"/>
          <cell r="U147"/>
          <cell r="V147"/>
          <cell r="X147"/>
          <cell r="Z147"/>
          <cell r="AA147"/>
          <cell r="AB147">
            <v>0</v>
          </cell>
          <cell r="AC147">
            <v>0</v>
          </cell>
          <cell r="AD147"/>
          <cell r="AG147"/>
          <cell r="AI147" t="str">
            <v>ระบุในSD</v>
          </cell>
          <cell r="AJ147"/>
          <cell r="AL147">
            <v>0</v>
          </cell>
          <cell r="AM147"/>
          <cell r="AN147">
            <v>0</v>
          </cell>
          <cell r="AO147" t="str">
            <v>WSWT2221940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WRWT21940/WRWT21940</v>
          </cell>
          <cell r="CA147">
            <v>0</v>
          </cell>
          <cell r="DL147"/>
          <cell r="DM147" t="str">
            <v>Lead time</v>
          </cell>
          <cell r="DN147"/>
          <cell r="DP147"/>
          <cell r="DQ147"/>
          <cell r="DR147"/>
          <cell r="DS147"/>
          <cell r="DT147"/>
          <cell r="DU147"/>
          <cell r="DW147"/>
          <cell r="DX147"/>
          <cell r="DY147"/>
          <cell r="DZ147"/>
          <cell r="EA147"/>
          <cell r="EB147"/>
          <cell r="EC147"/>
          <cell r="ED147"/>
          <cell r="EG147"/>
          <cell r="EH147"/>
          <cell r="EI147">
            <v>0</v>
          </cell>
        </row>
        <row r="148">
          <cell r="B148" t="str">
            <v>MK68-000784</v>
          </cell>
          <cell r="C148">
            <v>45820</v>
          </cell>
          <cell r="E148" t="str">
            <v>บจก.ซิเบลโก้(สบปราบ)</v>
          </cell>
          <cell r="F148" t="str">
            <v>OPAL CA3(ถุงในดำ)</v>
          </cell>
          <cell r="G148">
            <v>23</v>
          </cell>
          <cell r="H148">
            <v>34</v>
          </cell>
          <cell r="I148" t="str">
            <v>ขาว</v>
          </cell>
          <cell r="J148"/>
          <cell r="L148">
            <v>68</v>
          </cell>
          <cell r="M148" t="str">
            <v>±</v>
          </cell>
          <cell r="N148">
            <v>5</v>
          </cell>
          <cell r="R148" t="str">
            <v>ไม่</v>
          </cell>
          <cell r="T148">
            <v>24</v>
          </cell>
          <cell r="U148">
            <v>37</v>
          </cell>
          <cell r="V148">
            <v>50</v>
          </cell>
          <cell r="X148">
            <v>45847</v>
          </cell>
          <cell r="Z148" t="str">
            <v>มัด100</v>
          </cell>
          <cell r="AA148">
            <v>6500</v>
          </cell>
          <cell r="AB148">
            <v>8.2154158272000011</v>
          </cell>
          <cell r="AC148">
            <v>0</v>
          </cell>
          <cell r="AD148">
            <v>8.2154158272000011</v>
          </cell>
          <cell r="AG148"/>
          <cell r="AI148"/>
          <cell r="AJ148">
            <v>6200</v>
          </cell>
          <cell r="AL148">
            <v>300</v>
          </cell>
          <cell r="AM148">
            <v>6700</v>
          </cell>
          <cell r="AN148">
            <v>0</v>
          </cell>
          <cell r="AO148" t="str">
            <v>WSWT2325650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WRWT25650/WRWT25650</v>
          </cell>
          <cell r="CA148">
            <v>0</v>
          </cell>
          <cell r="DL148" t="str">
            <v>P9</v>
          </cell>
          <cell r="DM148">
            <v>3</v>
          </cell>
          <cell r="DN148">
            <v>45847</v>
          </cell>
          <cell r="DP148">
            <v>45842</v>
          </cell>
          <cell r="DQ148"/>
          <cell r="DR148">
            <v>45837</v>
          </cell>
          <cell r="DS148">
            <v>45844</v>
          </cell>
          <cell r="DT148">
            <v>45845</v>
          </cell>
          <cell r="DU148">
            <v>45845</v>
          </cell>
          <cell r="DW148">
            <v>45846</v>
          </cell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MK68-000784</v>
          </cell>
          <cell r="C149">
            <v>45820</v>
          </cell>
          <cell r="E149" t="str">
            <v>บจก.ซิเบลโก้(สบปราบ)</v>
          </cell>
          <cell r="F149" t="str">
            <v>EXCELBLEND S50(ถุงในดำ)</v>
          </cell>
          <cell r="G149">
            <v>23</v>
          </cell>
          <cell r="H149">
            <v>34</v>
          </cell>
          <cell r="I149" t="str">
            <v>ขาว</v>
          </cell>
          <cell r="J149"/>
          <cell r="L149">
            <v>68</v>
          </cell>
          <cell r="M149" t="str">
            <v>±</v>
          </cell>
          <cell r="N149">
            <v>5</v>
          </cell>
          <cell r="R149" t="str">
            <v>ไม่</v>
          </cell>
          <cell r="T149">
            <v>24</v>
          </cell>
          <cell r="U149">
            <v>37</v>
          </cell>
          <cell r="V149">
            <v>50</v>
          </cell>
          <cell r="X149">
            <v>45847</v>
          </cell>
          <cell r="Z149" t="str">
            <v>มัด100</v>
          </cell>
          <cell r="AA149">
            <v>6500</v>
          </cell>
          <cell r="AB149">
            <v>12.432662618496</v>
          </cell>
          <cell r="AC149">
            <v>0</v>
          </cell>
          <cell r="AD149">
            <v>12.432662618496</v>
          </cell>
          <cell r="AG149"/>
          <cell r="AI149"/>
          <cell r="AJ149">
            <v>6046</v>
          </cell>
          <cell r="AL149">
            <v>454</v>
          </cell>
          <cell r="AM149">
            <v>6700</v>
          </cell>
          <cell r="AN149">
            <v>0</v>
          </cell>
          <cell r="AO149" t="str">
            <v>WSWT2325650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WRWT25650/WRWT25650</v>
          </cell>
          <cell r="CA149">
            <v>0</v>
          </cell>
          <cell r="DL149" t="str">
            <v>P9</v>
          </cell>
          <cell r="DM149">
            <v>3</v>
          </cell>
          <cell r="DN149">
            <v>45847</v>
          </cell>
          <cell r="DP149">
            <v>45842</v>
          </cell>
          <cell r="DQ149"/>
          <cell r="DR149">
            <v>45837</v>
          </cell>
          <cell r="DS149">
            <v>45844</v>
          </cell>
          <cell r="DT149">
            <v>45845</v>
          </cell>
          <cell r="DU149">
            <v>45845</v>
          </cell>
          <cell r="DW149">
            <v>45846</v>
          </cell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MK68-000784</v>
          </cell>
          <cell r="C150">
            <v>45820</v>
          </cell>
          <cell r="E150" t="str">
            <v>บจก.ซิเบลโก้(สบปราบ)</v>
          </cell>
          <cell r="F150" t="str">
            <v>BLANK FORM</v>
          </cell>
          <cell r="G150">
            <v>23</v>
          </cell>
          <cell r="H150">
            <v>38</v>
          </cell>
          <cell r="I150" t="str">
            <v>ขาว</v>
          </cell>
          <cell r="J150" t="str">
            <v>ใส</v>
          </cell>
          <cell r="L150">
            <v>100</v>
          </cell>
          <cell r="M150" t="str">
            <v>±</v>
          </cell>
          <cell r="N150">
            <v>5</v>
          </cell>
          <cell r="R150" t="str">
            <v>ไม่</v>
          </cell>
          <cell r="T150" t="str">
            <v>ไม่สวมถุงใน</v>
          </cell>
          <cell r="U150"/>
          <cell r="V150"/>
          <cell r="X150">
            <v>45847</v>
          </cell>
          <cell r="Z150" t="str">
            <v>มัด100</v>
          </cell>
          <cell r="AA150">
            <v>7000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7000</v>
          </cell>
          <cell r="AM150">
            <v>7355</v>
          </cell>
          <cell r="AN150">
            <v>0</v>
          </cell>
          <cell r="AO150" t="str">
            <v>WSWT2325650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WRWT25650/WRWT25650</v>
          </cell>
          <cell r="CA150">
            <v>0</v>
          </cell>
          <cell r="DL150" t="str">
            <v>P8</v>
          </cell>
          <cell r="DM150">
            <v>4</v>
          </cell>
          <cell r="DN150">
            <v>45847</v>
          </cell>
          <cell r="DP150">
            <v>45842</v>
          </cell>
          <cell r="DQ150">
            <v>45843</v>
          </cell>
          <cell r="DR150">
            <v>45837</v>
          </cell>
          <cell r="DS150">
            <v>45844</v>
          </cell>
          <cell r="DT150">
            <v>45845</v>
          </cell>
          <cell r="DU150">
            <v>45845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ประมาณการ</v>
          </cell>
          <cell r="C151" t="str">
            <v>ประมาณการ</v>
          </cell>
          <cell r="E151" t="str">
            <v>พันธุ์ข้าว</v>
          </cell>
          <cell r="F151" t="str">
            <v>รอแบบ</v>
          </cell>
          <cell r="G151">
            <v>23</v>
          </cell>
          <cell r="H151">
            <v>34</v>
          </cell>
          <cell r="I151" t="str">
            <v>ขาว</v>
          </cell>
          <cell r="J151"/>
          <cell r="L151">
            <v>68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45868</v>
          </cell>
          <cell r="Z151" t="str">
            <v>500กระสอบ</v>
          </cell>
          <cell r="AA151">
            <v>40000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40000</v>
          </cell>
          <cell r="AM151"/>
          <cell r="AN151">
            <v>42000</v>
          </cell>
          <cell r="AO151" t="str">
            <v>WSWT2325650</v>
          </cell>
          <cell r="AQ151">
            <v>39674.800000000003</v>
          </cell>
          <cell r="AR151">
            <v>0</v>
          </cell>
          <cell r="AS151">
            <v>39674.800000000003</v>
          </cell>
          <cell r="AT151">
            <v>0</v>
          </cell>
          <cell r="AU151">
            <v>0</v>
          </cell>
          <cell r="BZ151" t="str">
            <v>WRWT25650/WRWT25650</v>
          </cell>
          <cell r="CA151">
            <v>2965.6913</v>
          </cell>
          <cell r="DL151" t="str">
            <v>P7</v>
          </cell>
          <cell r="DM151">
            <v>2</v>
          </cell>
          <cell r="DN151">
            <v>45868</v>
          </cell>
          <cell r="DP151">
            <v>45863</v>
          </cell>
          <cell r="DQ151"/>
          <cell r="DR151">
            <v>45859</v>
          </cell>
          <cell r="DS151">
            <v>45866</v>
          </cell>
          <cell r="DT151">
            <v>45867</v>
          </cell>
          <cell r="DU151">
            <v>45867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>รอART</v>
          </cell>
          <cell r="EG151"/>
          <cell r="EH151"/>
          <cell r="EI151"/>
        </row>
        <row r="152">
          <cell r="B152" t="str">
            <v>ประมาณการ</v>
          </cell>
          <cell r="C152" t="str">
            <v>ประมาณการ</v>
          </cell>
          <cell r="E152" t="str">
            <v>บจก.ซิเบลโก้(สบปราบ)</v>
          </cell>
          <cell r="F152" t="str">
            <v>รอแบบ</v>
          </cell>
          <cell r="G152">
            <v>23</v>
          </cell>
          <cell r="H152">
            <v>34</v>
          </cell>
          <cell r="I152" t="str">
            <v>ขาว</v>
          </cell>
          <cell r="J152"/>
          <cell r="L152">
            <v>68</v>
          </cell>
          <cell r="M152" t="str">
            <v>±</v>
          </cell>
          <cell r="N152">
            <v>5</v>
          </cell>
          <cell r="R152" t="str">
            <v>ไม่</v>
          </cell>
          <cell r="T152">
            <v>24</v>
          </cell>
          <cell r="U152">
            <v>37</v>
          </cell>
          <cell r="V152">
            <v>50</v>
          </cell>
          <cell r="X152">
            <v>45868</v>
          </cell>
          <cell r="Z152" t="str">
            <v>มัด100</v>
          </cell>
          <cell r="AA152">
            <v>30000</v>
          </cell>
          <cell r="AB152">
            <v>821.54158271999995</v>
          </cell>
          <cell r="AC152">
            <v>0</v>
          </cell>
          <cell r="AD152">
            <v>821.54158271999995</v>
          </cell>
          <cell r="AG152"/>
          <cell r="AI152"/>
          <cell r="AJ152">
            <v>0</v>
          </cell>
          <cell r="AL152">
            <v>30000</v>
          </cell>
          <cell r="AM152"/>
          <cell r="AN152">
            <v>31500</v>
          </cell>
          <cell r="AO152" t="str">
            <v>WSWT2325650</v>
          </cell>
          <cell r="AQ152">
            <v>29756.100000000002</v>
          </cell>
          <cell r="AR152">
            <v>29756.100000000002</v>
          </cell>
          <cell r="AS152">
            <v>0</v>
          </cell>
          <cell r="AT152">
            <v>0</v>
          </cell>
          <cell r="AU152">
            <v>0</v>
          </cell>
          <cell r="BZ152" t="str">
            <v>WRWT25650/WRWT25650</v>
          </cell>
          <cell r="CA152">
            <v>0</v>
          </cell>
          <cell r="DL152" t="str">
            <v>P9</v>
          </cell>
          <cell r="DM152">
            <v>3</v>
          </cell>
          <cell r="DN152">
            <v>45868</v>
          </cell>
          <cell r="DP152">
            <v>45863</v>
          </cell>
          <cell r="DQ152"/>
          <cell r="DR152">
            <v>45858</v>
          </cell>
          <cell r="DS152">
            <v>45865</v>
          </cell>
          <cell r="DT152">
            <v>45866</v>
          </cell>
          <cell r="DU152">
            <v>45866</v>
          </cell>
          <cell r="DW152">
            <v>45867</v>
          </cell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>รอART</v>
          </cell>
          <cell r="EG152"/>
          <cell r="EH152"/>
          <cell r="EI152"/>
        </row>
        <row r="153">
          <cell r="B153">
            <v>0</v>
          </cell>
          <cell r="C153"/>
          <cell r="E153"/>
          <cell r="F153"/>
          <cell r="G153">
            <v>23</v>
          </cell>
          <cell r="H153">
            <v>34</v>
          </cell>
          <cell r="I153" t="str">
            <v>ขาว</v>
          </cell>
          <cell r="J153"/>
          <cell r="L153">
            <v>68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>
            <v>0</v>
          </cell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WSWT2325650</v>
          </cell>
          <cell r="AQ153">
            <v>69430.900000000009</v>
          </cell>
          <cell r="AR153">
            <v>29756.100000000002</v>
          </cell>
          <cell r="AS153">
            <v>39674.800000000003</v>
          </cell>
          <cell r="AT153">
            <v>0</v>
          </cell>
          <cell r="AU153">
            <v>0</v>
          </cell>
          <cell r="BZ153" t="str">
            <v>WRWT25650/WRWT25650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/>
          <cell r="EI153">
            <v>0</v>
          </cell>
        </row>
        <row r="154">
          <cell r="B154" t="str">
            <v>ประมาณการ</v>
          </cell>
          <cell r="C154" t="str">
            <v>ประมาณการ</v>
          </cell>
          <cell r="E154" t="str">
            <v>พันธุ์ข้าว</v>
          </cell>
          <cell r="F154" t="str">
            <v>รอแบบ</v>
          </cell>
          <cell r="G154">
            <v>23</v>
          </cell>
          <cell r="H154">
            <v>34</v>
          </cell>
          <cell r="I154" t="str">
            <v>ขาวแถบใส5</v>
          </cell>
          <cell r="J154"/>
          <cell r="L154">
            <v>68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45868</v>
          </cell>
          <cell r="Z154" t="str">
            <v>500กระสอบ</v>
          </cell>
          <cell r="AA154">
            <v>10000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/>
          <cell r="AL154">
            <v>10000</v>
          </cell>
          <cell r="AM154"/>
          <cell r="AN154">
            <v>10500</v>
          </cell>
          <cell r="AO154" t="str">
            <v>WSWTSCL052325650</v>
          </cell>
          <cell r="AQ154">
            <v>9918.7000000000007</v>
          </cell>
          <cell r="AR154">
            <v>0</v>
          </cell>
          <cell r="AS154">
            <v>9918.7000000000007</v>
          </cell>
          <cell r="AT154">
            <v>0</v>
          </cell>
          <cell r="AU154">
            <v>0</v>
          </cell>
          <cell r="BZ154" t="str">
            <v>WRWT25650/WRCL25680</v>
          </cell>
          <cell r="CA154">
            <v>800.41704844444439</v>
          </cell>
          <cell r="DL154" t="str">
            <v>P7</v>
          </cell>
          <cell r="DM154">
            <v>2</v>
          </cell>
          <cell r="DN154">
            <v>45868</v>
          </cell>
          <cell r="DP154">
            <v>45863</v>
          </cell>
          <cell r="DQ154"/>
          <cell r="DR154">
            <v>45859</v>
          </cell>
          <cell r="DS154">
            <v>45866</v>
          </cell>
          <cell r="DT154">
            <v>45867</v>
          </cell>
          <cell r="DU154">
            <v>45867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>รอART</v>
          </cell>
          <cell r="EG154"/>
          <cell r="EH154"/>
          <cell r="EI154"/>
        </row>
        <row r="155">
          <cell r="B155">
            <v>0</v>
          </cell>
          <cell r="C155"/>
          <cell r="E155"/>
          <cell r="F155"/>
          <cell r="G155">
            <v>23</v>
          </cell>
          <cell r="H155">
            <v>34</v>
          </cell>
          <cell r="I155" t="str">
            <v>ขาวแถบใส5</v>
          </cell>
          <cell r="J155"/>
          <cell r="L155">
            <v>68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>
            <v>0</v>
          </cell>
          <cell r="AC155">
            <v>0</v>
          </cell>
          <cell r="AD155"/>
          <cell r="AG155"/>
          <cell r="AI155"/>
          <cell r="AJ155"/>
          <cell r="AL155">
            <v>0</v>
          </cell>
          <cell r="AM155"/>
          <cell r="AN155">
            <v>0</v>
          </cell>
          <cell r="AO155" t="str">
            <v>WSWTSCL052325650</v>
          </cell>
          <cell r="AQ155">
            <v>9918.7000000000007</v>
          </cell>
          <cell r="AR155">
            <v>0</v>
          </cell>
          <cell r="AS155">
            <v>9918.7000000000007</v>
          </cell>
          <cell r="AT155">
            <v>0</v>
          </cell>
          <cell r="AU155">
            <v>0</v>
          </cell>
          <cell r="BZ155" t="str">
            <v>WRWT25650/WRCL25680</v>
          </cell>
          <cell r="CA155">
            <v>0</v>
          </cell>
          <cell r="DL155"/>
          <cell r="DM155" t="str">
            <v>Lead time</v>
          </cell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/>
          <cell r="EI155">
            <v>0</v>
          </cell>
        </row>
        <row r="156">
          <cell r="B156">
            <v>0</v>
          </cell>
          <cell r="C156"/>
          <cell r="E156"/>
          <cell r="F156"/>
          <cell r="G156">
            <v>23</v>
          </cell>
          <cell r="H156">
            <v>34</v>
          </cell>
          <cell r="I156" t="str">
            <v>ขาวแถบใส2</v>
          </cell>
          <cell r="J156"/>
          <cell r="L156">
            <v>68</v>
          </cell>
          <cell r="M156" t="str">
            <v>±</v>
          </cell>
          <cell r="N156">
            <v>5</v>
          </cell>
          <cell r="R156"/>
          <cell r="T156"/>
          <cell r="U156"/>
          <cell r="V156"/>
          <cell r="X156"/>
          <cell r="Z156"/>
          <cell r="AA156"/>
          <cell r="AB156">
            <v>0</v>
          </cell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WSWTFCL022325650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BZ156" t="str">
            <v>WRWT25650/WRCL25680</v>
          </cell>
          <cell r="CA156">
            <v>0</v>
          </cell>
          <cell r="DL156"/>
          <cell r="DM156" t="str">
            <v>Lead time</v>
          </cell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>
            <v>0</v>
          </cell>
          <cell r="EI156">
            <v>0</v>
          </cell>
        </row>
        <row r="157">
          <cell r="B157">
            <v>0</v>
          </cell>
          <cell r="C157"/>
          <cell r="E157"/>
          <cell r="F157"/>
          <cell r="G157">
            <v>23</v>
          </cell>
          <cell r="H157">
            <v>37</v>
          </cell>
          <cell r="I157" t="str">
            <v>ขาว</v>
          </cell>
          <cell r="J157"/>
          <cell r="L157">
            <v>85</v>
          </cell>
          <cell r="M157" t="str">
            <v>±</v>
          </cell>
          <cell r="N157">
            <v>5</v>
          </cell>
          <cell r="R157"/>
          <cell r="T157"/>
          <cell r="U157"/>
          <cell r="V157"/>
          <cell r="X157"/>
          <cell r="Z157"/>
          <cell r="AA157"/>
          <cell r="AB157">
            <v>0</v>
          </cell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WSWT2325800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BZ157" t="str">
            <v>WRWT25800/WRWT28750</v>
          </cell>
          <cell r="CA157">
            <v>0</v>
          </cell>
          <cell r="DL157"/>
          <cell r="DM157" t="str">
            <v>Lead time</v>
          </cell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>
            <v>0</v>
          </cell>
          <cell r="EI157">
            <v>0</v>
          </cell>
        </row>
        <row r="158">
          <cell r="B158" t="str">
            <v>MK68-000852</v>
          </cell>
          <cell r="C158">
            <v>45839</v>
          </cell>
          <cell r="E158" t="str">
            <v>คุณวัลภา เผ่าเต็ม</v>
          </cell>
          <cell r="F158" t="str">
            <v>ดวงใจ(ชมพู-ม่วง)</v>
          </cell>
          <cell r="G158">
            <v>23</v>
          </cell>
          <cell r="H158">
            <v>37</v>
          </cell>
          <cell r="I158" t="str">
            <v>ขาว</v>
          </cell>
          <cell r="J158"/>
          <cell r="L158">
            <v>85</v>
          </cell>
          <cell r="M158" t="str">
            <v>±</v>
          </cell>
          <cell r="N158">
            <v>5</v>
          </cell>
          <cell r="R158" t="str">
            <v>ไม่</v>
          </cell>
          <cell r="T158" t="str">
            <v>ไม่สวมถุงใน</v>
          </cell>
          <cell r="U158"/>
          <cell r="V158"/>
          <cell r="X158">
            <v>45852</v>
          </cell>
          <cell r="Z158" t="str">
            <v>500กระสอบ</v>
          </cell>
          <cell r="AA158">
            <v>10000</v>
          </cell>
          <cell r="AB158">
            <v>0</v>
          </cell>
          <cell r="AC158">
            <v>0</v>
          </cell>
          <cell r="AD158">
            <v>0</v>
          </cell>
          <cell r="AG158" t="str">
            <v>12/7เย็น</v>
          </cell>
          <cell r="AI158" t="str">
            <v>ด้านคู่1ม้วนใช้ได้</v>
          </cell>
          <cell r="AJ158">
            <v>0</v>
          </cell>
          <cell r="AL158">
            <v>10000</v>
          </cell>
          <cell r="AM158"/>
          <cell r="AN158">
            <v>10500</v>
          </cell>
          <cell r="AO158" t="str">
            <v>WSWT2321750</v>
          </cell>
          <cell r="AQ158">
            <v>10756.900000000001</v>
          </cell>
          <cell r="AR158">
            <v>7327</v>
          </cell>
          <cell r="AS158">
            <v>3429.9000000000015</v>
          </cell>
          <cell r="AT158">
            <v>0</v>
          </cell>
          <cell r="AU158">
            <v>0</v>
          </cell>
          <cell r="BZ158" t="str">
            <v>WRWT21750/WRWT21750</v>
          </cell>
          <cell r="CA158">
            <v>302.40285000000011</v>
          </cell>
          <cell r="DL158" t="str">
            <v>P7</v>
          </cell>
          <cell r="DM158">
            <v>2</v>
          </cell>
          <cell r="DN158">
            <v>45852</v>
          </cell>
          <cell r="DP158">
            <v>45847</v>
          </cell>
          <cell r="DQ158"/>
          <cell r="DR158">
            <v>45843</v>
          </cell>
          <cell r="DS158">
            <v>45850</v>
          </cell>
          <cell r="DT158">
            <v>45851</v>
          </cell>
          <cell r="DU158">
            <v>45851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>รอART</v>
          </cell>
          <cell r="EG158"/>
          <cell r="EH158"/>
          <cell r="EI158"/>
        </row>
        <row r="159">
          <cell r="B159" t="str">
            <v>MK68-000852</v>
          </cell>
          <cell r="C159">
            <v>45839</v>
          </cell>
          <cell r="E159" t="str">
            <v>คุณวัลภา เผ่าเต็ม</v>
          </cell>
          <cell r="F159" t="str">
            <v>ใบเตย</v>
          </cell>
          <cell r="G159">
            <v>23</v>
          </cell>
          <cell r="H159">
            <v>37</v>
          </cell>
          <cell r="I159" t="str">
            <v>ขาว</v>
          </cell>
          <cell r="J159"/>
          <cell r="L159">
            <v>85</v>
          </cell>
          <cell r="M159" t="str">
            <v>±</v>
          </cell>
          <cell r="N159">
            <v>5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>
            <v>45852</v>
          </cell>
          <cell r="Z159" t="str">
            <v>500กระสอบ</v>
          </cell>
          <cell r="AA159">
            <v>5000</v>
          </cell>
          <cell r="AB159">
            <v>0</v>
          </cell>
          <cell r="AC159">
            <v>0</v>
          </cell>
          <cell r="AD159">
            <v>0</v>
          </cell>
          <cell r="AG159" t="str">
            <v>12/7เย็น</v>
          </cell>
          <cell r="AI159"/>
          <cell r="AJ159">
            <v>0</v>
          </cell>
          <cell r="AL159">
            <v>5000</v>
          </cell>
          <cell r="AM159"/>
          <cell r="AN159">
            <v>5250</v>
          </cell>
          <cell r="AO159" t="str">
            <v>WSWT2321750</v>
          </cell>
          <cell r="AQ159">
            <v>5378.4500000000007</v>
          </cell>
          <cell r="AR159">
            <v>0</v>
          </cell>
          <cell r="AS159">
            <v>5378.4500000000007</v>
          </cell>
          <cell r="AT159">
            <v>0</v>
          </cell>
          <cell r="AU159">
            <v>0</v>
          </cell>
          <cell r="BZ159" t="str">
            <v>WRWT21750/WRWT21750</v>
          </cell>
          <cell r="CA159">
            <v>474.2000083333333</v>
          </cell>
          <cell r="DL159" t="str">
            <v>P7</v>
          </cell>
          <cell r="DM159">
            <v>2</v>
          </cell>
          <cell r="DN159">
            <v>45852</v>
          </cell>
          <cell r="DP159">
            <v>45847</v>
          </cell>
          <cell r="DQ159"/>
          <cell r="DR159">
            <v>45843</v>
          </cell>
          <cell r="DS159">
            <v>45850</v>
          </cell>
          <cell r="DT159">
            <v>45851</v>
          </cell>
          <cell r="DU159">
            <v>45851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>รอART</v>
          </cell>
          <cell r="EG159"/>
          <cell r="EH159"/>
          <cell r="EI159"/>
        </row>
        <row r="160">
          <cell r="B160" t="str">
            <v>MK68-000378</v>
          </cell>
          <cell r="C160">
            <v>45727</v>
          </cell>
          <cell r="E160" t="str">
            <v>บจก.แอมโก้เวท</v>
          </cell>
          <cell r="F160" t="str">
            <v>ไม่พิมพ์</v>
          </cell>
          <cell r="G160">
            <v>23</v>
          </cell>
          <cell r="H160">
            <v>40</v>
          </cell>
          <cell r="I160" t="str">
            <v>ขาว</v>
          </cell>
          <cell r="J160" t="str">
            <v>ใส</v>
          </cell>
          <cell r="L160">
            <v>125</v>
          </cell>
          <cell r="M160" t="str">
            <v>±</v>
          </cell>
          <cell r="N160">
            <v>5</v>
          </cell>
          <cell r="R160" t="str">
            <v>จับจีบ4"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>500กระสอบแบน</v>
          </cell>
          <cell r="AA160">
            <v>1000</v>
          </cell>
          <cell r="AB160">
            <v>0</v>
          </cell>
          <cell r="AC160">
            <v>0</v>
          </cell>
          <cell r="AD160">
            <v>0</v>
          </cell>
          <cell r="AG160"/>
          <cell r="AI160" t="str">
            <v>ห้ามขาด-เกินได้5%</v>
          </cell>
          <cell r="AJ160">
            <v>0</v>
          </cell>
          <cell r="AL160">
            <v>1000</v>
          </cell>
          <cell r="AM160"/>
          <cell r="AN160">
            <v>0</v>
          </cell>
          <cell r="AO160" t="str">
            <v>WSWT2321750</v>
          </cell>
          <cell r="AQ160">
            <v>1159.5100000000002</v>
          </cell>
          <cell r="AR160">
            <v>1159.5100000000002</v>
          </cell>
          <cell r="AS160">
            <v>0</v>
          </cell>
          <cell r="AT160">
            <v>1159.5100000000002</v>
          </cell>
          <cell r="AU160">
            <v>0</v>
          </cell>
          <cell r="BZ160" t="str">
            <v>WRWT21750/WRWT21750</v>
          </cell>
          <cell r="CA160">
            <v>0</v>
          </cell>
          <cell r="DL160" t="str">
            <v>P11</v>
          </cell>
          <cell r="DM160">
            <v>2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/>
          <cell r="DS160"/>
          <cell r="DT160"/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งานเคลือบ+ตัด</v>
          </cell>
          <cell r="ED160"/>
          <cell r="EG160"/>
          <cell r="EH160"/>
          <cell r="EI160"/>
        </row>
        <row r="161">
          <cell r="B161">
            <v>0</v>
          </cell>
          <cell r="C161"/>
          <cell r="E161"/>
          <cell r="F161"/>
          <cell r="G161">
            <v>23</v>
          </cell>
          <cell r="H161">
            <v>37</v>
          </cell>
          <cell r="I161"/>
          <cell r="J161"/>
          <cell r="L161">
            <v>85</v>
          </cell>
          <cell r="M161" t="str">
            <v>±</v>
          </cell>
          <cell r="N161">
            <v>5</v>
          </cell>
          <cell r="R161"/>
          <cell r="T161"/>
          <cell r="U161"/>
          <cell r="V161"/>
          <cell r="X161"/>
          <cell r="Z161"/>
          <cell r="AA161"/>
          <cell r="AB161"/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WSWT2321750</v>
          </cell>
          <cell r="AQ161">
            <v>17294.86</v>
          </cell>
          <cell r="AR161">
            <v>8486.51</v>
          </cell>
          <cell r="AS161">
            <v>8808.3500000000022</v>
          </cell>
          <cell r="AT161">
            <v>1159.5100000000002</v>
          </cell>
          <cell r="AU161">
            <v>0</v>
          </cell>
          <cell r="BZ161" t="str">
            <v>WRWT230750/WRWT21750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>
            <v>0</v>
          </cell>
          <cell r="EI161">
            <v>0</v>
          </cell>
        </row>
        <row r="162">
          <cell r="B162">
            <v>0</v>
          </cell>
          <cell r="C162"/>
          <cell r="E162"/>
          <cell r="F162"/>
          <cell r="G162">
            <v>23</v>
          </cell>
          <cell r="H162">
            <v>34</v>
          </cell>
          <cell r="I162"/>
          <cell r="J162"/>
          <cell r="L162">
            <v>68</v>
          </cell>
          <cell r="M162" t="str">
            <v>±</v>
          </cell>
          <cell r="N162">
            <v>5</v>
          </cell>
          <cell r="R162"/>
          <cell r="T162"/>
          <cell r="U162"/>
          <cell r="V162"/>
          <cell r="X162"/>
          <cell r="Z162"/>
          <cell r="AA162"/>
          <cell r="AB162"/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WSWTSCL1R042325650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BZ162" t="str">
            <v>WRWT230650/WRWT25680</v>
          </cell>
          <cell r="CA162">
            <v>0</v>
          </cell>
          <cell r="DL162"/>
          <cell r="DM162" t="str">
            <v>Lead time</v>
          </cell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/>
          <cell r="EI162">
            <v>0</v>
          </cell>
        </row>
        <row r="163">
          <cell r="B163">
            <v>0</v>
          </cell>
          <cell r="C163"/>
          <cell r="E163"/>
          <cell r="F163"/>
          <cell r="G163">
            <v>23</v>
          </cell>
          <cell r="H163">
            <v>37</v>
          </cell>
          <cell r="I163" t="str">
            <v>ขาว</v>
          </cell>
          <cell r="J163"/>
          <cell r="L163">
            <v>90</v>
          </cell>
          <cell r="M163" t="str">
            <v>±</v>
          </cell>
          <cell r="N163">
            <v>5</v>
          </cell>
          <cell r="R163"/>
          <cell r="T163"/>
          <cell r="U163"/>
          <cell r="V163"/>
          <cell r="X163"/>
          <cell r="Z163"/>
          <cell r="AA163"/>
          <cell r="AB163">
            <v>0</v>
          </cell>
          <cell r="AC163">
            <v>0</v>
          </cell>
          <cell r="AD163"/>
          <cell r="AG163"/>
          <cell r="AI163" t="str">
            <v>ระบุในSD</v>
          </cell>
          <cell r="AJ163"/>
          <cell r="AL163">
            <v>0</v>
          </cell>
          <cell r="AM163"/>
          <cell r="AN163">
            <v>0</v>
          </cell>
          <cell r="AO163" t="str">
            <v>WSWT2325800SM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BZ163" t="str">
            <v>WRWT21800/WRWT21800</v>
          </cell>
          <cell r="CA163">
            <v>0</v>
          </cell>
          <cell r="DL163"/>
          <cell r="DM163" t="str">
            <v>Lead time</v>
          </cell>
          <cell r="DN163"/>
          <cell r="DP163"/>
          <cell r="DQ163"/>
          <cell r="DR163"/>
          <cell r="DS163"/>
          <cell r="DT163"/>
          <cell r="DU163"/>
          <cell r="DW163"/>
          <cell r="DX163"/>
          <cell r="DY163"/>
          <cell r="DZ163"/>
          <cell r="EA163"/>
          <cell r="EB163"/>
          <cell r="EC163"/>
          <cell r="ED163"/>
          <cell r="EG163"/>
          <cell r="EH163"/>
          <cell r="EI163">
            <v>0</v>
          </cell>
        </row>
        <row r="164">
          <cell r="B164">
            <v>0</v>
          </cell>
          <cell r="C164"/>
          <cell r="E164"/>
          <cell r="F164"/>
          <cell r="G164">
            <v>23</v>
          </cell>
          <cell r="H164">
            <v>37</v>
          </cell>
          <cell r="I164"/>
          <cell r="J164"/>
          <cell r="L164">
            <v>120</v>
          </cell>
          <cell r="M164" t="str">
            <v>+</v>
          </cell>
          <cell r="N164">
            <v>5</v>
          </cell>
          <cell r="R164"/>
          <cell r="T164"/>
          <cell r="U164"/>
          <cell r="V164"/>
          <cell r="X164"/>
          <cell r="Z164"/>
          <cell r="AA164"/>
          <cell r="AB164"/>
          <cell r="AC164">
            <v>0</v>
          </cell>
          <cell r="AD164"/>
          <cell r="AG164"/>
          <cell r="AI164" t="str">
            <v>ระบุในSD</v>
          </cell>
          <cell r="AJ164"/>
          <cell r="AL164">
            <v>0</v>
          </cell>
          <cell r="AM164"/>
          <cell r="AN164">
            <v>0</v>
          </cell>
          <cell r="AO164" t="str">
            <v>WSWT23211125120SMFX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BZ164" t="str">
            <v>WROP2301125/WRBR21940</v>
          </cell>
          <cell r="CA164">
            <v>0</v>
          </cell>
          <cell r="DL164"/>
          <cell r="DM164" t="str">
            <v>Lead time</v>
          </cell>
          <cell r="DN164"/>
          <cell r="DP164"/>
          <cell r="DQ164"/>
          <cell r="DR164"/>
          <cell r="DS164"/>
          <cell r="DT164"/>
          <cell r="DU164"/>
          <cell r="DW164"/>
          <cell r="DX164"/>
          <cell r="DY164"/>
          <cell r="DZ164"/>
          <cell r="EA164"/>
          <cell r="EB164"/>
          <cell r="EC164"/>
          <cell r="ED164"/>
          <cell r="EG164"/>
          <cell r="EH164"/>
          <cell r="EI164">
            <v>0</v>
          </cell>
        </row>
        <row r="165">
          <cell r="B165">
            <v>0</v>
          </cell>
          <cell r="C165"/>
          <cell r="E165"/>
          <cell r="F165" t="str">
            <v xml:space="preserve">  </v>
          </cell>
          <cell r="G165">
            <v>23</v>
          </cell>
          <cell r="H165">
            <v>37</v>
          </cell>
          <cell r="I165" t="str">
            <v>ขาว</v>
          </cell>
          <cell r="J165"/>
          <cell r="L165">
            <v>130</v>
          </cell>
          <cell r="M165" t="str">
            <v>+</v>
          </cell>
          <cell r="N165">
            <v>3</v>
          </cell>
          <cell r="R165"/>
          <cell r="T165"/>
          <cell r="U165"/>
          <cell r="V165"/>
          <cell r="X165"/>
          <cell r="Z165"/>
          <cell r="AA165"/>
          <cell r="AB165">
            <v>0</v>
          </cell>
          <cell r="AC165">
            <v>0</v>
          </cell>
          <cell r="AD165"/>
          <cell r="AG165"/>
          <cell r="AI165" t="str">
            <v>ระบุในSD</v>
          </cell>
          <cell r="AJ165"/>
          <cell r="AL165">
            <v>0</v>
          </cell>
          <cell r="AM165"/>
          <cell r="AN165">
            <v>0</v>
          </cell>
          <cell r="AO165" t="str">
            <v>WSWT23211125130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BZ165" t="str">
            <v>WRWT211125/WRWT251080</v>
          </cell>
          <cell r="CA165">
            <v>0</v>
          </cell>
          <cell r="DL165"/>
          <cell r="DM165" t="str">
            <v>Lead time</v>
          </cell>
          <cell r="DN165"/>
          <cell r="DP165"/>
          <cell r="DQ165"/>
          <cell r="DR165"/>
          <cell r="DS165"/>
          <cell r="DT165"/>
          <cell r="DU165"/>
          <cell r="DW165"/>
          <cell r="DX165"/>
          <cell r="DY165"/>
          <cell r="DZ165"/>
          <cell r="EA165"/>
          <cell r="EB165"/>
          <cell r="EC165"/>
          <cell r="ED165"/>
          <cell r="EG165"/>
          <cell r="EH165"/>
          <cell r="EI165">
            <v>0</v>
          </cell>
        </row>
        <row r="166">
          <cell r="B166">
            <v>0</v>
          </cell>
          <cell r="C166"/>
          <cell r="E166"/>
          <cell r="F166"/>
          <cell r="G166">
            <v>23</v>
          </cell>
          <cell r="H166">
            <v>37</v>
          </cell>
          <cell r="I166"/>
          <cell r="J166"/>
          <cell r="L166">
            <v>120</v>
          </cell>
          <cell r="M166" t="str">
            <v>±</v>
          </cell>
          <cell r="N166">
            <v>3</v>
          </cell>
          <cell r="R166"/>
          <cell r="T166"/>
          <cell r="U166"/>
          <cell r="V166"/>
          <cell r="X166"/>
          <cell r="Z166"/>
          <cell r="AA166"/>
          <cell r="AB166">
            <v>0</v>
          </cell>
          <cell r="AC166">
            <v>0</v>
          </cell>
          <cell r="AD166"/>
          <cell r="AG166"/>
          <cell r="AI166" t="str">
            <v>ระบุในSD</v>
          </cell>
          <cell r="AJ166"/>
          <cell r="AL166">
            <v>0</v>
          </cell>
          <cell r="AM166"/>
          <cell r="AN166">
            <v>0</v>
          </cell>
          <cell r="AO166" t="str">
            <v>WSWT2321112512051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BZ166" t="str">
            <v>WRWT211125/WRWT21900</v>
          </cell>
          <cell r="CA166">
            <v>0</v>
          </cell>
          <cell r="DL166"/>
          <cell r="DM166" t="str">
            <v>Lead time</v>
          </cell>
          <cell r="DN166"/>
          <cell r="DP166"/>
          <cell r="DQ166"/>
          <cell r="DR166"/>
          <cell r="DS166"/>
          <cell r="DT166"/>
          <cell r="DU166"/>
          <cell r="DW166"/>
          <cell r="DX166"/>
          <cell r="DY166"/>
          <cell r="DZ166"/>
          <cell r="EA166"/>
          <cell r="EB166"/>
          <cell r="EC166"/>
          <cell r="ED166"/>
          <cell r="EG166"/>
          <cell r="EH166"/>
          <cell r="EI166">
            <v>0</v>
          </cell>
        </row>
        <row r="167">
          <cell r="B167" t="str">
            <v>MK67-001490</v>
          </cell>
          <cell r="C167">
            <v>45601</v>
          </cell>
          <cell r="E167" t="str">
            <v>บจก.น้ำตาลทิพย์สุโขทัย</v>
          </cell>
          <cell r="F167" t="str">
            <v>Blue for Refine sugar</v>
          </cell>
          <cell r="G167">
            <v>23</v>
          </cell>
          <cell r="H167">
            <v>37</v>
          </cell>
          <cell r="I167" t="str">
            <v>ขาว</v>
          </cell>
          <cell r="J167"/>
          <cell r="L167">
            <v>130</v>
          </cell>
          <cell r="M167" t="str">
            <v>±</v>
          </cell>
          <cell r="N167">
            <v>5</v>
          </cell>
          <cell r="R167" t="str">
            <v>บิด</v>
          </cell>
          <cell r="T167">
            <v>24</v>
          </cell>
          <cell r="U167">
            <v>40</v>
          </cell>
          <cell r="V167">
            <v>55</v>
          </cell>
          <cell r="X167">
            <v>45842</v>
          </cell>
          <cell r="Z167" t="str">
            <v>400แบน</v>
          </cell>
          <cell r="AA167">
            <v>51600</v>
          </cell>
          <cell r="AB167">
            <v>113.49115882367998</v>
          </cell>
          <cell r="AC167">
            <v>0</v>
          </cell>
          <cell r="AD167">
            <v>113.49115882367998</v>
          </cell>
          <cell r="AG167" t="str">
            <v>ห้ามเกิน  3/7เย็น</v>
          </cell>
          <cell r="AI167"/>
          <cell r="AJ167">
            <v>48115</v>
          </cell>
          <cell r="AL167">
            <v>3485</v>
          </cell>
          <cell r="AM167">
            <v>55560</v>
          </cell>
          <cell r="AN167">
            <v>0</v>
          </cell>
          <cell r="AO167" t="str">
            <v>WSWT2321112512551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WRWT211125/WRWT251030</v>
          </cell>
          <cell r="CA167">
            <v>0</v>
          </cell>
          <cell r="DL167" t="str">
            <v>P9</v>
          </cell>
          <cell r="DM167">
            <v>3</v>
          </cell>
          <cell r="DN167">
            <v>45842</v>
          </cell>
          <cell r="DP167">
            <v>45837</v>
          </cell>
          <cell r="DQ167"/>
          <cell r="DR167">
            <v>45832</v>
          </cell>
          <cell r="DS167">
            <v>45839</v>
          </cell>
          <cell r="DT167">
            <v>45840</v>
          </cell>
          <cell r="DU167">
            <v>45840</v>
          </cell>
          <cell r="DW167">
            <v>45841</v>
          </cell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MK67-001490</v>
          </cell>
          <cell r="C168">
            <v>45601</v>
          </cell>
          <cell r="E168" t="str">
            <v>บจก.น้ำตาลทิพย์สุโขทัย</v>
          </cell>
          <cell r="F168" t="str">
            <v>Green for white sugar</v>
          </cell>
          <cell r="G168">
            <v>23</v>
          </cell>
          <cell r="H168">
            <v>37</v>
          </cell>
          <cell r="I168" t="str">
            <v>ขาว</v>
          </cell>
          <cell r="J168"/>
          <cell r="L168">
            <v>130</v>
          </cell>
          <cell r="M168" t="str">
            <v>±</v>
          </cell>
          <cell r="N168">
            <v>5</v>
          </cell>
          <cell r="R168" t="str">
            <v>บิด</v>
          </cell>
          <cell r="T168">
            <v>24</v>
          </cell>
          <cell r="U168">
            <v>40</v>
          </cell>
          <cell r="V168">
            <v>55</v>
          </cell>
          <cell r="X168">
            <v>45852</v>
          </cell>
          <cell r="Z168" t="str">
            <v>400แบน</v>
          </cell>
          <cell r="AA168">
            <v>50000</v>
          </cell>
          <cell r="AB168">
            <v>0</v>
          </cell>
          <cell r="AC168">
            <v>0</v>
          </cell>
          <cell r="AD168">
            <v>0</v>
          </cell>
          <cell r="AG168"/>
          <cell r="AI168" t="str">
            <v>สั่งเวียดนามสำเร็จรูปทั้งหมด</v>
          </cell>
          <cell r="AJ168">
            <v>50000</v>
          </cell>
          <cell r="AL168">
            <v>0</v>
          </cell>
          <cell r="AM168"/>
          <cell r="AN168">
            <v>0</v>
          </cell>
          <cell r="AO168" t="str">
            <v>WSWT2321112512551VN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WRWT211125/WRWT251030</v>
          </cell>
          <cell r="CA168">
            <v>0</v>
          </cell>
          <cell r="DL168" t="str">
            <v>P9</v>
          </cell>
          <cell r="DM168">
            <v>3</v>
          </cell>
          <cell r="DN168">
            <v>45852</v>
          </cell>
          <cell r="DP168">
            <v>45847</v>
          </cell>
          <cell r="DQ168"/>
          <cell r="DR168">
            <v>45842</v>
          </cell>
          <cell r="DS168">
            <v>45849</v>
          </cell>
          <cell r="DT168">
            <v>45850</v>
          </cell>
          <cell r="DU168">
            <v>45850</v>
          </cell>
          <cell r="DW168">
            <v>45851</v>
          </cell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MK67-001490</v>
          </cell>
          <cell r="C169">
            <v>45601</v>
          </cell>
          <cell r="E169" t="str">
            <v>บจก.น้ำตาลทิพย์สุโขทัย</v>
          </cell>
          <cell r="F169" t="str">
            <v>Green for white sugar</v>
          </cell>
          <cell r="G169">
            <v>23</v>
          </cell>
          <cell r="H169">
            <v>37</v>
          </cell>
          <cell r="I169" t="str">
            <v>ขาว</v>
          </cell>
          <cell r="J169"/>
          <cell r="L169">
            <v>130</v>
          </cell>
          <cell r="M169" t="str">
            <v>±</v>
          </cell>
          <cell r="N169">
            <v>5</v>
          </cell>
          <cell r="R169" t="str">
            <v>บิด</v>
          </cell>
          <cell r="T169">
            <v>24</v>
          </cell>
          <cell r="U169">
            <v>40</v>
          </cell>
          <cell r="V169">
            <v>55</v>
          </cell>
          <cell r="X169">
            <v>45860</v>
          </cell>
          <cell r="Z169" t="str">
            <v>400แบน</v>
          </cell>
          <cell r="AA169">
            <v>50000</v>
          </cell>
          <cell r="AB169">
            <v>0</v>
          </cell>
          <cell r="AC169">
            <v>0</v>
          </cell>
          <cell r="AD169">
            <v>0</v>
          </cell>
          <cell r="AG169">
            <v>45858</v>
          </cell>
          <cell r="AI169" t="str">
            <v>สั่งเวียดนามสำเร็จรูปทั้งหมด</v>
          </cell>
          <cell r="AJ169">
            <v>50000</v>
          </cell>
          <cell r="AL169">
            <v>0</v>
          </cell>
          <cell r="AM169"/>
          <cell r="AN169">
            <v>0</v>
          </cell>
          <cell r="AO169" t="str">
            <v>WSWT2321112512551VN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WRWT211125/WRWT251030</v>
          </cell>
          <cell r="CA169">
            <v>0</v>
          </cell>
          <cell r="DL169" t="str">
            <v>P9</v>
          </cell>
          <cell r="DM169">
            <v>3</v>
          </cell>
          <cell r="DN169">
            <v>45860</v>
          </cell>
          <cell r="DP169">
            <v>45855</v>
          </cell>
          <cell r="DQ169"/>
          <cell r="DR169">
            <v>45850</v>
          </cell>
          <cell r="DS169">
            <v>45857</v>
          </cell>
          <cell r="DT169">
            <v>45858</v>
          </cell>
          <cell r="DU169">
            <v>45858</v>
          </cell>
          <cell r="DW169">
            <v>45859</v>
          </cell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MK67-001490</v>
          </cell>
          <cell r="C170">
            <v>45601</v>
          </cell>
          <cell r="E170" t="str">
            <v>บจก.น้ำตาลทิพย์สุโขทัย</v>
          </cell>
          <cell r="F170" t="str">
            <v>Green for white sugar</v>
          </cell>
          <cell r="G170">
            <v>23</v>
          </cell>
          <cell r="H170">
            <v>37</v>
          </cell>
          <cell r="I170" t="str">
            <v>ขาว</v>
          </cell>
          <cell r="J170"/>
          <cell r="L170">
            <v>130</v>
          </cell>
          <cell r="M170" t="str">
            <v>±</v>
          </cell>
          <cell r="N170">
            <v>5</v>
          </cell>
          <cell r="R170" t="str">
            <v>บิด</v>
          </cell>
          <cell r="T170">
            <v>24</v>
          </cell>
          <cell r="U170">
            <v>40</v>
          </cell>
          <cell r="V170">
            <v>55</v>
          </cell>
          <cell r="X170">
            <v>45868</v>
          </cell>
          <cell r="Z170" t="str">
            <v>400แบน</v>
          </cell>
          <cell r="AA170">
            <v>45000</v>
          </cell>
          <cell r="AB170">
            <v>1394.6549118458877</v>
          </cell>
          <cell r="AC170">
            <v>0</v>
          </cell>
          <cell r="AD170">
            <v>1394.6549118458877</v>
          </cell>
          <cell r="AG170">
            <v>45858</v>
          </cell>
          <cell r="AI170" t="str">
            <v>สั่งเวียดนามสำเร็จรูปทั้งหมด</v>
          </cell>
          <cell r="AJ170">
            <v>2174</v>
          </cell>
          <cell r="AL170">
            <v>42826</v>
          </cell>
          <cell r="AM170"/>
          <cell r="AN170">
            <v>44967.3</v>
          </cell>
          <cell r="AO170" t="str">
            <v>WSWT2321112512551</v>
          </cell>
          <cell r="AQ170">
            <v>46067.499940000009</v>
          </cell>
          <cell r="AR170">
            <v>46067.499940000009</v>
          </cell>
          <cell r="AS170">
            <v>0</v>
          </cell>
          <cell r="AT170">
            <v>0</v>
          </cell>
          <cell r="AU170">
            <v>0</v>
          </cell>
          <cell r="BZ170" t="str">
            <v>WRWT211125/WRWT251030</v>
          </cell>
          <cell r="CA170">
            <v>0</v>
          </cell>
          <cell r="DL170" t="str">
            <v>P9</v>
          </cell>
          <cell r="DM170">
            <v>3</v>
          </cell>
          <cell r="DN170">
            <v>45868</v>
          </cell>
          <cell r="DP170">
            <v>45863</v>
          </cell>
          <cell r="DQ170"/>
          <cell r="DR170">
            <v>45858</v>
          </cell>
          <cell r="DS170">
            <v>45865</v>
          </cell>
          <cell r="DT170">
            <v>45866</v>
          </cell>
          <cell r="DU170">
            <v>45866</v>
          </cell>
          <cell r="DW170">
            <v>45867</v>
          </cell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MK67-001490</v>
          </cell>
          <cell r="C171">
            <v>45601</v>
          </cell>
          <cell r="E171" t="str">
            <v>บจก.น้ำตาลทิพย์สุโขทัย</v>
          </cell>
          <cell r="F171" t="str">
            <v>Green for white sugar</v>
          </cell>
          <cell r="G171">
            <v>23</v>
          </cell>
          <cell r="H171">
            <v>37</v>
          </cell>
          <cell r="I171" t="str">
            <v>ขาว</v>
          </cell>
          <cell r="J171"/>
          <cell r="L171">
            <v>130</v>
          </cell>
          <cell r="M171" t="str">
            <v>±</v>
          </cell>
          <cell r="N171">
            <v>5</v>
          </cell>
          <cell r="R171" t="str">
            <v>บิด</v>
          </cell>
          <cell r="T171">
            <v>24</v>
          </cell>
          <cell r="U171">
            <v>40</v>
          </cell>
          <cell r="V171">
            <v>55</v>
          </cell>
          <cell r="X171" t="str">
            <v>รอแจ้ง</v>
          </cell>
          <cell r="Z171" t="str">
            <v>400แบน</v>
          </cell>
          <cell r="AA171">
            <v>441278</v>
          </cell>
          <cell r="AB171">
            <v>14370.488259224063</v>
          </cell>
          <cell r="AC171">
            <v>0</v>
          </cell>
          <cell r="AD171">
            <v>14370.488259224063</v>
          </cell>
          <cell r="AG171"/>
          <cell r="AI171" t="str">
            <v>สั่งเวียดนามสำเร็จรูปทั้งหมด</v>
          </cell>
          <cell r="AJ171">
            <v>0</v>
          </cell>
          <cell r="AL171">
            <v>441278</v>
          </cell>
          <cell r="AM171"/>
          <cell r="AN171">
            <v>463341.9</v>
          </cell>
          <cell r="AO171" t="str">
            <v>WSWT2321112512551</v>
          </cell>
          <cell r="AQ171">
            <v>474678.33182000002</v>
          </cell>
          <cell r="AR171">
            <v>0</v>
          </cell>
          <cell r="AS171">
            <v>474678.33182000002</v>
          </cell>
          <cell r="AT171">
            <v>0</v>
          </cell>
          <cell r="AU171">
            <v>0</v>
          </cell>
          <cell r="BZ171" t="str">
            <v>WRWT211125/WRWT251030</v>
          </cell>
          <cell r="CA171">
            <v>60808.008422340245</v>
          </cell>
          <cell r="DL171" t="str">
            <v>P9</v>
          </cell>
          <cell r="DM171">
            <v>3</v>
          </cell>
          <cell r="DN171" t="str">
            <v>รอแจ้ง</v>
          </cell>
          <cell r="DP171" t="e">
            <v>#VALUE!</v>
          </cell>
          <cell r="DQ171"/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 t="e">
            <v>#VALUE!</v>
          </cell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>
            <v>0</v>
          </cell>
          <cell r="C172"/>
          <cell r="E172"/>
          <cell r="F172"/>
          <cell r="G172">
            <v>23</v>
          </cell>
          <cell r="H172">
            <v>37</v>
          </cell>
          <cell r="I172"/>
          <cell r="J172"/>
          <cell r="L172">
            <v>128</v>
          </cell>
          <cell r="M172" t="str">
            <v>±</v>
          </cell>
          <cell r="N172">
            <v>5</v>
          </cell>
          <cell r="R172"/>
          <cell r="T172"/>
          <cell r="U172"/>
          <cell r="V172"/>
          <cell r="X172"/>
          <cell r="Z172"/>
          <cell r="AA172"/>
          <cell r="AB172"/>
          <cell r="AC172">
            <v>0</v>
          </cell>
          <cell r="AD172"/>
          <cell r="AG172"/>
          <cell r="AI172" t="str">
            <v>ระบุในSD</v>
          </cell>
          <cell r="AJ172"/>
          <cell r="AL172">
            <v>0</v>
          </cell>
          <cell r="AM172"/>
          <cell r="AN172">
            <v>0</v>
          </cell>
          <cell r="AO172" t="str">
            <v>WSWT2321112512551</v>
          </cell>
          <cell r="AQ172">
            <v>520745.83176000003</v>
          </cell>
          <cell r="AR172">
            <v>46067.499940000009</v>
          </cell>
          <cell r="AS172">
            <v>474678.33182000002</v>
          </cell>
          <cell r="AT172">
            <v>0</v>
          </cell>
          <cell r="AU172">
            <v>0</v>
          </cell>
          <cell r="BZ172" t="str">
            <v>WRWT2301125/WRWT251030</v>
          </cell>
          <cell r="CA172">
            <v>0</v>
          </cell>
          <cell r="DL172"/>
          <cell r="DM172"/>
          <cell r="DN172"/>
          <cell r="DP172"/>
          <cell r="DQ172"/>
          <cell r="DR172"/>
          <cell r="DS172"/>
          <cell r="DT172"/>
          <cell r="DU172"/>
          <cell r="DW172"/>
          <cell r="DX172"/>
          <cell r="DY172"/>
          <cell r="DZ172"/>
          <cell r="EA172"/>
          <cell r="EB172"/>
          <cell r="EC172"/>
          <cell r="ED172"/>
          <cell r="EG172"/>
          <cell r="EH172">
            <v>0</v>
          </cell>
          <cell r="EI172">
            <v>0</v>
          </cell>
        </row>
        <row r="173">
          <cell r="B173">
            <v>0</v>
          </cell>
          <cell r="C173"/>
          <cell r="E173"/>
          <cell r="F173"/>
          <cell r="G173">
            <v>24</v>
          </cell>
          <cell r="H173">
            <v>37</v>
          </cell>
          <cell r="I173"/>
          <cell r="J173"/>
          <cell r="L173">
            <v>120</v>
          </cell>
          <cell r="M173" t="str">
            <v>+</v>
          </cell>
          <cell r="N173">
            <v>3</v>
          </cell>
          <cell r="R173"/>
          <cell r="T173"/>
          <cell r="U173"/>
          <cell r="V173"/>
          <cell r="X173"/>
          <cell r="Z173"/>
          <cell r="AA173"/>
          <cell r="AB173"/>
          <cell r="AC173">
            <v>0</v>
          </cell>
          <cell r="AD173"/>
          <cell r="AG173"/>
          <cell r="AI173" t="str">
            <v>ระบุในSD</v>
          </cell>
          <cell r="AJ173"/>
          <cell r="AL173">
            <v>0</v>
          </cell>
          <cell r="AM173"/>
          <cell r="AN173">
            <v>0</v>
          </cell>
          <cell r="AO173" t="str">
            <v>WSWT24211125120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BZ173" t="str">
            <v>WRWT2401125/WRWT25850</v>
          </cell>
          <cell r="CA173">
            <v>0</v>
          </cell>
          <cell r="DL173"/>
          <cell r="DM173"/>
          <cell r="DN173"/>
          <cell r="DP173"/>
          <cell r="DQ173"/>
          <cell r="DR173"/>
          <cell r="DS173"/>
          <cell r="DT173"/>
          <cell r="DU173"/>
          <cell r="DW173"/>
          <cell r="DX173"/>
          <cell r="DY173"/>
          <cell r="DZ173"/>
          <cell r="EA173"/>
          <cell r="EB173"/>
          <cell r="EC173"/>
          <cell r="ED173"/>
          <cell r="EG173"/>
          <cell r="EH173">
            <v>0</v>
          </cell>
          <cell r="EI173">
            <v>0</v>
          </cell>
        </row>
        <row r="174">
          <cell r="B174">
            <v>0</v>
          </cell>
          <cell r="C174"/>
          <cell r="E174"/>
          <cell r="F174" t="str">
            <v xml:space="preserve"> </v>
          </cell>
          <cell r="G174">
            <v>24</v>
          </cell>
          <cell r="H174">
            <v>37</v>
          </cell>
          <cell r="I174"/>
          <cell r="J174"/>
          <cell r="L174">
            <v>125</v>
          </cell>
          <cell r="M174" t="str">
            <v>+</v>
          </cell>
          <cell r="N174">
            <v>3</v>
          </cell>
          <cell r="R174"/>
          <cell r="T174"/>
          <cell r="U174"/>
          <cell r="V174"/>
          <cell r="X174"/>
          <cell r="Z174"/>
          <cell r="AA174"/>
          <cell r="AB174"/>
          <cell r="AC174">
            <v>0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WSWT2421112512551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BZ174" t="str">
            <v>WRWT2401125/WRWT25960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>
            <v>0</v>
          </cell>
          <cell r="C175"/>
          <cell r="E175"/>
          <cell r="F175"/>
          <cell r="G175">
            <v>26</v>
          </cell>
          <cell r="H175">
            <v>38</v>
          </cell>
          <cell r="I175" t="str">
            <v>เหลือง</v>
          </cell>
          <cell r="J175"/>
          <cell r="L175">
            <v>105</v>
          </cell>
          <cell r="M175" t="str">
            <v>±</v>
          </cell>
          <cell r="N175">
            <v>5</v>
          </cell>
          <cell r="R175"/>
          <cell r="T175"/>
          <cell r="U175"/>
          <cell r="V175"/>
          <cell r="X175"/>
          <cell r="Z175"/>
          <cell r="AA175"/>
          <cell r="AB175">
            <v>0</v>
          </cell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WSYL2625850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BZ175" t="str">
            <v>WRYL25850/WRYL25850</v>
          </cell>
          <cell r="CA175">
            <v>0</v>
          </cell>
          <cell r="DL175"/>
          <cell r="DM175" t="str">
            <v>Lead time</v>
          </cell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/>
          <cell r="EI175">
            <v>0</v>
          </cell>
        </row>
        <row r="176">
          <cell r="B176" t="str">
            <v>ประมาณการ</v>
          </cell>
          <cell r="C176" t="str">
            <v>ประมาณการ</v>
          </cell>
          <cell r="E176" t="str">
            <v>บจก.กบินทร์อินทรีย์</v>
          </cell>
          <cell r="F176" t="str">
            <v>รอแบบ</v>
          </cell>
          <cell r="G176">
            <v>26</v>
          </cell>
          <cell r="H176">
            <v>41</v>
          </cell>
          <cell r="I176" t="str">
            <v>ขาว</v>
          </cell>
          <cell r="J176"/>
          <cell r="L176">
            <v>97</v>
          </cell>
          <cell r="M176" t="str">
            <v>±</v>
          </cell>
          <cell r="N176">
            <v>5</v>
          </cell>
          <cell r="R176" t="str">
            <v>บิด</v>
          </cell>
          <cell r="T176">
            <v>27</v>
          </cell>
          <cell r="U176">
            <v>43</v>
          </cell>
          <cell r="V176">
            <v>40</v>
          </cell>
          <cell r="X176">
            <v>45868</v>
          </cell>
          <cell r="Z176" t="str">
            <v>300กระสอบ</v>
          </cell>
          <cell r="AA176">
            <v>8000</v>
          </cell>
          <cell r="AB176">
            <v>229.14349009919997</v>
          </cell>
          <cell r="AC176">
            <v>0</v>
          </cell>
          <cell r="AD176">
            <v>229.14349009919997</v>
          </cell>
          <cell r="AG176"/>
          <cell r="AI176"/>
          <cell r="AJ176">
            <v>0</v>
          </cell>
          <cell r="AL176">
            <v>8000</v>
          </cell>
          <cell r="AM176"/>
          <cell r="AN176">
            <v>8400</v>
          </cell>
          <cell r="AO176" t="str">
            <v>WSWT2625650</v>
          </cell>
          <cell r="AQ176">
            <v>9499.6</v>
          </cell>
          <cell r="AR176">
            <v>0</v>
          </cell>
          <cell r="AS176">
            <v>9499.6</v>
          </cell>
          <cell r="AT176">
            <v>0</v>
          </cell>
          <cell r="AU176">
            <v>0</v>
          </cell>
          <cell r="BZ176" t="str">
            <v>WRWT25650/WRWT25650</v>
          </cell>
          <cell r="CA176">
            <v>767.03992444444452</v>
          </cell>
          <cell r="DL176" t="str">
            <v>P9</v>
          </cell>
          <cell r="DM176">
            <v>3</v>
          </cell>
          <cell r="DN176">
            <v>45868</v>
          </cell>
          <cell r="DP176">
            <v>45863</v>
          </cell>
          <cell r="DQ176"/>
          <cell r="DR176">
            <v>45858</v>
          </cell>
          <cell r="DS176">
            <v>45865</v>
          </cell>
          <cell r="DT176">
            <v>45866</v>
          </cell>
          <cell r="DU176">
            <v>45866</v>
          </cell>
          <cell r="DW176">
            <v>45867</v>
          </cell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>รอART</v>
          </cell>
          <cell r="EG176"/>
          <cell r="EH176"/>
          <cell r="EI176"/>
        </row>
        <row r="177">
          <cell r="B177">
            <v>0</v>
          </cell>
          <cell r="C177"/>
          <cell r="E177"/>
          <cell r="F177"/>
          <cell r="G177">
            <v>26</v>
          </cell>
          <cell r="H177">
            <v>43</v>
          </cell>
          <cell r="I177" t="str">
            <v>ขาว</v>
          </cell>
          <cell r="J177"/>
          <cell r="L177">
            <v>102</v>
          </cell>
          <cell r="M177" t="str">
            <v>±</v>
          </cell>
          <cell r="N177">
            <v>5</v>
          </cell>
          <cell r="R177"/>
          <cell r="T177"/>
          <cell r="U177"/>
          <cell r="V177"/>
          <cell r="X177"/>
          <cell r="Z177"/>
          <cell r="AA177"/>
          <cell r="AB177">
            <v>0</v>
          </cell>
          <cell r="AC177">
            <v>0</v>
          </cell>
          <cell r="AD177"/>
          <cell r="AG177"/>
          <cell r="AI177" t="str">
            <v>ระบุในSD</v>
          </cell>
          <cell r="AJ177"/>
          <cell r="AL177">
            <v>0</v>
          </cell>
          <cell r="AM177"/>
          <cell r="AN177">
            <v>0</v>
          </cell>
          <cell r="AO177" t="str">
            <v>WSWT2625650</v>
          </cell>
          <cell r="AQ177">
            <v>9499.6</v>
          </cell>
          <cell r="AR177">
            <v>0</v>
          </cell>
          <cell r="AS177">
            <v>9499.6</v>
          </cell>
          <cell r="AT177">
            <v>0</v>
          </cell>
          <cell r="AU177">
            <v>0</v>
          </cell>
          <cell r="BZ177" t="str">
            <v>WRWT25650/WRWT25650</v>
          </cell>
          <cell r="CA177">
            <v>0</v>
          </cell>
          <cell r="DL177"/>
          <cell r="DM177" t="str">
            <v>Lead time</v>
          </cell>
          <cell r="DN177"/>
          <cell r="DP177"/>
          <cell r="DQ177"/>
          <cell r="DR177"/>
          <cell r="DS177"/>
          <cell r="DT177"/>
          <cell r="DU177"/>
          <cell r="DW177"/>
          <cell r="DX177"/>
          <cell r="DY177"/>
          <cell r="DZ177"/>
          <cell r="EA177"/>
          <cell r="EB177"/>
          <cell r="EC177"/>
          <cell r="ED177"/>
          <cell r="EG177"/>
          <cell r="EH177"/>
          <cell r="EI177">
            <v>0</v>
          </cell>
        </row>
        <row r="178">
          <cell r="B178" t="str">
            <v>ใบรับคำสั่งซื้อ</v>
          </cell>
          <cell r="C178">
            <v>45839</v>
          </cell>
          <cell r="E178" t="str">
            <v>คุณธนนท์ อุทัยไพศาลวงศ์</v>
          </cell>
          <cell r="F178" t="str">
            <v>ไม่พิมพ์</v>
          </cell>
          <cell r="G178">
            <v>26</v>
          </cell>
          <cell r="H178">
            <v>39</v>
          </cell>
          <cell r="I178" t="str">
            <v>ขาว</v>
          </cell>
          <cell r="J178"/>
          <cell r="L178">
            <v>93</v>
          </cell>
          <cell r="M178" t="str">
            <v>±</v>
          </cell>
          <cell r="N178">
            <v>5</v>
          </cell>
          <cell r="R178" t="str">
            <v>ไม่</v>
          </cell>
          <cell r="T178" t="str">
            <v>ไม่สวมถุงใน</v>
          </cell>
          <cell r="U178"/>
          <cell r="V178"/>
          <cell r="X178">
            <v>45847</v>
          </cell>
          <cell r="Z178" t="str">
            <v>มัด100</v>
          </cell>
          <cell r="AA178">
            <v>10000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10000</v>
          </cell>
          <cell r="AM178"/>
          <cell r="AN178">
            <v>0</v>
          </cell>
          <cell r="AO178" t="str">
            <v>WSWT262575051</v>
          </cell>
          <cell r="AQ178">
            <v>11315.7</v>
          </cell>
          <cell r="AR178">
            <v>6000</v>
          </cell>
          <cell r="AS178">
            <v>5315.7000000000007</v>
          </cell>
          <cell r="AT178">
            <v>0</v>
          </cell>
          <cell r="AU178">
            <v>0</v>
          </cell>
          <cell r="BZ178" t="str">
            <v>WRWT25800/WRWT25650</v>
          </cell>
          <cell r="CA178">
            <v>477.5861133333334</v>
          </cell>
          <cell r="DL178" t="str">
            <v>P3</v>
          </cell>
          <cell r="DM178">
            <v>1</v>
          </cell>
          <cell r="DN178">
            <v>45847</v>
          </cell>
          <cell r="DP178">
            <v>45842</v>
          </cell>
          <cell r="DQ178"/>
          <cell r="DR178"/>
          <cell r="DS178"/>
          <cell r="DT178"/>
          <cell r="DU178">
            <v>45846</v>
          </cell>
          <cell r="DW178"/>
          <cell r="DX178"/>
          <cell r="DY178"/>
          <cell r="DZ178"/>
          <cell r="EA178"/>
          <cell r="EB178"/>
          <cell r="EC178" t="str">
            <v>ตัด</v>
          </cell>
          <cell r="ED178"/>
          <cell r="EG178"/>
          <cell r="EH178"/>
          <cell r="EI178"/>
        </row>
        <row r="179">
          <cell r="B179">
            <v>0</v>
          </cell>
          <cell r="C179"/>
          <cell r="E179"/>
          <cell r="F179"/>
          <cell r="G179">
            <v>26</v>
          </cell>
          <cell r="H179">
            <v>43</v>
          </cell>
          <cell r="I179"/>
          <cell r="J179"/>
          <cell r="L179">
            <v>100</v>
          </cell>
          <cell r="M179" t="str">
            <v>±</v>
          </cell>
          <cell r="N179">
            <v>5</v>
          </cell>
          <cell r="R179"/>
          <cell r="T179"/>
          <cell r="U179"/>
          <cell r="V179"/>
          <cell r="X179"/>
          <cell r="Z179"/>
          <cell r="AA179"/>
          <cell r="AB179"/>
          <cell r="AC179">
            <v>0</v>
          </cell>
          <cell r="AD179"/>
          <cell r="AG179"/>
          <cell r="AI179" t="str">
            <v>ระบุในSD</v>
          </cell>
          <cell r="AJ179"/>
          <cell r="AL179">
            <v>0</v>
          </cell>
          <cell r="AM179"/>
          <cell r="AN179">
            <v>0</v>
          </cell>
          <cell r="AO179" t="str">
            <v>WSWT262575051</v>
          </cell>
          <cell r="AQ179">
            <v>11315.7</v>
          </cell>
          <cell r="AR179">
            <v>6000</v>
          </cell>
          <cell r="AS179">
            <v>5315.7000000000007</v>
          </cell>
          <cell r="AT179">
            <v>0</v>
          </cell>
          <cell r="AU179">
            <v>0</v>
          </cell>
          <cell r="BZ179" t="str">
            <v>WRWT25800/WRWT25650</v>
          </cell>
          <cell r="CA179">
            <v>0</v>
          </cell>
          <cell r="DL179"/>
          <cell r="DM179" t="str">
            <v>Lead time</v>
          </cell>
          <cell r="DN179"/>
          <cell r="DP179"/>
          <cell r="DQ179"/>
          <cell r="DR179"/>
          <cell r="DS179"/>
          <cell r="DT179"/>
          <cell r="DU179"/>
          <cell r="DW179"/>
          <cell r="DX179"/>
          <cell r="DY179"/>
          <cell r="DZ179"/>
          <cell r="EA179"/>
          <cell r="EB179"/>
          <cell r="EC179"/>
          <cell r="ED179"/>
          <cell r="EG179"/>
          <cell r="EH179">
            <v>0</v>
          </cell>
          <cell r="EI179">
            <v>0</v>
          </cell>
        </row>
        <row r="180">
          <cell r="B180">
            <v>0</v>
          </cell>
          <cell r="C180"/>
          <cell r="E180"/>
          <cell r="F180"/>
          <cell r="G180">
            <v>26</v>
          </cell>
          <cell r="H180">
            <v>43</v>
          </cell>
          <cell r="I180"/>
          <cell r="J180"/>
          <cell r="L180">
            <v>113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/>
          <cell r="AC180">
            <v>0</v>
          </cell>
          <cell r="AD180"/>
          <cell r="AG180"/>
          <cell r="AI180" t="str">
            <v>ระบุในSD</v>
          </cell>
          <cell r="AJ180"/>
          <cell r="AL180">
            <v>0</v>
          </cell>
          <cell r="AM180"/>
          <cell r="AN180">
            <v>0</v>
          </cell>
          <cell r="AO180" t="str">
            <v>WSWT2625700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BZ180" t="str">
            <v>WRWT260800/WRWT25650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>
            <v>0</v>
          </cell>
          <cell r="EI180">
            <v>0</v>
          </cell>
        </row>
        <row r="181">
          <cell r="B181">
            <v>0</v>
          </cell>
          <cell r="C181"/>
          <cell r="E181"/>
          <cell r="F181"/>
          <cell r="G181">
            <v>26</v>
          </cell>
          <cell r="H181">
            <v>41</v>
          </cell>
          <cell r="I181"/>
          <cell r="J181"/>
          <cell r="L181">
            <v>90</v>
          </cell>
          <cell r="M181" t="str">
            <v>±</v>
          </cell>
          <cell r="N181">
            <v>5</v>
          </cell>
          <cell r="R181"/>
          <cell r="T181"/>
          <cell r="U181"/>
          <cell r="V181"/>
          <cell r="X181"/>
          <cell r="Z181"/>
          <cell r="AA181"/>
          <cell r="AB181"/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WSWT2625800SM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BZ181" t="str">
            <v>WRWT260800/WRWT25650</v>
          </cell>
          <cell r="CA181">
            <v>0</v>
          </cell>
          <cell r="DL181"/>
          <cell r="DM181" t="str">
            <v>Lead time</v>
          </cell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>
            <v>0</v>
          </cell>
          <cell r="EI181">
            <v>0</v>
          </cell>
        </row>
        <row r="182">
          <cell r="B182" t="str">
            <v>ประมาณการ</v>
          </cell>
          <cell r="C182" t="str">
            <v>ประมาณการ</v>
          </cell>
          <cell r="E182" t="str">
            <v>บจก.ที.ซี.ยูเนี่ยน อโกรเทค</v>
          </cell>
          <cell r="F182" t="str">
            <v>ไม่พิมพ์</v>
          </cell>
          <cell r="G182">
            <v>26</v>
          </cell>
          <cell r="H182">
            <v>43</v>
          </cell>
          <cell r="I182" t="str">
            <v>ขาว</v>
          </cell>
          <cell r="J182"/>
          <cell r="L182">
            <v>116</v>
          </cell>
          <cell r="M182" t="str">
            <v>±</v>
          </cell>
          <cell r="N182">
            <v>5</v>
          </cell>
          <cell r="R182" t="str">
            <v>ไม่</v>
          </cell>
          <cell r="T182" t="str">
            <v>ไม่สวมถุงใน</v>
          </cell>
          <cell r="U182"/>
          <cell r="V182"/>
          <cell r="X182">
            <v>45868</v>
          </cell>
          <cell r="Z182" t="str">
            <v xml:space="preserve">300กระสอบแบนเต็มใบ </v>
          </cell>
          <cell r="AA182">
            <v>10000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10000</v>
          </cell>
          <cell r="AM182"/>
          <cell r="AN182">
            <v>0</v>
          </cell>
          <cell r="AO182" t="str">
            <v xml:space="preserve">WSWT2625800 </v>
          </cell>
          <cell r="AQ182">
            <v>12433.3</v>
          </cell>
          <cell r="AR182">
            <v>12433.3</v>
          </cell>
          <cell r="AS182">
            <v>0</v>
          </cell>
          <cell r="AT182">
            <v>0</v>
          </cell>
          <cell r="AU182">
            <v>0</v>
          </cell>
          <cell r="BZ182" t="str">
            <v>WRWT25800/WRWT25800</v>
          </cell>
          <cell r="CA182">
            <v>0</v>
          </cell>
          <cell r="DL182" t="str">
            <v>P3</v>
          </cell>
          <cell r="DM182">
            <v>1</v>
          </cell>
          <cell r="DN182">
            <v>45868</v>
          </cell>
          <cell r="DP182">
            <v>45863</v>
          </cell>
          <cell r="DQ182"/>
          <cell r="DR182"/>
          <cell r="DS182"/>
          <cell r="DT182"/>
          <cell r="DU182">
            <v>45867</v>
          </cell>
          <cell r="DW182"/>
          <cell r="DX182"/>
          <cell r="DY182"/>
          <cell r="DZ182"/>
          <cell r="EA182"/>
          <cell r="EB182"/>
          <cell r="EC182" t="str">
            <v>ตัด</v>
          </cell>
          <cell r="ED182"/>
          <cell r="EG182"/>
          <cell r="EH182"/>
          <cell r="EI182"/>
        </row>
        <row r="183">
          <cell r="B183">
            <v>0</v>
          </cell>
          <cell r="C183"/>
          <cell r="E183"/>
          <cell r="F183"/>
          <cell r="G183">
            <v>26</v>
          </cell>
          <cell r="H183">
            <v>43</v>
          </cell>
          <cell r="I183"/>
          <cell r="J183"/>
          <cell r="L183">
            <v>116</v>
          </cell>
          <cell r="M183" t="str">
            <v>±</v>
          </cell>
          <cell r="N183">
            <v>5</v>
          </cell>
          <cell r="R183"/>
          <cell r="T183"/>
          <cell r="U183"/>
          <cell r="V183"/>
          <cell r="X183"/>
          <cell r="Z183"/>
          <cell r="AA183"/>
          <cell r="AB183"/>
          <cell r="AC183">
            <v>0</v>
          </cell>
          <cell r="AD183"/>
          <cell r="AG183"/>
          <cell r="AI183" t="str">
            <v>ระบุในSD</v>
          </cell>
          <cell r="AJ183"/>
          <cell r="AL183">
            <v>0</v>
          </cell>
          <cell r="AM183"/>
          <cell r="AN183">
            <v>0</v>
          </cell>
          <cell r="AO183" t="str">
            <v xml:space="preserve">WSWT2625800 </v>
          </cell>
          <cell r="AQ183">
            <v>12433.3</v>
          </cell>
          <cell r="AR183">
            <v>12433.3</v>
          </cell>
          <cell r="AS183">
            <v>0</v>
          </cell>
          <cell r="AT183">
            <v>0</v>
          </cell>
          <cell r="AU183">
            <v>0</v>
          </cell>
          <cell r="BZ183" t="str">
            <v>WRWT260800/WRWT25800</v>
          </cell>
          <cell r="CA183">
            <v>0</v>
          </cell>
          <cell r="DL183"/>
          <cell r="DM183" t="str">
            <v>Lead time</v>
          </cell>
          <cell r="DN183"/>
          <cell r="DP183"/>
          <cell r="DQ183"/>
          <cell r="DR183"/>
          <cell r="DS183"/>
          <cell r="DT183"/>
          <cell r="DU183"/>
          <cell r="DW183"/>
          <cell r="DX183"/>
          <cell r="DY183"/>
          <cell r="DZ183"/>
          <cell r="EA183"/>
          <cell r="EB183"/>
          <cell r="EC183"/>
          <cell r="ED183"/>
          <cell r="EG183"/>
          <cell r="EH183">
            <v>0</v>
          </cell>
          <cell r="EI183">
            <v>0</v>
          </cell>
        </row>
        <row r="184">
          <cell r="B184" t="str">
            <v>MK68-000839</v>
          </cell>
          <cell r="C184">
            <v>45835</v>
          </cell>
          <cell r="E184" t="str">
            <v>บจก.ที.ซี.ยูเนี่ยน อโกรเทค</v>
          </cell>
          <cell r="F184" t="str">
            <v>TUNA MEAL MARIN TRUST</v>
          </cell>
          <cell r="G184">
            <v>26</v>
          </cell>
          <cell r="H184">
            <v>43</v>
          </cell>
          <cell r="I184" t="str">
            <v>ขาว</v>
          </cell>
          <cell r="J184" t="str">
            <v>ใส</v>
          </cell>
          <cell r="L184">
            <v>150</v>
          </cell>
          <cell r="M184" t="str">
            <v>±</v>
          </cell>
          <cell r="N184">
            <v>5</v>
          </cell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45846</v>
          </cell>
          <cell r="Z184" t="str">
            <v xml:space="preserve">300กระสอบแบนเต็มใบ </v>
          </cell>
          <cell r="AA184">
            <v>10000</v>
          </cell>
          <cell r="AB184">
            <v>0</v>
          </cell>
          <cell r="AC184">
            <v>0</v>
          </cell>
          <cell r="AD184">
            <v>0</v>
          </cell>
          <cell r="AG184"/>
          <cell r="AI184" t="str">
            <v>ห้ามขาด-เกินได้5%</v>
          </cell>
          <cell r="AJ184">
            <v>7386</v>
          </cell>
          <cell r="AL184">
            <v>2614</v>
          </cell>
          <cell r="AM184">
            <v>12414</v>
          </cell>
          <cell r="AN184">
            <v>0</v>
          </cell>
          <cell r="AO184" t="str">
            <v>WSWT2625850SM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BZ184" t="str">
            <v>WRWT25850/WRWT25850</v>
          </cell>
          <cell r="CA184">
            <v>0</v>
          </cell>
          <cell r="DL184" t="str">
            <v>P6</v>
          </cell>
          <cell r="DM184">
            <v>4</v>
          </cell>
          <cell r="DN184">
            <v>45846</v>
          </cell>
          <cell r="DP184">
            <v>45841</v>
          </cell>
          <cell r="DQ184">
            <v>45842</v>
          </cell>
          <cell r="DR184">
            <v>45835</v>
          </cell>
          <cell r="DS184">
            <v>45843</v>
          </cell>
          <cell r="DT184">
            <v>45844</v>
          </cell>
          <cell r="DU184">
            <v>45845</v>
          </cell>
          <cell r="DW184"/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/>
          <cell r="EG184"/>
          <cell r="EH184"/>
          <cell r="EI184"/>
        </row>
        <row r="185">
          <cell r="B185" t="str">
            <v>MK68-000816</v>
          </cell>
          <cell r="C185">
            <v>45832</v>
          </cell>
          <cell r="E185" t="str">
            <v>บจก.ที.ซี.ยูเนี่ยน อโกรเทค</v>
          </cell>
          <cell r="F185" t="str">
            <v>ไม่พิมพ์</v>
          </cell>
          <cell r="G185">
            <v>26</v>
          </cell>
          <cell r="H185">
            <v>43</v>
          </cell>
          <cell r="I185" t="str">
            <v>ขาว</v>
          </cell>
          <cell r="J185" t="str">
            <v>ใส</v>
          </cell>
          <cell r="L185">
            <v>150</v>
          </cell>
          <cell r="M185" t="str">
            <v>±</v>
          </cell>
          <cell r="N185">
            <v>5</v>
          </cell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45847</v>
          </cell>
          <cell r="Z185" t="str">
            <v xml:space="preserve">300กระสอบแบนเต็มใบ </v>
          </cell>
          <cell r="AA185">
            <v>15000</v>
          </cell>
          <cell r="AB185">
            <v>0</v>
          </cell>
          <cell r="AC185">
            <v>0</v>
          </cell>
          <cell r="AD185">
            <v>0</v>
          </cell>
          <cell r="AG185"/>
          <cell r="AI185" t="str">
            <v>ห้ามขาด-เกินได้5%</v>
          </cell>
          <cell r="AJ185">
            <v>0</v>
          </cell>
          <cell r="AL185">
            <v>15000</v>
          </cell>
          <cell r="AM185"/>
          <cell r="AN185">
            <v>0</v>
          </cell>
          <cell r="AO185" t="str">
            <v>WSWT2625850SM</v>
          </cell>
          <cell r="AQ185">
            <v>18649.949999999997</v>
          </cell>
          <cell r="AR185">
            <v>9788</v>
          </cell>
          <cell r="AS185">
            <v>8861.9499999999971</v>
          </cell>
          <cell r="AT185">
            <v>0</v>
          </cell>
          <cell r="AU185">
            <v>18649.949999999997</v>
          </cell>
          <cell r="BZ185" t="str">
            <v>WRWT25850/WRWT25850</v>
          </cell>
          <cell r="CA185">
            <v>913.96244333333311</v>
          </cell>
          <cell r="DL185" t="str">
            <v>P11</v>
          </cell>
          <cell r="DM185">
            <v>2</v>
          </cell>
          <cell r="DN185">
            <v>45847</v>
          </cell>
          <cell r="DP185">
            <v>45842</v>
          </cell>
          <cell r="DQ185">
            <v>45845</v>
          </cell>
          <cell r="DR185"/>
          <cell r="DS185"/>
          <cell r="DT185"/>
          <cell r="DU185">
            <v>45846</v>
          </cell>
          <cell r="DW185"/>
          <cell r="DX185"/>
          <cell r="DY185"/>
          <cell r="DZ185"/>
          <cell r="EA185"/>
          <cell r="EB185"/>
          <cell r="EC185" t="str">
            <v>งานเคลือบ+ตัด</v>
          </cell>
          <cell r="ED185"/>
          <cell r="EG185"/>
          <cell r="EH185"/>
          <cell r="EI185"/>
        </row>
        <row r="186">
          <cell r="B186" t="str">
            <v>MK68-000817</v>
          </cell>
          <cell r="C186">
            <v>45832</v>
          </cell>
          <cell r="E186" t="str">
            <v>บจก.ที.ซี.ยูเนี่ยน อโกรเทค</v>
          </cell>
          <cell r="F186" t="str">
            <v>Zhejiang UN</v>
          </cell>
          <cell r="G186">
            <v>26</v>
          </cell>
          <cell r="H186">
            <v>43</v>
          </cell>
          <cell r="I186" t="str">
            <v>ขาว</v>
          </cell>
          <cell r="J186" t="str">
            <v>ใส</v>
          </cell>
          <cell r="L186">
            <v>150</v>
          </cell>
          <cell r="M186" t="str">
            <v>±</v>
          </cell>
          <cell r="N186">
            <v>5</v>
          </cell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45852</v>
          </cell>
          <cell r="Z186" t="str">
            <v xml:space="preserve">300กระสอบแบนเต็มใบ </v>
          </cell>
          <cell r="AA186">
            <v>1500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1500</v>
          </cell>
          <cell r="AM186">
            <v>0</v>
          </cell>
          <cell r="AN186">
            <v>1575</v>
          </cell>
          <cell r="AO186" t="str">
            <v>WSWT2625850SM</v>
          </cell>
          <cell r="AQ186">
            <v>1864.9949999999999</v>
          </cell>
          <cell r="AR186">
            <v>0</v>
          </cell>
          <cell r="AS186">
            <v>1864.9949999999999</v>
          </cell>
          <cell r="AT186">
            <v>0</v>
          </cell>
          <cell r="AU186">
            <v>1864.9949999999999</v>
          </cell>
          <cell r="BZ186" t="str">
            <v>WRWT25850/WRWT25850</v>
          </cell>
          <cell r="CA186">
            <v>192.34315100000001</v>
          </cell>
          <cell r="DL186" t="str">
            <v>P6</v>
          </cell>
          <cell r="DM186">
            <v>4</v>
          </cell>
          <cell r="DN186">
            <v>45852</v>
          </cell>
          <cell r="DP186">
            <v>45847</v>
          </cell>
          <cell r="DQ186">
            <v>45848</v>
          </cell>
          <cell r="DR186">
            <v>45841</v>
          </cell>
          <cell r="DS186">
            <v>45849</v>
          </cell>
          <cell r="DT186">
            <v>45850</v>
          </cell>
          <cell r="DU186">
            <v>45851</v>
          </cell>
          <cell r="DW186"/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MK68-000818</v>
          </cell>
          <cell r="C187">
            <v>45832</v>
          </cell>
          <cell r="E187" t="str">
            <v>บจก.ที.ซี.ยูเนี่ยน อโกรเทค</v>
          </cell>
          <cell r="F187" t="str">
            <v>Zhejiang UN</v>
          </cell>
          <cell r="G187">
            <v>26</v>
          </cell>
          <cell r="H187">
            <v>43</v>
          </cell>
          <cell r="I187" t="str">
            <v>ขาว</v>
          </cell>
          <cell r="J187" t="str">
            <v>ใส</v>
          </cell>
          <cell r="L187">
            <v>150</v>
          </cell>
          <cell r="M187" t="str">
            <v>±</v>
          </cell>
          <cell r="N187">
            <v>5</v>
          </cell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45852</v>
          </cell>
          <cell r="Z187" t="str">
            <v xml:space="preserve">300กระสอบแบนเต็มใบ </v>
          </cell>
          <cell r="AA187">
            <v>30000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30000</v>
          </cell>
          <cell r="AM187"/>
          <cell r="AN187">
            <v>31500</v>
          </cell>
          <cell r="AO187" t="str">
            <v>WSWT2625850SM</v>
          </cell>
          <cell r="AQ187">
            <v>37299.899999999994</v>
          </cell>
          <cell r="AR187">
            <v>0</v>
          </cell>
          <cell r="AS187">
            <v>37299.899999999994</v>
          </cell>
          <cell r="AT187">
            <v>0</v>
          </cell>
          <cell r="AU187">
            <v>37299.899999999994</v>
          </cell>
          <cell r="BZ187" t="str">
            <v>WRWT25850/WRWT25850</v>
          </cell>
          <cell r="CA187">
            <v>3846.8630200000002</v>
          </cell>
          <cell r="DL187" t="str">
            <v>P6</v>
          </cell>
          <cell r="DM187">
            <v>4</v>
          </cell>
          <cell r="DN187">
            <v>45852</v>
          </cell>
          <cell r="DP187">
            <v>45847</v>
          </cell>
          <cell r="DQ187">
            <v>45848</v>
          </cell>
          <cell r="DR187">
            <v>45841</v>
          </cell>
          <cell r="DS187">
            <v>45849</v>
          </cell>
          <cell r="DT187">
            <v>45850</v>
          </cell>
          <cell r="DU187">
            <v>45851</v>
          </cell>
          <cell r="DW187"/>
          <cell r="DX187"/>
          <cell r="DY187"/>
          <cell r="DZ187"/>
          <cell r="EA187"/>
          <cell r="EB187"/>
          <cell r="EC187" t="str">
            <v>งานเคลือบ+พิมพ์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MK68-000819</v>
          </cell>
          <cell r="C188">
            <v>45832</v>
          </cell>
          <cell r="E188" t="str">
            <v>บจก.ที.ซี.ยูเนี่ยน อโกรเทค</v>
          </cell>
          <cell r="F188" t="str">
            <v>Zhejiang UN</v>
          </cell>
          <cell r="G188">
            <v>26</v>
          </cell>
          <cell r="H188">
            <v>43</v>
          </cell>
          <cell r="I188" t="str">
            <v>ขาว</v>
          </cell>
          <cell r="J188" t="str">
            <v>ใส</v>
          </cell>
          <cell r="L188">
            <v>150</v>
          </cell>
          <cell r="M188" t="str">
            <v>±</v>
          </cell>
          <cell r="N188">
            <v>5</v>
          </cell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45863</v>
          </cell>
          <cell r="Z188" t="str">
            <v xml:space="preserve">300กระสอบแบนเต็มใบ </v>
          </cell>
          <cell r="AA188">
            <v>30000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30000</v>
          </cell>
          <cell r="AM188"/>
          <cell r="AN188">
            <v>31500</v>
          </cell>
          <cell r="AO188" t="str">
            <v>WSWT2625850SM</v>
          </cell>
          <cell r="AQ188">
            <v>37299.899999999994</v>
          </cell>
          <cell r="AR188">
            <v>0</v>
          </cell>
          <cell r="AS188">
            <v>37299.899999999994</v>
          </cell>
          <cell r="AT188">
            <v>0</v>
          </cell>
          <cell r="AU188">
            <v>37299.899999999994</v>
          </cell>
          <cell r="BZ188" t="str">
            <v>WRWT25850/WRWT25850</v>
          </cell>
          <cell r="CA188">
            <v>3846.8630200000002</v>
          </cell>
          <cell r="DL188" t="str">
            <v>P6</v>
          </cell>
          <cell r="DM188">
            <v>4</v>
          </cell>
          <cell r="DN188">
            <v>45863</v>
          </cell>
          <cell r="DP188">
            <v>45858</v>
          </cell>
          <cell r="DQ188">
            <v>45859</v>
          </cell>
          <cell r="DR188">
            <v>45852</v>
          </cell>
          <cell r="DS188">
            <v>45860</v>
          </cell>
          <cell r="DT188">
            <v>45861</v>
          </cell>
          <cell r="DU188">
            <v>45862</v>
          </cell>
          <cell r="DW188"/>
          <cell r="DX188"/>
          <cell r="DY188"/>
          <cell r="DZ188"/>
          <cell r="EA188"/>
          <cell r="EB188"/>
          <cell r="EC188" t="str">
            <v>งานเคลือบ+พิมพ์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ประมาณการ</v>
          </cell>
          <cell r="C189" t="str">
            <v>ประมาณการ</v>
          </cell>
          <cell r="E189" t="str">
            <v>บจก.ที.ซี.ยูเนี่ยน อโกรเทค</v>
          </cell>
          <cell r="F189" t="str">
            <v>รอแบบ</v>
          </cell>
          <cell r="G189">
            <v>26</v>
          </cell>
          <cell r="H189">
            <v>43</v>
          </cell>
          <cell r="I189" t="str">
            <v>ขาว</v>
          </cell>
          <cell r="J189" t="str">
            <v>ใส</v>
          </cell>
          <cell r="L189">
            <v>150</v>
          </cell>
          <cell r="M189" t="str">
            <v>±</v>
          </cell>
          <cell r="N189">
            <v>5</v>
          </cell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45868</v>
          </cell>
          <cell r="Z189" t="str">
            <v xml:space="preserve">300กระสอบแบนเต็มใบ </v>
          </cell>
          <cell r="AA189">
            <v>20000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20000</v>
          </cell>
          <cell r="AM189"/>
          <cell r="AN189">
            <v>21000</v>
          </cell>
          <cell r="AO189" t="str">
            <v>WSWT2625850SM</v>
          </cell>
          <cell r="AQ189">
            <v>24866.6</v>
          </cell>
          <cell r="AR189">
            <v>0</v>
          </cell>
          <cell r="AS189">
            <v>24866.6</v>
          </cell>
          <cell r="AT189">
            <v>0</v>
          </cell>
          <cell r="AU189">
            <v>24866.6</v>
          </cell>
          <cell r="BZ189" t="str">
            <v>WRWT25850/WRWT25850</v>
          </cell>
          <cell r="CA189">
            <v>2564.5753466666665</v>
          </cell>
          <cell r="DL189" t="str">
            <v>P6</v>
          </cell>
          <cell r="DM189">
            <v>4</v>
          </cell>
          <cell r="DN189">
            <v>45868</v>
          </cell>
          <cell r="DP189">
            <v>45863</v>
          </cell>
          <cell r="DQ189">
            <v>45864</v>
          </cell>
          <cell r="DR189">
            <v>45857</v>
          </cell>
          <cell r="DS189">
            <v>45865</v>
          </cell>
          <cell r="DT189">
            <v>45866</v>
          </cell>
          <cell r="DU189">
            <v>45867</v>
          </cell>
          <cell r="DW189"/>
          <cell r="DX189"/>
          <cell r="DY189"/>
          <cell r="DZ189"/>
          <cell r="EA189"/>
          <cell r="EB189"/>
          <cell r="EC189" t="str">
            <v>งานเคลือบ+พิมพ์</v>
          </cell>
          <cell r="ED189"/>
          <cell r="EG189"/>
          <cell r="EH189"/>
          <cell r="EI189"/>
        </row>
        <row r="190">
          <cell r="B190" t="str">
            <v>MK68-000820</v>
          </cell>
          <cell r="C190">
            <v>45832</v>
          </cell>
          <cell r="E190" t="str">
            <v>บจก.ที.ซี.ยูเนี่ยน อโกรเทค</v>
          </cell>
          <cell r="F190" t="str">
            <v>Zhejiang UN</v>
          </cell>
          <cell r="G190">
            <v>26</v>
          </cell>
          <cell r="H190">
            <v>43</v>
          </cell>
          <cell r="I190" t="str">
            <v>ขาว</v>
          </cell>
          <cell r="J190" t="str">
            <v>ใส</v>
          </cell>
          <cell r="L190">
            <v>150</v>
          </cell>
          <cell r="M190" t="str">
            <v>±</v>
          </cell>
          <cell r="N190">
            <v>5</v>
          </cell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45883</v>
          </cell>
          <cell r="Z190" t="str">
            <v xml:space="preserve">300กระสอบแบนเต็มใบ </v>
          </cell>
          <cell r="AA190">
            <v>20000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20000</v>
          </cell>
          <cell r="AM190"/>
          <cell r="AN190">
            <v>21000</v>
          </cell>
          <cell r="AO190" t="str">
            <v>WSWT2625850SM</v>
          </cell>
          <cell r="AQ190">
            <v>24866.6</v>
          </cell>
          <cell r="AR190">
            <v>0</v>
          </cell>
          <cell r="AS190">
            <v>24866.6</v>
          </cell>
          <cell r="AT190">
            <v>0</v>
          </cell>
          <cell r="AU190">
            <v>24866.6</v>
          </cell>
          <cell r="BZ190" t="str">
            <v>WRWT25850/WRWT25850</v>
          </cell>
          <cell r="CA190">
            <v>2564.5753466666665</v>
          </cell>
          <cell r="DL190" t="str">
            <v>P6</v>
          </cell>
          <cell r="DM190">
            <v>4</v>
          </cell>
          <cell r="DN190">
            <v>45883</v>
          </cell>
          <cell r="DP190">
            <v>45878</v>
          </cell>
          <cell r="DQ190">
            <v>45879</v>
          </cell>
          <cell r="DR190">
            <v>45872</v>
          </cell>
          <cell r="DS190">
            <v>45880</v>
          </cell>
          <cell r="DT190">
            <v>45881</v>
          </cell>
          <cell r="DU190">
            <v>45882</v>
          </cell>
          <cell r="DW190"/>
          <cell r="DX190"/>
          <cell r="DY190"/>
          <cell r="DZ190"/>
          <cell r="EA190"/>
          <cell r="EB190"/>
          <cell r="EC190" t="str">
            <v>งานเคลือบ+พิมพ์</v>
          </cell>
          <cell r="ED190" t="str">
            <v xml:space="preserve"> /</v>
          </cell>
          <cell r="EG190"/>
          <cell r="EH190"/>
          <cell r="EI190"/>
        </row>
        <row r="191">
          <cell r="B191">
            <v>0</v>
          </cell>
          <cell r="C191"/>
          <cell r="E191"/>
          <cell r="F191"/>
          <cell r="G191">
            <v>26</v>
          </cell>
          <cell r="H191">
            <v>43</v>
          </cell>
          <cell r="I191"/>
          <cell r="J191"/>
          <cell r="L191">
            <v>120</v>
          </cell>
          <cell r="M191" t="str">
            <v>±</v>
          </cell>
          <cell r="N191">
            <v>5</v>
          </cell>
          <cell r="R191"/>
          <cell r="T191"/>
          <cell r="U191"/>
          <cell r="V191"/>
          <cell r="X191"/>
          <cell r="Z191"/>
          <cell r="AA191"/>
          <cell r="AB191"/>
          <cell r="AC191">
            <v>0</v>
          </cell>
          <cell r="AD191"/>
          <cell r="AG191"/>
          <cell r="AI191" t="str">
            <v>ระบุในSD</v>
          </cell>
          <cell r="AJ191"/>
          <cell r="AL191">
            <v>0</v>
          </cell>
          <cell r="AM191"/>
          <cell r="AN191">
            <v>0</v>
          </cell>
          <cell r="AO191" t="str">
            <v>WSWT2625850SM</v>
          </cell>
          <cell r="AQ191">
            <v>144847.94499999998</v>
          </cell>
          <cell r="AR191">
            <v>9788</v>
          </cell>
          <cell r="AS191">
            <v>135059.94499999998</v>
          </cell>
          <cell r="AT191">
            <v>0</v>
          </cell>
          <cell r="AU191">
            <v>144847.94499999998</v>
          </cell>
          <cell r="BZ191" t="str">
            <v>WRWT260850/WRWT25850</v>
          </cell>
          <cell r="CA191">
            <v>0</v>
          </cell>
          <cell r="DL191"/>
          <cell r="DM191" t="str">
            <v>Lead time</v>
          </cell>
          <cell r="DN191"/>
          <cell r="DP191"/>
          <cell r="DQ191"/>
          <cell r="DR191"/>
          <cell r="DS191"/>
          <cell r="DT191"/>
          <cell r="DU191"/>
          <cell r="DW191"/>
          <cell r="DX191"/>
          <cell r="DY191"/>
          <cell r="DZ191"/>
          <cell r="EA191"/>
          <cell r="EB191"/>
          <cell r="EC191"/>
          <cell r="ED191"/>
          <cell r="EG191"/>
          <cell r="EH191">
            <v>0</v>
          </cell>
          <cell r="EI191">
            <v>0</v>
          </cell>
        </row>
        <row r="192">
          <cell r="B192">
            <v>0</v>
          </cell>
          <cell r="C192"/>
          <cell r="E192"/>
          <cell r="F192"/>
          <cell r="G192">
            <v>28</v>
          </cell>
          <cell r="H192">
            <v>41</v>
          </cell>
          <cell r="I192" t="str">
            <v>ขาว</v>
          </cell>
          <cell r="J192"/>
          <cell r="L192">
            <v>122</v>
          </cell>
          <cell r="M192" t="str">
            <v>+</v>
          </cell>
          <cell r="N192">
            <v>3</v>
          </cell>
          <cell r="R192"/>
          <cell r="T192"/>
          <cell r="U192"/>
          <cell r="V192"/>
          <cell r="X192"/>
          <cell r="Z192"/>
          <cell r="AA192"/>
          <cell r="AB192">
            <v>0</v>
          </cell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WSWT2825800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BZ192" t="str">
            <v>WRWT25850/WRWT25800</v>
          </cell>
          <cell r="CA192">
            <v>0</v>
          </cell>
          <cell r="DL192"/>
          <cell r="DM192" t="str">
            <v>Lead time</v>
          </cell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/>
          <cell r="EI192">
            <v>0</v>
          </cell>
        </row>
        <row r="193">
          <cell r="B193" t="str">
            <v>ประมาณการ</v>
          </cell>
          <cell r="C193" t="str">
            <v>ประมาณการ</v>
          </cell>
          <cell r="E193" t="str">
            <v>บจก.ที.ซี.ยูเนี่ยน อโกรเทค</v>
          </cell>
          <cell r="F193" t="str">
            <v>ไม่พิมพ์</v>
          </cell>
          <cell r="G193">
            <v>28</v>
          </cell>
          <cell r="H193">
            <v>47</v>
          </cell>
          <cell r="I193" t="str">
            <v>ขาว</v>
          </cell>
          <cell r="J193" t="str">
            <v>ใส</v>
          </cell>
          <cell r="L193">
            <v>180</v>
          </cell>
          <cell r="M193" t="str">
            <v>±</v>
          </cell>
          <cell r="N193">
            <v>5</v>
          </cell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45868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0</v>
          </cell>
          <cell r="AO193" t="str">
            <v>WSWT2825850</v>
          </cell>
          <cell r="AQ193">
            <v>6775.4500000000007</v>
          </cell>
          <cell r="AR193">
            <v>6775.4500000000007</v>
          </cell>
          <cell r="AS193">
            <v>0</v>
          </cell>
          <cell r="AT193">
            <v>0</v>
          </cell>
          <cell r="AU193">
            <v>6775.4500000000007</v>
          </cell>
          <cell r="BZ193" t="str">
            <v>WRWT25850/WRWT25850</v>
          </cell>
          <cell r="CA193">
            <v>0</v>
          </cell>
          <cell r="DL193" t="str">
            <v>P11</v>
          </cell>
          <cell r="DM193">
            <v>2</v>
          </cell>
          <cell r="DN193">
            <v>45868</v>
          </cell>
          <cell r="DP193">
            <v>45863</v>
          </cell>
          <cell r="DQ193">
            <v>45866</v>
          </cell>
          <cell r="DR193"/>
          <cell r="DS193"/>
          <cell r="DT193"/>
          <cell r="DU193">
            <v>45867</v>
          </cell>
          <cell r="DW193"/>
          <cell r="DX193"/>
          <cell r="DY193"/>
          <cell r="DZ193"/>
          <cell r="EA193"/>
          <cell r="EB193"/>
          <cell r="EC193" t="str">
            <v>งานเคลือบ+ตัด</v>
          </cell>
          <cell r="ED193"/>
          <cell r="EG193"/>
          <cell r="EH193"/>
          <cell r="EI193"/>
        </row>
        <row r="194">
          <cell r="B194" t="str">
            <v>ประมาณการ</v>
          </cell>
          <cell r="C194" t="str">
            <v>ประมาณการ</v>
          </cell>
          <cell r="E194" t="str">
            <v>บจก.ไทยร่วมใจน้ำมันพืช</v>
          </cell>
          <cell r="F194" t="str">
            <v>TRJ</v>
          </cell>
          <cell r="G194">
            <v>28</v>
          </cell>
          <cell r="H194">
            <v>41</v>
          </cell>
          <cell r="I194" t="str">
            <v>ขาว</v>
          </cell>
          <cell r="J194"/>
          <cell r="L194">
            <v>120</v>
          </cell>
          <cell r="M194" t="str">
            <v>+</v>
          </cell>
          <cell r="N194">
            <v>3</v>
          </cell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45868</v>
          </cell>
          <cell r="Z194" t="str">
            <v>500กระสอบ</v>
          </cell>
          <cell r="AA194">
            <v>50000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50000</v>
          </cell>
          <cell r="AM194"/>
          <cell r="AN194">
            <v>52500</v>
          </cell>
          <cell r="AO194" t="str">
            <v>WSWT2825850</v>
          </cell>
          <cell r="AQ194">
            <v>59372.5</v>
          </cell>
          <cell r="AR194">
            <v>4500</v>
          </cell>
          <cell r="AS194">
            <v>54872.5</v>
          </cell>
          <cell r="AT194">
            <v>0</v>
          </cell>
          <cell r="AU194">
            <v>0</v>
          </cell>
          <cell r="BZ194" t="str">
            <v>WRWT25850/WRWT25850</v>
          </cell>
          <cell r="CA194">
            <v>6167.0593055555564</v>
          </cell>
          <cell r="DL194" t="str">
            <v>P7</v>
          </cell>
          <cell r="DM194">
            <v>2</v>
          </cell>
          <cell r="DN194">
            <v>45868</v>
          </cell>
          <cell r="DP194">
            <v>45863</v>
          </cell>
          <cell r="DQ194"/>
          <cell r="DR194">
            <v>45859</v>
          </cell>
          <cell r="DS194">
            <v>45866</v>
          </cell>
          <cell r="DT194">
            <v>45867</v>
          </cell>
          <cell r="DU194">
            <v>45867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/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28</v>
          </cell>
          <cell r="H195">
            <v>43</v>
          </cell>
          <cell r="I195"/>
          <cell r="J195"/>
          <cell r="L195">
            <v>130</v>
          </cell>
          <cell r="M195" t="str">
            <v>±</v>
          </cell>
          <cell r="N195">
            <v>3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WSWT2825850</v>
          </cell>
          <cell r="AQ195">
            <v>66147.95</v>
          </cell>
          <cell r="AR195">
            <v>11275.45</v>
          </cell>
          <cell r="AS195">
            <v>54872.5</v>
          </cell>
          <cell r="AT195">
            <v>0</v>
          </cell>
          <cell r="AU195">
            <v>6775.4500000000007</v>
          </cell>
          <cell r="BZ195" t="str">
            <v>WRWT280850/WRWT25850</v>
          </cell>
          <cell r="CA195">
            <v>0</v>
          </cell>
          <cell r="DL195"/>
          <cell r="DM195"/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/>
        </row>
        <row r="196">
          <cell r="B196">
            <v>0</v>
          </cell>
          <cell r="C196"/>
          <cell r="E196"/>
          <cell r="F196"/>
          <cell r="G196">
            <v>30</v>
          </cell>
          <cell r="H196">
            <v>41</v>
          </cell>
          <cell r="I196"/>
          <cell r="J196"/>
          <cell r="L196">
            <v>122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>
            <v>0</v>
          </cell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WSWT3025800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WRWT25800/WRWT28750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/>
          <cell r="EI196">
            <v>0</v>
          </cell>
        </row>
        <row r="197">
          <cell r="B197"/>
          <cell r="C197"/>
          <cell r="E197"/>
          <cell r="F197"/>
          <cell r="G197"/>
          <cell r="H197"/>
          <cell r="I197"/>
          <cell r="J197"/>
          <cell r="L197"/>
          <cell r="M197"/>
          <cell r="N197"/>
          <cell r="R197"/>
          <cell r="T197"/>
          <cell r="U197"/>
          <cell r="V197"/>
          <cell r="X197" t="str">
            <v>ค้างส่งทั้งหมด</v>
          </cell>
          <cell r="Z197"/>
          <cell r="AA197">
            <v>3444456</v>
          </cell>
          <cell r="AB197"/>
          <cell r="AC197"/>
          <cell r="AD197"/>
          <cell r="AG197"/>
          <cell r="AI197"/>
          <cell r="AJ197">
            <v>464419</v>
          </cell>
          <cell r="AL197"/>
          <cell r="AM197"/>
          <cell r="AN197"/>
          <cell r="AO197"/>
          <cell r="AQ197" t="e">
            <v>#REF!</v>
          </cell>
          <cell r="AR197" t="e">
            <v>#REF!</v>
          </cell>
          <cell r="AS197" t="e">
            <v>#REF!</v>
          </cell>
          <cell r="AT197"/>
          <cell r="AU197"/>
          <cell r="BZ197"/>
          <cell r="CA197">
            <v>213207.98739760806</v>
          </cell>
          <cell r="DL197"/>
          <cell r="DM197" t="str">
            <v>Lead time</v>
          </cell>
          <cell r="DN197"/>
          <cell r="DP197">
            <v>-5</v>
          </cell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/>
        </row>
        <row r="198">
          <cell r="B198"/>
          <cell r="C198"/>
          <cell r="E198"/>
          <cell r="F198"/>
          <cell r="G198"/>
          <cell r="H198"/>
          <cell r="I198"/>
          <cell r="J198"/>
          <cell r="L198"/>
          <cell r="M198"/>
          <cell r="N198"/>
          <cell r="R198"/>
          <cell r="T198"/>
          <cell r="U198"/>
          <cell r="V198"/>
          <cell r="X198"/>
          <cell r="Z198">
            <v>140000</v>
          </cell>
          <cell r="AA198">
            <v>24.603257142857142</v>
          </cell>
          <cell r="AB198"/>
          <cell r="AC198"/>
          <cell r="AD198"/>
          <cell r="AG198"/>
          <cell r="AI198"/>
          <cell r="AJ198"/>
          <cell r="AL198">
            <v>0</v>
          </cell>
          <cell r="AM198"/>
          <cell r="AN198">
            <v>0</v>
          </cell>
          <cell r="AO198"/>
          <cell r="AQ198" t="e">
            <v>#REF!</v>
          </cell>
          <cell r="AR198"/>
          <cell r="AS198" t="e">
            <v>#REF!</v>
          </cell>
          <cell r="AT198"/>
          <cell r="AU198"/>
          <cell r="BZ198"/>
          <cell r="CA198" t="str">
            <v>ห้ามลบ</v>
          </cell>
          <cell r="DL198" t="str">
            <v>P1</v>
          </cell>
          <cell r="DM198">
            <v>2</v>
          </cell>
          <cell r="DN198">
            <v>0</v>
          </cell>
          <cell r="DP198">
            <v>-5</v>
          </cell>
          <cell r="DQ198"/>
          <cell r="DR198">
            <v>-9</v>
          </cell>
          <cell r="DS198">
            <v>-2</v>
          </cell>
          <cell r="DT198"/>
          <cell r="DU198">
            <v>-1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>รอART</v>
          </cell>
          <cell r="EG198"/>
          <cell r="EH198"/>
          <cell r="EI198"/>
        </row>
        <row r="199">
          <cell r="B199"/>
          <cell r="C199"/>
          <cell r="E199"/>
          <cell r="F199"/>
          <cell r="G199"/>
          <cell r="H199"/>
          <cell r="I199"/>
          <cell r="J199"/>
          <cell r="L199"/>
          <cell r="M199"/>
          <cell r="N199"/>
          <cell r="R199"/>
          <cell r="T199"/>
          <cell r="U199"/>
          <cell r="V199"/>
          <cell r="X199" t="str">
            <v>ประมาณการ</v>
          </cell>
          <cell r="Z199"/>
          <cell r="AA199">
            <v>1665000</v>
          </cell>
          <cell r="AB199"/>
          <cell r="AC199"/>
          <cell r="AD199"/>
          <cell r="AG199"/>
          <cell r="AI199"/>
          <cell r="AJ199"/>
          <cell r="AL199"/>
          <cell r="AM199"/>
          <cell r="AN199"/>
          <cell r="AO199"/>
          <cell r="AQ199"/>
          <cell r="AR199"/>
          <cell r="AS199">
            <v>0</v>
          </cell>
          <cell r="AT199"/>
          <cell r="AU199"/>
          <cell r="BZ199"/>
          <cell r="CA199"/>
          <cell r="DL199" t="str">
            <v>P3</v>
          </cell>
          <cell r="DM199">
            <v>1</v>
          </cell>
          <cell r="DN199" t="str">
            <v>ประมาณการ</v>
          </cell>
          <cell r="DP199" t="e">
            <v>#VALUE!</v>
          </cell>
          <cell r="DQ199"/>
          <cell r="DR199"/>
          <cell r="DS199"/>
          <cell r="DT199"/>
          <cell r="DU199" t="e">
            <v>#VALUE!</v>
          </cell>
          <cell r="DW199"/>
          <cell r="DX199"/>
          <cell r="DY199"/>
          <cell r="DZ199"/>
          <cell r="EA199"/>
          <cell r="EB199"/>
          <cell r="EC199" t="str">
            <v>ตัด</v>
          </cell>
          <cell r="ED199"/>
          <cell r="EG199"/>
          <cell r="EH199"/>
          <cell r="EI199"/>
        </row>
        <row r="200">
          <cell r="B200"/>
          <cell r="C200"/>
          <cell r="E200"/>
          <cell r="F200"/>
          <cell r="G200"/>
          <cell r="H200"/>
          <cell r="I200"/>
          <cell r="J200"/>
          <cell r="L200"/>
          <cell r="M200"/>
          <cell r="N200"/>
          <cell r="R200"/>
          <cell r="T200"/>
          <cell r="U200"/>
          <cell r="V200"/>
          <cell r="X200" t="str">
            <v>รอแจ้ง</v>
          </cell>
          <cell r="Z200"/>
          <cell r="AA200">
            <v>545622</v>
          </cell>
          <cell r="AB200"/>
          <cell r="AC200"/>
          <cell r="AD200"/>
          <cell r="AG200"/>
          <cell r="AI200"/>
          <cell r="AJ200"/>
          <cell r="AL200"/>
          <cell r="AM200"/>
          <cell r="AN200"/>
          <cell r="AO200"/>
          <cell r="AQ200"/>
          <cell r="AR200"/>
          <cell r="AS200">
            <v>551764.79182000004</v>
          </cell>
          <cell r="AT200"/>
          <cell r="AU200"/>
          <cell r="BZ200"/>
          <cell r="CA200"/>
          <cell r="DL200" t="str">
            <v>P2</v>
          </cell>
          <cell r="DM200">
            <v>3</v>
          </cell>
          <cell r="DN200" t="str">
            <v>รอแจ้ง</v>
          </cell>
          <cell r="DP200" t="e">
            <v>#VALUE!</v>
          </cell>
          <cell r="DQ200" t="e">
            <v>#VALUE!</v>
          </cell>
          <cell r="DR200" t="e">
            <v>#VALUE!</v>
          </cell>
          <cell r="DS200" t="e">
            <v>#VALUE!</v>
          </cell>
          <cell r="DT200"/>
          <cell r="DU200" t="e">
            <v>#VALUE!</v>
          </cell>
          <cell r="DW200"/>
          <cell r="DX200"/>
          <cell r="DY200"/>
          <cell r="DZ200"/>
          <cell r="EA200"/>
          <cell r="EB200"/>
          <cell r="EC200" t="str">
            <v>งานเคลือบ+พิมพ์</v>
          </cell>
          <cell r="ED200"/>
          <cell r="EG200"/>
          <cell r="EH200"/>
          <cell r="EI200"/>
        </row>
        <row r="201">
          <cell r="B201"/>
          <cell r="C201"/>
          <cell r="E201"/>
          <cell r="F201"/>
          <cell r="G201"/>
          <cell r="H201"/>
          <cell r="I201"/>
          <cell r="J201"/>
          <cell r="L201"/>
          <cell r="M201"/>
          <cell r="N201"/>
          <cell r="R201"/>
          <cell r="T201"/>
          <cell r="U201"/>
          <cell r="V201"/>
          <cell r="X201" t="str">
            <v>รอส่ง</v>
          </cell>
          <cell r="Z201"/>
          <cell r="AA201">
            <v>269700</v>
          </cell>
          <cell r="AB201"/>
          <cell r="AC201"/>
          <cell r="AD201"/>
          <cell r="AG201"/>
          <cell r="AI201"/>
          <cell r="AJ201"/>
          <cell r="AL201"/>
          <cell r="AM201"/>
          <cell r="AN201"/>
          <cell r="AO201"/>
          <cell r="AQ201"/>
          <cell r="AR201"/>
          <cell r="AS201">
            <v>0</v>
          </cell>
          <cell r="AT201"/>
          <cell r="AU201"/>
          <cell r="BZ201"/>
          <cell r="CA201"/>
          <cell r="DL201" t="str">
            <v>P6</v>
          </cell>
          <cell r="DM201">
            <v>4</v>
          </cell>
          <cell r="DN201" t="str">
            <v>รอส่ง</v>
          </cell>
          <cell r="DP201" t="e">
            <v>#VALUE!</v>
          </cell>
          <cell r="DQ201" t="e">
            <v>#VALUE!</v>
          </cell>
          <cell r="DR201" t="e">
            <v>#VALUE!</v>
          </cell>
          <cell r="DS201" t="e">
            <v>#VALUE!</v>
          </cell>
          <cell r="DT201" t="e">
            <v>#VALUE!</v>
          </cell>
          <cell r="DU201" t="e">
            <v>#VALUE!</v>
          </cell>
          <cell r="DW201"/>
          <cell r="DX201"/>
          <cell r="DY201"/>
          <cell r="DZ201"/>
          <cell r="EA201"/>
          <cell r="EB201"/>
          <cell r="EC201" t="str">
            <v>งานเคลือบ+พิมพ์</v>
          </cell>
          <cell r="ED201"/>
          <cell r="EG201"/>
          <cell r="EH201"/>
          <cell r="EI201"/>
        </row>
        <row r="202">
          <cell r="B202"/>
          <cell r="C202"/>
          <cell r="E202"/>
          <cell r="F202"/>
          <cell r="G202"/>
          <cell r="H202"/>
          <cell r="I202"/>
          <cell r="J202"/>
          <cell r="L202"/>
          <cell r="M202"/>
          <cell r="N202"/>
          <cell r="R202"/>
          <cell r="T202"/>
          <cell r="U202"/>
          <cell r="V202"/>
          <cell r="X202" t="str">
            <v>มีกำหนดส่ง</v>
          </cell>
          <cell r="Z202"/>
          <cell r="AA202">
            <v>964134</v>
          </cell>
          <cell r="AB202"/>
          <cell r="AC202"/>
          <cell r="AD202"/>
          <cell r="AG202"/>
          <cell r="AI202"/>
          <cell r="AJ202"/>
          <cell r="AL202"/>
          <cell r="AM202"/>
          <cell r="AN202"/>
          <cell r="AO202"/>
          <cell r="AQ202"/>
          <cell r="AR202"/>
          <cell r="AS202" t="e">
            <v>#REF!</v>
          </cell>
          <cell r="AT202" t="e">
            <v>#REF!</v>
          </cell>
          <cell r="AU202"/>
          <cell r="BZ202"/>
          <cell r="CA202"/>
          <cell r="DL202" t="str">
            <v>P11</v>
          </cell>
          <cell r="DM202">
            <v>2</v>
          </cell>
          <cell r="DN202" t="str">
            <v>มีกำหนดส่ง</v>
          </cell>
          <cell r="DP202" t="e">
            <v>#VALUE!</v>
          </cell>
          <cell r="DQ202" t="e">
            <v>#VALUE!</v>
          </cell>
          <cell r="DR202"/>
          <cell r="DS202"/>
          <cell r="DT202"/>
          <cell r="DU202" t="e">
            <v>#VALUE!</v>
          </cell>
          <cell r="DW202"/>
          <cell r="DX202"/>
          <cell r="DY202"/>
          <cell r="DZ202"/>
          <cell r="EA202"/>
          <cell r="EB202"/>
          <cell r="EC202" t="str">
            <v>งานเคลือบ+ตัด</v>
          </cell>
          <cell r="ED202"/>
          <cell r="EG202"/>
          <cell r="EH202"/>
          <cell r="EI202"/>
        </row>
        <row r="203">
          <cell r="B203"/>
          <cell r="C203"/>
          <cell r="E203" t="str">
            <v>ผู้สั่งผลิต..................................................</v>
          </cell>
          <cell r="F203"/>
          <cell r="G203"/>
          <cell r="H203"/>
          <cell r="I203" t="str">
            <v xml:space="preserve"> </v>
          </cell>
          <cell r="J203"/>
          <cell r="L203"/>
          <cell r="M203" t="str">
            <v xml:space="preserve"> </v>
          </cell>
          <cell r="N203"/>
          <cell r="R203"/>
          <cell r="T203"/>
          <cell r="U203"/>
          <cell r="V203"/>
          <cell r="X203"/>
          <cell r="Z203"/>
          <cell r="AA203"/>
          <cell r="AB203"/>
          <cell r="AC203"/>
          <cell r="AD203"/>
          <cell r="AG203"/>
          <cell r="AI203"/>
          <cell r="AJ203"/>
          <cell r="AL203"/>
          <cell r="AM203"/>
          <cell r="AN203"/>
          <cell r="AO203"/>
          <cell r="AQ203"/>
          <cell r="AR203"/>
          <cell r="AS203"/>
          <cell r="AT203"/>
          <cell r="AU203"/>
          <cell r="BZ203"/>
          <cell r="CA203"/>
          <cell r="DL203" t="str">
            <v>P9</v>
          </cell>
          <cell r="DM203">
            <v>3</v>
          </cell>
          <cell r="DN203">
            <v>0</v>
          </cell>
          <cell r="DP203">
            <v>-5</v>
          </cell>
          <cell r="DQ203"/>
          <cell r="DR203">
            <v>-10</v>
          </cell>
          <cell r="DS203">
            <v>-3</v>
          </cell>
          <cell r="DT203">
            <v>-2</v>
          </cell>
          <cell r="DU203">
            <v>-1</v>
          </cell>
          <cell r="DW203">
            <v>0</v>
          </cell>
          <cell r="DX203"/>
          <cell r="DY203"/>
          <cell r="DZ203"/>
          <cell r="EA203"/>
          <cell r="EB203"/>
          <cell r="EC203" t="str">
            <v>งานพิมพ์</v>
          </cell>
          <cell r="ED203"/>
          <cell r="EG203"/>
          <cell r="EH203"/>
          <cell r="EI203"/>
        </row>
        <row r="204">
          <cell r="B204"/>
          <cell r="C204"/>
          <cell r="E204" t="str">
            <v>เจ้าหน้าที่วางแผนการผลิต</v>
          </cell>
          <cell r="F204"/>
          <cell r="G204"/>
          <cell r="H204"/>
          <cell r="I204"/>
          <cell r="J204"/>
          <cell r="L204"/>
          <cell r="M204" t="str">
            <v>ผู้อนุมัติ..................................................</v>
          </cell>
          <cell r="N204"/>
          <cell r="R204"/>
          <cell r="T204"/>
          <cell r="U204"/>
          <cell r="V204"/>
          <cell r="X204"/>
          <cell r="Z204"/>
          <cell r="AA204"/>
          <cell r="AB204"/>
          <cell r="AC204"/>
          <cell r="AD204"/>
          <cell r="AG204"/>
          <cell r="AI204"/>
          <cell r="AJ204"/>
          <cell r="AL204"/>
          <cell r="AM204"/>
          <cell r="AN204"/>
          <cell r="AO204"/>
          <cell r="AQ204"/>
          <cell r="AR204"/>
          <cell r="AS204"/>
          <cell r="AT204" t="str">
            <v xml:space="preserve"> </v>
          </cell>
          <cell r="AU204"/>
          <cell r="BZ204"/>
          <cell r="CA204"/>
          <cell r="DL204" t="str">
            <v>P4</v>
          </cell>
          <cell r="DM204">
            <v>3</v>
          </cell>
          <cell r="DN204">
            <v>0</v>
          </cell>
          <cell r="DP204">
            <v>-5</v>
          </cell>
          <cell r="DQ204"/>
          <cell r="DR204">
            <v>-10</v>
          </cell>
          <cell r="DS204">
            <v>-3</v>
          </cell>
          <cell r="DT204"/>
          <cell r="DU204">
            <v>-2</v>
          </cell>
          <cell r="DW204">
            <v>-1</v>
          </cell>
          <cell r="DX204"/>
          <cell r="DY204"/>
          <cell r="DZ204"/>
          <cell r="EA204"/>
          <cell r="EB204"/>
          <cell r="EC204" t="str">
            <v>งานพิมพ์</v>
          </cell>
          <cell r="ED204"/>
          <cell r="EG204"/>
          <cell r="EH204"/>
          <cell r="EI204"/>
        </row>
        <row r="205">
          <cell r="B205"/>
          <cell r="C205"/>
          <cell r="E205" t="str">
            <v xml:space="preserve">        /         /        .</v>
          </cell>
          <cell r="F205"/>
          <cell r="G205"/>
          <cell r="H205"/>
          <cell r="I205"/>
          <cell r="J205"/>
          <cell r="L205"/>
          <cell r="M205" t="str">
            <v>ผู้จัดการฝ่ายผลิต</v>
          </cell>
          <cell r="N205"/>
          <cell r="R205"/>
          <cell r="T205"/>
          <cell r="U205"/>
          <cell r="V205" t="str">
            <v xml:space="preserve"> </v>
          </cell>
          <cell r="X205"/>
          <cell r="Z205"/>
          <cell r="AA205"/>
          <cell r="AB205"/>
          <cell r="AC205"/>
          <cell r="AD205"/>
          <cell r="AG205"/>
          <cell r="AI205"/>
          <cell r="AJ205"/>
          <cell r="AL205"/>
          <cell r="AM205"/>
          <cell r="AN205"/>
          <cell r="AO205"/>
          <cell r="AQ205"/>
          <cell r="AR205"/>
          <cell r="AS205"/>
          <cell r="AT205"/>
          <cell r="AU205"/>
          <cell r="BZ205"/>
          <cell r="CA205"/>
          <cell r="DL205" t="str">
            <v>P7</v>
          </cell>
          <cell r="DM205">
            <v>2</v>
          </cell>
          <cell r="DN205">
            <v>0</v>
          </cell>
          <cell r="DP205">
            <v>-5</v>
          </cell>
          <cell r="DQ205"/>
          <cell r="DR205">
            <v>-9</v>
          </cell>
          <cell r="DS205">
            <v>-2</v>
          </cell>
          <cell r="DT205">
            <v>-1</v>
          </cell>
          <cell r="DU205">
            <v>-1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/>
          <cell r="EG205"/>
          <cell r="EH205"/>
          <cell r="EI205"/>
        </row>
        <row r="206">
          <cell r="B206"/>
          <cell r="C206"/>
          <cell r="E206"/>
          <cell r="F206"/>
          <cell r="G206"/>
          <cell r="H206"/>
          <cell r="I206"/>
          <cell r="J206"/>
          <cell r="L206"/>
          <cell r="M206" t="str">
            <v xml:space="preserve">        /         /        .</v>
          </cell>
          <cell r="N206"/>
          <cell r="R206"/>
          <cell r="T206"/>
          <cell r="U206"/>
          <cell r="V206"/>
          <cell r="X206"/>
          <cell r="Z206"/>
          <cell r="AA206"/>
          <cell r="AB206"/>
          <cell r="AC206"/>
          <cell r="AD206"/>
          <cell r="AG206"/>
          <cell r="AI206"/>
          <cell r="AJ206"/>
          <cell r="AL206"/>
          <cell r="AM206"/>
          <cell r="AN206"/>
          <cell r="AO206"/>
          <cell r="AQ206"/>
          <cell r="AR206"/>
          <cell r="AS206"/>
          <cell r="AT206"/>
          <cell r="AU206"/>
          <cell r="BZ206"/>
          <cell r="CA206"/>
          <cell r="DL206" t="str">
            <v>P8</v>
          </cell>
          <cell r="DM206">
            <v>4</v>
          </cell>
          <cell r="DN206">
            <v>0</v>
          </cell>
          <cell r="DP206">
            <v>-5</v>
          </cell>
          <cell r="DQ206">
            <v>-4</v>
          </cell>
          <cell r="DR206">
            <v>-10</v>
          </cell>
          <cell r="DS206">
            <v>-3</v>
          </cell>
          <cell r="DT206">
            <v>-2</v>
          </cell>
          <cell r="DU206">
            <v>-2</v>
          </cell>
          <cell r="DW206">
            <v>-1</v>
          </cell>
          <cell r="DX206"/>
          <cell r="DY206"/>
          <cell r="DZ206"/>
          <cell r="EA206"/>
          <cell r="EB206"/>
          <cell r="EC206" t="str">
            <v>งานเคลือบ+พิมพ์</v>
          </cell>
          <cell r="ED206"/>
          <cell r="EG206"/>
          <cell r="EH206"/>
          <cell r="EI206"/>
        </row>
        <row r="207">
          <cell r="B207"/>
          <cell r="C207"/>
          <cell r="E207"/>
          <cell r="F207" t="str">
            <v xml:space="preserve"> </v>
          </cell>
          <cell r="G207" t="str">
            <v xml:space="preserve"> </v>
          </cell>
          <cell r="H207"/>
          <cell r="I207"/>
          <cell r="J207"/>
          <cell r="L207"/>
          <cell r="M207"/>
          <cell r="N207"/>
          <cell r="R207"/>
          <cell r="T207"/>
          <cell r="U207"/>
          <cell r="V207"/>
          <cell r="X207"/>
          <cell r="Z207"/>
          <cell r="AA207"/>
          <cell r="AB207"/>
          <cell r="AC207"/>
          <cell r="AD207"/>
          <cell r="AG207"/>
          <cell r="AI207"/>
          <cell r="AJ207"/>
          <cell r="AL207"/>
          <cell r="AM207"/>
          <cell r="AN207"/>
          <cell r="AO207"/>
          <cell r="AQ207"/>
          <cell r="AR207"/>
          <cell r="AS207"/>
          <cell r="AT207"/>
          <cell r="AU207"/>
          <cell r="BZ207"/>
          <cell r="CA207"/>
          <cell r="DL207" t="str">
            <v>P13</v>
          </cell>
          <cell r="DM207">
            <v>2</v>
          </cell>
          <cell r="DN207">
            <v>0</v>
          </cell>
          <cell r="DP207">
            <v>-5</v>
          </cell>
          <cell r="DQ207"/>
          <cell r="DR207"/>
          <cell r="DS207"/>
          <cell r="DT207"/>
          <cell r="DU207">
            <v>-2</v>
          </cell>
          <cell r="DW207">
            <v>-1</v>
          </cell>
          <cell r="DX207"/>
          <cell r="DY207"/>
          <cell r="DZ207"/>
          <cell r="EA207"/>
          <cell r="EB207"/>
          <cell r="EC207" t="str">
            <v>ตัด</v>
          </cell>
          <cell r="ED207"/>
          <cell r="EG207"/>
          <cell r="EH207"/>
          <cell r="EI207"/>
        </row>
        <row r="208">
          <cell r="B208"/>
          <cell r="C208"/>
          <cell r="E208"/>
          <cell r="F208"/>
          <cell r="G208"/>
          <cell r="H208"/>
          <cell r="I208"/>
          <cell r="J208"/>
          <cell r="L208"/>
          <cell r="M208"/>
          <cell r="N208"/>
          <cell r="R208"/>
          <cell r="T208"/>
          <cell r="U208"/>
          <cell r="V208" t="str">
            <v xml:space="preserve"> </v>
          </cell>
          <cell r="X208"/>
          <cell r="Z208"/>
          <cell r="AA208"/>
          <cell r="AB208"/>
          <cell r="AC208"/>
          <cell r="AD208"/>
          <cell r="AG208"/>
          <cell r="AI208"/>
          <cell r="AJ208"/>
          <cell r="AL208"/>
          <cell r="AM208"/>
          <cell r="AN208"/>
          <cell r="AO208"/>
          <cell r="AQ208"/>
          <cell r="AR208"/>
          <cell r="AS208"/>
          <cell r="AT208"/>
          <cell r="AU208"/>
          <cell r="BZ208"/>
          <cell r="CA208"/>
          <cell r="DL208" t="str">
            <v>P10</v>
          </cell>
          <cell r="DM208">
            <v>3</v>
          </cell>
          <cell r="DN208">
            <v>0</v>
          </cell>
          <cell r="DP208">
            <v>-5</v>
          </cell>
          <cell r="DQ208">
            <v>-3</v>
          </cell>
          <cell r="DR208">
            <v>-9</v>
          </cell>
          <cell r="DS208">
            <v>-2</v>
          </cell>
          <cell r="DT208"/>
          <cell r="DU208">
            <v>-1</v>
          </cell>
          <cell r="DW208">
            <v>0</v>
          </cell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/>
          <cell r="EG208"/>
          <cell r="EH208"/>
          <cell r="EI208"/>
        </row>
        <row r="209">
          <cell r="B209"/>
          <cell r="C209"/>
          <cell r="E209"/>
          <cell r="F209"/>
          <cell r="G209"/>
          <cell r="H209"/>
          <cell r="I209"/>
          <cell r="J209"/>
          <cell r="L209"/>
          <cell r="M209"/>
          <cell r="N209"/>
          <cell r="R209"/>
          <cell r="T209"/>
          <cell r="U209"/>
          <cell r="V209"/>
          <cell r="X209"/>
          <cell r="Z209"/>
          <cell r="AA209" t="str">
            <v xml:space="preserve"> </v>
          </cell>
          <cell r="AB209"/>
          <cell r="AC209"/>
          <cell r="AD209"/>
          <cell r="AG209"/>
          <cell r="AI209"/>
          <cell r="AJ209" t="str">
            <v>.</v>
          </cell>
          <cell r="AL209"/>
          <cell r="AM209"/>
          <cell r="AN209"/>
          <cell r="AO209"/>
          <cell r="AQ209"/>
          <cell r="AR209"/>
          <cell r="AS209"/>
          <cell r="AT209"/>
          <cell r="AU209"/>
          <cell r="BZ209"/>
          <cell r="CA209"/>
          <cell r="DL209"/>
          <cell r="DM209" t="str">
            <v>Lead time</v>
          </cell>
          <cell r="DN209"/>
          <cell r="DP209">
            <v>-5</v>
          </cell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/>
        </row>
        <row r="210">
          <cell r="B210"/>
          <cell r="C210"/>
          <cell r="E210"/>
          <cell r="F210"/>
          <cell r="G210"/>
          <cell r="H210"/>
          <cell r="I210"/>
          <cell r="J210"/>
          <cell r="L210"/>
          <cell r="M210"/>
          <cell r="N210"/>
          <cell r="R210"/>
          <cell r="T210"/>
          <cell r="U210"/>
          <cell r="V210"/>
          <cell r="X210"/>
          <cell r="Z210"/>
          <cell r="AA210"/>
          <cell r="AB210"/>
          <cell r="AC210"/>
          <cell r="AD210"/>
          <cell r="AG210"/>
          <cell r="AI210"/>
          <cell r="AJ210"/>
          <cell r="AL210"/>
          <cell r="AM210"/>
          <cell r="AN210"/>
          <cell r="AO210"/>
          <cell r="AQ210"/>
          <cell r="AR210"/>
          <cell r="AS210"/>
          <cell r="AT210"/>
          <cell r="AU210"/>
          <cell r="BZ210"/>
          <cell r="CA210"/>
          <cell r="DL210" t="str">
            <v>P5.2</v>
          </cell>
          <cell r="DM210">
            <v>4</v>
          </cell>
          <cell r="DN210">
            <v>0</v>
          </cell>
          <cell r="DP210">
            <v>-15</v>
          </cell>
          <cell r="DQ210"/>
          <cell r="DR210">
            <v>-11</v>
          </cell>
          <cell r="DS210">
            <v>-4</v>
          </cell>
          <cell r="DT210">
            <v>-3</v>
          </cell>
          <cell r="DU210">
            <v>-3</v>
          </cell>
          <cell r="DW210">
            <v>-2</v>
          </cell>
          <cell r="DX210">
            <v>-1</v>
          </cell>
          <cell r="DY210"/>
          <cell r="DZ210"/>
          <cell r="EA210"/>
          <cell r="EB210"/>
          <cell r="EC210"/>
          <cell r="ED210"/>
          <cell r="EG210"/>
          <cell r="EH210"/>
          <cell r="EI210"/>
        </row>
        <row r="211">
          <cell r="B211"/>
          <cell r="C211"/>
          <cell r="E211"/>
          <cell r="F211"/>
          <cell r="G211"/>
          <cell r="H211"/>
          <cell r="I211"/>
          <cell r="J211"/>
          <cell r="L211"/>
          <cell r="M211"/>
          <cell r="N211"/>
          <cell r="R211"/>
          <cell r="T211"/>
          <cell r="U211"/>
          <cell r="V211"/>
          <cell r="X211"/>
          <cell r="Z211"/>
          <cell r="AA211"/>
          <cell r="AB211"/>
          <cell r="AC211"/>
          <cell r="AD211"/>
          <cell r="AG211"/>
          <cell r="AI211"/>
          <cell r="AJ211"/>
          <cell r="AL211"/>
          <cell r="AM211"/>
          <cell r="AN211"/>
          <cell r="AO211"/>
          <cell r="AQ211"/>
          <cell r="AR211"/>
          <cell r="AS211"/>
          <cell r="AT211"/>
          <cell r="AU211"/>
          <cell r="BZ211"/>
          <cell r="CA211"/>
          <cell r="DL211" t="str">
            <v>P5.3</v>
          </cell>
          <cell r="DM211">
            <v>6</v>
          </cell>
          <cell r="DN211">
            <v>0</v>
          </cell>
          <cell r="DP211">
            <v>-15</v>
          </cell>
          <cell r="DQ211">
            <v>-6</v>
          </cell>
          <cell r="DR211">
            <v>-12</v>
          </cell>
          <cell r="DS211">
            <v>-5</v>
          </cell>
          <cell r="DT211">
            <v>-4</v>
          </cell>
          <cell r="DU211">
            <v>-3</v>
          </cell>
          <cell r="DW211">
            <v>-2</v>
          </cell>
          <cell r="DX211">
            <v>-1</v>
          </cell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/>
          <cell r="C212"/>
          <cell r="E212"/>
          <cell r="F212"/>
          <cell r="G212"/>
          <cell r="H212"/>
          <cell r="I212"/>
          <cell r="J212"/>
          <cell r="L212"/>
          <cell r="M212"/>
          <cell r="N212"/>
          <cell r="R212"/>
          <cell r="T212"/>
          <cell r="U212"/>
          <cell r="V212"/>
          <cell r="X212"/>
          <cell r="Z212"/>
          <cell r="AA212"/>
          <cell r="AB212"/>
          <cell r="AC212"/>
          <cell r="AD212"/>
          <cell r="AG212"/>
          <cell r="AI212"/>
          <cell r="AJ212"/>
          <cell r="AL212"/>
          <cell r="AM212"/>
          <cell r="AN212"/>
          <cell r="AO212"/>
          <cell r="AQ212"/>
          <cell r="AR212"/>
          <cell r="AS212"/>
          <cell r="AT212"/>
          <cell r="AU212"/>
          <cell r="BZ212"/>
          <cell r="CA212"/>
          <cell r="DL212"/>
          <cell r="DM212"/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/>
          <cell r="C213"/>
          <cell r="E213"/>
          <cell r="F213"/>
          <cell r="G213"/>
          <cell r="H213"/>
          <cell r="I213"/>
          <cell r="J213"/>
          <cell r="L213"/>
          <cell r="M213"/>
          <cell r="N213"/>
          <cell r="R213"/>
          <cell r="T213"/>
          <cell r="U213"/>
          <cell r="V213"/>
          <cell r="X213"/>
          <cell r="Z213"/>
          <cell r="AA213"/>
          <cell r="AB213"/>
          <cell r="AC213"/>
          <cell r="AD213"/>
          <cell r="AG213"/>
          <cell r="AI213"/>
          <cell r="AJ213"/>
          <cell r="AL213"/>
          <cell r="AM213"/>
          <cell r="AN213"/>
          <cell r="AO213"/>
          <cell r="AQ213"/>
          <cell r="AR213"/>
          <cell r="AS213"/>
          <cell r="AT213"/>
          <cell r="AU213"/>
          <cell r="BZ213"/>
          <cell r="CA213"/>
          <cell r="DL213"/>
          <cell r="DM213"/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/>
          <cell r="C214"/>
          <cell r="E214"/>
          <cell r="F214"/>
          <cell r="G214"/>
          <cell r="H214"/>
          <cell r="I214"/>
          <cell r="J214"/>
          <cell r="L214"/>
          <cell r="M214"/>
          <cell r="N214"/>
          <cell r="R214"/>
          <cell r="T214"/>
          <cell r="U214"/>
          <cell r="V214"/>
          <cell r="X214"/>
          <cell r="Z214"/>
          <cell r="AA214"/>
          <cell r="AB214"/>
          <cell r="AC214"/>
          <cell r="AD214"/>
          <cell r="AG214"/>
          <cell r="AI214"/>
          <cell r="AJ214"/>
          <cell r="AL214"/>
          <cell r="AM214"/>
          <cell r="AN214"/>
          <cell r="AO214"/>
          <cell r="AQ214"/>
          <cell r="AR214"/>
          <cell r="AS214"/>
          <cell r="AT214"/>
          <cell r="AU214"/>
          <cell r="BZ214"/>
          <cell r="CA214"/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/>
          <cell r="EI214"/>
        </row>
        <row r="215">
          <cell r="B215"/>
          <cell r="C215"/>
          <cell r="E215"/>
          <cell r="F215"/>
          <cell r="G215"/>
          <cell r="H215"/>
          <cell r="I215"/>
          <cell r="J215"/>
          <cell r="L215"/>
          <cell r="M215"/>
          <cell r="N215"/>
          <cell r="R215"/>
          <cell r="T215"/>
          <cell r="U215"/>
          <cell r="V215"/>
          <cell r="X215"/>
          <cell r="Z215"/>
          <cell r="AA215"/>
          <cell r="AB215"/>
          <cell r="AC215"/>
          <cell r="AD215"/>
          <cell r="AG215"/>
          <cell r="AI215"/>
          <cell r="AJ215"/>
          <cell r="AL215"/>
          <cell r="AM215"/>
          <cell r="AN215"/>
          <cell r="AO215"/>
          <cell r="AQ215"/>
          <cell r="AR215"/>
          <cell r="AS215"/>
          <cell r="AT215"/>
          <cell r="AU215"/>
          <cell r="BZ215"/>
          <cell r="CA215"/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/>
        </row>
        <row r="216">
          <cell r="B216"/>
          <cell r="C216"/>
          <cell r="E216"/>
          <cell r="F216"/>
          <cell r="G216"/>
          <cell r="H216"/>
          <cell r="I216"/>
          <cell r="J216"/>
          <cell r="L216"/>
          <cell r="M216"/>
          <cell r="N216"/>
          <cell r="R216"/>
          <cell r="T216"/>
          <cell r="U216"/>
          <cell r="V216"/>
          <cell r="X216"/>
          <cell r="Z216"/>
          <cell r="AA216"/>
          <cell r="AB216"/>
          <cell r="AC216"/>
          <cell r="AD216"/>
          <cell r="AG216"/>
          <cell r="AI216"/>
          <cell r="AJ216"/>
          <cell r="AL216"/>
          <cell r="AM216"/>
          <cell r="AN216"/>
          <cell r="AO216"/>
          <cell r="AQ216"/>
          <cell r="AR216"/>
          <cell r="AS216"/>
          <cell r="AT216"/>
          <cell r="AU216"/>
          <cell r="BZ216"/>
          <cell r="CA216"/>
          <cell r="DL216"/>
          <cell r="DM216"/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/>
          <cell r="EI216"/>
        </row>
        <row r="217">
          <cell r="B217"/>
          <cell r="C217"/>
          <cell r="E217"/>
          <cell r="F217"/>
          <cell r="G217"/>
          <cell r="H217"/>
          <cell r="I217"/>
          <cell r="J217"/>
          <cell r="L217"/>
          <cell r="M217"/>
          <cell r="N217"/>
          <cell r="R217"/>
          <cell r="T217"/>
          <cell r="U217"/>
          <cell r="V217"/>
          <cell r="X217"/>
          <cell r="Z217"/>
          <cell r="AA217"/>
          <cell r="AB217"/>
          <cell r="AC217"/>
          <cell r="AD217"/>
          <cell r="AG217"/>
          <cell r="AI217"/>
          <cell r="AJ217"/>
          <cell r="AL217"/>
          <cell r="AM217"/>
          <cell r="AN217"/>
          <cell r="AO217"/>
          <cell r="AQ217"/>
          <cell r="AR217"/>
          <cell r="AS217"/>
          <cell r="AT217"/>
          <cell r="AU217"/>
          <cell r="BZ217"/>
          <cell r="CA217"/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/>
          <cell r="C218"/>
          <cell r="E218"/>
          <cell r="F218"/>
          <cell r="G218"/>
          <cell r="H218"/>
          <cell r="I218"/>
          <cell r="J218"/>
          <cell r="L218"/>
          <cell r="M218"/>
          <cell r="N218"/>
          <cell r="R218"/>
          <cell r="T218"/>
          <cell r="U218"/>
          <cell r="V218"/>
          <cell r="X218"/>
          <cell r="Z218"/>
          <cell r="AA218"/>
          <cell r="AB218"/>
          <cell r="AC218"/>
          <cell r="AD218"/>
          <cell r="AG218"/>
          <cell r="AI218"/>
          <cell r="AJ218"/>
          <cell r="AL218"/>
          <cell r="AM218"/>
          <cell r="AN218"/>
          <cell r="AO218"/>
          <cell r="AQ218"/>
          <cell r="AR218"/>
          <cell r="AS218"/>
          <cell r="AT218"/>
          <cell r="AU218"/>
          <cell r="BZ218"/>
          <cell r="CA218"/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/>
          <cell r="EI218"/>
        </row>
        <row r="219">
          <cell r="B219"/>
          <cell r="C219"/>
          <cell r="E219"/>
          <cell r="F219"/>
          <cell r="G219"/>
          <cell r="H219"/>
          <cell r="I219"/>
          <cell r="J219"/>
          <cell r="L219"/>
          <cell r="M219"/>
          <cell r="N219"/>
          <cell r="R219"/>
          <cell r="T219"/>
          <cell r="U219"/>
          <cell r="V219"/>
          <cell r="X219"/>
          <cell r="Z219"/>
          <cell r="AA219"/>
          <cell r="AB219"/>
          <cell r="AC219"/>
          <cell r="AD219"/>
          <cell r="AG219"/>
          <cell r="AI219"/>
          <cell r="AJ219"/>
          <cell r="AL219"/>
          <cell r="AM219"/>
          <cell r="AN219"/>
          <cell r="AO219"/>
          <cell r="AQ219"/>
          <cell r="AR219"/>
          <cell r="AS219"/>
          <cell r="AT219"/>
          <cell r="AU219"/>
          <cell r="BZ219"/>
          <cell r="CA219"/>
          <cell r="DL219"/>
          <cell r="DM219"/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/>
        </row>
        <row r="220">
          <cell r="B220"/>
          <cell r="C220"/>
          <cell r="E220"/>
          <cell r="F220"/>
          <cell r="G220"/>
          <cell r="H220"/>
          <cell r="I220"/>
          <cell r="J220"/>
          <cell r="L220"/>
          <cell r="M220"/>
          <cell r="N220"/>
          <cell r="R220"/>
          <cell r="T220"/>
          <cell r="U220"/>
          <cell r="V220"/>
          <cell r="X220"/>
          <cell r="Z220"/>
          <cell r="AA220"/>
          <cell r="AB220"/>
          <cell r="AC220"/>
          <cell r="AD220"/>
          <cell r="AG220"/>
          <cell r="AI220"/>
          <cell r="AJ220"/>
          <cell r="AL220"/>
          <cell r="AM220"/>
          <cell r="AN220"/>
          <cell r="AO220"/>
          <cell r="AQ220"/>
          <cell r="AR220"/>
          <cell r="AS220"/>
          <cell r="AT220"/>
          <cell r="AU220"/>
          <cell r="BZ220"/>
          <cell r="CA220"/>
          <cell r="DL220"/>
          <cell r="DM220"/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/>
          <cell r="EI220"/>
        </row>
        <row r="221">
          <cell r="B221"/>
          <cell r="C221"/>
          <cell r="E221"/>
          <cell r="F221"/>
          <cell r="G221"/>
          <cell r="H221"/>
          <cell r="I221"/>
          <cell r="J221"/>
          <cell r="L221"/>
          <cell r="M221"/>
          <cell r="N221"/>
          <cell r="R221"/>
          <cell r="T221"/>
          <cell r="U221"/>
          <cell r="V221"/>
          <cell r="X221"/>
          <cell r="Z221"/>
          <cell r="AA221"/>
          <cell r="AB221"/>
          <cell r="AC221"/>
          <cell r="AD221"/>
          <cell r="AG221"/>
          <cell r="AI221"/>
          <cell r="AJ221"/>
          <cell r="AL221"/>
          <cell r="AM221"/>
          <cell r="AN221"/>
          <cell r="AO221"/>
          <cell r="AQ221"/>
          <cell r="AR221"/>
          <cell r="AS221"/>
          <cell r="AT221"/>
          <cell r="AU221"/>
          <cell r="BZ221"/>
          <cell r="CA221"/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/>
          <cell r="C222"/>
          <cell r="E222"/>
          <cell r="F222"/>
          <cell r="G222"/>
          <cell r="H222"/>
          <cell r="I222"/>
          <cell r="J222"/>
          <cell r="L222"/>
          <cell r="M222"/>
          <cell r="N222"/>
          <cell r="R222"/>
          <cell r="T222"/>
          <cell r="U222"/>
          <cell r="V222"/>
          <cell r="X222"/>
          <cell r="Z222"/>
          <cell r="AA222"/>
          <cell r="AB222"/>
          <cell r="AC222"/>
          <cell r="AD222"/>
          <cell r="AG222"/>
          <cell r="AI222"/>
          <cell r="AJ222"/>
          <cell r="AL222"/>
          <cell r="AM222"/>
          <cell r="AN222"/>
          <cell r="AO222"/>
          <cell r="AQ222"/>
          <cell r="AR222"/>
          <cell r="AS222"/>
          <cell r="AT222"/>
          <cell r="AU222"/>
          <cell r="BZ222"/>
          <cell r="CA222"/>
          <cell r="DL222"/>
          <cell r="DM222"/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/>
        </row>
        <row r="223">
          <cell r="B223"/>
          <cell r="C223"/>
          <cell r="E223"/>
          <cell r="F223"/>
          <cell r="G223"/>
          <cell r="H223"/>
          <cell r="I223"/>
          <cell r="J223"/>
          <cell r="L223"/>
          <cell r="M223"/>
          <cell r="N223"/>
          <cell r="R223"/>
          <cell r="T223"/>
          <cell r="U223"/>
          <cell r="V223"/>
          <cell r="X223"/>
          <cell r="Z223"/>
          <cell r="AA223"/>
          <cell r="AB223"/>
          <cell r="AC223"/>
          <cell r="AD223"/>
          <cell r="AG223"/>
          <cell r="AI223"/>
          <cell r="AJ223"/>
          <cell r="AL223"/>
          <cell r="AM223"/>
          <cell r="AN223"/>
          <cell r="AO223"/>
          <cell r="AQ223"/>
          <cell r="AR223"/>
          <cell r="AS223"/>
          <cell r="AT223"/>
          <cell r="AU223"/>
          <cell r="BZ223"/>
          <cell r="CA223"/>
          <cell r="DL223"/>
          <cell r="DM223"/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/>
          <cell r="EI223"/>
        </row>
        <row r="224">
          <cell r="B224"/>
          <cell r="C224"/>
          <cell r="E224"/>
          <cell r="F224"/>
          <cell r="G224"/>
          <cell r="H224"/>
          <cell r="I224"/>
          <cell r="J224"/>
          <cell r="L224"/>
          <cell r="M224"/>
          <cell r="N224"/>
          <cell r="R224"/>
          <cell r="T224"/>
          <cell r="U224"/>
          <cell r="V224"/>
          <cell r="X224"/>
          <cell r="Z224"/>
          <cell r="AA224"/>
          <cell r="AB224"/>
          <cell r="AC224"/>
          <cell r="AD224"/>
          <cell r="AG224"/>
          <cell r="AI224"/>
          <cell r="AJ224"/>
          <cell r="AL224"/>
          <cell r="AM224"/>
          <cell r="AN224"/>
          <cell r="AO224"/>
          <cell r="AQ224"/>
          <cell r="AR224"/>
          <cell r="AS224"/>
          <cell r="AT224"/>
          <cell r="AU224"/>
          <cell r="BZ224"/>
          <cell r="CA224"/>
          <cell r="DL224"/>
          <cell r="DM224"/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/>
          <cell r="EI224"/>
        </row>
        <row r="225">
          <cell r="B225"/>
          <cell r="C225"/>
          <cell r="E225"/>
          <cell r="F225"/>
          <cell r="G225"/>
          <cell r="H225"/>
          <cell r="I225"/>
          <cell r="J225"/>
          <cell r="L225"/>
          <cell r="M225"/>
          <cell r="N225"/>
          <cell r="R225"/>
          <cell r="T225"/>
          <cell r="U225"/>
          <cell r="V225"/>
          <cell r="X225"/>
          <cell r="Z225"/>
          <cell r="AA225"/>
          <cell r="AB225"/>
          <cell r="AC225"/>
          <cell r="AD225"/>
          <cell r="AG225"/>
          <cell r="AI225"/>
          <cell r="AJ225"/>
          <cell r="AL225"/>
          <cell r="AM225"/>
          <cell r="AN225"/>
          <cell r="AO225"/>
          <cell r="AQ225"/>
          <cell r="AR225"/>
          <cell r="AS225"/>
          <cell r="AT225"/>
          <cell r="AU225"/>
          <cell r="BZ225"/>
          <cell r="CA225"/>
          <cell r="DL225"/>
          <cell r="DM225"/>
          <cell r="DN225"/>
          <cell r="DP225"/>
          <cell r="DQ225"/>
          <cell r="DR225"/>
          <cell r="DS225"/>
          <cell r="DT225"/>
          <cell r="DU225"/>
          <cell r="DW225"/>
          <cell r="DX225"/>
          <cell r="DY225"/>
          <cell r="DZ225"/>
          <cell r="EA225"/>
          <cell r="EB225"/>
          <cell r="EC225"/>
          <cell r="ED225"/>
          <cell r="EG225"/>
          <cell r="EH225"/>
          <cell r="EI225"/>
        </row>
        <row r="226">
          <cell r="B226"/>
          <cell r="C226"/>
          <cell r="E226"/>
          <cell r="F226"/>
          <cell r="G226"/>
          <cell r="H226"/>
          <cell r="I226"/>
          <cell r="J226"/>
          <cell r="L226"/>
          <cell r="M226"/>
          <cell r="N226"/>
          <cell r="R226"/>
          <cell r="T226"/>
          <cell r="U226"/>
          <cell r="V226"/>
          <cell r="X226"/>
          <cell r="Z226"/>
          <cell r="AA226"/>
          <cell r="AB226"/>
          <cell r="AC226"/>
          <cell r="AD226"/>
          <cell r="AG226"/>
          <cell r="AI226"/>
          <cell r="AJ226"/>
          <cell r="AL226"/>
          <cell r="AM226"/>
          <cell r="AN226"/>
          <cell r="AO226"/>
          <cell r="AQ226"/>
          <cell r="AR226"/>
          <cell r="AS226"/>
          <cell r="AT226"/>
          <cell r="AU226"/>
          <cell r="BZ226"/>
          <cell r="CA226"/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/>
          <cell r="C227"/>
          <cell r="E227"/>
          <cell r="F227"/>
          <cell r="G227"/>
          <cell r="H227"/>
          <cell r="I227"/>
          <cell r="J227"/>
          <cell r="L227"/>
          <cell r="M227"/>
          <cell r="N227"/>
          <cell r="R227"/>
          <cell r="T227"/>
          <cell r="U227"/>
          <cell r="V227"/>
          <cell r="X227"/>
          <cell r="Z227"/>
          <cell r="AA227"/>
          <cell r="AB227"/>
          <cell r="AC227"/>
          <cell r="AD227"/>
          <cell r="AG227"/>
          <cell r="AI227"/>
          <cell r="AJ227"/>
          <cell r="AL227"/>
          <cell r="AM227"/>
          <cell r="AN227"/>
          <cell r="AO227"/>
          <cell r="AQ227"/>
          <cell r="AR227"/>
          <cell r="AS227"/>
          <cell r="AT227"/>
          <cell r="AU227"/>
          <cell r="BZ227"/>
          <cell r="CA227"/>
          <cell r="DL227"/>
          <cell r="DM227"/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/>
        </row>
        <row r="228">
          <cell r="B228"/>
          <cell r="C228"/>
          <cell r="E228"/>
          <cell r="F228"/>
          <cell r="G228"/>
          <cell r="H228" t="str">
            <v xml:space="preserve"> </v>
          </cell>
          <cell r="I228"/>
          <cell r="J228"/>
          <cell r="L228"/>
          <cell r="M228"/>
          <cell r="N228"/>
          <cell r="R228"/>
          <cell r="T228"/>
          <cell r="U228"/>
          <cell r="V228"/>
          <cell r="X228"/>
          <cell r="Z228"/>
          <cell r="AA228"/>
          <cell r="AB228"/>
          <cell r="AC228"/>
          <cell r="AD228"/>
          <cell r="AG228"/>
          <cell r="AI228"/>
          <cell r="AJ228"/>
          <cell r="AL228"/>
          <cell r="AM228"/>
          <cell r="AN228"/>
          <cell r="AO228"/>
          <cell r="AQ228"/>
          <cell r="AR228"/>
          <cell r="AS228"/>
          <cell r="AT228"/>
          <cell r="AU228"/>
          <cell r="BZ228"/>
          <cell r="CA228"/>
          <cell r="DL228"/>
          <cell r="DM228"/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/>
          <cell r="AA229"/>
          <cell r="AB229"/>
          <cell r="AC229"/>
          <cell r="AD229"/>
          <cell r="AG229"/>
          <cell r="AI229"/>
          <cell r="AJ229"/>
          <cell r="AL229"/>
          <cell r="AM229"/>
          <cell r="AN229"/>
          <cell r="AO229"/>
          <cell r="AQ229"/>
          <cell r="AR229"/>
          <cell r="AS229"/>
          <cell r="AT229"/>
          <cell r="AU229"/>
          <cell r="BZ229"/>
          <cell r="CA229"/>
          <cell r="DL229"/>
          <cell r="DM229"/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/>
          <cell r="Z230"/>
          <cell r="AA230"/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/>
          <cell r="AT230"/>
          <cell r="AU230"/>
          <cell r="BZ230"/>
          <cell r="CA230"/>
          <cell r="DL230"/>
          <cell r="DM230"/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/>
          <cell r="Z231"/>
          <cell r="AA231"/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/>
          <cell r="AT231"/>
          <cell r="AU231"/>
          <cell r="BZ231"/>
          <cell r="CA231"/>
          <cell r="DL231"/>
          <cell r="DM231"/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/>
          <cell r="Z232"/>
          <cell r="AA232"/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/>
          <cell r="AT232"/>
          <cell r="AU232"/>
          <cell r="BZ232"/>
          <cell r="CA232"/>
          <cell r="DL232"/>
          <cell r="DM232"/>
          <cell r="DN232"/>
          <cell r="DP232"/>
          <cell r="DQ232"/>
          <cell r="DR232"/>
          <cell r="DS232"/>
          <cell r="DT232"/>
          <cell r="DU232"/>
          <cell r="DW232"/>
          <cell r="DX232"/>
          <cell r="DY232"/>
          <cell r="DZ232"/>
          <cell r="EA232"/>
          <cell r="EB232"/>
          <cell r="EC232"/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/>
          <cell r="Z233"/>
          <cell r="AA233"/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/>
          <cell r="AT233"/>
          <cell r="AU233"/>
          <cell r="BZ233"/>
          <cell r="CA233"/>
          <cell r="DL233"/>
          <cell r="DM233"/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/>
        </row>
        <row r="234">
          <cell r="B234"/>
          <cell r="C234"/>
          <cell r="E234"/>
          <cell r="F234"/>
          <cell r="G234"/>
          <cell r="H234"/>
          <cell r="I234"/>
          <cell r="J234"/>
          <cell r="L234"/>
          <cell r="M234"/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/>
          <cell r="DM234"/>
          <cell r="DN234"/>
          <cell r="DP234"/>
          <cell r="DQ234"/>
          <cell r="DR234"/>
          <cell r="DS234"/>
          <cell r="DT234"/>
          <cell r="DU234"/>
          <cell r="DW234"/>
          <cell r="DX234"/>
          <cell r="DY234"/>
          <cell r="DZ234"/>
          <cell r="EA234"/>
          <cell r="EB234"/>
          <cell r="EC234"/>
          <cell r="ED234"/>
          <cell r="EG234"/>
          <cell r="EH234"/>
          <cell r="EI234"/>
        </row>
        <row r="235">
          <cell r="B235"/>
          <cell r="C235"/>
          <cell r="E235"/>
          <cell r="F235"/>
          <cell r="G235"/>
          <cell r="H235"/>
          <cell r="I235"/>
          <cell r="J235"/>
          <cell r="L235"/>
          <cell r="M235"/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/>
          <cell r="AU235"/>
          <cell r="BZ235"/>
          <cell r="CA235"/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/>
          <cell r="C236"/>
          <cell r="E236"/>
          <cell r="F236"/>
          <cell r="G236"/>
          <cell r="H236"/>
          <cell r="I236"/>
          <cell r="J236"/>
          <cell r="L236"/>
          <cell r="M236"/>
          <cell r="N236"/>
          <cell r="R236"/>
          <cell r="T236"/>
          <cell r="U236"/>
          <cell r="V236"/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/>
          <cell r="DM236"/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/>
          <cell r="DM237"/>
          <cell r="DN237"/>
          <cell r="DP237"/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/>
          <cell r="DM238"/>
          <cell r="DN238"/>
          <cell r="DP238"/>
          <cell r="DQ238"/>
          <cell r="DR238"/>
          <cell r="DS238"/>
          <cell r="DT238"/>
          <cell r="DU238"/>
          <cell r="DW238"/>
          <cell r="DX238"/>
          <cell r="DY238"/>
          <cell r="DZ238"/>
          <cell r="EA238"/>
          <cell r="EB238"/>
          <cell r="EC238"/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/>
          <cell r="DM239"/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/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/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/>
          <cell r="DM241"/>
          <cell r="DN241"/>
          <cell r="DP241"/>
          <cell r="DQ241"/>
          <cell r="DR241"/>
          <cell r="DS241"/>
          <cell r="DT241"/>
          <cell r="DU241"/>
          <cell r="DW241"/>
          <cell r="DX241"/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/>
          <cell r="DM242"/>
          <cell r="DN242"/>
          <cell r="DP242"/>
          <cell r="DQ242"/>
          <cell r="DR242"/>
          <cell r="DS242"/>
          <cell r="DT242"/>
          <cell r="DU242"/>
          <cell r="DW242"/>
          <cell r="DX242"/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พร้อมส่ง</v>
          </cell>
        </row>
        <row r="26">
          <cell r="DC26" t="str">
            <v>รอตัด</v>
          </cell>
        </row>
        <row r="27">
          <cell r="DC27" t="str">
            <v>พร้อมส่ง</v>
          </cell>
        </row>
        <row r="28">
          <cell r="DC28" t="str">
            <v>พิมพ์ไม่ครบ</v>
          </cell>
        </row>
        <row r="29">
          <cell r="DC29" t="str">
            <v>รอตัด</v>
          </cell>
        </row>
        <row r="30">
          <cell r="DC30" t="str">
            <v>รอแบบ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ผ้าขาว</v>
          </cell>
        </row>
        <row r="37">
          <cell r="DC37" t="str">
            <v>ผ้าขาว</v>
          </cell>
        </row>
        <row r="38">
          <cell r="DC38" t="str">
            <v>ยังไม่ได้พิมพ์</v>
          </cell>
        </row>
        <row r="39">
          <cell r="DC39" t="str">
            <v>ยังไม่ได้พิมพ์</v>
          </cell>
        </row>
        <row r="40">
          <cell r="DC40" t="str">
            <v>ยังไม่ได้พิมพ์</v>
          </cell>
        </row>
        <row r="41">
          <cell r="DC41" t="str">
            <v>ยังไม่ได้พิมพ์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รอแบบ</v>
          </cell>
        </row>
        <row r="47">
          <cell r="DC47" t="str">
            <v>พร้อมส่ง</v>
          </cell>
        </row>
        <row r="48">
          <cell r="DC48" t="str">
            <v>ยังไม่ได้พิมพ์</v>
          </cell>
        </row>
        <row r="49">
          <cell r="DC49" t="str">
            <v>พร้อมส่ง</v>
          </cell>
        </row>
        <row r="50">
          <cell r="DC50" t="str">
            <v>พร้อมส่ง</v>
          </cell>
        </row>
        <row r="51">
          <cell r="DC51" t="str">
            <v>พร้อมส่ง</v>
          </cell>
        </row>
        <row r="52">
          <cell r="DC52" t="str">
            <v>ผ้าขาว</v>
          </cell>
        </row>
        <row r="53">
          <cell r="DC53" t="str">
            <v>ยังไม่ได้พิมพ์</v>
          </cell>
        </row>
        <row r="54">
          <cell r="DC54" t="str">
            <v>พร้อมส่ง</v>
          </cell>
        </row>
        <row r="55">
          <cell r="DC55" t="str">
            <v>พร้อมส่ง</v>
          </cell>
        </row>
        <row r="56">
          <cell r="DC56" t="str">
            <v>พร้อมส่ง</v>
          </cell>
        </row>
        <row r="57">
          <cell r="DC57" t="str">
            <v>รอตัด</v>
          </cell>
        </row>
        <row r="58">
          <cell r="DC58" t="str">
            <v>ยังไม่ได้พิมพ์</v>
          </cell>
        </row>
        <row r="59">
          <cell r="DC59" t="str">
            <v>รอตัด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รอแบบ</v>
          </cell>
        </row>
        <row r="65">
          <cell r="DC65" t="str">
            <v>รอแบบ</v>
          </cell>
        </row>
        <row r="66">
          <cell r="DC66" t="str">
            <v>รอแบบ</v>
          </cell>
        </row>
        <row r="67">
          <cell r="DC67" t="str">
            <v>รอแบบ</v>
          </cell>
        </row>
        <row r="68">
          <cell r="DC68" t="str">
            <v>รอตัด</v>
          </cell>
        </row>
        <row r="69">
          <cell r="DC69" t="str">
            <v>พร้อมส่ง</v>
          </cell>
        </row>
        <row r="70">
          <cell r="DC70" t="str">
            <v>รอตัด</v>
          </cell>
        </row>
        <row r="71">
          <cell r="DC71" t="str">
            <v>พร้อมส่ง</v>
          </cell>
        </row>
        <row r="72">
          <cell r="DC72" t="str">
            <v>รอตัด</v>
          </cell>
        </row>
        <row r="73">
          <cell r="DC73" t="str">
            <v>รอตัด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พร้อมส่ง</v>
          </cell>
        </row>
        <row r="78">
          <cell r="DC78" t="str">
            <v>รอตัด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พร้อมส่ง</v>
          </cell>
        </row>
        <row r="84">
          <cell r="DC84" t="str">
            <v>พร้อมส่ง</v>
          </cell>
        </row>
        <row r="85">
          <cell r="DC85" t="str">
            <v>รอตัด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รอแบบ</v>
          </cell>
        </row>
        <row r="94">
          <cell r="DC94" t="str">
            <v>พร้อมส่ง</v>
          </cell>
        </row>
        <row r="95">
          <cell r="DC95" t="str">
            <v>พร้อมส่ง</v>
          </cell>
        </row>
        <row r="96">
          <cell r="DC96" t="str">
            <v>รอตัด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รอตัด</v>
          </cell>
        </row>
        <row r="100">
          <cell r="DC100" t="str">
            <v>รอตัด</v>
          </cell>
        </row>
        <row r="101">
          <cell r="DC101" t="str">
            <v>รอตัด</v>
          </cell>
        </row>
        <row r="102">
          <cell r="DC102" t="str">
            <v>พร้อมส่ง</v>
          </cell>
        </row>
        <row r="103">
          <cell r="DC103" t="str">
            <v>พิมพ์ไม่ครบ</v>
          </cell>
        </row>
        <row r="104">
          <cell r="DC104" t="str">
            <v>ยังไม่ได้พิมพ์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รอแบบ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ผ้าขาว</v>
          </cell>
        </row>
        <row r="123">
          <cell r="DC123" t="str">
            <v>ผ้าขาว</v>
          </cell>
        </row>
        <row r="124">
          <cell r="DC124" t="str">
            <v>ยังไม่ได้พิมพ์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ยังไม่ได้พิมพ์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รอตัด</v>
          </cell>
        </row>
        <row r="131">
          <cell r="DC131" t="str">
            <v>พร้อมส่ง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รอแบบ</v>
          </cell>
        </row>
        <row r="136">
          <cell r="DC136" t="str">
            <v>รอแบบ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ยังไม่ได้พิมพ์</v>
          </cell>
        </row>
        <row r="142">
          <cell r="DC142" t="str">
            <v>รอแบบ</v>
          </cell>
        </row>
        <row r="143">
          <cell r="DC143" t="str">
            <v>ยังไม่ได้พิมพ์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รอตัด</v>
          </cell>
        </row>
        <row r="151">
          <cell r="DC151" t="str">
            <v>รอแบบ</v>
          </cell>
        </row>
        <row r="152">
          <cell r="DC152" t="str">
            <v>รอแบบ</v>
          </cell>
        </row>
        <row r="153">
          <cell r="DC153" t="str">
            <v>พร้อมส่ง</v>
          </cell>
        </row>
        <row r="154">
          <cell r="DC154" t="str">
            <v>รอแบบ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ผ้าขาว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พร้อมส่ง</v>
          </cell>
        </row>
        <row r="166">
          <cell r="DC166" t="str">
            <v>พร้อมส่ง</v>
          </cell>
        </row>
        <row r="167">
          <cell r="DC167" t="str">
            <v>รอตัด</v>
          </cell>
        </row>
        <row r="168">
          <cell r="DC168" t="str">
            <v>พร้อมส่ง</v>
          </cell>
        </row>
        <row r="169">
          <cell r="DC169" t="str">
            <v>พร้อมส่ง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พร้อมส่ง</v>
          </cell>
        </row>
        <row r="175">
          <cell r="DC175" t="str">
            <v>พร้อมส่ง</v>
          </cell>
        </row>
        <row r="176">
          <cell r="DC176" t="str">
            <v>รอแบบ</v>
          </cell>
        </row>
        <row r="177">
          <cell r="DC177" t="str">
            <v>พร้อมส่ง</v>
          </cell>
        </row>
        <row r="178">
          <cell r="DC178" t="str">
            <v>ผ้าขาว</v>
          </cell>
        </row>
        <row r="179">
          <cell r="DC179" t="str">
            <v>พร้อมส่ง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ผ้าขาว</v>
          </cell>
        </row>
        <row r="183">
          <cell r="DC183" t="str">
            <v>พร้อมส่ง</v>
          </cell>
        </row>
        <row r="184">
          <cell r="DC184" t="str">
            <v>รอตัด</v>
          </cell>
        </row>
        <row r="185">
          <cell r="DC185" t="str">
            <v>ผ้าขาว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รอแบบ</v>
          </cell>
        </row>
        <row r="190">
          <cell r="DC190" t="str">
            <v>ยังไม่ได้พิมพ์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ผ้าขาว</v>
          </cell>
        </row>
        <row r="194">
          <cell r="DC194" t="str">
            <v>ยังไม่ได้พิมพ์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/>
        </row>
        <row r="198">
          <cell r="DC198"/>
        </row>
        <row r="199">
          <cell r="DC199"/>
        </row>
        <row r="200">
          <cell r="DC200" t="str">
            <v xml:space="preserve"> </v>
          </cell>
        </row>
        <row r="201">
          <cell r="DC201"/>
        </row>
        <row r="202">
          <cell r="DC202"/>
        </row>
        <row r="203">
          <cell r="DC203"/>
        </row>
        <row r="204">
          <cell r="DC204"/>
        </row>
        <row r="205">
          <cell r="DC205"/>
        </row>
        <row r="206">
          <cell r="DC206"/>
        </row>
        <row r="207">
          <cell r="DC207"/>
        </row>
        <row r="208">
          <cell r="DC208"/>
        </row>
        <row r="209">
          <cell r="DC209"/>
        </row>
        <row r="210">
          <cell r="DC210"/>
        </row>
        <row r="211">
          <cell r="DC211"/>
        </row>
        <row r="212">
          <cell r="DC212"/>
        </row>
        <row r="213">
          <cell r="DC213"/>
        </row>
        <row r="214">
          <cell r="DC214"/>
        </row>
        <row r="215">
          <cell r="DC215"/>
        </row>
        <row r="216">
          <cell r="DC216"/>
        </row>
        <row r="217">
          <cell r="DC217"/>
        </row>
        <row r="218">
          <cell r="DC218"/>
        </row>
        <row r="219">
          <cell r="DC219"/>
        </row>
        <row r="220">
          <cell r="DC220"/>
        </row>
        <row r="221">
          <cell r="DC221"/>
        </row>
        <row r="222">
          <cell r="DC222"/>
        </row>
        <row r="223">
          <cell r="DC223"/>
        </row>
        <row r="224">
          <cell r="DC224"/>
        </row>
        <row r="225">
          <cell r="DC225"/>
        </row>
        <row r="226">
          <cell r="DC226"/>
        </row>
        <row r="227">
          <cell r="DC227"/>
        </row>
        <row r="228">
          <cell r="DC228"/>
        </row>
        <row r="229">
          <cell r="DC229"/>
        </row>
        <row r="230">
          <cell r="DC230"/>
        </row>
        <row r="231">
          <cell r="DC231"/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172">
      <pivotArea outline="0" collapsedLevelsAreSubtotals="1" fieldPosition="0"/>
    </format>
    <format dxfId="171">
      <pivotArea dataOnly="0" labelOnly="1" outline="0" axis="axisValues" fieldPosition="0"/>
    </format>
    <format dxfId="170">
      <pivotArea dataOnly="0" outline="0" fieldPosition="0">
        <references count="1">
          <reference field="25" count="0" defaultSubtotal="1"/>
        </references>
      </pivotArea>
    </format>
    <format dxfId="169">
      <pivotArea dataOnly="0" outline="0" fieldPosition="0">
        <references count="1">
          <reference field="25" count="0" defaultSubtotal="1"/>
        </references>
      </pivotArea>
    </format>
    <format dxfId="168">
      <pivotArea dataOnly="0" outline="0" fieldPosition="0">
        <references count="1">
          <reference field="25" count="0" defaultSubtotal="1"/>
        </references>
      </pivotArea>
    </format>
    <format dxfId="167">
      <pivotArea outline="0" fieldPosition="0">
        <references count="1">
          <reference field="4294967294" count="1" selected="0">
            <x v="3"/>
          </reference>
        </references>
      </pivotArea>
    </format>
    <format dxfId="166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165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164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163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162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C0122-B7A6-4300-B335-D8C41628446C}" name="PivotTable2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4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h="1"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12"/>
        <item x="26"/>
        <item x="23"/>
        <item x="24"/>
        <item x="25"/>
        <item x="22"/>
        <item x="14"/>
        <item x="20"/>
        <item x="19"/>
        <item x="15"/>
        <item x="16"/>
        <item x="27"/>
        <item x="28"/>
        <item x="29"/>
        <item x="30"/>
        <item x="42"/>
        <item x="38"/>
        <item x="39"/>
        <item x="40"/>
        <item x="44"/>
        <item x="41"/>
        <item x="43"/>
        <item x="54"/>
        <item x="53"/>
        <item x="61"/>
        <item x="62"/>
        <item x="63"/>
        <item x="0"/>
        <item x="4"/>
        <item x="5"/>
        <item x="6"/>
        <item x="7"/>
        <item x="21"/>
        <item x="45"/>
        <item x="48"/>
        <item x="55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29"/>
        <item x="4"/>
        <item x="5"/>
        <item x="10"/>
        <item x="9"/>
        <item x="21"/>
        <item x="28"/>
        <item x="2"/>
        <item x="6"/>
        <item x="8"/>
        <item x="12"/>
        <item x="15"/>
        <item x="20"/>
        <item x="26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4"/>
        <item x="12"/>
        <item x="13"/>
        <item x="15"/>
        <item x="19"/>
        <item x="20"/>
        <item x="18"/>
        <item x="16"/>
        <item x="21"/>
        <item x="22"/>
        <item x="23"/>
        <item x="24"/>
        <item x="25"/>
        <item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8">
    <i>
      <x/>
    </i>
    <i>
      <x v="1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1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161">
      <pivotArea outline="0" collapsedLevelsAreSubtotals="1" fieldPosition="0"/>
    </format>
    <format dxfId="160">
      <pivotArea dataOnly="0" labelOnly="1" outline="0" axis="axisValues" fieldPosition="0"/>
    </format>
    <format dxfId="159">
      <pivotArea dataOnly="0" outline="0" fieldPosition="0">
        <references count="1">
          <reference field="25" count="0" defaultSubtotal="1"/>
        </references>
      </pivotArea>
    </format>
    <format dxfId="158">
      <pivotArea dataOnly="0" outline="0" fieldPosition="0">
        <references count="1">
          <reference field="25" count="0" defaultSubtotal="1"/>
        </references>
      </pivotArea>
    </format>
    <format dxfId="157">
      <pivotArea dataOnly="0" outline="0" fieldPosition="0">
        <references count="1">
          <reference field="25" count="0" defaultSubtotal="1"/>
        </references>
      </pivotArea>
    </format>
    <format dxfId="156">
      <pivotArea outline="0" fieldPosition="0">
        <references count="2">
          <reference field="4294967294" count="1" selected="0">
            <x v="3"/>
          </reference>
          <reference field="25" count="1" selected="0">
            <x v="20"/>
          </reference>
        </references>
      </pivotArea>
    </format>
    <format dxfId="155">
      <pivotArea outline="0" fieldPosition="0">
        <references count="2">
          <reference field="4294967294" count="1" selected="0">
            <x v="2"/>
          </reference>
          <reference field="25" count="1" selected="0">
            <x v="23"/>
          </reference>
        </references>
      </pivotArea>
    </format>
    <format dxfId="154">
      <pivotArea outline="0" fieldPosition="0">
        <references count="2">
          <reference field="4294967294" count="1" selected="0">
            <x v="2"/>
          </reference>
          <reference field="25" count="1" selected="0">
            <x v="18"/>
          </reference>
        </references>
      </pivotArea>
    </format>
    <format dxfId="153">
      <pivotArea outline="0" fieldPosition="0">
        <references count="2">
          <reference field="4294967294" count="1" selected="0">
            <x v="2"/>
          </reference>
          <reference field="25" count="7" selected="0">
            <x v="6"/>
            <x v="9"/>
            <x v="10"/>
            <x v="12"/>
            <x v="16"/>
            <x v="17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7185F-D5DD-416B-984E-CA3CF2D4EDB2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7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7"/>
        <item x="22"/>
        <item x="28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3">
    <i>
      <x v="4"/>
      <x v="1"/>
    </i>
    <i t="default">
      <x v="4"/>
    </i>
    <i>
      <x v="10"/>
      <x v="7"/>
    </i>
    <i r="1">
      <x v="9"/>
    </i>
    <i t="default">
      <x v="10"/>
    </i>
    <i>
      <x v="12"/>
      <x v="2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52">
      <pivotArea outline="0" collapsedLevelsAreSubtotals="1" fieldPosition="0"/>
    </format>
    <format dxfId="151">
      <pivotArea dataOnly="0" labelOnly="1" outline="0" axis="axisValues" fieldPosition="0"/>
    </format>
    <format dxfId="150">
      <pivotArea dataOnly="0" outline="0" fieldPosition="0">
        <references count="1">
          <reference field="24" count="0" defaultSubtotal="1"/>
        </references>
      </pivotArea>
    </format>
    <format dxfId="149">
      <pivotArea dataOnly="0" outline="0" fieldPosition="0">
        <references count="1">
          <reference field="24" count="0" defaultSubtotal="1"/>
        </references>
      </pivotArea>
    </format>
    <format dxfId="148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147">
      <pivotArea outline="0" collapsedLevelsAreSubtotals="1" fieldPosition="0"/>
    </format>
    <format dxfId="146">
      <pivotArea dataOnly="0" labelOnly="1" outline="0" axis="axisValues" fieldPosition="0"/>
    </format>
    <format dxfId="145">
      <pivotArea dataOnly="0" outline="0" fieldPosition="0">
        <references count="1">
          <reference field="24" count="0" defaultSubtotal="1"/>
        </references>
      </pivotArea>
    </format>
    <format dxfId="144">
      <pivotArea dataOnly="0" outline="0" fieldPosition="0">
        <references count="1">
          <reference field="24" count="0" defaultSubtotal="1"/>
        </references>
      </pivotArea>
    </format>
    <format dxfId="143">
      <pivotArea dataOnly="0" outline="0" fieldPosition="0">
        <references count="1">
          <reference field="24" count="0" defaultSubtotal="1"/>
        </references>
      </pivotArea>
    </format>
    <format dxfId="142">
      <pivotArea dataOnly="0" outline="0" fieldPosition="0">
        <references count="1">
          <reference field="1" count="1">
            <x v="11"/>
          </reference>
        </references>
      </pivotArea>
    </format>
    <format dxfId="141">
      <pivotArea dataOnly="0" outline="0" fieldPosition="0">
        <references count="1">
          <reference field="1" count="1">
            <x v="16"/>
          </reference>
        </references>
      </pivotArea>
    </format>
    <format dxfId="140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139">
      <pivotArea dataOnly="0" labelOnly="1" outline="0" fieldPosition="0">
        <references count="1">
          <reference field="24" count="1">
            <x v="22"/>
          </reference>
        </references>
      </pivotArea>
    </format>
    <format dxfId="138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137">
      <pivotArea dataOnly="0" labelOnly="1" outline="0" fieldPosition="0">
        <references count="1">
          <reference field="24" count="1">
            <x v="19"/>
          </reference>
        </references>
      </pivotArea>
    </format>
    <format dxfId="136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135">
      <pivotArea dataOnly="0" labelOnly="1" outline="0" fieldPosition="0">
        <references count="1">
          <reference field="24" count="1">
            <x v="18"/>
          </reference>
        </references>
      </pivotArea>
    </format>
    <format dxfId="134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133">
      <pivotArea dataOnly="0" labelOnly="1" outline="0" fieldPosition="0">
        <references count="1">
          <reference field="24" count="1">
            <x v="12"/>
          </reference>
        </references>
      </pivotArea>
    </format>
    <format dxfId="132">
      <pivotArea dataOnly="0" labelOnly="1" outline="0" fieldPosition="0">
        <references count="1">
          <reference field="24" count="1">
            <x v="10"/>
          </reference>
        </references>
      </pivotArea>
    </format>
    <format dxfId="131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130">
      <pivotArea dataOnly="0" labelOnly="1" outline="0" fieldPosition="0">
        <references count="1">
          <reference field="24" count="1">
            <x v="6"/>
          </reference>
        </references>
      </pivotArea>
    </format>
    <format dxfId="129">
      <pivotArea dataOnly="0" labelOnly="1" outline="0" fieldPosition="0">
        <references count="1">
          <reference field="24" count="1">
            <x v="4"/>
          </reference>
        </references>
      </pivotArea>
    </format>
    <format dxfId="128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F87C7-A4D5-4F1F-BDD5-2E537EF5965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h="1" x="0"/>
        <item h="1" x="3"/>
        <item h="1" x="4"/>
        <item h="1" x="5"/>
        <item h="1" x="6"/>
        <item h="1" x="7"/>
        <item h="1" x="8"/>
        <item h="1" x="9"/>
        <item h="1" x="11"/>
        <item h="1" x="13"/>
        <item h="1" x="15"/>
        <item h="1" x="17"/>
        <item h="1" x="19"/>
        <item h="1" x="20"/>
        <item h="1" x="28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7"/>
        <item h="1" x="59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2"/>
        <item x="6"/>
        <item x="8"/>
        <item x="9"/>
        <item x="10"/>
        <item x="13"/>
        <item x="16"/>
        <item x="19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9">
    <i>
      <x v="1"/>
      <x v="23"/>
    </i>
    <i t="default">
      <x v="1"/>
    </i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127">
      <pivotArea outline="0" collapsedLevelsAreSubtotals="1" fieldPosition="0"/>
    </format>
    <format dxfId="126">
      <pivotArea dataOnly="0" labelOnly="1" outline="0" axis="axisValues" fieldPosition="0"/>
    </format>
    <format dxfId="125">
      <pivotArea dataOnly="0" outline="0" fieldPosition="0">
        <references count="1">
          <reference field="24" count="0" defaultSubtotal="1"/>
        </references>
      </pivotArea>
    </format>
    <format dxfId="124">
      <pivotArea dataOnly="0" outline="0" fieldPosition="0">
        <references count="1">
          <reference field="24" count="0" defaultSubtotal="1"/>
        </references>
      </pivotArea>
    </format>
    <format dxfId="123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67C9F-A2F1-4B95-AAEA-84531F2F8F09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3" firstHeaderRow="0" firstDataRow="1" firstDataCol="1" rowPageCount="3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16"/>
        <item x="34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x="7"/>
        <item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Page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7">
    <i>
      <x v="4"/>
    </i>
    <i>
      <x v="5"/>
    </i>
    <i>
      <x v="10"/>
    </i>
    <i>
      <x v="12"/>
    </i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6">
    <format dxfId="122">
      <pivotArea outline="0" collapsedLevelsAreSubtotals="1" fieldPosition="0"/>
    </format>
    <format dxfId="121">
      <pivotArea dataOnly="0" labelOnly="1" outline="0" axis="axisValues" fieldPosition="0"/>
    </format>
    <format dxfId="120">
      <pivotArea dataOnly="0" outline="0" fieldPosition="0">
        <references count="1">
          <reference field="24" count="0" defaultSubtotal="1"/>
        </references>
      </pivotArea>
    </format>
    <format dxfId="119">
      <pivotArea dataOnly="0" outline="0" fieldPosition="0">
        <references count="1">
          <reference field="24" count="0" defaultSubtotal="1"/>
        </references>
      </pivotArea>
    </format>
    <format dxfId="118">
      <pivotArea dataOnly="0" outline="0" fieldPosition="0">
        <references count="1">
          <reference field="24" count="0" defaultSubtotal="1"/>
        </references>
      </pivotArea>
    </format>
    <format dxfId="117">
      <pivotArea outline="0" fieldPosition="0">
        <references count="2">
          <reference field="4294967294" count="1" selected="0">
            <x v="3"/>
          </reference>
          <reference field="24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116">
      <pivotArea outline="0" collapsedLevelsAreSubtotals="1" fieldPosition="0"/>
    </format>
    <format dxfId="115">
      <pivotArea dataOnly="0" labelOnly="1" outline="0" axis="axisValues" fieldPosition="0"/>
    </format>
    <format dxfId="114">
      <pivotArea dataOnly="0" outline="0" fieldPosition="0">
        <references count="1">
          <reference field="24" count="0" defaultSubtotal="1"/>
        </references>
      </pivotArea>
    </format>
    <format dxfId="113">
      <pivotArea dataOnly="0" outline="0" fieldPosition="0">
        <references count="1">
          <reference field="24" count="0" defaultSubtotal="1"/>
        </references>
      </pivotArea>
    </format>
    <format dxfId="112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0DCE8-7796-43C6-889E-FEE58A1AD43B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34"/>
        <item h="1" x="16"/>
        <item h="1" x="60"/>
        <item h="1" x="12"/>
        <item h="1" x="14"/>
        <item h="1" x="22"/>
        <item h="1" x="25"/>
        <item h="1" x="26"/>
        <item h="1" x="23"/>
        <item h="1" x="24"/>
        <item h="1" x="21"/>
        <item h="1" x="18"/>
        <item h="1" x="27"/>
        <item h="1" x="56"/>
        <item h="1" x="58"/>
        <item h="1" x="11"/>
        <item h="1" x="15"/>
        <item h="1" x="13"/>
        <item h="1" x="20"/>
        <item h="1" x="19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5">
    <i>
      <x v="1"/>
      <x v="26"/>
    </i>
    <i t="default">
      <x v="1"/>
    </i>
    <i>
      <x v="12"/>
      <x v="8"/>
    </i>
    <i t="default">
      <x v="1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5">
    <format dxfId="111">
      <pivotArea outline="0" collapsedLevelsAreSubtotals="1" fieldPosition="0"/>
    </format>
    <format dxfId="110">
      <pivotArea dataOnly="0" labelOnly="1" outline="0" axis="axisValues" fieldPosition="0"/>
    </format>
    <format dxfId="109">
      <pivotArea dataOnly="0" outline="0" fieldPosition="0">
        <references count="1">
          <reference field="24" count="0" defaultSubtotal="1"/>
        </references>
      </pivotArea>
    </format>
    <format dxfId="108">
      <pivotArea dataOnly="0" outline="0" fieldPosition="0">
        <references count="1">
          <reference field="24" count="0" defaultSubtotal="1"/>
        </references>
      </pivotArea>
    </format>
    <format dxfId="107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4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45843</v>
      </c>
      <c r="E3" s="80" t="s">
        <v>52</v>
      </c>
      <c r="F3" s="80"/>
      <c r="G3" s="81">
        <v>11.24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8" t="s">
        <v>46</v>
      </c>
      <c r="AA4" s="79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45833</v>
      </c>
      <c r="B7" s="14" t="str">
        <f>[2]หน้าผ้า!B16</f>
        <v>MK68-000834</v>
      </c>
      <c r="C7" s="9" t="str">
        <f>[2]หน้าผ้า!E16</f>
        <v>บจก.น้ำตาลทิพย์สุโขทัย</v>
      </c>
      <c r="D7" s="13" t="str">
        <f>[2]หน้าผ้า!F16</f>
        <v>ไม่พิมพ์</v>
      </c>
      <c r="E7" s="9">
        <f>[2]หน้าผ้า!G16</f>
        <v>14</v>
      </c>
      <c r="F7" s="9">
        <f>[2]หน้าผ้า!H16</f>
        <v>20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>
        <f>[2]หน้าผ้า!T16</f>
        <v>15</v>
      </c>
      <c r="N7" s="9">
        <f>[2]หน้าผ้า!U16</f>
        <v>22</v>
      </c>
      <c r="O7" s="9">
        <f>[2]หน้าผ้า!V16</f>
        <v>40</v>
      </c>
      <c r="P7" s="10">
        <f>[2]หน้าผ้า!AB16</f>
        <v>48.848418431999995</v>
      </c>
      <c r="Q7" s="10">
        <f>[2]หน้าผ้า!AC16</f>
        <v>0</v>
      </c>
      <c r="R7" s="10">
        <f>[2]หน้าผ้า!AD16</f>
        <v>48.848418431999995</v>
      </c>
      <c r="S7" s="9" t="str">
        <f>[2]หน้าผ้า!Z16</f>
        <v>500กระสอบแบน</v>
      </c>
      <c r="T7" s="12">
        <f>[2]หน้าผ้า!X16</f>
        <v>45848</v>
      </c>
      <c r="U7" s="11">
        <f>[2]หน้าผ้า!AA16</f>
        <v>6000</v>
      </c>
      <c r="V7" s="10">
        <f>[2]หน้าผ้า!AJ16</f>
        <v>0</v>
      </c>
      <c r="W7" s="10">
        <f>[2]หน้าผ้า!AL16</f>
        <v>6000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3604.2600000000007</v>
      </c>
      <c r="AB7" s="8">
        <f>[2]หน้าผ้า!AR16</f>
        <v>3604.2600000000007</v>
      </c>
      <c r="AC7" s="8">
        <f>[2]หน้าผ้า!AS16</f>
        <v>0</v>
      </c>
      <c r="AD7" s="8">
        <f>[2]หน้าผ้า!AT16</f>
        <v>0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ยังไม่ได้พิมพ์</v>
      </c>
      <c r="AH7" s="1" t="str">
        <f>[2]หน้าผ้า!DL16</f>
        <v>P13</v>
      </c>
      <c r="AI7" s="1">
        <f>[2]หน้าผ้า!DM16</f>
        <v>2</v>
      </c>
      <c r="AJ7" s="3">
        <f>[2]หน้าผ้า!DN16</f>
        <v>45848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45846</v>
      </c>
      <c r="AP7" s="3">
        <f>[2]หน้าผ้า!DP16</f>
        <v>45843</v>
      </c>
      <c r="AQ7" s="3">
        <f>[2]หน้าผ้า!DW16</f>
        <v>45847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ตัด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>
        <f>[2]หน้าผ้า!F17</f>
        <v>0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36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3604.2600000000007</v>
      </c>
      <c r="AB8" s="8">
        <f>[2]หน้าผ้า!AR17</f>
        <v>3604.2600000000007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WRWT140800/WRWT25800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45842</v>
      </c>
      <c r="B9" s="14" t="str">
        <f>[2]หน้าผ้า!B18</f>
        <v>ใบรับคำสั่งซื้อ</v>
      </c>
      <c r="C9" s="9" t="str">
        <f>[2]หน้าผ้า!E18</f>
        <v>พีมินเนอร์</v>
      </c>
      <c r="D9" s="13" t="str">
        <f>[2]หน้าผ้า!F18</f>
        <v>พี-มินเนอร์ นิวพลัส</v>
      </c>
      <c r="E9" s="9">
        <f>[2]หน้าผ้า!G18</f>
        <v>16</v>
      </c>
      <c r="F9" s="9">
        <f>[2]หน้าผ้า!H18</f>
        <v>28</v>
      </c>
      <c r="G9" s="9" t="str">
        <f>[2]หน้าผ้า!I18</f>
        <v>ขาว</v>
      </c>
      <c r="H9" s="9" t="str">
        <f>[2]หน้าผ้า!J18</f>
        <v>ใส</v>
      </c>
      <c r="I9" s="9">
        <f>[2]หน้าผ้า!L18</f>
        <v>56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>
        <f>[2]หน้าผ้า!T18</f>
        <v>19</v>
      </c>
      <c r="N9" s="9">
        <f>[2]หน้าผ้า!U18</f>
        <v>31</v>
      </c>
      <c r="O9" s="9">
        <f>[2]หน้าผ้า!V18</f>
        <v>40</v>
      </c>
      <c r="P9" s="10">
        <f>[2]หน้าผ้า!AB18</f>
        <v>72.655854687999991</v>
      </c>
      <c r="Q9" s="10">
        <f>[2]หน้าผ้า!AC18</f>
        <v>0</v>
      </c>
      <c r="R9" s="10">
        <f>[2]หน้าผ้า!AD18</f>
        <v>72.655854687999991</v>
      </c>
      <c r="S9" s="9" t="str">
        <f>[2]หน้าผ้า!Z18</f>
        <v>500กระสอบ</v>
      </c>
      <c r="T9" s="12">
        <f>[2]หน้าผ้า!X18</f>
        <v>45855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WSWT1625800SM</v>
      </c>
      <c r="AA9" s="8">
        <f>[2]หน้าผ้า!AQ18</f>
        <v>4121.1500000000005</v>
      </c>
      <c r="AB9" s="8">
        <f>[2]หน้าผ้า!AR18</f>
        <v>3175</v>
      </c>
      <c r="AC9" s="8">
        <f>[2]หน้าผ้า!AS18</f>
        <v>946.15000000000055</v>
      </c>
      <c r="AD9" s="8">
        <f>[2]หน้าผ้า!AT18</f>
        <v>3175</v>
      </c>
      <c r="AE9" s="8">
        <f>[2]หน้าผ้า!AU18</f>
        <v>946.15000000000055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P8</v>
      </c>
      <c r="AI9" s="1">
        <f>[2]หน้าผ้า!DM18</f>
        <v>4</v>
      </c>
      <c r="AJ9" s="3">
        <f>[2]หน้าผ้า!DN18</f>
        <v>45855</v>
      </c>
      <c r="AK9" s="3">
        <f>[2]หน้าผ้า!DQ18</f>
        <v>45851</v>
      </c>
      <c r="AL9" s="3">
        <f>[2]หน้าผ้า!DR18</f>
        <v>45845</v>
      </c>
      <c r="AM9" s="3">
        <f>[2]หน้าผ้า!DS18</f>
        <v>45852</v>
      </c>
      <c r="AN9" s="3">
        <f>[2]หน้าผ้า!DT18</f>
        <v>45853</v>
      </c>
      <c r="AO9" s="3">
        <f>[2]หน้าผ้า!DU18</f>
        <v>45853</v>
      </c>
      <c r="AP9" s="3">
        <f>[2]หน้าผ้า!DP18</f>
        <v>45850</v>
      </c>
      <c r="AQ9" s="3">
        <f>[2]หน้าผ้า!DW18</f>
        <v>45854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งานเคลือบ+พิมพ์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53.825422222222265</v>
      </c>
    </row>
    <row r="10" spans="1:56" ht="27.75" customHeight="1" x14ac:dyDescent="0.45">
      <c r="A10" s="3" t="str">
        <f>[2]หน้าผ้า!C19</f>
        <v>ประมาณการ</v>
      </c>
      <c r="B10" s="14" t="str">
        <f>[2]หน้าผ้า!B19</f>
        <v>ประมาณการ</v>
      </c>
      <c r="C10" s="9" t="str">
        <f>[2]หน้าผ้า!E19</f>
        <v>บจก.ซัน ซีเมนต์ โพรเซส</v>
      </c>
      <c r="D10" s="13" t="str">
        <f>[2]หน้าผ้า!F19</f>
        <v>พระอาทิตย์(ปูนนอน-ชริงค์)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50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บิด</v>
      </c>
      <c r="M10" s="10">
        <f>[2]หน้าผ้า!T19</f>
        <v>19</v>
      </c>
      <c r="N10" s="9">
        <f>[2]หน้าผ้า!U19</f>
        <v>28</v>
      </c>
      <c r="O10" s="9">
        <f>[2]หน้าผ้า!V19</f>
        <v>40</v>
      </c>
      <c r="P10" s="10">
        <f>[2]หน้าผ้า!AB19</f>
        <v>65.624642943999987</v>
      </c>
      <c r="Q10" s="10">
        <f>[2]หน้าผ้า!AC19</f>
        <v>0</v>
      </c>
      <c r="R10" s="10">
        <f>[2]หน้าผ้า!AD19</f>
        <v>65.624642943999987</v>
      </c>
      <c r="S10" s="9" t="str">
        <f>[2]หน้าผ้า!Z19</f>
        <v>500กระสอบ</v>
      </c>
      <c r="T10" s="12" t="str">
        <f>[2]หน้าผ้า!X19</f>
        <v>รอแจ้ง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WSWT1625800SM</v>
      </c>
      <c r="AA10" s="8">
        <f>[2]หน้าผ้า!AQ19</f>
        <v>3702.0499999999997</v>
      </c>
      <c r="AB10" s="8">
        <f>[2]หน้าผ้า!AR19</f>
        <v>0</v>
      </c>
      <c r="AC10" s="8">
        <f>[2]หน้าผ้า!AS19</f>
        <v>3702.0499999999997</v>
      </c>
      <c r="AD10" s="8">
        <f>[2]หน้าผ้า!AT19</f>
        <v>0</v>
      </c>
      <c r="AE10" s="8">
        <f>[2]หน้าผ้า!AU19</f>
        <v>3702.0499999999997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รอแจ้ง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>รอART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210.60551111111116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 t="str">
        <f>[2]หน้าผ้า!F20</f>
        <v xml:space="preserve"> 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WSWT1625800SM</v>
      </c>
      <c r="AA11" s="8">
        <f>[2]หน้าผ้า!AQ20</f>
        <v>7823.2000000000007</v>
      </c>
      <c r="AB11" s="8">
        <f>[2]หน้าผ้า!AR20</f>
        <v>3175</v>
      </c>
      <c r="AC11" s="8">
        <f>[2]หน้าผ้า!AS20</f>
        <v>4648.2000000000007</v>
      </c>
      <c r="AD11" s="8">
        <f>[2]หน้าผ้า!AT20</f>
        <v>3175</v>
      </c>
      <c r="AE11" s="8">
        <f>[2]หน้าผ้า!AU20</f>
        <v>4648.2000000000007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47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WSWT1621720SMFX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พร้อมส่ง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WRWT160720/WRWT21720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17</v>
      </c>
      <c r="F14" s="9">
        <f>[2]หน้าผ้า!H23</f>
        <v>26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48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WSWT1725800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รอตัด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WRWT170800/WRWT25800</v>
      </c>
      <c r="BD14" s="56">
        <f>[2]หน้าผ้า!CA23</f>
        <v>0</v>
      </c>
    </row>
    <row r="15" spans="1:56" ht="27.75" customHeight="1" x14ac:dyDescent="0.45">
      <c r="A15" s="3" t="str">
        <f>[2]หน้าผ้า!C24</f>
        <v>ประมาณการ</v>
      </c>
      <c r="B15" s="14" t="str">
        <f>[2]หน้าผ้า!B24</f>
        <v>ประมาณการ</v>
      </c>
      <c r="C15" s="9" t="str">
        <f>[2]หน้าผ้า!E24</f>
        <v>บจก.ฟาร์เธอร์ส วิง ซัพพลาย</v>
      </c>
      <c r="D15" s="13" t="str">
        <f>[2]หน้าผ้า!F24</f>
        <v>รถไฟ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บิด</v>
      </c>
      <c r="M15" s="10">
        <f>[2]หน้าผ้า!T24</f>
        <v>19</v>
      </c>
      <c r="N15" s="9">
        <f>[2]หน้าผ้า!U24</f>
        <v>33</v>
      </c>
      <c r="O15" s="9">
        <f>[2]หน้าผ้า!V24</f>
        <v>40</v>
      </c>
      <c r="P15" s="10">
        <f>[2]หน้าผ้า!AB24</f>
        <v>232.02998755199997</v>
      </c>
      <c r="Q15" s="10">
        <f>[2]หน้าผ้า!AC24</f>
        <v>0</v>
      </c>
      <c r="R15" s="10">
        <f>[2]หน้าผ้า!AD24</f>
        <v>232.02998755199997</v>
      </c>
      <c r="S15" s="9" t="str">
        <f>[2]หน้าผ้า!Z24</f>
        <v>500กระสอบ</v>
      </c>
      <c r="T15" s="12">
        <f>[2]หน้าผ้า!X24</f>
        <v>45868</v>
      </c>
      <c r="U15" s="11">
        <f>[2]หน้าผ้า!AA24</f>
        <v>15000</v>
      </c>
      <c r="V15" s="10">
        <f>[2]หน้าผ้า!AJ24</f>
        <v>0</v>
      </c>
      <c r="W15" s="10">
        <f>[2]หน้าผ้า!AL24</f>
        <v>15000</v>
      </c>
      <c r="X15" s="10">
        <f>[2]หน้าผ้า!AM24</f>
        <v>0</v>
      </c>
      <c r="Y15" s="10">
        <f>[2]หน้าผ้า!AN24</f>
        <v>15750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พร้อมส่ง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45868</v>
      </c>
      <c r="AK15" s="3">
        <f>[2]หน้าผ้า!DQ24</f>
        <v>0</v>
      </c>
      <c r="AL15" s="3">
        <f>[2]หน้าผ้า!DR24</f>
        <v>45858</v>
      </c>
      <c r="AM15" s="3">
        <f>[2]หน้าผ้า!DS24</f>
        <v>45865</v>
      </c>
      <c r="AN15" s="3">
        <f>[2]หน้าผ้า!DT24</f>
        <v>45866</v>
      </c>
      <c r="AO15" s="3">
        <f>[2]หน้าผ้า!DU24</f>
        <v>45866</v>
      </c>
      <c r="AP15" s="3">
        <f>[2]หน้าผ้า!DP24</f>
        <v>45863</v>
      </c>
      <c r="AQ15" s="3">
        <f>[2]หน้าผ้า!DW24</f>
        <v>45867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>รอART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474.76472000000001</v>
      </c>
    </row>
    <row r="16" spans="1:56" ht="27.75" customHeight="1" x14ac:dyDescent="0.45">
      <c r="A16" s="3">
        <f>[2]หน้าผ้า!C25</f>
        <v>0</v>
      </c>
      <c r="B16" s="14">
        <f>[2]หน้าผ้า!B25</f>
        <v>0</v>
      </c>
      <c r="C16" s="9" t="str">
        <f>[2]หน้าผ้า!E25</f>
        <v xml:space="preserve">  </v>
      </c>
      <c r="D16" s="13" t="str">
        <f>[2]หน้าผ้า!F25</f>
        <v xml:space="preserve"> 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54</v>
      </c>
      <c r="J16" s="9" t="str">
        <f>[2]หน้าผ้า!M25</f>
        <v>±</v>
      </c>
      <c r="K16" s="9">
        <f>[2]หน้าผ้า!N25</f>
        <v>5</v>
      </c>
      <c r="L16" s="9">
        <f>[2]หน้าผ้า!R25</f>
        <v>0</v>
      </c>
      <c r="M16" s="10">
        <f>[2]หน้าผ้า!T25</f>
        <v>0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>
        <f>[2]หน้าผ้า!Z25</f>
        <v>0</v>
      </c>
      <c r="T16" s="12">
        <f>[2]หน้าผ้า!X25</f>
        <v>0</v>
      </c>
      <c r="U16" s="11">
        <f>[2]หน้าผ้า!AA25</f>
        <v>0</v>
      </c>
      <c r="V16" s="10">
        <f>[2]หน้าผ้า!AJ25</f>
        <v>0</v>
      </c>
      <c r="W16" s="10">
        <f>[2]หน้าผ้า!AL25</f>
        <v>0</v>
      </c>
      <c r="X16" s="10">
        <f>[2]หน้าผ้า!AM25</f>
        <v>0</v>
      </c>
      <c r="Y16" s="10">
        <f>[2]หน้าผ้า!AN25</f>
        <v>0</v>
      </c>
      <c r="Z16" s="9" t="str">
        <f>[2]หน้าผ้า!AO25</f>
        <v>WSWT1825800</v>
      </c>
      <c r="AA16" s="8">
        <f>[2]หน้าผ้า!AQ25</f>
        <v>13201.65</v>
      </c>
      <c r="AB16" s="8">
        <f>[2]หน้าผ้า!AR25</f>
        <v>6301</v>
      </c>
      <c r="AC16" s="8">
        <f>[2]หน้าผ้า!AS25</f>
        <v>6900.65</v>
      </c>
      <c r="AD16" s="8">
        <f>[2]หน้าผ้า!AT25</f>
        <v>0</v>
      </c>
      <c r="AE16" s="8">
        <f>[2]หน้าผ้า!AU25</f>
        <v>0</v>
      </c>
      <c r="AF16" s="8" t="str">
        <f>[2]หน้าผ้า!AI25</f>
        <v>ระบุในSD</v>
      </c>
      <c r="AG16" s="1" t="str">
        <f>[3]หน้าผ้า!DC28</f>
        <v>พิมพ์ไม่ครบ</v>
      </c>
      <c r="AH16" s="1">
        <f>[2]หน้าผ้า!DL25</f>
        <v>0</v>
      </c>
      <c r="AI16" s="1" t="str">
        <f>[2]หน้าผ้า!DM25</f>
        <v>Lead time</v>
      </c>
      <c r="AJ16" s="3">
        <f>[2]หน้าผ้า!DN25</f>
        <v>0</v>
      </c>
      <c r="AK16" s="3">
        <f>[2]หน้าผ้า!DQ25</f>
        <v>0</v>
      </c>
      <c r="AL16" s="3">
        <f>[2]หน้าผ้า!DR25</f>
        <v>0</v>
      </c>
      <c r="AM16" s="3">
        <f>[2]หน้าผ้า!DS25</f>
        <v>0</v>
      </c>
      <c r="AN16" s="3">
        <f>[2]หน้าผ้า!DT25</f>
        <v>0</v>
      </c>
      <c r="AO16" s="3">
        <f>[2]หน้าผ้า!DU25</f>
        <v>0</v>
      </c>
      <c r="AP16" s="3">
        <f>[2]หน้าผ้า!DP25</f>
        <v>0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>
        <f>[2]หน้าผ้า!EC25</f>
        <v>0</v>
      </c>
      <c r="AX16" s="2">
        <f>[2]หน้าผ้า!ED25</f>
        <v>0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45831</v>
      </c>
      <c r="B17" s="14" t="str">
        <f>[2]หน้าผ้า!B26</f>
        <v>MK68-000830</v>
      </c>
      <c r="C17" s="9" t="str">
        <f>[2]หน้าผ้า!E26</f>
        <v>บจก.2เอ็ม อโกร เท็ค</v>
      </c>
      <c r="D17" s="13" t="str">
        <f>[2]หน้าผ้า!F26</f>
        <v>เลิฟซอยล์26-6-6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70</v>
      </c>
      <c r="P17" s="10">
        <f>[2]หน้าผ้า!AB26</f>
        <v>135.35082607199999</v>
      </c>
      <c r="Q17" s="10">
        <f>[2]หน้าผ้า!AC26</f>
        <v>0</v>
      </c>
      <c r="R17" s="10">
        <f>[2]หน้าผ้า!AD26</f>
        <v>135.35082607199999</v>
      </c>
      <c r="S17" s="9" t="str">
        <f>[2]หน้าผ้า!Z26</f>
        <v>500กระสอบ</v>
      </c>
      <c r="T17" s="12">
        <f>[2]หน้าผ้า!X26</f>
        <v>45846</v>
      </c>
      <c r="U17" s="11">
        <f>[2]หน้าผ้า!AA26</f>
        <v>5000</v>
      </c>
      <c r="V17" s="10">
        <f>[2]หน้าผ้า!AJ26</f>
        <v>0</v>
      </c>
      <c r="W17" s="10">
        <f>[2]หน้าผ้า!AL26</f>
        <v>5000</v>
      </c>
      <c r="X17" s="10">
        <f>[2]หน้าผ้า!AM26</f>
        <v>5404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0</v>
      </c>
      <c r="AB17" s="8">
        <f>[2]หน้าผ้า!AR26</f>
        <v>0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 t="str">
        <f>[2]หน้าผ้า!AI26</f>
        <v>ขาด-เกินได้5%</v>
      </c>
      <c r="AG17" s="1" t="str">
        <f>[3]หน้าผ้า!DC29</f>
        <v>รอตัด</v>
      </c>
      <c r="AH17" s="1" t="str">
        <f>[2]หน้าผ้า!DL26</f>
        <v>P8</v>
      </c>
      <c r="AI17" s="1">
        <f>[2]หน้าผ้า!DM26</f>
        <v>4</v>
      </c>
      <c r="AJ17" s="3">
        <f>[2]หน้าผ้า!DN26</f>
        <v>45846</v>
      </c>
      <c r="AK17" s="3">
        <f>[2]หน้าผ้า!DQ26</f>
        <v>45842</v>
      </c>
      <c r="AL17" s="3">
        <f>[2]หน้าผ้า!DR26</f>
        <v>45836</v>
      </c>
      <c r="AM17" s="3">
        <f>[2]หน้าผ้า!DS26</f>
        <v>45843</v>
      </c>
      <c r="AN17" s="3">
        <f>[2]หน้าผ้า!DT26</f>
        <v>45844</v>
      </c>
      <c r="AO17" s="3">
        <f>[2]หน้าผ้า!DU26</f>
        <v>45844</v>
      </c>
      <c r="AP17" s="3">
        <f>[2]หน้าผ้า!DP26</f>
        <v>45841</v>
      </c>
      <c r="AQ17" s="3">
        <f>[2]หน้าผ้า!DW26</f>
        <v>45845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0</v>
      </c>
      <c r="AB18" s="8">
        <f>[2]หน้าผ้า!AR27</f>
        <v>0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รอแบบ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45827</v>
      </c>
      <c r="B19" s="14" t="str">
        <f>[2]หน้าผ้า!B28</f>
        <v>MK68-000811</v>
      </c>
      <c r="C19" s="9" t="str">
        <f>[2]หน้าผ้า!E28</f>
        <v>บจก.เพรซิเดนท์ฟลาวมิลล์</v>
      </c>
      <c r="D19" s="13" t="str">
        <f>[2]หน้าผ้า!F28</f>
        <v>ผึ้งเหลือง</v>
      </c>
      <c r="E19" s="9">
        <f>[2]หน้าผ้า!G28</f>
        <v>19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60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บิด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</v>
      </c>
      <c r="T19" s="12">
        <f>[2]หน้าผ้า!X28</f>
        <v>45847</v>
      </c>
      <c r="U19" s="11">
        <f>[2]หน้าผ้า!AA28</f>
        <v>50000</v>
      </c>
      <c r="V19" s="10">
        <f>[2]หน้าผ้า!AJ28</f>
        <v>2236</v>
      </c>
      <c r="W19" s="10">
        <f>[2]หน้าผ้า!AL28</f>
        <v>47764</v>
      </c>
      <c r="X19" s="10">
        <f>[2]หน้าผ้า!AM28</f>
        <v>20566</v>
      </c>
      <c r="Y19" s="10">
        <f>[2]หน้าผ้า!AN28</f>
        <v>30905.7</v>
      </c>
      <c r="Z19" s="9" t="str">
        <f>[2]หน้าผ้า!AO28</f>
        <v>WSWT1925800</v>
      </c>
      <c r="AA19" s="8">
        <f>[2]หน้าผ้า!AQ28</f>
        <v>27200.415626999998</v>
      </c>
      <c r="AB19" s="8">
        <f>[2]หน้าผ้า!AR28</f>
        <v>27200.415626999998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P7</v>
      </c>
      <c r="AI19" s="1">
        <f>[2]หน้าผ้า!DM28</f>
        <v>2</v>
      </c>
      <c r="AJ19" s="3">
        <f>[2]หน้าผ้า!DN28</f>
        <v>45847</v>
      </c>
      <c r="AK19" s="3">
        <f>[2]หน้าผ้า!DQ28</f>
        <v>0</v>
      </c>
      <c r="AL19" s="3">
        <f>[2]หน้าผ้า!DR28</f>
        <v>45838</v>
      </c>
      <c r="AM19" s="3">
        <f>[2]หน้าผ้า!DS28</f>
        <v>45845</v>
      </c>
      <c r="AN19" s="3">
        <f>[2]หน้าผ้า!DT28</f>
        <v>45846</v>
      </c>
      <c r="AO19" s="3">
        <f>[2]หน้าผ้า!DU28</f>
        <v>45846</v>
      </c>
      <c r="AP19" s="3">
        <f>[2]หน้าผ้า!DP28</f>
        <v>45842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 t="str">
        <f>[2]หน้าผ้า!AG28</f>
        <v>เย็น8/7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45827</v>
      </c>
      <c r="B20" s="14" t="str">
        <f>[2]หน้าผ้า!B29</f>
        <v>MK68-000812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ผึ้งชมพู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</v>
      </c>
      <c r="T20" s="12">
        <f>[2]หน้าผ้า!X29</f>
        <v>45855</v>
      </c>
      <c r="U20" s="11">
        <f>[2]หน้าผ้า!AA29</f>
        <v>20000</v>
      </c>
      <c r="V20" s="10">
        <f>[2]หน้าผ้า!AJ29</f>
        <v>314</v>
      </c>
      <c r="W20" s="10">
        <f>[2]หน้าผ้า!AL29</f>
        <v>19686</v>
      </c>
      <c r="X20" s="10">
        <f>[2]หน้าผ้า!AM29</f>
        <v>20900</v>
      </c>
      <c r="Y20" s="10">
        <f>[2]หน้าผ้า!AN29</f>
        <v>0</v>
      </c>
      <c r="Z20" s="9" t="str">
        <f>[2]หน้าผ้า!AO29</f>
        <v>WSWT1925800</v>
      </c>
      <c r="AA20" s="8">
        <f>[2]หน้าผ้า!AQ29</f>
        <v>0</v>
      </c>
      <c r="AB20" s="8">
        <f>[2]หน้าผ้า!AR29</f>
        <v>0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45855</v>
      </c>
      <c r="AK20" s="3">
        <f>[2]หน้าผ้า!DQ29</f>
        <v>0</v>
      </c>
      <c r="AL20" s="3">
        <f>[2]หน้าผ้า!DR29</f>
        <v>45846</v>
      </c>
      <c r="AM20" s="3">
        <f>[2]หน้าผ้า!DS29</f>
        <v>45853</v>
      </c>
      <c r="AN20" s="3">
        <f>[2]หน้าผ้า!DT29</f>
        <v>45854</v>
      </c>
      <c r="AO20" s="3">
        <f>[2]หน้าผ้า!DU29</f>
        <v>45854</v>
      </c>
      <c r="AP20" s="3">
        <f>[2]หน้าผ้า!DP29</f>
        <v>45850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 xml:space="preserve"> /</v>
      </c>
      <c r="AY20" s="2" t="str">
        <f>[2]หน้าผ้า!AG29</f>
        <v>เย็น16/7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0</v>
      </c>
    </row>
    <row r="21" spans="1:56" ht="27.75" customHeight="1" x14ac:dyDescent="0.45">
      <c r="A21" s="3" t="str">
        <f>[2]หน้าผ้า!C30</f>
        <v>ประมาณการ</v>
      </c>
      <c r="B21" s="14" t="str">
        <f>[2]หน้าผ้า!B30</f>
        <v>ประมาณการ</v>
      </c>
      <c r="C21" s="9" t="str">
        <f>[2]หน้าผ้า!E30</f>
        <v>บจก.ซีแมน</v>
      </c>
      <c r="D21" s="13" t="str">
        <f>[2]หน้าผ้า!F30</f>
        <v>รอแบบ</v>
      </c>
      <c r="E21" s="9">
        <f>[2]หน้าผ้า!G30</f>
        <v>19</v>
      </c>
      <c r="F21" s="9">
        <f>[2]หน้าผ้า!H30</f>
        <v>28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56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>
        <f>[2]หน้าผ้า!T30</f>
        <v>20</v>
      </c>
      <c r="N21" s="9">
        <f>[2]หน้าผ้า!U30</f>
        <v>30</v>
      </c>
      <c r="O21" s="9">
        <f>[2]หน้าผ้า!V30</f>
        <v>90</v>
      </c>
      <c r="P21" s="10">
        <f>[2]หน้าผ้า!AB30</f>
        <v>1998.3443903999996</v>
      </c>
      <c r="Q21" s="10">
        <f>[2]หน้าผ้า!AC30</f>
        <v>0</v>
      </c>
      <c r="R21" s="10">
        <f>[2]หน้าผ้า!AD30</f>
        <v>1998.3443903999996</v>
      </c>
      <c r="S21" s="9" t="str">
        <f>[2]หน้าผ้า!Z30</f>
        <v>มัด100</v>
      </c>
      <c r="T21" s="12">
        <f>[2]หน้าผ้า!X30</f>
        <v>45868</v>
      </c>
      <c r="U21" s="11">
        <f>[2]หน้าผ้า!AA30</f>
        <v>60000</v>
      </c>
      <c r="V21" s="10">
        <f>[2]หน้าผ้า!AJ30</f>
        <v>0</v>
      </c>
      <c r="W21" s="10">
        <f>[2]หน้าผ้า!AL30</f>
        <v>60000</v>
      </c>
      <c r="X21" s="10">
        <f>[2]หน้าผ้า!AM30</f>
        <v>0</v>
      </c>
      <c r="Y21" s="10">
        <f>[2]หน้าผ้า!AN30</f>
        <v>63000</v>
      </c>
      <c r="Z21" s="9" t="str">
        <f>[2]หน้าผ้า!AO30</f>
        <v>WSWT1925800</v>
      </c>
      <c r="AA21" s="8">
        <f>[2]หน้าผ้า!AQ30</f>
        <v>49453.8</v>
      </c>
      <c r="AB21" s="8">
        <f>[2]หน้าผ้า!AR30</f>
        <v>5219</v>
      </c>
      <c r="AC21" s="8">
        <f>[2]หน้าผ้า!AS30</f>
        <v>44234.8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พร้อมส่ง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45868</v>
      </c>
      <c r="AK21" s="3">
        <f>[2]หน้าผ้า!DQ30</f>
        <v>0</v>
      </c>
      <c r="AL21" s="3">
        <f>[2]หน้าผ้า!DR30</f>
        <v>45858</v>
      </c>
      <c r="AM21" s="3">
        <f>[2]หน้าผ้า!DS30</f>
        <v>45865</v>
      </c>
      <c r="AN21" s="3">
        <f>[2]หน้าผ้า!DT30</f>
        <v>45866</v>
      </c>
      <c r="AO21" s="3">
        <f>[2]หน้าผ้า!DU30</f>
        <v>45866</v>
      </c>
      <c r="AP21" s="3">
        <f>[2]หน้าผ้า!DP30</f>
        <v>45863</v>
      </c>
      <c r="AQ21" s="3">
        <f>[2]หน้าผ้า!DW30</f>
        <v>45867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3212.4294755555566</v>
      </c>
    </row>
    <row r="22" spans="1:56" ht="27.7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45868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45868</v>
      </c>
      <c r="AK22" s="3">
        <f>[2]หน้าผ้า!DQ31</f>
        <v>0</v>
      </c>
      <c r="AL22" s="3">
        <f>[2]หน้าผ้า!DR31</f>
        <v>45859</v>
      </c>
      <c r="AM22" s="3">
        <f>[2]หน้าผ้า!DS31</f>
        <v>45866</v>
      </c>
      <c r="AN22" s="3">
        <f>[2]หน้าผ้า!DT31</f>
        <v>45867</v>
      </c>
      <c r="AO22" s="3">
        <f>[2]หน้าผ้า!DU31</f>
        <v>45867</v>
      </c>
      <c r="AP22" s="3">
        <f>[2]หน้าผ้า!DP31</f>
        <v>45863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7.7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บจก.ไลม์มาสเตอร์</v>
      </c>
      <c r="D23" s="13" t="str">
        <f>[2]หน้าผ้า!F32</f>
        <v>LMC 25 kg</v>
      </c>
      <c r="E23" s="9">
        <f>[2]หน้าผ้า!G32</f>
        <v>19</v>
      </c>
      <c r="F23" s="9">
        <f>[2]หน้าผ้า!H32</f>
        <v>32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>
        <f>[2]หน้าผ้า!T32</f>
        <v>20</v>
      </c>
      <c r="N23" s="9">
        <f>[2]หน้าผ้า!U32</f>
        <v>35</v>
      </c>
      <c r="O23" s="9">
        <f>[2]หน้าผ้า!V32</f>
        <v>40</v>
      </c>
      <c r="P23" s="10">
        <f>[2]หน้าผ้า!AB32</f>
        <v>345.39285759999996</v>
      </c>
      <c r="Q23" s="10">
        <f>[2]หน้าผ้า!AC32</f>
        <v>0</v>
      </c>
      <c r="R23" s="10">
        <f>[2]หน้าผ้า!AD32</f>
        <v>345.39285759999996</v>
      </c>
      <c r="S23" s="9" t="str">
        <f>[2]หน้าผ้า!Z32</f>
        <v>500กระสอบแบน</v>
      </c>
      <c r="T23" s="12">
        <f>[2]หน้าผ้า!X32</f>
        <v>45868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18719.800000000003</v>
      </c>
      <c r="AB23" s="8">
        <f>[2]หน้าผ้า!AR32</f>
        <v>0</v>
      </c>
      <c r="AC23" s="8">
        <f>[2]หน้าผ้า!AS32</f>
        <v>18719.800000000003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P9</v>
      </c>
      <c r="AI23" s="1">
        <f>[2]หน้าผ้า!DM32</f>
        <v>3</v>
      </c>
      <c r="AJ23" s="3">
        <f>[2]หน้าผ้า!DN32</f>
        <v>45868</v>
      </c>
      <c r="AK23" s="3">
        <f>[2]หน้าผ้า!DQ32</f>
        <v>0</v>
      </c>
      <c r="AL23" s="3">
        <f>[2]หน้าผ้า!DR32</f>
        <v>45858</v>
      </c>
      <c r="AM23" s="3">
        <f>[2]หน้าผ้า!DS32</f>
        <v>45865</v>
      </c>
      <c r="AN23" s="3">
        <f>[2]หน้าผ้า!DT32</f>
        <v>45866</v>
      </c>
      <c r="AO23" s="3">
        <f>[2]หน้าผ้า!DU32</f>
        <v>45866</v>
      </c>
      <c r="AP23" s="3">
        <f>[2]หน้าผ้า!DP32</f>
        <v>45863</v>
      </c>
      <c r="AQ23" s="3">
        <f>[2]หน้าผ้า!DW32</f>
        <v>45867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1359.4734755555558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>
        <f>[2]หน้าผ้า!F33</f>
        <v>0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WSWT1925800</v>
      </c>
      <c r="AA24" s="8">
        <f>[2]หน้าผ้า!AQ33</f>
        <v>130578.41562699999</v>
      </c>
      <c r="AB24" s="8">
        <f>[2]หน้าผ้า!AR33</f>
        <v>32419.415626999998</v>
      </c>
      <c r="AC24" s="8">
        <f>[2]หน้าผ้า!AS33</f>
        <v>98159.000000000015</v>
      </c>
      <c r="AD24" s="8">
        <f>[2]หน้าผ้า!AT33</f>
        <v>0</v>
      </c>
      <c r="AE24" s="8">
        <f>[2]หน้าผ้า!AU33</f>
        <v>0</v>
      </c>
      <c r="AF24" s="8" t="str">
        <f>[2]หน้าผ้า!AI33</f>
        <v>ระบุในSD</v>
      </c>
      <c r="AG24" s="1" t="str">
        <f>[3]หน้าผ้า!DC36</f>
        <v>ผ้าขาว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45833</v>
      </c>
      <c r="B25" s="14" t="str">
        <f>[2]หน้าผ้า!B34</f>
        <v>MK68-000831</v>
      </c>
      <c r="C25" s="9" t="str">
        <f>[2]หน้าผ้า!E34</f>
        <v>บจก.เคอรี่ฟลาวมิลล์</v>
      </c>
      <c r="D25" s="13" t="str">
        <f>[2]หน้าผ้า!F34</f>
        <v>BS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67</v>
      </c>
      <c r="J25" s="9" t="str">
        <f>[2]หน้าผ้า!M34</f>
        <v>+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ห่ออัดเบลแบน500</v>
      </c>
      <c r="T25" s="12">
        <f>[2]หน้าผ้า!X34</f>
        <v>45845</v>
      </c>
      <c r="U25" s="11">
        <f>[2]หน้าผ้า!AA34</f>
        <v>3000</v>
      </c>
      <c r="V25" s="10">
        <f>[2]หน้าผ้า!AJ34</f>
        <v>2794</v>
      </c>
      <c r="W25" s="10">
        <f>[2]หน้าผ้า!AL34</f>
        <v>206</v>
      </c>
      <c r="X25" s="10">
        <f>[2]หน้าผ้า!AM34</f>
        <v>3300</v>
      </c>
      <c r="Y25" s="10">
        <f>[2]หน้าผ้า!AN34</f>
        <v>0</v>
      </c>
      <c r="Z25" s="9" t="str">
        <f>[2]หน้าผ้า!AO34</f>
        <v>WSWT1921720</v>
      </c>
      <c r="AA25" s="8">
        <f>[2]หน้าผ้า!AQ34</f>
        <v>0</v>
      </c>
      <c r="AB25" s="8">
        <f>[2]หน้าผ้า!AR34</f>
        <v>0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PDR250207</v>
      </c>
      <c r="AG25" s="1" t="str">
        <f>[3]หน้าผ้า!DC37</f>
        <v>ผ้าขาว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45845</v>
      </c>
      <c r="AK25" s="3">
        <f>[2]หน้าผ้า!DQ34</f>
        <v>0</v>
      </c>
      <c r="AL25" s="3">
        <f>[2]หน้าผ้า!DR34</f>
        <v>45836</v>
      </c>
      <c r="AM25" s="3">
        <f>[2]หน้าผ้า!DS34</f>
        <v>45843</v>
      </c>
      <c r="AN25" s="3">
        <f>[2]หน้าผ้า!DT34</f>
        <v>45844</v>
      </c>
      <c r="AO25" s="3">
        <f>[2]หน้าผ้า!DU34</f>
        <v>45844</v>
      </c>
      <c r="AP25" s="3">
        <f>[2]หน้าผ้า!DP34</f>
        <v>45840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WRWT21720/WRWT25800</v>
      </c>
      <c r="BD25" s="56">
        <f>[2]หน้าผ้า!CA34</f>
        <v>0</v>
      </c>
    </row>
    <row r="26" spans="1:56" ht="27.75" customHeight="1" x14ac:dyDescent="0.45">
      <c r="A26" s="3">
        <f>[2]หน้าผ้า!C35</f>
        <v>45842</v>
      </c>
      <c r="B26" s="14" t="str">
        <f>[2]หน้าผ้า!B35</f>
        <v>MK68-000864</v>
      </c>
      <c r="C26" s="9" t="str">
        <f>[2]หน้าผ้า!E35</f>
        <v>บจก.เคอรี่ฟลาวมิลล์</v>
      </c>
      <c r="D26" s="13" t="str">
        <f>[2]หน้าผ้า!F35</f>
        <v>บะหมี่เตี๊ยว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63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45845</v>
      </c>
      <c r="U26" s="11">
        <f>[2]หน้าผ้า!AA35</f>
        <v>5000</v>
      </c>
      <c r="V26" s="10">
        <f>[2]หน้าผ้า!AJ35</f>
        <v>5091</v>
      </c>
      <c r="W26" s="10">
        <f>[2]หน้าผ้า!AL35</f>
        <v>0</v>
      </c>
      <c r="X26" s="10">
        <f>[2]หน้าผ้า!AM35</f>
        <v>5800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45845</v>
      </c>
      <c r="AK26" s="3">
        <f>[2]หน้าผ้า!DQ35</f>
        <v>0</v>
      </c>
      <c r="AL26" s="3">
        <f>[2]หน้าผ้า!DR35</f>
        <v>45836</v>
      </c>
      <c r="AM26" s="3">
        <f>[2]หน้าผ้า!DS35</f>
        <v>45843</v>
      </c>
      <c r="AN26" s="3">
        <f>[2]หน้าผ้า!DT35</f>
        <v>45844</v>
      </c>
      <c r="AO26" s="3">
        <f>[2]หน้าผ้า!DU35</f>
        <v>45844</v>
      </c>
      <c r="AP26" s="3">
        <f>[2]หน้าผ้า!DP35</f>
        <v>45840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45842</v>
      </c>
      <c r="B27" s="14" t="str">
        <f>[2]หน้าผ้า!B36</f>
        <v>MK68-000861</v>
      </c>
      <c r="C27" s="9" t="str">
        <f>[2]หน้าผ้า!E36</f>
        <v>บจก.เคอรี่ฟลาวมิลล์</v>
      </c>
      <c r="D27" s="13" t="str">
        <f>[2]หน้าผ้า!F36</f>
        <v>ไม่พิมพ์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63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ไม่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ห่ออัดเบลแบน501</v>
      </c>
      <c r="T27" s="12">
        <f>[2]หน้าผ้า!X36</f>
        <v>45853</v>
      </c>
      <c r="U27" s="11">
        <f>[2]หน้าผ้า!AA36</f>
        <v>20000</v>
      </c>
      <c r="V27" s="10">
        <f>[2]หน้าผ้า!AJ36</f>
        <v>0</v>
      </c>
      <c r="W27" s="10">
        <f>[2]หน้าผ้า!AL36</f>
        <v>20000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17602.2</v>
      </c>
      <c r="AB27" s="8">
        <f>[2]หน้าผ้า!AR36</f>
        <v>17602.2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ยังไม่ได้พิมพ์</v>
      </c>
      <c r="AH27" s="1" t="str">
        <f>[2]หน้าผ้า!DL36</f>
        <v>P3</v>
      </c>
      <c r="AI27" s="1">
        <f>[2]หน้าผ้า!DM36</f>
        <v>1</v>
      </c>
      <c r="AJ27" s="3">
        <f>[2]หน้าผ้า!DN36</f>
        <v>45853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45852</v>
      </c>
      <c r="AP27" s="3">
        <f>[2]หน้าผ้า!DP36</f>
        <v>45848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45842</v>
      </c>
      <c r="B28" s="14" t="str">
        <f>[2]หน้าผ้า!B37</f>
        <v>MK68-000862</v>
      </c>
      <c r="C28" s="9" t="str">
        <f>[2]หน้าผ้า!E37</f>
        <v>บจก.เคอรี่ฟลาวมิลล์</v>
      </c>
      <c r="D28" s="13" t="str">
        <f>[2]หน้าผ้า!F37</f>
        <v>ไม่พิมพ์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ไม่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ห่ออัดเบลแบน501</v>
      </c>
      <c r="T28" s="12">
        <f>[2]หน้าผ้า!X37</f>
        <v>45853</v>
      </c>
      <c r="U28" s="11">
        <f>[2]หน้าผ้า!AA37</f>
        <v>20000</v>
      </c>
      <c r="V28" s="10">
        <f>[2]หน้าผ้า!AJ37</f>
        <v>0</v>
      </c>
      <c r="W28" s="10">
        <f>[2]หน้าผ้า!AL37</f>
        <v>20000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17602.2</v>
      </c>
      <c r="AB28" s="8">
        <f>[2]หน้าผ้า!AR37</f>
        <v>17602.2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ยังไม่ได้พิมพ์</v>
      </c>
      <c r="AH28" s="1" t="str">
        <f>[2]หน้าผ้า!DL37</f>
        <v>P3</v>
      </c>
      <c r="AI28" s="1">
        <f>[2]หน้าผ้า!DM37</f>
        <v>1</v>
      </c>
      <c r="AJ28" s="3">
        <f>[2]หน้าผ้า!DN37</f>
        <v>45853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45852</v>
      </c>
      <c r="AP28" s="3">
        <f>[2]หน้าผ้า!DP37</f>
        <v>45848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45843</v>
      </c>
      <c r="B29" s="14" t="str">
        <f>[2]หน้าผ้า!B38</f>
        <v>MK68-000866</v>
      </c>
      <c r="C29" s="9" t="str">
        <f>[2]หน้าผ้า!E38</f>
        <v>บจก.เคอรี่ฟลาวมิลล์</v>
      </c>
      <c r="D29" s="13" t="str">
        <f>[2]หน้าผ้า!F38</f>
        <v>ปลาโลมาเทา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45864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0</v>
      </c>
      <c r="Y29" s="10">
        <f>[2]หน้าผ้า!AN38</f>
        <v>5250</v>
      </c>
      <c r="Z29" s="9" t="str">
        <f>[2]หน้าผ้า!AO38</f>
        <v>WSWT1921720</v>
      </c>
      <c r="AA29" s="8">
        <f>[2]หน้าผ้า!AQ38</f>
        <v>4679.9500000000007</v>
      </c>
      <c r="AB29" s="8">
        <f>[2]หน้าผ้า!AR38</f>
        <v>4679.9500000000007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PDR250212</v>
      </c>
      <c r="AG29" s="1" t="str">
        <f>[3]หน้าผ้า!DC41</f>
        <v>ยังไม่ได้พิมพ์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45864</v>
      </c>
      <c r="AK29" s="3">
        <f>[2]หน้าผ้า!DQ38</f>
        <v>0</v>
      </c>
      <c r="AL29" s="3">
        <f>[2]หน้าผ้า!DR38</f>
        <v>45855</v>
      </c>
      <c r="AM29" s="3">
        <f>[2]หน้าผ้า!DS38</f>
        <v>45862</v>
      </c>
      <c r="AN29" s="3">
        <f>[2]หน้าผ้า!DT38</f>
        <v>45863</v>
      </c>
      <c r="AO29" s="3">
        <f>[2]หน้าผ้า!DU38</f>
        <v>45863</v>
      </c>
      <c r="AP29" s="3">
        <f>[2]หน้าผ้า!DP38</f>
        <v>45859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>รอART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45843</v>
      </c>
      <c r="B30" s="14" t="str">
        <f>[2]หน้าผ้า!B39</f>
        <v>MK68-000866</v>
      </c>
      <c r="C30" s="9" t="str">
        <f>[2]หน้าผ้า!E39</f>
        <v>บจก.เคอรี่ฟลาวมิลล์</v>
      </c>
      <c r="D30" s="13" t="str">
        <f>[2]หน้าผ้า!F39</f>
        <v>ถุงเงิน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45864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0</v>
      </c>
      <c r="Y30" s="10">
        <f>[2]หน้าผ้า!AN39</f>
        <v>5250</v>
      </c>
      <c r="Z30" s="9" t="str">
        <f>[2]หน้าผ้า!AO39</f>
        <v>WSWT1921720</v>
      </c>
      <c r="AA30" s="8">
        <f>[2]หน้าผ้า!AQ39</f>
        <v>4679.9500000000007</v>
      </c>
      <c r="AB30" s="8">
        <f>[2]หน้าผ้า!AR39</f>
        <v>4679.9500000000007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PDR250212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45864</v>
      </c>
      <c r="AK30" s="3">
        <f>[2]หน้าผ้า!DQ39</f>
        <v>0</v>
      </c>
      <c r="AL30" s="3">
        <f>[2]หน้าผ้า!DR39</f>
        <v>45855</v>
      </c>
      <c r="AM30" s="3">
        <f>[2]หน้าผ้า!DS39</f>
        <v>45862</v>
      </c>
      <c r="AN30" s="3">
        <f>[2]หน้าผ้า!DT39</f>
        <v>45863</v>
      </c>
      <c r="AO30" s="3">
        <f>[2]หน้าผ้า!DU39</f>
        <v>45863</v>
      </c>
      <c r="AP30" s="3">
        <f>[2]หน้าผ้า!DP39</f>
        <v>45859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>รอART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45843</v>
      </c>
      <c r="B31" s="14" t="str">
        <f>[2]หน้าผ้า!B40</f>
        <v>MK68-000866</v>
      </c>
      <c r="C31" s="9" t="str">
        <f>[2]หน้าผ้า!E40</f>
        <v>บจก.เคอรี่ฟลาวมิลล์</v>
      </c>
      <c r="D31" s="13" t="str">
        <f>[2]หน้าผ้า!F40</f>
        <v>ปลาโลมาแดง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45864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4679.9500000000007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PDR250212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45864</v>
      </c>
      <c r="AK31" s="3">
        <f>[2]หน้าผ้า!DQ40</f>
        <v>0</v>
      </c>
      <c r="AL31" s="3">
        <f>[2]หน้าผ้า!DR40</f>
        <v>45855</v>
      </c>
      <c r="AM31" s="3">
        <f>[2]หน้าผ้า!DS40</f>
        <v>45862</v>
      </c>
      <c r="AN31" s="3">
        <f>[2]หน้าผ้า!DT40</f>
        <v>45863</v>
      </c>
      <c r="AO31" s="3">
        <f>[2]หน้าผ้า!DU40</f>
        <v>45863</v>
      </c>
      <c r="AP31" s="3">
        <f>[2]หน้าผ้า!DP40</f>
        <v>45859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>รอART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45843</v>
      </c>
      <c r="B32" s="14" t="str">
        <f>[2]หน้าผ้า!B41</f>
        <v>MK68-000866</v>
      </c>
      <c r="C32" s="9" t="str">
        <f>[2]หน้าผ้า!E41</f>
        <v>บจก.เคอรี่ฟลาวมิลล์</v>
      </c>
      <c r="D32" s="13" t="str">
        <f>[2]หน้าผ้า!F41</f>
        <v xml:space="preserve">แปดแต้มแดง  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45864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0</v>
      </c>
      <c r="Y32" s="10">
        <f>[2]หน้าผ้า!AN41</f>
        <v>5250</v>
      </c>
      <c r="Z32" s="9" t="str">
        <f>[2]หน้าผ้า!AO41</f>
        <v>WSWT1921720</v>
      </c>
      <c r="AA32" s="8">
        <f>[2]หน้าผ้า!AQ41</f>
        <v>4679.9500000000007</v>
      </c>
      <c r="AB32" s="8">
        <f>[2]หน้าผ้า!AR41</f>
        <v>4679.9500000000007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PDR250212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45864</v>
      </c>
      <c r="AK32" s="3">
        <f>[2]หน้าผ้า!DQ41</f>
        <v>0</v>
      </c>
      <c r="AL32" s="3">
        <f>[2]หน้าผ้า!DR41</f>
        <v>45855</v>
      </c>
      <c r="AM32" s="3">
        <f>[2]หน้าผ้า!DS41</f>
        <v>45862</v>
      </c>
      <c r="AN32" s="3">
        <f>[2]หน้าผ้า!DT41</f>
        <v>45863</v>
      </c>
      <c r="AO32" s="3">
        <f>[2]หน้าผ้า!DU41</f>
        <v>45863</v>
      </c>
      <c r="AP32" s="3">
        <f>[2]หน้าผ้า!DP41</f>
        <v>45859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>รอART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45843</v>
      </c>
      <c r="B33" s="14" t="str">
        <f>[2]หน้าผ้า!B42</f>
        <v>MK68-000866</v>
      </c>
      <c r="C33" s="9" t="str">
        <f>[2]หน้าผ้า!E42</f>
        <v>บจก.เคอรี่ฟลาวมิลล์</v>
      </c>
      <c r="D33" s="13" t="str">
        <f>[2]หน้าผ้า!F42</f>
        <v>ดอกไม้เขียว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45864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4679.9500000000007</v>
      </c>
      <c r="AB33" s="8">
        <f>[2]หน้าผ้า!AR42</f>
        <v>4679.9500000000007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PDR250212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45864</v>
      </c>
      <c r="AK33" s="3">
        <f>[2]หน้าผ้า!DQ42</f>
        <v>0</v>
      </c>
      <c r="AL33" s="3">
        <f>[2]หน้าผ้า!DR42</f>
        <v>45855</v>
      </c>
      <c r="AM33" s="3">
        <f>[2]หน้าผ้า!DS42</f>
        <v>45862</v>
      </c>
      <c r="AN33" s="3">
        <f>[2]หน้าผ้า!DT42</f>
        <v>45863</v>
      </c>
      <c r="AO33" s="3">
        <f>[2]หน้าผ้า!DU42</f>
        <v>45863</v>
      </c>
      <c r="AP33" s="3">
        <f>[2]หน้าผ้า!DP42</f>
        <v>45859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>รอART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45843</v>
      </c>
      <c r="B34" s="14" t="str">
        <f>[2]หน้าผ้า!B43</f>
        <v>MK68-000866</v>
      </c>
      <c r="C34" s="9" t="str">
        <f>[2]หน้าผ้า!E43</f>
        <v>บจก.เคอรี่ฟลาวมิลล์</v>
      </c>
      <c r="D34" s="13" t="str">
        <f>[2]หน้าผ้า!F43</f>
        <v>แต้มแดง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45867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PDR250213</v>
      </c>
      <c r="AG34" s="1" t="str">
        <f>[3]หน้าผ้า!DC46</f>
        <v>รอแบบ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45867</v>
      </c>
      <c r="AK34" s="3">
        <f>[2]หน้าผ้า!DQ43</f>
        <v>0</v>
      </c>
      <c r="AL34" s="3">
        <f>[2]หน้าผ้า!DR43</f>
        <v>45858</v>
      </c>
      <c r="AM34" s="3">
        <f>[2]หน้าผ้า!DS43</f>
        <v>45865</v>
      </c>
      <c r="AN34" s="3">
        <f>[2]หน้าผ้า!DT43</f>
        <v>45866</v>
      </c>
      <c r="AO34" s="3">
        <f>[2]หน้าผ้า!DU43</f>
        <v>45866</v>
      </c>
      <c r="AP34" s="3">
        <f>[2]หน้าผ้า!DP43</f>
        <v>45862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>รอART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45843</v>
      </c>
      <c r="B35" s="14" t="str">
        <f>[2]หน้าผ้า!B44</f>
        <v>MK68-000866</v>
      </c>
      <c r="C35" s="9" t="str">
        <f>[2]หน้าผ้า!E44</f>
        <v>บจก.เคอรี่ฟลาวมิลล์</v>
      </c>
      <c r="D35" s="13" t="str">
        <f>[2]หน้าผ้า!F44</f>
        <v>ดอกไม้แดง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45867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4679.9500000000007</v>
      </c>
      <c r="AB35" s="8">
        <f>[2]หน้าผ้า!AR44</f>
        <v>4679.9500000000007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PDR250213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45867</v>
      </c>
      <c r="AK35" s="3">
        <f>[2]หน้าผ้า!DQ44</f>
        <v>0</v>
      </c>
      <c r="AL35" s="3">
        <f>[2]หน้าผ้า!DR44</f>
        <v>45858</v>
      </c>
      <c r="AM35" s="3">
        <f>[2]หน้าผ้า!DS44</f>
        <v>45865</v>
      </c>
      <c r="AN35" s="3">
        <f>[2]หน้าผ้า!DT44</f>
        <v>45866</v>
      </c>
      <c r="AO35" s="3">
        <f>[2]หน้าผ้า!DU44</f>
        <v>45866</v>
      </c>
      <c r="AP35" s="3">
        <f>[2]หน้าผ้า!DP44</f>
        <v>45862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>รอART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45843</v>
      </c>
      <c r="B36" s="14" t="str">
        <f>[2]หน้าผ้า!B45</f>
        <v>MK68-000866</v>
      </c>
      <c r="C36" s="9" t="str">
        <f>[2]หน้าผ้า!E45</f>
        <v>บจก.เคอรี่ฟลาวมิลล์</v>
      </c>
      <c r="D36" s="13" t="str">
        <f>[2]หน้าผ้า!F45</f>
        <v>หีบเพลงฟ้า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45867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4679.9500000000007</v>
      </c>
      <c r="AB36" s="8">
        <f>[2]หน้าผ้า!AR45</f>
        <v>0</v>
      </c>
      <c r="AC36" s="8">
        <f>[2]หน้าผ้า!AS45</f>
        <v>4679.9500000000007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PDR250213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45867</v>
      </c>
      <c r="AK36" s="3">
        <f>[2]หน้าผ้า!DQ45</f>
        <v>0</v>
      </c>
      <c r="AL36" s="3">
        <f>[2]หน้าผ้า!DR45</f>
        <v>45858</v>
      </c>
      <c r="AM36" s="3">
        <f>[2]หน้าผ้า!DS45</f>
        <v>45865</v>
      </c>
      <c r="AN36" s="3">
        <f>[2]หน้าผ้า!DT45</f>
        <v>45866</v>
      </c>
      <c r="AO36" s="3">
        <f>[2]หน้าผ้า!DU45</f>
        <v>45866</v>
      </c>
      <c r="AP36" s="3">
        <f>[2]หน้าผ้า!DP45</f>
        <v>45862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>รอART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352.51463377777782</v>
      </c>
    </row>
    <row r="37" spans="1:56" ht="27.75" customHeight="1" x14ac:dyDescent="0.45">
      <c r="A37" s="3" t="str">
        <f>[2]หน้าผ้า!C46</f>
        <v>ประมาณการ</v>
      </c>
      <c r="B37" s="14" t="str">
        <f>[2]หน้าผ้า!B46</f>
        <v>ประมาณการ</v>
      </c>
      <c r="C37" s="9" t="str">
        <f>[2]หน้าผ้า!E46</f>
        <v>บจก.เคอรี่ฟลาวมิลล์</v>
      </c>
      <c r="D37" s="13" t="str">
        <f>[2]หน้าผ้า!F46</f>
        <v>รอแบบ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45868</v>
      </c>
      <c r="U37" s="11">
        <f>[2]หน้าผ้า!AA46</f>
        <v>572000</v>
      </c>
      <c r="V37" s="10">
        <f>[2]หน้าผ้า!AJ46</f>
        <v>0</v>
      </c>
      <c r="W37" s="10">
        <f>[2]หน้าผ้า!AL46</f>
        <v>572000</v>
      </c>
      <c r="X37" s="10">
        <f>[2]หน้าผ้า!AM46</f>
        <v>0</v>
      </c>
      <c r="Y37" s="10">
        <f>[2]หน้าผ้า!AN46</f>
        <v>600600</v>
      </c>
      <c r="Z37" s="9" t="str">
        <f>[2]หน้าผ้า!AO46</f>
        <v>WSWT1921720</v>
      </c>
      <c r="AA37" s="8">
        <f>[2]หน้าผ้า!AQ46</f>
        <v>535386.28</v>
      </c>
      <c r="AB37" s="8">
        <f>[2]หน้าผ้า!AR46</f>
        <v>0</v>
      </c>
      <c r="AC37" s="8">
        <f>[2]หน้าผ้า!AS46</f>
        <v>535386.28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พร้อมส่ง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45868</v>
      </c>
      <c r="AK37" s="3">
        <f>[2]หน้าผ้า!DQ46</f>
        <v>0</v>
      </c>
      <c r="AL37" s="3">
        <f>[2]หน้าผ้า!DR46</f>
        <v>45859</v>
      </c>
      <c r="AM37" s="3">
        <f>[2]หน้าผ้า!DS46</f>
        <v>45866</v>
      </c>
      <c r="AN37" s="3">
        <f>[2]หน้าผ้า!DT46</f>
        <v>45867</v>
      </c>
      <c r="AO37" s="3">
        <f>[2]หน้าผ้า!DU46</f>
        <v>45867</v>
      </c>
      <c r="AP37" s="3">
        <f>[2]หน้าผ้า!DP46</f>
        <v>45863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40327.674104177771</v>
      </c>
    </row>
    <row r="38" spans="1:56" ht="27.75" customHeight="1" x14ac:dyDescent="0.45">
      <c r="A38" s="3">
        <f>[2]หน้าผ้า!C47</f>
        <v>0</v>
      </c>
      <c r="B38" s="14">
        <f>[2]หน้าผ้า!B47</f>
        <v>0</v>
      </c>
      <c r="C38" s="9">
        <f>[2]หน้าผ้า!E47</f>
        <v>0</v>
      </c>
      <c r="D38" s="13">
        <f>[2]หน้าผ้า!F47</f>
        <v>0</v>
      </c>
      <c r="E38" s="9">
        <f>[2]หน้าผ้า!G47</f>
        <v>19</v>
      </c>
      <c r="F38" s="9">
        <f>[2]หน้าผ้า!H47</f>
        <v>30</v>
      </c>
      <c r="G38" s="9">
        <f>[2]หน้าผ้า!I47</f>
        <v>0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>
        <f>[2]หน้าผ้า!R47</f>
        <v>0</v>
      </c>
      <c r="M38" s="10">
        <f>[2]หน้าผ้า!T47</f>
        <v>0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>
        <f>[2]หน้าผ้า!Z47</f>
        <v>0</v>
      </c>
      <c r="T38" s="12">
        <f>[2]หน้าผ้า!X47</f>
        <v>0</v>
      </c>
      <c r="U38" s="11">
        <f>[2]หน้าผ้า!AA47</f>
        <v>0</v>
      </c>
      <c r="V38" s="10">
        <f>[2]หน้าผ้า!AJ47</f>
        <v>0</v>
      </c>
      <c r="W38" s="10">
        <f>[2]หน้าผ้า!AL47</f>
        <v>0</v>
      </c>
      <c r="X38" s="10">
        <f>[2]หน้าผ้า!AM47</f>
        <v>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608030.28</v>
      </c>
      <c r="AB38" s="8">
        <f>[2]หน้าผ้า!AR47</f>
        <v>67964.049999999988</v>
      </c>
      <c r="AC38" s="8">
        <f>[2]หน้าผ้า!AS47</f>
        <v>540066.23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ระบุในSD</v>
      </c>
      <c r="AG38" s="1" t="str">
        <f>[3]หน้าผ้า!DC50</f>
        <v>พร้อมส่ง</v>
      </c>
      <c r="AH38" s="1">
        <f>[2]หน้าผ้า!DL47</f>
        <v>0</v>
      </c>
      <c r="AI38" s="1" t="str">
        <f>[2]หน้าผ้า!DM47</f>
        <v>Lead time</v>
      </c>
      <c r="AJ38" s="3">
        <f>[2]หน้าผ้า!DN47</f>
        <v>0</v>
      </c>
      <c r="AK38" s="3">
        <f>[2]หน้าผ้า!DQ47</f>
        <v>0</v>
      </c>
      <c r="AL38" s="3">
        <f>[2]หน้าผ้า!DR47</f>
        <v>0</v>
      </c>
      <c r="AM38" s="3">
        <f>[2]หน้าผ้า!DS47</f>
        <v>0</v>
      </c>
      <c r="AN38" s="3">
        <f>[2]หน้าผ้า!DT47</f>
        <v>0</v>
      </c>
      <c r="AO38" s="3">
        <f>[2]หน้าผ้า!DU47</f>
        <v>0</v>
      </c>
      <c r="AP38" s="3">
        <f>[2]หน้าผ้า!DP47</f>
        <v>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>
        <f>[2]หน้าผ้า!EC47</f>
        <v>0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WRWT190720/WRWT25800</v>
      </c>
      <c r="BD38" s="56">
        <f>[2]หน้าผ้า!CA47</f>
        <v>0</v>
      </c>
    </row>
    <row r="39" spans="1:56" ht="27.75" customHeight="1" x14ac:dyDescent="0.45">
      <c r="A39" s="3" t="str">
        <f>[2]หน้าผ้า!C48</f>
        <v>ประมาณการ</v>
      </c>
      <c r="B39" s="14" t="str">
        <f>[2]หน้าผ้า!B48</f>
        <v>ประมาณการ</v>
      </c>
      <c r="C39" s="9" t="str">
        <f>[2]หน้าผ้า!E48</f>
        <v>บจก.เอเชี่ยนเคมิคัล</v>
      </c>
      <c r="D39" s="13" t="str">
        <f>[2]หน้าผ้า!F48</f>
        <v>A.C.C.</v>
      </c>
      <c r="E39" s="9">
        <f>[2]หน้าผ้า!G48</f>
        <v>19</v>
      </c>
      <c r="F39" s="9">
        <f>[2]หน้าผ้า!H48</f>
        <v>26</v>
      </c>
      <c r="G39" s="9" t="str">
        <f>[2]หน้าผ้า!I48</f>
        <v>ขาว</v>
      </c>
      <c r="H39" s="9" t="str">
        <f>[2]หน้าผ้า!J48</f>
        <v>ด้าน</v>
      </c>
      <c r="I39" s="9">
        <f>[2]หน้าผ้า!L48</f>
        <v>70</v>
      </c>
      <c r="J39" s="9" t="str">
        <f>[2]หน้าผ้า!M48</f>
        <v>±</v>
      </c>
      <c r="K39" s="9">
        <f>[2]หน้าผ้า!N48</f>
        <v>5</v>
      </c>
      <c r="L39" s="9" t="str">
        <f>[2]หน้าผ้า!R48</f>
        <v>ไม่</v>
      </c>
      <c r="M39" s="10">
        <f>[2]หน้าผ้า!T48</f>
        <v>20</v>
      </c>
      <c r="N39" s="9">
        <f>[2]หน้าผ้า!U48</f>
        <v>28</v>
      </c>
      <c r="O39" s="9">
        <f>[2]หน้าผ้า!V48</f>
        <v>50</v>
      </c>
      <c r="P39" s="10">
        <f>[2]หน้าผ้า!AB48</f>
        <v>259.04464319999994</v>
      </c>
      <c r="Q39" s="10">
        <f>[2]หน้าผ้า!AC48</f>
        <v>0</v>
      </c>
      <c r="R39" s="10">
        <f>[2]หน้าผ้า!AD48</f>
        <v>259.04464319999994</v>
      </c>
      <c r="S39" s="9" t="str">
        <f>[2]หน้าผ้า!Z48</f>
        <v>มัด100</v>
      </c>
      <c r="T39" s="12">
        <f>[2]หน้าผ้า!X48</f>
        <v>45868</v>
      </c>
      <c r="U39" s="11">
        <f>[2]หน้าผ้า!AA48</f>
        <v>15000</v>
      </c>
      <c r="V39" s="10">
        <f>[2]หน้าผ้า!AJ48</f>
        <v>0</v>
      </c>
      <c r="W39" s="10">
        <f>[2]หน้าผ้า!AL48</f>
        <v>15000</v>
      </c>
      <c r="X39" s="10">
        <f>[2]หน้าผ้า!AM48</f>
        <v>0</v>
      </c>
      <c r="Y39" s="10">
        <f>[2]หน้าผ้า!AN48</f>
        <v>15750</v>
      </c>
      <c r="Z39" s="9" t="str">
        <f>[2]หน้าผ้า!AO48</f>
        <v>WSWT1925800SM</v>
      </c>
      <c r="AA39" s="8">
        <f>[2]หน้าผ้า!AQ48</f>
        <v>11525.250000000002</v>
      </c>
      <c r="AB39" s="8">
        <f>[2]หน้าผ้า!AR48</f>
        <v>11525.250000000002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11525.250000000002</v>
      </c>
      <c r="AF39" s="8">
        <f>[2]หน้าผ้า!AI48</f>
        <v>0</v>
      </c>
      <c r="AG39" s="1" t="str">
        <f>[3]หน้าผ้า!DC51</f>
        <v>พร้อมส่ง</v>
      </c>
      <c r="AH39" s="1" t="str">
        <f>[2]หน้าผ้า!DL48</f>
        <v>P8</v>
      </c>
      <c r="AI39" s="1">
        <f>[2]หน้าผ้า!DM48</f>
        <v>4</v>
      </c>
      <c r="AJ39" s="3">
        <f>[2]หน้าผ้า!DN48</f>
        <v>45868</v>
      </c>
      <c r="AK39" s="3">
        <f>[2]หน้าผ้า!DQ48</f>
        <v>45864</v>
      </c>
      <c r="AL39" s="3">
        <f>[2]หน้าผ้า!DR48</f>
        <v>45858</v>
      </c>
      <c r="AM39" s="3">
        <f>[2]หน้าผ้า!DS48</f>
        <v>45865</v>
      </c>
      <c r="AN39" s="3">
        <f>[2]หน้าผ้า!DT48</f>
        <v>45866</v>
      </c>
      <c r="AO39" s="3">
        <f>[2]หน้าผ้า!DU48</f>
        <v>45866</v>
      </c>
      <c r="AP39" s="3">
        <f>[2]หน้าผ้า!DP48</f>
        <v>45863</v>
      </c>
      <c r="AQ39" s="3">
        <f>[2]หน้าผ้า!DW48</f>
        <v>45867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งานเคลือบ+พิมพ์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WRWT25800/WRWT25800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0</v>
      </c>
      <c r="B40" s="14">
        <f>[2]หน้าผ้า!B49</f>
        <v>0</v>
      </c>
      <c r="C40" s="9">
        <f>[2]หน้าผ้า!E49</f>
        <v>0</v>
      </c>
      <c r="D40" s="13">
        <f>[2]หน้าผ้า!F49</f>
        <v>0</v>
      </c>
      <c r="E40" s="9">
        <f>[2]หน้าผ้า!G49</f>
        <v>19</v>
      </c>
      <c r="F40" s="9">
        <f>[2]หน้าผ้า!H49</f>
        <v>30</v>
      </c>
      <c r="G40" s="9">
        <f>[2]หน้าผ้า!I49</f>
        <v>0</v>
      </c>
      <c r="H40" s="9">
        <f>[2]หน้าผ้า!J49</f>
        <v>0</v>
      </c>
      <c r="I40" s="9">
        <f>[2]หน้าผ้า!L49</f>
        <v>56</v>
      </c>
      <c r="J40" s="9" t="str">
        <f>[2]หน้าผ้า!M49</f>
        <v>±</v>
      </c>
      <c r="K40" s="9">
        <f>[2]หน้าผ้า!N49</f>
        <v>5</v>
      </c>
      <c r="L40" s="9">
        <f>[2]หน้าผ้า!R49</f>
        <v>0</v>
      </c>
      <c r="M40" s="10">
        <f>[2]หน้าผ้า!T49</f>
        <v>0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>
        <f>[2]หน้าผ้า!Z49</f>
        <v>0</v>
      </c>
      <c r="T40" s="12">
        <f>[2]หน้าผ้า!X49</f>
        <v>0</v>
      </c>
      <c r="U40" s="11">
        <f>[2]หน้าผ้า!AA49</f>
        <v>0</v>
      </c>
      <c r="V40" s="10" t="str">
        <f>[2]หน้าผ้า!AJ49</f>
        <v xml:space="preserve"> </v>
      </c>
      <c r="W40" s="10">
        <f>[2]หน้าผ้า!AL49</f>
        <v>0</v>
      </c>
      <c r="X40" s="10">
        <f>[2]หน้าผ้า!AM49</f>
        <v>0</v>
      </c>
      <c r="Y40" s="10">
        <f>[2]หน้าผ้า!AN49</f>
        <v>0</v>
      </c>
      <c r="Z40" s="9" t="str">
        <f>[2]หน้าผ้า!AO49</f>
        <v>WSWT1925800SM</v>
      </c>
      <c r="AA40" s="8">
        <f>[2]หน้าผ้า!AQ49</f>
        <v>11525.250000000002</v>
      </c>
      <c r="AB40" s="8">
        <f>[2]หน้าผ้า!AR49</f>
        <v>11525.250000000002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11525.250000000002</v>
      </c>
      <c r="AF40" s="8" t="str">
        <f>[2]หน้าผ้า!AI49</f>
        <v>ระบุในSD</v>
      </c>
      <c r="AG40" s="1" t="str">
        <f>[3]หน้าผ้า!DC52</f>
        <v>ผ้าขาว</v>
      </c>
      <c r="AH40" s="1">
        <f>[2]หน้าผ้า!DL49</f>
        <v>0</v>
      </c>
      <c r="AI40" s="1" t="str">
        <f>[2]หน้าผ้า!DM49</f>
        <v>Lead time</v>
      </c>
      <c r="AJ40" s="3">
        <f>[2]หน้าผ้า!DN49</f>
        <v>0</v>
      </c>
      <c r="AK40" s="3">
        <f>[2]หน้าผ้า!DQ49</f>
        <v>0</v>
      </c>
      <c r="AL40" s="3">
        <f>[2]หน้าผ้า!DR49</f>
        <v>0</v>
      </c>
      <c r="AM40" s="3">
        <f>[2]หน้าผ้า!DS49</f>
        <v>0</v>
      </c>
      <c r="AN40" s="3">
        <f>[2]หน้าผ้า!DT49</f>
        <v>0</v>
      </c>
      <c r="AO40" s="3">
        <f>[2]หน้าผ้า!DU49</f>
        <v>0</v>
      </c>
      <c r="AP40" s="3">
        <f>[2]หน้าผ้า!DP49</f>
        <v>0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>
        <f>[2]หน้าผ้า!EC49</f>
        <v>0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WRWT190800/WRWT25800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45796</v>
      </c>
      <c r="B41" s="14" t="str">
        <f>[2]หน้าผ้า!B50</f>
        <v>MK68-000680</v>
      </c>
      <c r="C41" s="9" t="str">
        <f>[2]หน้าผ้า!E50</f>
        <v>บจก.อินเทคค์ โกลบอล</v>
      </c>
      <c r="D41" s="13" t="str">
        <f>[2]หน้าผ้า!F50</f>
        <v>เพอเฟคค์103P โกลด์</v>
      </c>
      <c r="E41" s="9">
        <f>[2]หน้าผ้า!G50</f>
        <v>19</v>
      </c>
      <c r="F41" s="9">
        <f>[2]หน้าผ้า!H50</f>
        <v>34</v>
      </c>
      <c r="G41" s="9" t="str">
        <f>[2]หน้าผ้า!I50</f>
        <v>ขาว</v>
      </c>
      <c r="H41" s="9" t="str">
        <f>[2]หน้าผ้า!J50</f>
        <v>ด้าน</v>
      </c>
      <c r="I41" s="9">
        <f>[2]หน้าผ้า!L50</f>
        <v>100</v>
      </c>
      <c r="J41" s="9" t="str">
        <f>[2]หน้าผ้า!M50</f>
        <v>±</v>
      </c>
      <c r="K41" s="9">
        <f>[2]หน้าผ้า!N50</f>
        <v>5</v>
      </c>
      <c r="L41" s="9" t="str">
        <f>[2]หน้าผ้า!R50</f>
        <v>จับจีบ4"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มัด80 ใช้สายรัด</v>
      </c>
      <c r="T41" s="12" t="str">
        <f>[2]หน้าผ้า!X50</f>
        <v>รอแจ้ง</v>
      </c>
      <c r="U41" s="11">
        <f>[2]หน้าผ้า!AA50</f>
        <v>503</v>
      </c>
      <c r="V41" s="10">
        <f>[2]หน้าผ้า!AJ50</f>
        <v>0</v>
      </c>
      <c r="W41" s="10">
        <f>[2]หน้าผ้า!AL50</f>
        <v>503</v>
      </c>
      <c r="X41" s="10">
        <f>[2]หน้าผ้า!AM50</f>
        <v>5250</v>
      </c>
      <c r="Y41" s="10">
        <f>[2]หน้าผ้า!AN50</f>
        <v>0</v>
      </c>
      <c r="Z41" s="9" t="str">
        <f>[2]หน้าผ้า!AO50</f>
        <v>WSWT19251000SM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ยังไม่ได้พิมพ์</v>
      </c>
      <c r="AH41" s="1" t="str">
        <f>[2]หน้าผ้า!DL50</f>
        <v>P6</v>
      </c>
      <c r="AI41" s="1">
        <f>[2]หน้าผ้า!DM50</f>
        <v>4</v>
      </c>
      <c r="AJ41" s="3" t="str">
        <f>[2]หน้าผ้า!DN50</f>
        <v>รอแจ้ง</v>
      </c>
      <c r="AK41" s="3" t="e">
        <f>[2]หน้าผ้า!DQ50</f>
        <v>#VALUE!</v>
      </c>
      <c r="AL41" s="3" t="e">
        <f>[2]หน้าผ้า!DR50</f>
        <v>#VALUE!</v>
      </c>
      <c r="AM41" s="3" t="e">
        <f>[2]หน้าผ้า!DS50</f>
        <v>#VALUE!</v>
      </c>
      <c r="AN41" s="3" t="e">
        <f>[2]หน้าผ้า!DT50</f>
        <v>#VALUE!</v>
      </c>
      <c r="AO41" s="3" t="e">
        <f>[2]หน้าผ้า!DU50</f>
        <v>#VALUE!</v>
      </c>
      <c r="AP41" s="3" t="e">
        <f>[2]หน้าผ้า!DP50</f>
        <v>#VALUE!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งานเคลือบ+พิมพ์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WRWT251000/WRWT251000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0</v>
      </c>
      <c r="B42" s="14">
        <f>[2]หน้าผ้า!B51</f>
        <v>0</v>
      </c>
      <c r="C42" s="9">
        <f>[2]หน้าผ้า!E51</f>
        <v>0</v>
      </c>
      <c r="D42" s="13">
        <f>[2]หน้าผ้า!F51</f>
        <v>0</v>
      </c>
      <c r="E42" s="9">
        <f>[2]หน้าผ้า!G51</f>
        <v>19</v>
      </c>
      <c r="F42" s="9">
        <f>[2]หน้าผ้า!H51</f>
        <v>34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80</v>
      </c>
      <c r="J42" s="9" t="str">
        <f>[2]หน้าผ้า!M51</f>
        <v>±</v>
      </c>
      <c r="K42" s="9">
        <f>[2]หน้าผ้า!N51</f>
        <v>5</v>
      </c>
      <c r="L42" s="9">
        <f>[2]หน้าผ้า!R51</f>
        <v>0</v>
      </c>
      <c r="M42" s="10">
        <f>[2]หน้าผ้า!T51</f>
        <v>0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>
        <f>[2]หน้าผ้า!Z51</f>
        <v>0</v>
      </c>
      <c r="T42" s="12">
        <f>[2]หน้าผ้า!X51</f>
        <v>0</v>
      </c>
      <c r="U42" s="11">
        <f>[2]หน้าผ้า!AA51</f>
        <v>0</v>
      </c>
      <c r="V42" s="10">
        <f>[2]หน้าผ้า!AJ51</f>
        <v>0</v>
      </c>
      <c r="W42" s="10">
        <f>[2]หน้าผ้า!AL51</f>
        <v>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WSWT19251000SM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ระบุในSD</v>
      </c>
      <c r="AG42" s="1" t="str">
        <f>[3]หน้าผ้า!DC54</f>
        <v>พร้อมส่ง</v>
      </c>
      <c r="AH42" s="1">
        <f>[2]หน้าผ้า!DL51</f>
        <v>0</v>
      </c>
      <c r="AI42" s="1" t="str">
        <f>[2]หน้าผ้า!DM51</f>
        <v>Lead time</v>
      </c>
      <c r="AJ42" s="3">
        <f>[2]หน้าผ้า!DN51</f>
        <v>0</v>
      </c>
      <c r="AK42" s="3">
        <f>[2]หน้าผ้า!DQ51</f>
        <v>0</v>
      </c>
      <c r="AL42" s="3">
        <f>[2]หน้าผ้า!DR51</f>
        <v>0</v>
      </c>
      <c r="AM42" s="3">
        <f>[2]หน้าผ้า!DS51</f>
        <v>0</v>
      </c>
      <c r="AN42" s="3">
        <f>[2]หน้าผ้า!DT51</f>
        <v>0</v>
      </c>
      <c r="AO42" s="3">
        <f>[2]หน้าผ้า!DU51</f>
        <v>0</v>
      </c>
      <c r="AP42" s="3">
        <f>[2]หน้าผ้า!DP51</f>
        <v>0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>
        <f>[2]หน้าผ้า!EC51</f>
        <v>0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WRWT251000/WRYL251000</v>
      </c>
      <c r="BD42" s="56">
        <f>[2]หน้าผ้า!CA51</f>
        <v>0</v>
      </c>
    </row>
    <row r="43" spans="1:56" ht="27.75" customHeight="1" x14ac:dyDescent="0.45">
      <c r="A43" s="3" t="str">
        <f>[2]หน้าผ้า!C52</f>
        <v>ประมาณการ</v>
      </c>
      <c r="B43" s="14" t="str">
        <f>[2]หน้าผ้า!B52</f>
        <v>ประมาณการ</v>
      </c>
      <c r="C43" s="9" t="str">
        <f>[2]หน้าผ้า!E52</f>
        <v>บจก.หนองบัวฟีดมิลล์</v>
      </c>
      <c r="D43" s="13" t="str">
        <f>[2]หน้าผ้า!F52</f>
        <v>ไม่พิมพ์</v>
      </c>
      <c r="E43" s="9">
        <f>[2]หน้าผ้า!G52</f>
        <v>20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53</v>
      </c>
      <c r="J43" s="9" t="str">
        <f>[2]หน้าผ้า!M52</f>
        <v>±</v>
      </c>
      <c r="K43" s="9">
        <f>[2]หน้าผ้า!N52</f>
        <v>5</v>
      </c>
      <c r="L43" s="9" t="str">
        <f>[2]หน้าผ้า!R52</f>
        <v>ไม่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500กระสอบ</v>
      </c>
      <c r="T43" s="12">
        <f>[2]หน้าผ้า!X52</f>
        <v>45868</v>
      </c>
      <c r="U43" s="11">
        <f>[2]หน้าผ้า!AA52</f>
        <v>20000</v>
      </c>
      <c r="V43" s="10">
        <f>[2]หน้าผ้า!AJ52</f>
        <v>0</v>
      </c>
      <c r="W43" s="10">
        <f>[2]หน้าผ้า!AL52</f>
        <v>20000</v>
      </c>
      <c r="X43" s="10">
        <f>[2]หน้าผ้า!AM52</f>
        <v>0</v>
      </c>
      <c r="Y43" s="10">
        <f>[2]หน้าผ้า!AN52</f>
        <v>0</v>
      </c>
      <c r="Z43" s="9" t="str">
        <f>[2]หน้าผ้า!AO52</f>
        <v>WSWT2025650</v>
      </c>
      <c r="AA43" s="8">
        <f>[2]หน้าผ้า!AQ52</f>
        <v>17602.2</v>
      </c>
      <c r="AB43" s="8">
        <f>[2]หน้าผ้า!AR52</f>
        <v>0</v>
      </c>
      <c r="AC43" s="8">
        <f>[2]หน้าผ้า!AS52</f>
        <v>17602.2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พร้อมส่ง</v>
      </c>
      <c r="AH43" s="1" t="str">
        <f>[2]หน้าผ้า!DL52</f>
        <v>P3</v>
      </c>
      <c r="AI43" s="1">
        <f>[2]หน้าผ้า!DM52</f>
        <v>1</v>
      </c>
      <c r="AJ43" s="3">
        <f>[2]หน้าผ้า!DN52</f>
        <v>45868</v>
      </c>
      <c r="AK43" s="3">
        <f>[2]หน้าผ้า!DQ52</f>
        <v>0</v>
      </c>
      <c r="AL43" s="3">
        <f>[2]หน้าผ้า!DR52</f>
        <v>0</v>
      </c>
      <c r="AM43" s="3">
        <f>[2]หน้าผ้า!DS52</f>
        <v>0</v>
      </c>
      <c r="AN43" s="3">
        <f>[2]หน้าผ้า!DT52</f>
        <v>0</v>
      </c>
      <c r="AO43" s="3">
        <f>[2]หน้าผ้า!DU52</f>
        <v>45867</v>
      </c>
      <c r="AP43" s="3">
        <f>[2]หน้าผ้า!DP52</f>
        <v>45863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ตัด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WRWT25650/WRWT25650</v>
      </c>
      <c r="BD43" s="56">
        <f>[2]หน้าผ้า!CA52</f>
        <v>1080.5795000000001</v>
      </c>
    </row>
    <row r="44" spans="1:56" ht="27.75" customHeight="1" x14ac:dyDescent="0.45">
      <c r="A44" s="3">
        <f>[2]หน้าผ้า!C53</f>
        <v>45839</v>
      </c>
      <c r="B44" s="14" t="str">
        <f>[2]หน้าผ้า!B53</f>
        <v>MK68-000851</v>
      </c>
      <c r="C44" s="9" t="str">
        <f>[2]หน้าผ้า!E53</f>
        <v>สหกรณ์โคนมพิมาย</v>
      </c>
      <c r="D44" s="13" t="str">
        <f>[2]หน้าผ้า!F53</f>
        <v>พ.ม.21 ผงใช้ในฟาร์ม(แถบบานเย็น)</v>
      </c>
      <c r="E44" s="9">
        <f>[2]หน้าผ้า!G53</f>
        <v>20</v>
      </c>
      <c r="F44" s="9">
        <f>[2]หน้าผ้า!H53</f>
        <v>37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65</v>
      </c>
      <c r="J44" s="9" t="str">
        <f>[2]หน้าผ้า!M53</f>
        <v>±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500กระสอบ</v>
      </c>
      <c r="T44" s="12">
        <f>[2]หน้าผ้า!X53</f>
        <v>45847</v>
      </c>
      <c r="U44" s="11">
        <f>[2]หน้าผ้า!AA53</f>
        <v>10000</v>
      </c>
      <c r="V44" s="10">
        <f>[2]หน้าผ้า!AJ53</f>
        <v>0</v>
      </c>
      <c r="W44" s="10">
        <f>[2]หน้าผ้า!AL53</f>
        <v>10000</v>
      </c>
      <c r="X44" s="10">
        <f>[2]หน้าผ้า!AM53</f>
        <v>0</v>
      </c>
      <c r="Y44" s="10">
        <f>[2]หน้าผ้า!AN53</f>
        <v>10500</v>
      </c>
      <c r="Z44" s="9" t="str">
        <f>[2]หน้าผ้า!AO53</f>
        <v>WSWT2025650</v>
      </c>
      <c r="AA44" s="8">
        <f>[2]หน้าผ้า!AQ53</f>
        <v>10756.900000000001</v>
      </c>
      <c r="AB44" s="8">
        <f>[2]หน้าผ้า!AR53</f>
        <v>0</v>
      </c>
      <c r="AC44" s="8">
        <f>[2]หน้าผ้า!AS53</f>
        <v>10756.900000000001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พร้อมส่ง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45847</v>
      </c>
      <c r="AK44" s="3">
        <f>[2]หน้าผ้า!DQ53</f>
        <v>0</v>
      </c>
      <c r="AL44" s="3">
        <f>[2]หน้าผ้า!DR53</f>
        <v>45838</v>
      </c>
      <c r="AM44" s="3">
        <f>[2]หน้าผ้า!DS53</f>
        <v>45845</v>
      </c>
      <c r="AN44" s="3">
        <f>[2]หน้าผ้า!DT53</f>
        <v>45846</v>
      </c>
      <c r="AO44" s="3">
        <f>[2]หน้าผ้า!DU53</f>
        <v>45846</v>
      </c>
      <c r="AP44" s="3">
        <f>[2]หน้าผ้า!DP53</f>
        <v>45842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WRWT25650/WRWT25650</v>
      </c>
      <c r="BD44" s="56">
        <f>[2]หน้าผ้า!CA53</f>
        <v>660.35413888888888</v>
      </c>
    </row>
    <row r="45" spans="1:56" ht="27.75" customHeight="1" x14ac:dyDescent="0.45">
      <c r="A45" s="3">
        <f>[2]หน้าผ้า!C54</f>
        <v>0</v>
      </c>
      <c r="B45" s="14">
        <f>[2]หน้าผ้า!B54</f>
        <v>0</v>
      </c>
      <c r="C45" s="9">
        <f>[2]หน้าผ้า!E54</f>
        <v>0</v>
      </c>
      <c r="D45" s="13">
        <f>[2]หน้าผ้า!F54</f>
        <v>0</v>
      </c>
      <c r="E45" s="9">
        <f>[2]หน้าผ้า!G54</f>
        <v>20</v>
      </c>
      <c r="F45" s="9">
        <f>[2]หน้าผ้า!H54</f>
        <v>37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65</v>
      </c>
      <c r="J45" s="9" t="str">
        <f>[2]หน้าผ้า!M54</f>
        <v>±</v>
      </c>
      <c r="K45" s="9">
        <f>[2]หน้าผ้า!N54</f>
        <v>5</v>
      </c>
      <c r="L45" s="9">
        <f>[2]หน้าผ้า!R54</f>
        <v>0</v>
      </c>
      <c r="M45" s="10">
        <f>[2]หน้าผ้า!T54</f>
        <v>0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>
        <f>[2]หน้าผ้า!Z54</f>
        <v>0</v>
      </c>
      <c r="T45" s="12">
        <f>[2]หน้าผ้า!X54</f>
        <v>0</v>
      </c>
      <c r="U45" s="11">
        <f>[2]หน้าผ้า!AA54</f>
        <v>0</v>
      </c>
      <c r="V45" s="10">
        <f>[2]หน้าผ้า!AJ54</f>
        <v>0</v>
      </c>
      <c r="W45" s="10">
        <f>[2]หน้าผ้า!AL54</f>
        <v>0</v>
      </c>
      <c r="X45" s="10">
        <f>[2]หน้าผ้า!AM54</f>
        <v>0</v>
      </c>
      <c r="Y45" s="10">
        <f>[2]หน้าผ้า!AN54</f>
        <v>0</v>
      </c>
      <c r="Z45" s="9" t="str">
        <f>[2]หน้าผ้า!AO54</f>
        <v>WSWT2025650</v>
      </c>
      <c r="AA45" s="8">
        <f>[2]หน้าผ้า!AQ54</f>
        <v>28359.100000000002</v>
      </c>
      <c r="AB45" s="8">
        <f>[2]หน้าผ้า!AR54</f>
        <v>0</v>
      </c>
      <c r="AC45" s="8">
        <f>[2]หน้าผ้า!AS54</f>
        <v>28359.100000000002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ระบุในSD</v>
      </c>
      <c r="AG45" s="1" t="str">
        <f>[3]หน้าผ้า!DC57</f>
        <v>รอตัด</v>
      </c>
      <c r="AH45" s="1">
        <f>[2]หน้าผ้า!DL54</f>
        <v>0</v>
      </c>
      <c r="AI45" s="1" t="str">
        <f>[2]หน้าผ้า!DM54</f>
        <v>Lead time</v>
      </c>
      <c r="AJ45" s="3">
        <f>[2]หน้าผ้า!DN54</f>
        <v>0</v>
      </c>
      <c r="AK45" s="3">
        <f>[2]หน้าผ้า!DQ54</f>
        <v>0</v>
      </c>
      <c r="AL45" s="3">
        <f>[2]หน้าผ้า!DR54</f>
        <v>0</v>
      </c>
      <c r="AM45" s="3">
        <f>[2]หน้าผ้า!DS54</f>
        <v>0</v>
      </c>
      <c r="AN45" s="3">
        <f>[2]หน้าผ้า!DT54</f>
        <v>0</v>
      </c>
      <c r="AO45" s="3">
        <f>[2]หน้าผ้า!DU54</f>
        <v>0</v>
      </c>
      <c r="AP45" s="3">
        <f>[2]หน้าผ้า!DP54</f>
        <v>0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>
        <f>[2]หน้าผ้า!EC54</f>
        <v>0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WRWT25650/WRWT25650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0</v>
      </c>
      <c r="B46" s="14">
        <f>[2]หน้าผ้า!B55</f>
        <v>0</v>
      </c>
      <c r="C46" s="9">
        <f>[2]หน้าผ้า!E55</f>
        <v>0</v>
      </c>
      <c r="D46" s="13">
        <f>[2]หน้าผ้า!F55</f>
        <v>0</v>
      </c>
      <c r="E46" s="9">
        <f>[2]หน้าผ้า!G55</f>
        <v>20</v>
      </c>
      <c r="F46" s="9">
        <f>[2]หน้าผ้า!H55</f>
        <v>37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70</v>
      </c>
      <c r="J46" s="9" t="str">
        <f>[2]หน้าผ้า!M55</f>
        <v>±</v>
      </c>
      <c r="K46" s="9">
        <f>[2]หน้าผ้า!N55</f>
        <v>5</v>
      </c>
      <c r="L46" s="9">
        <f>[2]หน้าผ้า!R55</f>
        <v>0</v>
      </c>
      <c r="M46" s="10">
        <f>[2]หน้าผ้า!T55</f>
        <v>0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>
        <f>[2]หน้าผ้า!Z55</f>
        <v>0</v>
      </c>
      <c r="T46" s="12">
        <f>[2]หน้าผ้า!X55</f>
        <v>0</v>
      </c>
      <c r="U46" s="11">
        <f>[2]หน้าผ้า!AA55</f>
        <v>0</v>
      </c>
      <c r="V46" s="10">
        <f>[2]หน้าผ้า!AJ55</f>
        <v>0</v>
      </c>
      <c r="W46" s="10">
        <f>[2]หน้าผ้า!AL55</f>
        <v>0</v>
      </c>
      <c r="X46" s="10">
        <f>[2]หน้าผ้า!AM55</f>
        <v>0</v>
      </c>
      <c r="Y46" s="10">
        <f>[2]หน้าผ้า!AN55</f>
        <v>0</v>
      </c>
      <c r="Z46" s="9" t="str">
        <f>[2]หน้าผ้า!AO55</f>
        <v>WSWT2025700</v>
      </c>
      <c r="AA46" s="8" t="e">
        <f>[2]หน้าผ้า!AQ55</f>
        <v>#REF!</v>
      </c>
      <c r="AB46" s="8" t="e">
        <f>[2]หน้าผ้า!AR55</f>
        <v>#REF!</v>
      </c>
      <c r="AC46" s="8" t="e">
        <f>[2]หน้าผ้า!AS55</f>
        <v>#REF!</v>
      </c>
      <c r="AD46" s="8" t="e">
        <f>[2]หน้าผ้า!AT55</f>
        <v>#REF!</v>
      </c>
      <c r="AE46" s="8" t="e">
        <f>[2]หน้าผ้า!AU55</f>
        <v>#REF!</v>
      </c>
      <c r="AF46" s="8" t="str">
        <f>[2]หน้าผ้า!AI55</f>
        <v>ระบุในSD</v>
      </c>
      <c r="AG46" s="1" t="str">
        <f>[3]หน้าผ้า!DC58</f>
        <v>ยังไม่ได้พิมพ์</v>
      </c>
      <c r="AH46" s="1">
        <f>[2]หน้าผ้า!DL55</f>
        <v>0</v>
      </c>
      <c r="AI46" s="1" t="str">
        <f>[2]หน้าผ้า!DM55</f>
        <v>Lead time</v>
      </c>
      <c r="AJ46" s="3">
        <f>[2]หน้าผ้า!DN55</f>
        <v>0</v>
      </c>
      <c r="AK46" s="3">
        <f>[2]หน้าผ้า!DQ55</f>
        <v>0</v>
      </c>
      <c r="AL46" s="3">
        <f>[2]หน้าผ้า!DR55</f>
        <v>0</v>
      </c>
      <c r="AM46" s="3">
        <f>[2]หน้าผ้า!DS55</f>
        <v>0</v>
      </c>
      <c r="AN46" s="3">
        <f>[2]หน้าผ้า!DT55</f>
        <v>0</v>
      </c>
      <c r="AO46" s="3">
        <f>[2]หน้าผ้า!DU55</f>
        <v>0</v>
      </c>
      <c r="AP46" s="3">
        <f>[2]หน้าผ้า!DP55</f>
        <v>0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>
        <f>[2]หน้าผ้า!EC55</f>
        <v>0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WRWT25800/WRWT25650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45825</v>
      </c>
      <c r="B47" s="14" t="str">
        <f>[2]หน้าผ้า!B56</f>
        <v>MK68-000796</v>
      </c>
      <c r="C47" s="9" t="str">
        <f>[2]หน้าผ้า!E56</f>
        <v>บจก.อินเทคค์ โกลบอล</v>
      </c>
      <c r="D47" s="13" t="str">
        <f>[2]หน้าผ้า!F56</f>
        <v>เฟิร์สช้อย 911</v>
      </c>
      <c r="E47" s="9">
        <f>[2]หน้าผ้า!G56</f>
        <v>20</v>
      </c>
      <c r="F47" s="9">
        <f>[2]หน้าผ้า!H56</f>
        <v>36</v>
      </c>
      <c r="G47" s="9" t="str">
        <f>[2]หน้าผ้า!I56</f>
        <v>ขาว</v>
      </c>
      <c r="H47" s="9" t="str">
        <f>[2]หน้าผ้า!J56</f>
        <v>ด้าน</v>
      </c>
      <c r="I47" s="9">
        <f>[2]หน้าผ้า!L56</f>
        <v>100</v>
      </c>
      <c r="J47" s="9" t="str">
        <f>[2]หน้าผ้า!M56</f>
        <v>±</v>
      </c>
      <c r="K47" s="9">
        <f>[2]หน้าผ้า!N56</f>
        <v>5</v>
      </c>
      <c r="L47" s="9" t="str">
        <f>[2]หน้าผ้า!R56</f>
        <v>จับจีบ4"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มัด80 ใช้สายรัด</v>
      </c>
      <c r="T47" s="12">
        <f>[2]หน้าผ้า!X56</f>
        <v>45843</v>
      </c>
      <c r="U47" s="11">
        <f>[2]หน้าผ้า!AA56</f>
        <v>127</v>
      </c>
      <c r="V47" s="10">
        <f>[2]หน้าผ้า!AJ56</f>
        <v>0</v>
      </c>
      <c r="W47" s="10">
        <f>[2]หน้าผ้า!AL56</f>
        <v>127</v>
      </c>
      <c r="X47" s="10">
        <f>[2]หน้าผ้า!AM56</f>
        <v>6000</v>
      </c>
      <c r="Y47" s="10">
        <f>[2]หน้าผ้า!AN56</f>
        <v>0</v>
      </c>
      <c r="Z47" s="9" t="str">
        <f>[2]หน้าผ้า!AO56</f>
        <v>WSWT2025800SM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รอตัด</v>
      </c>
      <c r="AH47" s="1" t="str">
        <f>[2]หน้าผ้า!DL56</f>
        <v>P6</v>
      </c>
      <c r="AI47" s="1">
        <f>[2]หน้าผ้า!DM56</f>
        <v>4</v>
      </c>
      <c r="AJ47" s="3">
        <f>[2]หน้าผ้า!DN56</f>
        <v>45843</v>
      </c>
      <c r="AK47" s="3">
        <f>[2]หน้าผ้า!DQ56</f>
        <v>45839</v>
      </c>
      <c r="AL47" s="3">
        <f>[2]หน้าผ้า!DR56</f>
        <v>45832</v>
      </c>
      <c r="AM47" s="3">
        <f>[2]หน้าผ้า!DS56</f>
        <v>45840</v>
      </c>
      <c r="AN47" s="3">
        <f>[2]หน้าผ้า!DT56</f>
        <v>45841</v>
      </c>
      <c r="AO47" s="3">
        <f>[2]หน้าผ้า!DU56</f>
        <v>45842</v>
      </c>
      <c r="AP47" s="3">
        <f>[2]หน้าผ้า!DP56</f>
        <v>45838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งานเคลือบ+พิมพ์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WRWT25850/WRWT25850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45782</v>
      </c>
      <c r="B48" s="14" t="str">
        <f>[2]หน้าผ้า!B57</f>
        <v>MK68-000609</v>
      </c>
      <c r="C48" s="9" t="str">
        <f>[2]หน้าผ้า!E57</f>
        <v>บจก.เอสพีเอ็ม อาหารสัตว์</v>
      </c>
      <c r="D48" s="13" t="str">
        <f>[2]หน้าผ้า!F57</f>
        <v xml:space="preserve">SW 441 </v>
      </c>
      <c r="E48" s="9">
        <f>[2]หน้าผ้า!G57</f>
        <v>20</v>
      </c>
      <c r="F48" s="9">
        <f>[2]หน้าผ้า!H57</f>
        <v>38</v>
      </c>
      <c r="G48" s="9" t="str">
        <f>[2]หน้าผ้า!I57</f>
        <v>ขาว</v>
      </c>
      <c r="H48" s="9" t="str">
        <f>[2]หน้าผ้า!J57</f>
        <v>ใส</v>
      </c>
      <c r="I48" s="9">
        <f>[2]หน้าผ้า!L57</f>
        <v>100</v>
      </c>
      <c r="J48" s="9" t="str">
        <f>[2]หน้าผ้า!M57</f>
        <v>±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500กระสอบแบน</v>
      </c>
      <c r="T48" s="12">
        <f>[2]หน้าผ้า!X57</f>
        <v>45846</v>
      </c>
      <c r="U48" s="11">
        <f>[2]หน้าผ้า!AA57</f>
        <v>5000</v>
      </c>
      <c r="V48" s="10">
        <f>[2]หน้าผ้า!AJ57</f>
        <v>3318</v>
      </c>
      <c r="W48" s="10">
        <f>[2]หน้าผ้า!AL57</f>
        <v>1682</v>
      </c>
      <c r="X48" s="10">
        <f>[2]หน้าผ้า!AM57</f>
        <v>5538</v>
      </c>
      <c r="Y48" s="10">
        <f>[2]หน้าผ้า!AN57</f>
        <v>0</v>
      </c>
      <c r="Z48" s="9" t="str">
        <f>[2]หน้าผ้า!AO57</f>
        <v>WSWT2025800SM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P6</v>
      </c>
      <c r="AI48" s="1">
        <f>[2]หน้าผ้า!DM57</f>
        <v>4</v>
      </c>
      <c r="AJ48" s="3">
        <f>[2]หน้าผ้า!DN57</f>
        <v>45846</v>
      </c>
      <c r="AK48" s="3">
        <f>[2]หน้าผ้า!DQ57</f>
        <v>45842</v>
      </c>
      <c r="AL48" s="3">
        <f>[2]หน้าผ้า!DR57</f>
        <v>45835</v>
      </c>
      <c r="AM48" s="3">
        <f>[2]หน้าผ้า!DS57</f>
        <v>45843</v>
      </c>
      <c r="AN48" s="3">
        <f>[2]หน้าผ้า!DT57</f>
        <v>45844</v>
      </c>
      <c r="AO48" s="3">
        <f>[2]หน้าผ้า!DU57</f>
        <v>45845</v>
      </c>
      <c r="AP48" s="3">
        <f>[2]หน้าผ้า!DP57</f>
        <v>45841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งานเคลือบ+พิมพ์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WRWT25850/WRWT25850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45810</v>
      </c>
      <c r="B49" s="14" t="str">
        <f>[2]หน้าผ้า!B58</f>
        <v>MK68-000741</v>
      </c>
      <c r="C49" s="9" t="str">
        <f>[2]หน้าผ้า!E58</f>
        <v>บจก.เอสพีเอ็ม อาหารสัตว์</v>
      </c>
      <c r="D49" s="13" t="str">
        <f>[2]หน้าผ้า!F58</f>
        <v>SPM 915</v>
      </c>
      <c r="E49" s="9">
        <f>[2]หน้าผ้า!G58</f>
        <v>20</v>
      </c>
      <c r="F49" s="9">
        <f>[2]หน้าผ้า!H58</f>
        <v>38</v>
      </c>
      <c r="G49" s="9" t="str">
        <f>[2]หน้าผ้า!I58</f>
        <v>ขาว</v>
      </c>
      <c r="H49" s="9" t="str">
        <f>[2]หน้าผ้า!J58</f>
        <v>ด้าน</v>
      </c>
      <c r="I49" s="9">
        <f>[2]หน้าผ้า!L58</f>
        <v>100</v>
      </c>
      <c r="J49" s="9" t="str">
        <f>[2]หน้าผ้า!M58</f>
        <v>±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500กระสอบแบน</v>
      </c>
      <c r="T49" s="12">
        <f>[2]หน้าผ้า!X58</f>
        <v>45846</v>
      </c>
      <c r="U49" s="11">
        <f>[2]หน้าผ้า!AA58</f>
        <v>3000</v>
      </c>
      <c r="V49" s="10">
        <f>[2]หน้าผ้า!AJ58</f>
        <v>0</v>
      </c>
      <c r="W49" s="10">
        <f>[2]หน้าผ้า!AL58</f>
        <v>3000</v>
      </c>
      <c r="X49" s="10">
        <f>[2]หน้าผ้า!AM58</f>
        <v>0</v>
      </c>
      <c r="Y49" s="10">
        <f>[2]หน้าผ้า!AN58</f>
        <v>3150</v>
      </c>
      <c r="Z49" s="9" t="str">
        <f>[2]หน้าผ้า!AO58</f>
        <v>WSWT2025800SM</v>
      </c>
      <c r="AA49" s="8">
        <f>[2]หน้าผ้า!AQ58</f>
        <v>3310.89</v>
      </c>
      <c r="AB49" s="8">
        <f>[2]หน้าผ้า!AR58</f>
        <v>3310.89</v>
      </c>
      <c r="AC49" s="8">
        <f>[2]หน้าผ้า!AS58</f>
        <v>0</v>
      </c>
      <c r="AD49" s="8">
        <f>[2]หน้าผ้า!AT58</f>
        <v>3310.89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P6</v>
      </c>
      <c r="AI49" s="1">
        <f>[2]หน้าผ้า!DM58</f>
        <v>4</v>
      </c>
      <c r="AJ49" s="3">
        <f>[2]หน้าผ้า!DN58</f>
        <v>45846</v>
      </c>
      <c r="AK49" s="3">
        <f>[2]หน้าผ้า!DQ58</f>
        <v>45842</v>
      </c>
      <c r="AL49" s="3">
        <f>[2]หน้าผ้า!DR58</f>
        <v>45835</v>
      </c>
      <c r="AM49" s="3">
        <f>[2]หน้าผ้า!DS58</f>
        <v>45843</v>
      </c>
      <c r="AN49" s="3">
        <f>[2]หน้าผ้า!DT58</f>
        <v>45844</v>
      </c>
      <c r="AO49" s="3">
        <f>[2]หน้าผ้า!DU58</f>
        <v>45845</v>
      </c>
      <c r="AP49" s="3">
        <f>[2]หน้าผ้า!DP58</f>
        <v>45841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งานเคลือบ+พิมพ์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WRWT25850/WRWT25850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45839</v>
      </c>
      <c r="B50" s="14" t="str">
        <f>[2]หน้าผ้า!B59</f>
        <v>MK68-000854</v>
      </c>
      <c r="C50" s="9" t="str">
        <f>[2]หน้าผ้า!E59</f>
        <v>บจก.วีซีเอฟ</v>
      </c>
      <c r="D50" s="13" t="str">
        <f>[2]หน้าผ้า!F59</f>
        <v>VC 181</v>
      </c>
      <c r="E50" s="9">
        <f>[2]หน้าผ้า!G59</f>
        <v>20</v>
      </c>
      <c r="F50" s="9">
        <f>[2]หน้าผ้า!H59</f>
        <v>37</v>
      </c>
      <c r="G50" s="9" t="str">
        <f>[2]หน้าผ้า!I59</f>
        <v>ขาว</v>
      </c>
      <c r="H50" s="9" t="str">
        <f>[2]หน้าผ้า!J59</f>
        <v>ใส</v>
      </c>
      <c r="I50" s="9">
        <f>[2]หน้าผ้า!L59</f>
        <v>100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500กระสอบแบน</v>
      </c>
      <c r="T50" s="12">
        <f>[2]หน้าผ้า!X59</f>
        <v>45847</v>
      </c>
      <c r="U50" s="11">
        <f>[2]หน้าผ้า!AA59</f>
        <v>20000</v>
      </c>
      <c r="V50" s="10">
        <f>[2]หน้าผ้า!AJ59</f>
        <v>0</v>
      </c>
      <c r="W50" s="10">
        <f>[2]หน้าผ้า!AL59</f>
        <v>20000</v>
      </c>
      <c r="X50" s="10">
        <f>[2]หน้าผ้า!AM59</f>
        <v>20200</v>
      </c>
      <c r="Y50" s="10">
        <f>[2]หน้าผ้า!AN59</f>
        <v>0</v>
      </c>
      <c r="Z50" s="9" t="str">
        <f>[2]หน้าผ้า!AO59</f>
        <v>WSWT2025800SM</v>
      </c>
      <c r="AA50" s="8">
        <f>[2]หน้าผ้า!AQ59</f>
        <v>0</v>
      </c>
      <c r="AB50" s="8">
        <f>[2]หน้าผ้า!AR59</f>
        <v>0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ยังไม่ได้พิมพ์</v>
      </c>
      <c r="AH50" s="1" t="str">
        <f>[2]หน้าผ้า!DL59</f>
        <v>P6</v>
      </c>
      <c r="AI50" s="1">
        <f>[2]หน้าผ้า!DM59</f>
        <v>4</v>
      </c>
      <c r="AJ50" s="3">
        <f>[2]หน้าผ้า!DN59</f>
        <v>45847</v>
      </c>
      <c r="AK50" s="3">
        <f>[2]หน้าผ้า!DQ59</f>
        <v>45843</v>
      </c>
      <c r="AL50" s="3">
        <f>[2]หน้าผ้า!DR59</f>
        <v>45836</v>
      </c>
      <c r="AM50" s="3">
        <f>[2]หน้าผ้า!DS59</f>
        <v>45844</v>
      </c>
      <c r="AN50" s="3">
        <f>[2]หน้าผ้า!DT59</f>
        <v>45845</v>
      </c>
      <c r="AO50" s="3">
        <f>[2]หน้าผ้า!DU59</f>
        <v>45846</v>
      </c>
      <c r="AP50" s="3">
        <f>[2]หน้าผ้า!DP59</f>
        <v>45842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WRWT25850/WRWT25850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45839</v>
      </c>
      <c r="B51" s="14" t="str">
        <f>[2]หน้าผ้า!B60</f>
        <v>MK68-000853</v>
      </c>
      <c r="C51" s="9" t="str">
        <f>[2]หน้าผ้า!E60</f>
        <v>บจก.วีซีเอฟ</v>
      </c>
      <c r="D51" s="13" t="str">
        <f>[2]หน้าผ้า!F60</f>
        <v>JET 153</v>
      </c>
      <c r="E51" s="9">
        <f>[2]หน้าผ้า!G60</f>
        <v>20</v>
      </c>
      <c r="F51" s="9">
        <f>[2]หน้าผ้า!H60</f>
        <v>37</v>
      </c>
      <c r="G51" s="9" t="str">
        <f>[2]หน้าผ้า!I60</f>
        <v>ขาว</v>
      </c>
      <c r="H51" s="9" t="str">
        <f>[2]หน้าผ้า!J60</f>
        <v>ใส</v>
      </c>
      <c r="I51" s="9">
        <f>[2]หน้าผ้า!L60</f>
        <v>100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ไม่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500กระสอบแบน</v>
      </c>
      <c r="T51" s="12">
        <f>[2]หน้าผ้า!X60</f>
        <v>45852</v>
      </c>
      <c r="U51" s="11">
        <f>[2]หน้าผ้า!AA60</f>
        <v>10000</v>
      </c>
      <c r="V51" s="10">
        <f>[2]หน้าผ้า!AJ60</f>
        <v>0</v>
      </c>
      <c r="W51" s="10">
        <f>[2]หน้าผ้า!AL60</f>
        <v>10000</v>
      </c>
      <c r="X51" s="10">
        <f>[2]หน้าผ้า!AM60</f>
        <v>0</v>
      </c>
      <c r="Y51" s="10">
        <f>[2]หน้าผ้า!AN60</f>
        <v>10500</v>
      </c>
      <c r="Z51" s="9" t="str">
        <f>[2]หน้าผ้า!AO60</f>
        <v>WSWT2025800SM</v>
      </c>
      <c r="AA51" s="8">
        <f>[2]หน้าผ้า!AQ60</f>
        <v>10756.900000000001</v>
      </c>
      <c r="AB51" s="8">
        <f>[2]หน้าผ้า!AR60</f>
        <v>10756.900000000001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10756.900000000001</v>
      </c>
      <c r="AF51" s="8">
        <f>[2]หน้าผ้า!AI60</f>
        <v>0</v>
      </c>
      <c r="AG51" s="1" t="str">
        <f>[3]หน้าผ้า!DC63</f>
        <v>ยังไม่ได้พิมพ์</v>
      </c>
      <c r="AH51" s="1" t="str">
        <f>[2]หน้าผ้า!DL60</f>
        <v>P6</v>
      </c>
      <c r="AI51" s="1">
        <f>[2]หน้าผ้า!DM60</f>
        <v>4</v>
      </c>
      <c r="AJ51" s="3">
        <f>[2]หน้าผ้า!DN60</f>
        <v>45852</v>
      </c>
      <c r="AK51" s="3">
        <f>[2]หน้าผ้า!DQ60</f>
        <v>45848</v>
      </c>
      <c r="AL51" s="3">
        <f>[2]หน้าผ้า!DR60</f>
        <v>45841</v>
      </c>
      <c r="AM51" s="3">
        <f>[2]หน้าผ้า!DS60</f>
        <v>45849</v>
      </c>
      <c r="AN51" s="3">
        <f>[2]หน้าผ้า!DT60</f>
        <v>45850</v>
      </c>
      <c r="AO51" s="3">
        <f>[2]หน้าผ้า!DU60</f>
        <v>45851</v>
      </c>
      <c r="AP51" s="3">
        <f>[2]หน้าผ้า!DP60</f>
        <v>45847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งานเคลือบ+พิมพ์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WRWT25850/WRWT25850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45839</v>
      </c>
      <c r="B52" s="14" t="str">
        <f>[2]หน้าผ้า!B61</f>
        <v>MK68-000853</v>
      </c>
      <c r="C52" s="9" t="str">
        <f>[2]หน้าผ้า!E61</f>
        <v>บจก.วีซีเอฟ</v>
      </c>
      <c r="D52" s="13" t="str">
        <f>[2]หน้าผ้า!F61</f>
        <v>SPEED PLUS 333 เขมร</v>
      </c>
      <c r="E52" s="9">
        <f>[2]หน้าผ้า!G61</f>
        <v>20</v>
      </c>
      <c r="F52" s="9">
        <f>[2]หน้าผ้า!H61</f>
        <v>37</v>
      </c>
      <c r="G52" s="9" t="str">
        <f>[2]หน้าผ้า!I61</f>
        <v>ขาว</v>
      </c>
      <c r="H52" s="9" t="str">
        <f>[2]หน้าผ้า!J61</f>
        <v>ใส</v>
      </c>
      <c r="I52" s="9">
        <f>[2]หน้าผ้า!L61</f>
        <v>100</v>
      </c>
      <c r="J52" s="9" t="str">
        <f>[2]หน้าผ้า!M61</f>
        <v>±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500กระสอบแบน</v>
      </c>
      <c r="T52" s="12">
        <f>[2]หน้าผ้า!X61</f>
        <v>45852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WSWT2025800SM</v>
      </c>
      <c r="AA52" s="8">
        <f>[2]หน้าผ้า!AQ61</f>
        <v>5378.4500000000007</v>
      </c>
      <c r="AB52" s="8">
        <f>[2]หน้าผ้า!AR61</f>
        <v>0</v>
      </c>
      <c r="AC52" s="8">
        <f>[2]หน้าผ้า!AS61</f>
        <v>5378.4500000000007</v>
      </c>
      <c r="AD52" s="8">
        <f>[2]หน้าผ้า!AT61</f>
        <v>0</v>
      </c>
      <c r="AE52" s="8">
        <f>[2]หน้าผ้า!AU61</f>
        <v>5378.4500000000007</v>
      </c>
      <c r="AF52" s="8">
        <f>[2]หน้าผ้า!AI61</f>
        <v>0</v>
      </c>
      <c r="AG52" s="1" t="str">
        <f>[3]หน้าผ้า!DC64</f>
        <v>รอแบบ</v>
      </c>
      <c r="AH52" s="1" t="str">
        <f>[2]หน้าผ้า!DL61</f>
        <v>P6</v>
      </c>
      <c r="AI52" s="1">
        <f>[2]หน้าผ้า!DM61</f>
        <v>4</v>
      </c>
      <c r="AJ52" s="3">
        <f>[2]หน้าผ้า!DN61</f>
        <v>45852</v>
      </c>
      <c r="AK52" s="3">
        <f>[2]หน้าผ้า!DQ61</f>
        <v>45848</v>
      </c>
      <c r="AL52" s="3">
        <f>[2]หน้าผ้า!DR61</f>
        <v>45841</v>
      </c>
      <c r="AM52" s="3">
        <f>[2]หน้าผ้า!DS61</f>
        <v>45849</v>
      </c>
      <c r="AN52" s="3">
        <f>[2]หน้าผ้า!DT61</f>
        <v>45850</v>
      </c>
      <c r="AO52" s="3">
        <f>[2]หน้าผ้า!DU61</f>
        <v>45851</v>
      </c>
      <c r="AP52" s="3">
        <f>[2]หน้าผ้า!DP61</f>
        <v>45847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งานเคลือบ+พิมพ์</v>
      </c>
      <c r="AX52" s="2" t="str">
        <f>[2]หน้าผ้า!ED61</f>
        <v>รอART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WRWT25850/WRWT25850</v>
      </c>
      <c r="BD52" s="56">
        <f>[2]หน้าผ้า!CA61</f>
        <v>406.37177777777782</v>
      </c>
    </row>
    <row r="53" spans="1:56" ht="27.75" customHeight="1" x14ac:dyDescent="0.45">
      <c r="A53" s="3">
        <f>[2]หน้าผ้า!C62</f>
        <v>45826</v>
      </c>
      <c r="B53" s="14" t="str">
        <f>[2]หน้าผ้า!B62</f>
        <v>MK68-000806</v>
      </c>
      <c r="C53" s="9" t="str">
        <f>[2]หน้าผ้า!E62</f>
        <v>บจก.เอพีเอ็ม อะโกร</v>
      </c>
      <c r="D53" s="13" t="str">
        <f>[2]หน้าผ้า!F62</f>
        <v>ฟีล กู๊ด พี6</v>
      </c>
      <c r="E53" s="9">
        <f>[2]หน้าผ้า!G62</f>
        <v>20</v>
      </c>
      <c r="F53" s="9">
        <f>[2]หน้าผ้า!H62</f>
        <v>38</v>
      </c>
      <c r="G53" s="9" t="str">
        <f>[2]หน้าผ้า!I62</f>
        <v>ขาว</v>
      </c>
      <c r="H53" s="9" t="str">
        <f>[2]หน้าผ้า!J62</f>
        <v>ใส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500กระสอบแบน</v>
      </c>
      <c r="T53" s="12">
        <f>[2]หน้าผ้า!X62</f>
        <v>45856</v>
      </c>
      <c r="U53" s="11">
        <f>[2]หน้าผ้า!AA62</f>
        <v>3000</v>
      </c>
      <c r="V53" s="10">
        <f>[2]หน้าผ้า!AJ62</f>
        <v>0</v>
      </c>
      <c r="W53" s="10">
        <f>[2]หน้าผ้า!AL62</f>
        <v>3000</v>
      </c>
      <c r="X53" s="10">
        <f>[2]หน้าผ้า!AM62</f>
        <v>0</v>
      </c>
      <c r="Y53" s="10">
        <f>[2]หน้าผ้า!AN62</f>
        <v>3150</v>
      </c>
      <c r="Z53" s="9" t="str">
        <f>[2]หน้าผ้า!AO62</f>
        <v>WSWT2025800SM</v>
      </c>
      <c r="AA53" s="8">
        <f>[2]หน้าผ้า!AQ62</f>
        <v>3310.89</v>
      </c>
      <c r="AB53" s="8">
        <f>[2]หน้าผ้า!AR62</f>
        <v>3310.89</v>
      </c>
      <c r="AC53" s="8">
        <f>[2]หน้าผ้า!AS62</f>
        <v>0</v>
      </c>
      <c r="AD53" s="8">
        <f>[2]หน้าผ้า!AT62</f>
        <v>3310.89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รอแบบ</v>
      </c>
      <c r="AH53" s="1" t="str">
        <f>[2]หน้าผ้า!DL62</f>
        <v>P6</v>
      </c>
      <c r="AI53" s="1">
        <f>[2]หน้าผ้า!DM62</f>
        <v>4</v>
      </c>
      <c r="AJ53" s="3">
        <f>[2]หน้าผ้า!DN62</f>
        <v>45856</v>
      </c>
      <c r="AK53" s="3">
        <f>[2]หน้าผ้า!DQ62</f>
        <v>45852</v>
      </c>
      <c r="AL53" s="3">
        <f>[2]หน้าผ้า!DR62</f>
        <v>45845</v>
      </c>
      <c r="AM53" s="3">
        <f>[2]หน้าผ้า!DS62</f>
        <v>45853</v>
      </c>
      <c r="AN53" s="3">
        <f>[2]หน้าผ้า!DT62</f>
        <v>45854</v>
      </c>
      <c r="AO53" s="3">
        <f>[2]หน้าผ้า!DU62</f>
        <v>45855</v>
      </c>
      <c r="AP53" s="3">
        <f>[2]หน้าผ้า!DP62</f>
        <v>45851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WRWT25850/WRWT25850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45839</v>
      </c>
      <c r="B54" s="14" t="str">
        <f>[2]หน้าผ้า!B63</f>
        <v>MK68-000853</v>
      </c>
      <c r="C54" s="9" t="str">
        <f>[2]หน้าผ้า!E63</f>
        <v>บจก.วีซีเอฟ</v>
      </c>
      <c r="D54" s="13" t="str">
        <f>[2]หน้าผ้า!F63</f>
        <v>R FEED 405A</v>
      </c>
      <c r="E54" s="9">
        <f>[2]หน้าผ้า!G63</f>
        <v>20</v>
      </c>
      <c r="F54" s="9">
        <f>[2]หน้าผ้า!H63</f>
        <v>37</v>
      </c>
      <c r="G54" s="9" t="str">
        <f>[2]หน้าผ้า!I63</f>
        <v>ขาว</v>
      </c>
      <c r="H54" s="9" t="str">
        <f>[2]หน้าผ้า!J63</f>
        <v>ใส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ไม่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500กระสอบแบน</v>
      </c>
      <c r="T54" s="12">
        <f>[2]หน้าผ้า!X63</f>
        <v>45861</v>
      </c>
      <c r="U54" s="11">
        <f>[2]หน้าผ้า!AA63</f>
        <v>10000</v>
      </c>
      <c r="V54" s="10">
        <f>[2]หน้าผ้า!AJ63</f>
        <v>0</v>
      </c>
      <c r="W54" s="10">
        <f>[2]หน้าผ้า!AL63</f>
        <v>10000</v>
      </c>
      <c r="X54" s="10">
        <f>[2]หน้าผ้า!AM63</f>
        <v>0</v>
      </c>
      <c r="Y54" s="10">
        <f>[2]หน้าผ้า!AN63</f>
        <v>10500</v>
      </c>
      <c r="Z54" s="9" t="str">
        <f>[2]หน้าผ้า!AO63</f>
        <v>WSWT2025800SM</v>
      </c>
      <c r="AA54" s="8">
        <f>[2]หน้าผ้า!AQ63</f>
        <v>10756.900000000001</v>
      </c>
      <c r="AB54" s="8">
        <f>[2]หน้าผ้า!AR63</f>
        <v>0</v>
      </c>
      <c r="AC54" s="8">
        <f>[2]หน้าผ้า!AS63</f>
        <v>10756.900000000001</v>
      </c>
      <c r="AD54" s="8">
        <f>[2]หน้าผ้า!AT63</f>
        <v>0</v>
      </c>
      <c r="AE54" s="8">
        <f>[2]หน้าผ้า!AU63</f>
        <v>10756.900000000001</v>
      </c>
      <c r="AF54" s="8">
        <f>[2]หน้าผ้า!AI63</f>
        <v>0</v>
      </c>
      <c r="AG54" s="1" t="str">
        <f>[3]หน้าผ้า!DC66</f>
        <v>รอแบบ</v>
      </c>
      <c r="AH54" s="1" t="str">
        <f>[2]หน้าผ้า!DL63</f>
        <v>P6</v>
      </c>
      <c r="AI54" s="1">
        <f>[2]หน้าผ้า!DM63</f>
        <v>4</v>
      </c>
      <c r="AJ54" s="3">
        <f>[2]หน้าผ้า!DN63</f>
        <v>45861</v>
      </c>
      <c r="AK54" s="3">
        <f>[2]หน้าผ้า!DQ63</f>
        <v>45857</v>
      </c>
      <c r="AL54" s="3">
        <f>[2]หน้าผ้า!DR63</f>
        <v>45850</v>
      </c>
      <c r="AM54" s="3">
        <f>[2]หน้าผ้า!DS63</f>
        <v>45858</v>
      </c>
      <c r="AN54" s="3">
        <f>[2]หน้าผ้า!DT63</f>
        <v>45859</v>
      </c>
      <c r="AO54" s="3">
        <f>[2]หน้าผ้า!DU63</f>
        <v>45860</v>
      </c>
      <c r="AP54" s="3">
        <f>[2]หน้าผ้า!DP63</f>
        <v>45856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WRWT25850/WRWT25850</v>
      </c>
      <c r="BD54" s="56">
        <f>[2]หน้าผ้า!CA63</f>
        <v>812.74355555555564</v>
      </c>
    </row>
    <row r="55" spans="1:56" ht="27.75" customHeight="1" x14ac:dyDescent="0.45">
      <c r="A55" s="3" t="str">
        <f>[2]หน้าผ้า!C64</f>
        <v>ประมาณการ</v>
      </c>
      <c r="B55" s="14" t="str">
        <f>[2]หน้าผ้า!B64</f>
        <v>ประมาณการ</v>
      </c>
      <c r="C55" s="9" t="str">
        <f>[2]หน้าผ้า!E64</f>
        <v>บจก.อินเทคค์ โกลบอล</v>
      </c>
      <c r="D55" s="13" t="str">
        <f>[2]หน้าผ้า!F64</f>
        <v>รอแบบ</v>
      </c>
      <c r="E55" s="9">
        <f>[2]หน้าผ้า!G64</f>
        <v>20</v>
      </c>
      <c r="F55" s="9">
        <f>[2]หน้าผ้า!H64</f>
        <v>36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100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มัด80 ใช้สายรัด</v>
      </c>
      <c r="T55" s="12">
        <f>[2]หน้าผ้า!X64</f>
        <v>45868</v>
      </c>
      <c r="U55" s="11">
        <f>[2]หน้าผ้า!AA64</f>
        <v>100000</v>
      </c>
      <c r="V55" s="10">
        <f>[2]หน้าผ้า!AJ64</f>
        <v>0</v>
      </c>
      <c r="W55" s="10">
        <f>[2]หน้าผ้า!AL64</f>
        <v>100000</v>
      </c>
      <c r="X55" s="10">
        <f>[2]หน้าผ้า!AM64</f>
        <v>0</v>
      </c>
      <c r="Y55" s="10">
        <f>[2]หน้าผ้า!AN64</f>
        <v>105000</v>
      </c>
      <c r="Z55" s="9" t="str">
        <f>[2]หน้าผ้า!AO64</f>
        <v>WSWT2025800SM</v>
      </c>
      <c r="AA55" s="8">
        <f>[2]หน้าผ้า!AQ64</f>
        <v>104775.00000000001</v>
      </c>
      <c r="AB55" s="8">
        <f>[2]หน้าผ้า!AR64</f>
        <v>0</v>
      </c>
      <c r="AC55" s="8">
        <f>[2]หน้าผ้า!AS64</f>
        <v>104775.00000000001</v>
      </c>
      <c r="AD55" s="8">
        <f>[2]หน้าผ้า!AT64</f>
        <v>0</v>
      </c>
      <c r="AE55" s="8">
        <f>[2]หน้าผ้า!AU64</f>
        <v>104775.00000000001</v>
      </c>
      <c r="AF55" s="8">
        <f>[2]หน้าผ้า!AI64</f>
        <v>0</v>
      </c>
      <c r="AG55" s="1" t="str">
        <f>[3]หน้าผ้า!DC67</f>
        <v>รอแบบ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45868</v>
      </c>
      <c r="AK55" s="3">
        <f>[2]หน้าผ้า!DQ64</f>
        <v>45864</v>
      </c>
      <c r="AL55" s="3">
        <f>[2]หน้าผ้า!DR64</f>
        <v>45857</v>
      </c>
      <c r="AM55" s="3">
        <f>[2]หน้าผ้า!DS64</f>
        <v>45865</v>
      </c>
      <c r="AN55" s="3">
        <f>[2]หน้าผ้า!DT64</f>
        <v>45866</v>
      </c>
      <c r="AO55" s="3">
        <f>[2]หน้าผ้า!DU64</f>
        <v>45867</v>
      </c>
      <c r="AP55" s="3">
        <f>[2]หน้าผ้า!DP64</f>
        <v>45863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>รอART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WRWT25850/WRWT25850</v>
      </c>
      <c r="BD55" s="56">
        <f>[2]หน้าผ้า!CA64</f>
        <v>7916.333333333333</v>
      </c>
    </row>
    <row r="56" spans="1:56" ht="27.75" customHeight="1" x14ac:dyDescent="0.45">
      <c r="A56" s="3" t="str">
        <f>[2]หน้าผ้า!C65</f>
        <v>ประมาณการ</v>
      </c>
      <c r="B56" s="14" t="str">
        <f>[2]หน้าผ้า!B65</f>
        <v>ประมาณการ</v>
      </c>
      <c r="C56" s="9" t="str">
        <f>[2]หน้าผ้า!E65</f>
        <v>บจก.เอสพีเอ็ม อาหารสัตว์</v>
      </c>
      <c r="D56" s="13" t="str">
        <f>[2]หน้าผ้า!F65</f>
        <v>รอแบบ</v>
      </c>
      <c r="E56" s="9">
        <f>[2]หน้าผ้า!G65</f>
        <v>20</v>
      </c>
      <c r="F56" s="9">
        <f>[2]หน้าผ้า!H65</f>
        <v>38</v>
      </c>
      <c r="G56" s="9" t="str">
        <f>[2]หน้าผ้า!I65</f>
        <v>ขาว</v>
      </c>
      <c r="H56" s="9" t="str">
        <f>[2]หน้าผ้า!J65</f>
        <v>ใส</v>
      </c>
      <c r="I56" s="9">
        <f>[2]หน้าผ้า!L65</f>
        <v>100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500กระสอบแบน</v>
      </c>
      <c r="T56" s="12">
        <f>[2]หน้าผ้า!X65</f>
        <v>45868</v>
      </c>
      <c r="U56" s="11">
        <f>[2]หน้าผ้า!AA65</f>
        <v>20000</v>
      </c>
      <c r="V56" s="10">
        <f>[2]หน้าผ้า!AJ65</f>
        <v>0</v>
      </c>
      <c r="W56" s="10">
        <f>[2]หน้าผ้า!AL65</f>
        <v>20000</v>
      </c>
      <c r="X56" s="10">
        <f>[2]หน้าผ้า!AM65</f>
        <v>0</v>
      </c>
      <c r="Y56" s="10">
        <f>[2]หน้าผ้า!AN65</f>
        <v>21000</v>
      </c>
      <c r="Z56" s="9" t="str">
        <f>[2]หน้าผ้า!AO65</f>
        <v>WSWT2025800SM</v>
      </c>
      <c r="AA56" s="8">
        <f>[2]หน้าผ้า!AQ65</f>
        <v>22072.6</v>
      </c>
      <c r="AB56" s="8">
        <f>[2]หน้าผ้า!AR65</f>
        <v>0</v>
      </c>
      <c r="AC56" s="8">
        <f>[2]หน้าผ้า!AS65</f>
        <v>22072.6</v>
      </c>
      <c r="AD56" s="8">
        <f>[2]หน้าผ้า!AT65</f>
        <v>0</v>
      </c>
      <c r="AE56" s="8">
        <f>[2]หน้าผ้า!AU65</f>
        <v>22072.6</v>
      </c>
      <c r="AF56" s="8">
        <f>[2]หน้าผ้า!AI65</f>
        <v>0</v>
      </c>
      <c r="AG56" s="1" t="str">
        <f>[3]หน้าผ้า!DC68</f>
        <v>รอตัด</v>
      </c>
      <c r="AH56" s="1" t="str">
        <f>[2]หน้าผ้า!DL65</f>
        <v>P6</v>
      </c>
      <c r="AI56" s="1">
        <f>[2]หน้าผ้า!DM65</f>
        <v>4</v>
      </c>
      <c r="AJ56" s="3">
        <f>[2]หน้าผ้า!DN65</f>
        <v>45868</v>
      </c>
      <c r="AK56" s="3">
        <f>[2]หน้าผ้า!DQ65</f>
        <v>45864</v>
      </c>
      <c r="AL56" s="3">
        <f>[2]หน้าผ้า!DR65</f>
        <v>45857</v>
      </c>
      <c r="AM56" s="3">
        <f>[2]หน้าผ้า!DS65</f>
        <v>45865</v>
      </c>
      <c r="AN56" s="3">
        <f>[2]หน้าผ้า!DT65</f>
        <v>45866</v>
      </c>
      <c r="AO56" s="3">
        <f>[2]หน้าผ้า!DU65</f>
        <v>45867</v>
      </c>
      <c r="AP56" s="3">
        <f>[2]หน้าผ้า!DP65</f>
        <v>45863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งานเคลือบ+พิมพ์</v>
      </c>
      <c r="AX56" s="2" t="str">
        <f>[2]หน้าผ้า!ED65</f>
        <v>รอART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WRWT25850/WRWT25850</v>
      </c>
      <c r="BD56" s="56">
        <f>[2]หน้าผ้า!CA65</f>
        <v>1667.7075555555555</v>
      </c>
    </row>
    <row r="57" spans="1:56" ht="27.75" customHeight="1" x14ac:dyDescent="0.45">
      <c r="A57" s="3" t="str">
        <f>[2]หน้าผ้า!C66</f>
        <v>ประมาณการ</v>
      </c>
      <c r="B57" s="14" t="str">
        <f>[2]หน้าผ้า!B66</f>
        <v>ประมาณการ</v>
      </c>
      <c r="C57" s="9" t="str">
        <f>[2]หน้าผ้า!E66</f>
        <v>บจก.ไทยธรรมดี</v>
      </c>
      <c r="D57" s="13" t="str">
        <f>[2]หน้าผ้า!F66</f>
        <v>รอแบบ</v>
      </c>
      <c r="E57" s="9">
        <f>[2]หน้าผ้า!G66</f>
        <v>20</v>
      </c>
      <c r="F57" s="9">
        <f>[2]หน้าผ้า!H66</f>
        <v>37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97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500กระสอบ</v>
      </c>
      <c r="T57" s="12">
        <f>[2]หน้าผ้า!X66</f>
        <v>45868</v>
      </c>
      <c r="U57" s="11">
        <f>[2]หน้าผ้า!AA66</f>
        <v>20000</v>
      </c>
      <c r="V57" s="10">
        <f>[2]หน้าผ้า!AJ66</f>
        <v>0</v>
      </c>
      <c r="W57" s="10">
        <f>[2]หน้าผ้า!AL66</f>
        <v>20000</v>
      </c>
      <c r="X57" s="10">
        <f>[2]หน้าผ้า!AM66</f>
        <v>0</v>
      </c>
      <c r="Y57" s="10">
        <f>[2]หน้าผ้า!AN66</f>
        <v>21000</v>
      </c>
      <c r="Z57" s="9" t="str">
        <f>[2]หน้าผ้า!AO66</f>
        <v>WSWT2025800SM</v>
      </c>
      <c r="AA57" s="8">
        <f>[2]หน้าผ้า!AQ66</f>
        <v>21513.800000000003</v>
      </c>
      <c r="AB57" s="8">
        <f>[2]หน้าผ้า!AR66</f>
        <v>0</v>
      </c>
      <c r="AC57" s="8">
        <f>[2]หน้าผ้า!AS66</f>
        <v>21513.800000000003</v>
      </c>
      <c r="AD57" s="8">
        <f>[2]หน้าผ้า!AT66</f>
        <v>0</v>
      </c>
      <c r="AE57" s="8">
        <f>[2]หน้าผ้า!AU66</f>
        <v>21513.800000000003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>
        <f>[2]หน้าผ้า!DN66</f>
        <v>45868</v>
      </c>
      <c r="AK57" s="3">
        <f>[2]หน้าผ้า!DQ66</f>
        <v>45864</v>
      </c>
      <c r="AL57" s="3">
        <f>[2]หน้าผ้า!DR66</f>
        <v>45857</v>
      </c>
      <c r="AM57" s="3">
        <f>[2]หน้าผ้า!DS66</f>
        <v>45865</v>
      </c>
      <c r="AN57" s="3">
        <f>[2]หน้าผ้า!DT66</f>
        <v>45866</v>
      </c>
      <c r="AO57" s="3">
        <f>[2]หน้าผ้า!DU66</f>
        <v>45867</v>
      </c>
      <c r="AP57" s="3">
        <f>[2]หน้าผ้า!DP66</f>
        <v>45863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>รอART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WRWT25850/WRWT25850</v>
      </c>
      <c r="BD57" s="56">
        <f>[2]หน้าผ้า!CA66</f>
        <v>1625.4871111111113</v>
      </c>
    </row>
    <row r="58" spans="1:56" ht="27.75" customHeight="1" x14ac:dyDescent="0.45">
      <c r="A58" s="3" t="str">
        <f>[2]หน้าผ้า!C67</f>
        <v>ประมาณการ</v>
      </c>
      <c r="B58" s="14" t="str">
        <f>[2]หน้าผ้า!B67</f>
        <v>ประมาณการ</v>
      </c>
      <c r="C58" s="9" t="str">
        <f>[2]หน้าผ้า!E67</f>
        <v>บจก.ซันฟีด</v>
      </c>
      <c r="D58" s="13" t="str">
        <f>[2]หน้าผ้า!F67</f>
        <v>รอแบบ</v>
      </c>
      <c r="E58" s="9">
        <f>[2]หน้าผ้า!G67</f>
        <v>20</v>
      </c>
      <c r="F58" s="9">
        <f>[2]หน้าผ้า!H67</f>
        <v>38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+</v>
      </c>
      <c r="K58" s="9">
        <f>[2]หน้าผ้า!N67</f>
        <v>0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 xml:space="preserve">300กระสอบแบนเต็มใบ </v>
      </c>
      <c r="T58" s="12">
        <f>[2]หน้าผ้า!X67</f>
        <v>45868</v>
      </c>
      <c r="U58" s="11">
        <f>[2]หน้าผ้า!AA67</f>
        <v>100000</v>
      </c>
      <c r="V58" s="10">
        <f>[2]หน้าผ้า!AJ67</f>
        <v>0</v>
      </c>
      <c r="W58" s="10">
        <f>[2]หน้าผ้า!AL67</f>
        <v>100000</v>
      </c>
      <c r="X58" s="10">
        <f>[2]หน้าผ้า!AM67</f>
        <v>0</v>
      </c>
      <c r="Y58" s="10">
        <f>[2]หน้าผ้า!AN67</f>
        <v>105000</v>
      </c>
      <c r="Z58" s="9" t="str">
        <f>[2]หน้าผ้า!AO67</f>
        <v>WSWT2025800SM</v>
      </c>
      <c r="AA58" s="8">
        <f>[2]หน้าผ้า!AQ67</f>
        <v>110363</v>
      </c>
      <c r="AB58" s="8">
        <f>[2]หน้าผ้า!AR67</f>
        <v>0</v>
      </c>
      <c r="AC58" s="8">
        <f>[2]หน้าผ้า!AS67</f>
        <v>110363</v>
      </c>
      <c r="AD58" s="8">
        <f>[2]หน้าผ้า!AT67</f>
        <v>0</v>
      </c>
      <c r="AE58" s="8">
        <f>[2]หน้าผ้า!AU67</f>
        <v>110363</v>
      </c>
      <c r="AF58" s="8">
        <f>[2]หน้าผ้า!AI67</f>
        <v>0</v>
      </c>
      <c r="AG58" s="1" t="str">
        <f>[3]หน้าผ้า!DC70</f>
        <v>รอตัด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45868</v>
      </c>
      <c r="AK58" s="3">
        <f>[2]หน้าผ้า!DQ67</f>
        <v>45864</v>
      </c>
      <c r="AL58" s="3">
        <f>[2]หน้าผ้า!DR67</f>
        <v>45857</v>
      </c>
      <c r="AM58" s="3">
        <f>[2]หน้าผ้า!DS67</f>
        <v>45865</v>
      </c>
      <c r="AN58" s="3">
        <f>[2]หน้าผ้า!DT67</f>
        <v>45866</v>
      </c>
      <c r="AO58" s="3">
        <f>[2]หน้าผ้า!DU67</f>
        <v>45867</v>
      </c>
      <c r="AP58" s="3">
        <f>[2]หน้าผ้า!DP67</f>
        <v>45863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>รอART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8338.5377777777776</v>
      </c>
    </row>
    <row r="59" spans="1:56" ht="27.75" customHeight="1" x14ac:dyDescent="0.45">
      <c r="A59" s="3">
        <f>[2]หน้าผ้า!C68</f>
        <v>45825</v>
      </c>
      <c r="B59" s="14" t="str">
        <f>[2]หน้าผ้า!B68</f>
        <v>MK68-000801</v>
      </c>
      <c r="C59" s="9" t="str">
        <f>[2]หน้าผ้า!E68</f>
        <v>บจก.อินเทคค์ โกลบอล</v>
      </c>
      <c r="D59" s="13" t="str">
        <f>[2]หน้าผ้า!F68</f>
        <v>สุบรรณ 111</v>
      </c>
      <c r="E59" s="9">
        <f>[2]หน้าผ้า!G68</f>
        <v>20</v>
      </c>
      <c r="F59" s="9">
        <f>[2]หน้าผ้า!H68</f>
        <v>36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จับจีบ3.5"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 t="str">
        <f>[2]หน้าผ้า!X68</f>
        <v>รอแจ้ง</v>
      </c>
      <c r="U59" s="11">
        <f>[2]หน้าผ้า!AA68</f>
        <v>894</v>
      </c>
      <c r="V59" s="10">
        <f>[2]หน้าผ้า!AJ68</f>
        <v>0</v>
      </c>
      <c r="W59" s="10">
        <f>[2]หน้าผ้า!AL68</f>
        <v>894</v>
      </c>
      <c r="X59" s="10">
        <f>[2]หน้าผ้า!AM68</f>
        <v>6000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 t="str">
        <f>[2]หน้าผ้า!DN68</f>
        <v>รอแจ้ง</v>
      </c>
      <c r="AK59" s="3" t="e">
        <f>[2]หน้าผ้า!DQ68</f>
        <v>#VALUE!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 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45827</v>
      </c>
      <c r="B60" s="14" t="str">
        <f>[2]หน้าผ้า!B69</f>
        <v>MK68-000810</v>
      </c>
      <c r="C60" s="9" t="str">
        <f>[2]หน้าผ้า!E69</f>
        <v>บจก.อินเทคค์ โกลบอล</v>
      </c>
      <c r="D60" s="13" t="str">
        <f>[2]หน้าผ้า!F69</f>
        <v>เฟิร์สคลาส 912</v>
      </c>
      <c r="E60" s="9">
        <f>[2]หน้าผ้า!G69</f>
        <v>20</v>
      </c>
      <c r="F60" s="9">
        <f>[2]หน้าผ้า!H69</f>
        <v>35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97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จับจีบ4"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มัด80 ใช้สายรัด</v>
      </c>
      <c r="T60" s="12" t="str">
        <f>[2]หน้าผ้า!X69</f>
        <v>รอแจ้ง</v>
      </c>
      <c r="U60" s="11">
        <f>[2]หน้าผ้า!AA69</f>
        <v>455</v>
      </c>
      <c r="V60" s="10">
        <f>[2]หน้าผ้า!AJ69</f>
        <v>0</v>
      </c>
      <c r="W60" s="10">
        <f>[2]หน้าผ้า!AL69</f>
        <v>455</v>
      </c>
      <c r="X60" s="10">
        <f>[2]หน้าผ้า!AM69</f>
        <v>6000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รอตัด</v>
      </c>
      <c r="AH60" s="1" t="str">
        <f>[2]หน้าผ้า!DL69</f>
        <v>P6</v>
      </c>
      <c r="AI60" s="1">
        <f>[2]หน้าผ้า!DM69</f>
        <v>4</v>
      </c>
      <c r="AJ60" s="3" t="str">
        <f>[2]หน้าผ้า!DN69</f>
        <v>รอแจ้ง</v>
      </c>
      <c r="AK60" s="3" t="e">
        <f>[2]หน้าผ้า!DQ69</f>
        <v>#VALUE!</v>
      </c>
      <c r="AL60" s="3" t="e">
        <f>[2]หน้าผ้า!DR69</f>
        <v>#VALUE!</v>
      </c>
      <c r="AM60" s="3" t="e">
        <f>[2]หน้าผ้า!DS69</f>
        <v>#VALUE!</v>
      </c>
      <c r="AN60" s="3" t="e">
        <f>[2]หน้าผ้า!DT69</f>
        <v>#VALUE!</v>
      </c>
      <c r="AO60" s="3" t="e">
        <f>[2]หน้าผ้า!DU69</f>
        <v>#VALUE!</v>
      </c>
      <c r="AP60" s="3" t="e">
        <f>[2]หน้าผ้า!DP69</f>
        <v>#VALUE!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45782</v>
      </c>
      <c r="B61" s="14" t="str">
        <f>[2]หน้าผ้า!B70</f>
        <v>MK68-000609</v>
      </c>
      <c r="C61" s="9" t="str">
        <f>[2]หน้าผ้า!E70</f>
        <v>บจก.เอสพีเอ็ม อาหารสัตว์</v>
      </c>
      <c r="D61" s="13" t="str">
        <f>[2]หน้าผ้า!F70</f>
        <v xml:space="preserve">SW 441 </v>
      </c>
      <c r="E61" s="9">
        <f>[2]หน้าผ้า!G70</f>
        <v>20</v>
      </c>
      <c r="F61" s="9">
        <f>[2]หน้าผ้า!H70</f>
        <v>38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500กระสอบแบน</v>
      </c>
      <c r="T61" s="12" t="str">
        <f>[2]หน้าผ้า!X70</f>
        <v>รอแจ้ง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5250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รอตัด</v>
      </c>
      <c r="AH61" s="1" t="str">
        <f>[2]หน้าผ้า!DL70</f>
        <v>P6</v>
      </c>
      <c r="AI61" s="1">
        <f>[2]หน้าผ้า!DM70</f>
        <v>4</v>
      </c>
      <c r="AJ61" s="3" t="str">
        <f>[2]หน้าผ้า!DN70</f>
        <v>รอแจ้ง</v>
      </c>
      <c r="AK61" s="3" t="e">
        <f>[2]หน้าผ้า!DQ70</f>
        <v>#VALUE!</v>
      </c>
      <c r="AL61" s="3" t="e">
        <f>[2]หน้าผ้า!DR70</f>
        <v>#VALUE!</v>
      </c>
      <c r="AM61" s="3" t="e">
        <f>[2]หน้าผ้า!DS70</f>
        <v>#VALUE!</v>
      </c>
      <c r="AN61" s="3" t="e">
        <f>[2]หน้าผ้า!DT70</f>
        <v>#VALUE!</v>
      </c>
      <c r="AO61" s="3" t="e">
        <f>[2]หน้าผ้า!DU70</f>
        <v>#VALUE!</v>
      </c>
      <c r="AP61" s="3" t="e">
        <f>[2]หน้าผ้า!DP70</f>
        <v>#VALUE!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 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45799</v>
      </c>
      <c r="B62" s="14" t="str">
        <f>[2]หน้าผ้า!B71</f>
        <v>MK68-000694</v>
      </c>
      <c r="C62" s="9" t="str">
        <f>[2]หน้าผ้า!E71</f>
        <v>บจก.เอ.เจ.ฟาร์ม่าแล็บ</v>
      </c>
      <c r="D62" s="13" t="str">
        <f>[2]หน้าผ้า!F71</f>
        <v>เบส-มิน</v>
      </c>
      <c r="E62" s="9">
        <f>[2]หน้าผ้า!G71</f>
        <v>20</v>
      </c>
      <c r="F62" s="9">
        <f>[2]หน้าผ้า!H71</f>
        <v>34</v>
      </c>
      <c r="G62" s="9" t="str">
        <f>[2]หน้าผ้า!I71</f>
        <v>ขาว</v>
      </c>
      <c r="H62" s="9" t="str">
        <f>[2]หน้าผ้า!J71</f>
        <v>ใส</v>
      </c>
      <c r="I62" s="9">
        <f>[2]หน้าผ้า!L71</f>
        <v>95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500กระสอบ</v>
      </c>
      <c r="T62" s="12" t="str">
        <f>[2]หน้าผ้า!X71</f>
        <v>รอส่ง</v>
      </c>
      <c r="U62" s="11">
        <f>[2]หน้าผ้า!AA71</f>
        <v>8000</v>
      </c>
      <c r="V62" s="10">
        <f>[2]หน้าผ้า!AJ71</f>
        <v>7840</v>
      </c>
      <c r="W62" s="10">
        <f>[2]หน้าผ้า!AL71</f>
        <v>160</v>
      </c>
      <c r="X62" s="10">
        <f>[2]หน้าผ้า!AM71</f>
        <v>8450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ห้ามขาด-ห้ามเกิน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รอส่ง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45796</v>
      </c>
      <c r="B63" s="14" t="str">
        <f>[2]หน้าผ้า!B72</f>
        <v>MK68-000672</v>
      </c>
      <c r="C63" s="9" t="str">
        <f>[2]หน้าผ้า!E72</f>
        <v>บจก.อินเทคค์ โกลบอล</v>
      </c>
      <c r="D63" s="13" t="str">
        <f>[2]หน้าผ้า!F72</f>
        <v>เฟิร์สช้อย 912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 t="str">
        <f>[2]หน้าผ้า!X72</f>
        <v>รอแจ้ง</v>
      </c>
      <c r="U63" s="11">
        <f>[2]หน้าผ้า!AA72</f>
        <v>3853</v>
      </c>
      <c r="V63" s="10">
        <f>[2]หน้าผ้า!AJ72</f>
        <v>0</v>
      </c>
      <c r="W63" s="10">
        <f>[2]หน้าผ้า!AL72</f>
        <v>3853</v>
      </c>
      <c r="X63" s="10">
        <f>[2]หน้าผ้า!AM72</f>
        <v>15401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 t="str">
        <f>[2]หน้าผ้า!DN72</f>
        <v>รอแจ้ง</v>
      </c>
      <c r="AK63" s="3" t="e">
        <f>[2]หน้าผ้า!DQ72</f>
        <v>#VALUE!</v>
      </c>
      <c r="AL63" s="3" t="e">
        <f>[2]หน้าผ้า!DR72</f>
        <v>#VALUE!</v>
      </c>
      <c r="AM63" s="3" t="e">
        <f>[2]หน้าผ้า!DS72</f>
        <v>#VALUE!</v>
      </c>
      <c r="AN63" s="3" t="e">
        <f>[2]หน้าผ้า!DT72</f>
        <v>#VALUE!</v>
      </c>
      <c r="AO63" s="3" t="e">
        <f>[2]หน้าผ้า!DU72</f>
        <v>#VALUE!</v>
      </c>
      <c r="AP63" s="3" t="e">
        <f>[2]หน้าผ้า!DP72</f>
        <v>#VALUE!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45796</v>
      </c>
      <c r="B64" s="14" t="str">
        <f>[2]หน้าผ้า!B73</f>
        <v>MK68-000675</v>
      </c>
      <c r="C64" s="9" t="str">
        <f>[2]หน้าผ้า!E73</f>
        <v>บจก.อินเทคค์ โกลบอล</v>
      </c>
      <c r="D64" s="13" t="str">
        <f>[2]หน้าผ้า!F73</f>
        <v>เพอเฟคค์ 914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 t="str">
        <f>[2]หน้าผ้า!X73</f>
        <v>รอแจ้ง</v>
      </c>
      <c r="U64" s="11">
        <f>[2]หน้าผ้า!AA73</f>
        <v>3360</v>
      </c>
      <c r="V64" s="10">
        <f>[2]หน้าผ้า!AJ73</f>
        <v>0</v>
      </c>
      <c r="W64" s="10">
        <f>[2]หน้าผ้า!AL73</f>
        <v>3360</v>
      </c>
      <c r="X64" s="10">
        <f>[2]หน้าผ้า!AM73</f>
        <v>35200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 t="str">
        <f>[2]หน้าผ้า!DN73</f>
        <v>รอแจ้ง</v>
      </c>
      <c r="AK64" s="3" t="e">
        <f>[2]หน้าผ้า!DQ73</f>
        <v>#VALUE!</v>
      </c>
      <c r="AL64" s="3" t="e">
        <f>[2]หน้าผ้า!DR73</f>
        <v>#VALUE!</v>
      </c>
      <c r="AM64" s="3" t="e">
        <f>[2]หน้าผ้า!DS73</f>
        <v>#VALUE!</v>
      </c>
      <c r="AN64" s="3" t="e">
        <f>[2]หน้าผ้า!DT73</f>
        <v>#VALUE!</v>
      </c>
      <c r="AO64" s="3" t="e">
        <f>[2]หน้าผ้า!DU73</f>
        <v>#VALUE!</v>
      </c>
      <c r="AP64" s="3" t="e">
        <f>[2]หน้าผ้า!DP73</f>
        <v>#VALUE!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 t="str">
        <f>[2]หน้าผ้า!AG73</f>
        <v>2/6---6/6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45796</v>
      </c>
      <c r="B65" s="14" t="str">
        <f>[2]หน้าผ้า!B74</f>
        <v>MK68-000676</v>
      </c>
      <c r="C65" s="9" t="str">
        <f>[2]หน้าผ้า!E74</f>
        <v>บจก.อินเทคค์ โกลบอล</v>
      </c>
      <c r="D65" s="13" t="str">
        <f>[2]หน้าผ้า!F74</f>
        <v>เพอเฟคค์ 916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 t="str">
        <f>[2]หน้าผ้า!X74</f>
        <v>รอแจ้ง</v>
      </c>
      <c r="U65" s="11">
        <f>[2]หน้าผ้า!AA74</f>
        <v>614</v>
      </c>
      <c r="V65" s="10">
        <f>[2]หน้าผ้า!AJ74</f>
        <v>0</v>
      </c>
      <c r="W65" s="10">
        <f>[2]หน้าผ้า!AL74</f>
        <v>614</v>
      </c>
      <c r="X65" s="10">
        <f>[2]หน้าผ้า!AM74</f>
        <v>12101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 t="str">
        <f>[2]หน้าผ้า!DN74</f>
        <v>รอแจ้ง</v>
      </c>
      <c r="AK65" s="3" t="e">
        <f>[2]หน้าผ้า!DQ74</f>
        <v>#VALUE!</v>
      </c>
      <c r="AL65" s="3" t="e">
        <f>[2]หน้าผ้า!DR74</f>
        <v>#VALUE!</v>
      </c>
      <c r="AM65" s="3" t="e">
        <f>[2]หน้าผ้า!DS74</f>
        <v>#VALUE!</v>
      </c>
      <c r="AN65" s="3" t="e">
        <f>[2]หน้าผ้า!DT74</f>
        <v>#VALUE!</v>
      </c>
      <c r="AO65" s="3" t="e">
        <f>[2]หน้าผ้า!DU74</f>
        <v>#VALUE!</v>
      </c>
      <c r="AP65" s="3" t="e">
        <f>[2]หน้าผ้า!DP74</f>
        <v>#VALUE!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45796</v>
      </c>
      <c r="B66" s="14" t="str">
        <f>[2]หน้าผ้า!B75</f>
        <v>MK68-000671</v>
      </c>
      <c r="C66" s="9" t="str">
        <f>[2]หน้าผ้า!E75</f>
        <v>บจก.อินเทคค์ โกลบอล</v>
      </c>
      <c r="D66" s="13" t="str">
        <f>[2]หน้าผ้า!F75</f>
        <v>เฟิร์สช้อย 902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 t="str">
        <f>[2]หน้าผ้า!X75</f>
        <v>รอแจ้ง</v>
      </c>
      <c r="U66" s="11">
        <f>[2]หน้าผ้า!AA75</f>
        <v>366</v>
      </c>
      <c r="V66" s="10">
        <f>[2]หน้าผ้า!AJ75</f>
        <v>0</v>
      </c>
      <c r="W66" s="10">
        <f>[2]หน้าผ้า!AL75</f>
        <v>366</v>
      </c>
      <c r="X66" s="10">
        <f>[2]หน้าผ้า!AM75</f>
        <v>5113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รอตัด</v>
      </c>
      <c r="AH66" s="1" t="str">
        <f>[2]หน้าผ้า!DL75</f>
        <v>P6</v>
      </c>
      <c r="AI66" s="1">
        <f>[2]หน้าผ้า!DM75</f>
        <v>4</v>
      </c>
      <c r="AJ66" s="3" t="str">
        <f>[2]หน้าผ้า!DN75</f>
        <v>รอแจ้ง</v>
      </c>
      <c r="AK66" s="3" t="e">
        <f>[2]หน้าผ้า!DQ75</f>
        <v>#VALUE!</v>
      </c>
      <c r="AL66" s="3" t="e">
        <f>[2]หน้าผ้า!DR75</f>
        <v>#VALUE!</v>
      </c>
      <c r="AM66" s="3" t="e">
        <f>[2]หน้าผ้า!DS75</f>
        <v>#VALUE!</v>
      </c>
      <c r="AN66" s="3" t="e">
        <f>[2]หน้าผ้า!DT75</f>
        <v>#VALUE!</v>
      </c>
      <c r="AO66" s="3" t="e">
        <f>[2]หน้าผ้า!DU75</f>
        <v>#VALUE!</v>
      </c>
      <c r="AP66" s="3" t="e">
        <f>[2]หน้าผ้า!DP75</f>
        <v>#VALUE!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45796</v>
      </c>
      <c r="B67" s="14" t="str">
        <f>[2]หน้าผ้า!B76</f>
        <v>MK68-000673</v>
      </c>
      <c r="C67" s="9" t="str">
        <f>[2]หน้าผ้า!E76</f>
        <v>บจก.อินเทคค์ โกลบอล</v>
      </c>
      <c r="D67" s="13" t="str">
        <f>[2]หน้าผ้า!F76</f>
        <v>เพอเฟคค์ 000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 t="str">
        <f>[2]หน้าผ้า!X76</f>
        <v>รอแจ้ง</v>
      </c>
      <c r="U67" s="11">
        <f>[2]หน้าผ้า!AA76</f>
        <v>179</v>
      </c>
      <c r="V67" s="10">
        <f>[2]หน้าผ้า!AJ76</f>
        <v>0</v>
      </c>
      <c r="W67" s="10">
        <f>[2]หน้าผ้า!AL76</f>
        <v>179</v>
      </c>
      <c r="X67" s="10">
        <f>[2]หน้าผ้า!AM76</f>
        <v>11000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 t="str">
        <f>[2]หน้าผ้า!DN76</f>
        <v>รอแจ้ง</v>
      </c>
      <c r="AK67" s="3" t="e">
        <f>[2]หน้าผ้า!DQ76</f>
        <v>#VALUE!</v>
      </c>
      <c r="AL67" s="3" t="e">
        <f>[2]หน้าผ้า!DR76</f>
        <v>#VALUE!</v>
      </c>
      <c r="AM67" s="3" t="e">
        <f>[2]หน้าผ้า!DS76</f>
        <v>#VALUE!</v>
      </c>
      <c r="AN67" s="3" t="e">
        <f>[2]หน้าผ้า!DT76</f>
        <v>#VALUE!</v>
      </c>
      <c r="AO67" s="3" t="e">
        <f>[2]หน้าผ้า!DU76</f>
        <v>#VALUE!</v>
      </c>
      <c r="AP67" s="3" t="e">
        <f>[2]หน้าผ้า!DP76</f>
        <v>#VALUE!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45796</v>
      </c>
      <c r="B68" s="14" t="str">
        <f>[2]หน้าผ้า!B77</f>
        <v>MK68-000673</v>
      </c>
      <c r="C68" s="9" t="str">
        <f>[2]หน้าผ้า!E77</f>
        <v>บจก.อินเทคค์ โกลบอล</v>
      </c>
      <c r="D68" s="13" t="str">
        <f>[2]หน้าผ้า!F77</f>
        <v>เพอเฟคค์ 902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 t="str">
        <f>[2]หน้าผ้า!X77</f>
        <v>รอแจ้ง</v>
      </c>
      <c r="U68" s="11">
        <f>[2]หน้าผ้า!AA77</f>
        <v>302</v>
      </c>
      <c r="V68" s="10">
        <f>[2]หน้าผ้า!AJ77</f>
        <v>0</v>
      </c>
      <c r="W68" s="10">
        <f>[2]หน้าผ้า!AL77</f>
        <v>302</v>
      </c>
      <c r="X68" s="10">
        <f>[2]หน้าผ้า!AM77</f>
        <v>5300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 t="str">
        <f>[2]หน้าผ้า!DN77</f>
        <v>รอแจ้ง</v>
      </c>
      <c r="AK68" s="3" t="e">
        <f>[2]หน้าผ้า!DQ77</f>
        <v>#VALUE!</v>
      </c>
      <c r="AL68" s="3" t="e">
        <f>[2]หน้าผ้า!DR77</f>
        <v>#VALUE!</v>
      </c>
      <c r="AM68" s="3" t="e">
        <f>[2]หน้าผ้า!DS77</f>
        <v>#VALUE!</v>
      </c>
      <c r="AN68" s="3" t="e">
        <f>[2]หน้าผ้า!DT77</f>
        <v>#VALUE!</v>
      </c>
      <c r="AO68" s="3" t="e">
        <f>[2]หน้าผ้า!DU77</f>
        <v>#VALUE!</v>
      </c>
      <c r="AP68" s="3" t="e">
        <f>[2]หน้าผ้า!DP77</f>
        <v>#VALUE!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45796</v>
      </c>
      <c r="B69" s="14" t="str">
        <f>[2]หน้าผ้า!B78</f>
        <v>MK68-000674</v>
      </c>
      <c r="C69" s="9" t="str">
        <f>[2]หน้าผ้า!E78</f>
        <v>บจก.อินเทคค์ โกลบอล</v>
      </c>
      <c r="D69" s="13" t="str">
        <f>[2]หน้าผ้า!F78</f>
        <v>เพอเฟคค์ 913</v>
      </c>
      <c r="E69" s="9">
        <f>[2]หน้าผ้า!G78</f>
        <v>20</v>
      </c>
      <c r="F69" s="9">
        <f>[2]หน้าผ้า!H78</f>
        <v>36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 t="str">
        <f>[2]หน้าผ้า!X78</f>
        <v>รอแจ้ง</v>
      </c>
      <c r="U69" s="11">
        <f>[2]หน้าผ้า!AA78</f>
        <v>1200</v>
      </c>
      <c r="V69" s="10">
        <f>[2]หน้าผ้า!AJ78</f>
        <v>0</v>
      </c>
      <c r="W69" s="10">
        <f>[2]หน้าผ้า!AL78</f>
        <v>1200</v>
      </c>
      <c r="X69" s="10">
        <f>[2]หน้าผ้า!AM78</f>
        <v>10700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45798</v>
      </c>
      <c r="B70" s="14" t="str">
        <f>[2]หน้าผ้า!B79</f>
        <v>MK68-000693</v>
      </c>
      <c r="C70" s="9" t="str">
        <f>[2]หน้าผ้า!E79</f>
        <v>บจก.เอพีเอ็ม อะโกร</v>
      </c>
      <c r="D70" s="13" t="str">
        <f>[2]หน้าผ้า!F79</f>
        <v>ฟีล กู๊ด พี07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 t="str">
        <f>[2]หน้าผ้า!X79</f>
        <v>รอแจ้ง</v>
      </c>
      <c r="U70" s="11">
        <f>[2]หน้าผ้า!AA79</f>
        <v>5000</v>
      </c>
      <c r="V70" s="10">
        <f>[2]หน้าผ้า!AJ79</f>
        <v>0</v>
      </c>
      <c r="W70" s="10">
        <f>[2]หน้าผ้า!AL79</f>
        <v>5000</v>
      </c>
      <c r="X70" s="10">
        <f>[2]หน้าผ้า!AM79</f>
        <v>0</v>
      </c>
      <c r="Y70" s="10">
        <f>[2]หน้าผ้า!AN79</f>
        <v>5250</v>
      </c>
      <c r="Z70" s="9" t="str">
        <f>[2]หน้าผ้า!AO79</f>
        <v>WSWT2025800SM</v>
      </c>
      <c r="AA70" s="8">
        <f>[2]หน้าผ้า!AQ79</f>
        <v>5518.15</v>
      </c>
      <c r="AB70" s="8">
        <f>[2]หน้าผ้า!AR79</f>
        <v>0</v>
      </c>
      <c r="AC70" s="8">
        <f>[2]หน้าผ้า!AS79</f>
        <v>5518.15</v>
      </c>
      <c r="AD70" s="8">
        <f>[2]หน้าผ้า!AT79</f>
        <v>0</v>
      </c>
      <c r="AE70" s="8">
        <f>[2]หน้าผ้า!AU79</f>
        <v>5518.15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 t="str">
        <f>[2]หน้าผ้า!DN79</f>
        <v>รอแจ้ง</v>
      </c>
      <c r="AK70" s="3" t="e">
        <f>[2]หน้าผ้า!DQ79</f>
        <v>#VALUE!</v>
      </c>
      <c r="AL70" s="3" t="e">
        <f>[2]หน้าผ้า!DR79</f>
        <v>#VALUE!</v>
      </c>
      <c r="AM70" s="3" t="e">
        <f>[2]หน้าผ้า!DS79</f>
        <v>#VALUE!</v>
      </c>
      <c r="AN70" s="3" t="e">
        <f>[2]หน้าผ้า!DT79</f>
        <v>#VALUE!</v>
      </c>
      <c r="AO70" s="3" t="e">
        <f>[2]หน้าผ้า!DU79</f>
        <v>#VALUE!</v>
      </c>
      <c r="AP70" s="3" t="e">
        <f>[2]หน้าผ้า!DP79</f>
        <v>#VALUE!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 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416.92688888888887</v>
      </c>
    </row>
    <row r="71" spans="1:56" ht="27.75" customHeight="1" x14ac:dyDescent="0.45">
      <c r="A71" s="3">
        <f>[2]หน้าผ้า!C80</f>
        <v>45782</v>
      </c>
      <c r="B71" s="14" t="str">
        <f>[2]หน้าผ้า!B80</f>
        <v>MK68-000609</v>
      </c>
      <c r="C71" s="9" t="str">
        <f>[2]หน้าผ้า!E80</f>
        <v>บจก.เอสพีเอ็ม อาหารสัตว์</v>
      </c>
      <c r="D71" s="13" t="str">
        <f>[2]หน้าผ้า!F80</f>
        <v xml:space="preserve">SW 441 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ใส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 t="str">
        <f>[2]หน้าผ้า!X80</f>
        <v>รอแจ้ง</v>
      </c>
      <c r="U71" s="11">
        <f>[2]หน้าผ้า!AA80</f>
        <v>10000</v>
      </c>
      <c r="V71" s="10">
        <f>[2]หน้าผ้า!AJ80</f>
        <v>0</v>
      </c>
      <c r="W71" s="10">
        <f>[2]หน้าผ้า!AL80</f>
        <v>10000</v>
      </c>
      <c r="X71" s="10">
        <f>[2]หน้าผ้า!AM80</f>
        <v>0</v>
      </c>
      <c r="Y71" s="10">
        <f>[2]หน้าผ้า!AN80</f>
        <v>10500</v>
      </c>
      <c r="Z71" s="9" t="str">
        <f>[2]หน้าผ้า!AO80</f>
        <v>WSWT2025800SM</v>
      </c>
      <c r="AA71" s="8">
        <f>[2]หน้าผ้า!AQ80</f>
        <v>11036.3</v>
      </c>
      <c r="AB71" s="8">
        <f>[2]หน้าผ้า!AR80</f>
        <v>0</v>
      </c>
      <c r="AC71" s="8">
        <f>[2]หน้าผ้า!AS80</f>
        <v>11036.3</v>
      </c>
      <c r="AD71" s="8">
        <f>[2]หน้าผ้า!AT80</f>
        <v>0</v>
      </c>
      <c r="AE71" s="8">
        <f>[2]หน้าผ้า!AU80</f>
        <v>11036.3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 t="str">
        <f>[2]หน้าผ้า!DN80</f>
        <v>รอแจ้ง</v>
      </c>
      <c r="AK71" s="3" t="e">
        <f>[2]หน้าผ้า!DQ80</f>
        <v>#VALUE!</v>
      </c>
      <c r="AL71" s="3" t="e">
        <f>[2]หน้าผ้า!DR80</f>
        <v>#VALUE!</v>
      </c>
      <c r="AM71" s="3" t="e">
        <f>[2]หน้าผ้า!DS80</f>
        <v>#VALUE!</v>
      </c>
      <c r="AN71" s="3" t="e">
        <f>[2]หน้าผ้า!DT80</f>
        <v>#VALUE!</v>
      </c>
      <c r="AO71" s="3" t="e">
        <f>[2]หน้าผ้า!DU80</f>
        <v>#VALUE!</v>
      </c>
      <c r="AP71" s="3" t="e">
        <f>[2]หน้าผ้า!DP80</f>
        <v>#VALUE!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 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833.85377777777774</v>
      </c>
    </row>
    <row r="72" spans="1:56" ht="27.75" customHeight="1" x14ac:dyDescent="0.45">
      <c r="A72" s="3">
        <f>[2]หน้าผ้า!C81</f>
        <v>45810</v>
      </c>
      <c r="B72" s="14" t="str">
        <f>[2]หน้าผ้า!B81</f>
        <v>MK68-000742</v>
      </c>
      <c r="C72" s="9" t="str">
        <f>[2]หน้าผ้า!E81</f>
        <v>บจก.เอสพีเอ็ม อาหารสัตว์</v>
      </c>
      <c r="D72" s="13" t="str">
        <f>[2]หน้าผ้า!F81</f>
        <v>นีโอ 05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500กระสอบแบน</v>
      </c>
      <c r="T72" s="12" t="str">
        <f>[2]หน้าผ้า!X81</f>
        <v>รอแจ้ง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WSWT2025800SM</v>
      </c>
      <c r="AA72" s="8">
        <f>[2]หน้าผ้า!AQ81</f>
        <v>5518.15</v>
      </c>
      <c r="AB72" s="8">
        <f>[2]หน้าผ้า!AR81</f>
        <v>0</v>
      </c>
      <c r="AC72" s="8">
        <f>[2]หน้าผ้า!AS81</f>
        <v>5518.15</v>
      </c>
      <c r="AD72" s="8">
        <f>[2]หน้าผ้า!AT81</f>
        <v>0</v>
      </c>
      <c r="AE72" s="8">
        <f>[2]หน้าผ้า!AU81</f>
        <v>5518.15</v>
      </c>
      <c r="AF72" s="8">
        <f>[2]หน้าผ้า!AI81</f>
        <v>0</v>
      </c>
      <c r="AG72" s="1" t="str">
        <f>[3]หน้าผ้า!DC84</f>
        <v>พร้อมส่ง</v>
      </c>
      <c r="AH72" s="1" t="str">
        <f>[2]หน้าผ้า!DL81</f>
        <v>P6</v>
      </c>
      <c r="AI72" s="1">
        <f>[2]หน้าผ้า!DM81</f>
        <v>4</v>
      </c>
      <c r="AJ72" s="3" t="str">
        <f>[2]หน้าผ้า!DN81</f>
        <v>รอแจ้ง</v>
      </c>
      <c r="AK72" s="3" t="e">
        <f>[2]หน้าผ้า!DQ81</f>
        <v>#VALUE!</v>
      </c>
      <c r="AL72" s="3" t="e">
        <f>[2]หน้าผ้า!DR81</f>
        <v>#VALUE!</v>
      </c>
      <c r="AM72" s="3" t="e">
        <f>[2]หน้าผ้า!DS81</f>
        <v>#VALUE!</v>
      </c>
      <c r="AN72" s="3" t="e">
        <f>[2]หน้าผ้า!DT81</f>
        <v>#VALUE!</v>
      </c>
      <c r="AO72" s="3" t="e">
        <f>[2]หน้าผ้า!DU81</f>
        <v>#VALUE!</v>
      </c>
      <c r="AP72" s="3" t="e">
        <f>[2]หน้าผ้า!DP81</f>
        <v>#VALUE!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416.92688888888887</v>
      </c>
    </row>
    <row r="73" spans="1:56" ht="27.75" customHeight="1" x14ac:dyDescent="0.45">
      <c r="A73" s="3">
        <f>[2]หน้าผ้า!C82</f>
        <v>45681</v>
      </c>
      <c r="B73" s="14" t="str">
        <f>[2]หน้าผ้า!B82</f>
        <v>MK68-000122</v>
      </c>
      <c r="C73" s="9" t="str">
        <f>[2]หน้าผ้า!E82</f>
        <v>บจก.เอสพีเอ็ม อาหารสัตว์</v>
      </c>
      <c r="D73" s="13" t="str">
        <f>[2]หน้าผ้า!F82</f>
        <v>SPM 212</v>
      </c>
      <c r="E73" s="9">
        <f>[2]หน้าผ้า!G82</f>
        <v>20</v>
      </c>
      <c r="F73" s="9">
        <f>[2]หน้าผ้า!H82</f>
        <v>40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108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 t="str">
        <f>[2]หน้าผ้า!X82</f>
        <v>รอแจ้ง</v>
      </c>
      <c r="U73" s="11">
        <f>[2]หน้าผ้า!AA82</f>
        <v>3000</v>
      </c>
      <c r="V73" s="10">
        <f>[2]หน้าผ้า!AJ82</f>
        <v>0</v>
      </c>
      <c r="W73" s="10">
        <f>[2]หน้าผ้า!AL82</f>
        <v>3000</v>
      </c>
      <c r="X73" s="10">
        <f>[2]หน้าผ้า!AM82</f>
        <v>0</v>
      </c>
      <c r="Y73" s="10">
        <f>[2]หน้าผ้า!AN82</f>
        <v>3150</v>
      </c>
      <c r="Z73" s="9" t="str">
        <f>[2]หน้าผ้า!AO82</f>
        <v>WSWT2025800SM</v>
      </c>
      <c r="AA73" s="8">
        <f>[2]หน้าผ้า!AQ82</f>
        <v>3478.5300000000007</v>
      </c>
      <c r="AB73" s="8">
        <f>[2]หน้าผ้า!AR82</f>
        <v>0</v>
      </c>
      <c r="AC73" s="8">
        <f>[2]หน้าผ้า!AS82</f>
        <v>3478.5300000000007</v>
      </c>
      <c r="AD73" s="8">
        <f>[2]หน้าผ้า!AT82</f>
        <v>0</v>
      </c>
      <c r="AE73" s="8">
        <f>[2]หน้าผ้า!AU82</f>
        <v>3478.5300000000007</v>
      </c>
      <c r="AF73" s="8">
        <f>[2]หน้าผ้า!AI82</f>
        <v>0</v>
      </c>
      <c r="AG73" s="1" t="str">
        <f>[3]หน้าผ้า!DC85</f>
        <v>รอตัด</v>
      </c>
      <c r="AH73" s="1" t="str">
        <f>[2]หน้าผ้า!DL82</f>
        <v>P6</v>
      </c>
      <c r="AI73" s="1">
        <f>[2]หน้าผ้า!DM82</f>
        <v>4</v>
      </c>
      <c r="AJ73" s="3" t="str">
        <f>[2]หน้าผ้า!DN82</f>
        <v>รอแจ้ง</v>
      </c>
      <c r="AK73" s="3" t="e">
        <f>[2]หน้าผ้า!DQ82</f>
        <v>#VALUE!</v>
      </c>
      <c r="AL73" s="3" t="e">
        <f>[2]หน้าผ้า!DR82</f>
        <v>#VALUE!</v>
      </c>
      <c r="AM73" s="3" t="e">
        <f>[2]หน้าผ้า!DS82</f>
        <v>#VALUE!</v>
      </c>
      <c r="AN73" s="3" t="e">
        <f>[2]หน้าผ้า!DT82</f>
        <v>#VALUE!</v>
      </c>
      <c r="AO73" s="3" t="e">
        <f>[2]หน้าผ้า!DU82</f>
        <v>#VALUE!</v>
      </c>
      <c r="AP73" s="3" t="e">
        <f>[2]หน้าผ้า!DP82</f>
        <v>#VALUE!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262.82226666666674</v>
      </c>
    </row>
    <row r="74" spans="1:56" ht="27.75" customHeight="1" x14ac:dyDescent="0.45">
      <c r="A74" s="3">
        <f>[2]หน้าผ้า!C83</f>
        <v>45674</v>
      </c>
      <c r="B74" s="14" t="str">
        <f>[2]หน้าผ้า!B83</f>
        <v>MK68-000093</v>
      </c>
      <c r="C74" s="9" t="str">
        <f>[2]หน้าผ้า!E83</f>
        <v>บจก.อินเทคค์ โกลบอล</v>
      </c>
      <c r="D74" s="13" t="str">
        <f>[2]หน้าผ้า!F83</f>
        <v>เฟิร์สคลาส 902</v>
      </c>
      <c r="E74" s="9">
        <f>[2]หน้าผ้า!G83</f>
        <v>20</v>
      </c>
      <c r="F74" s="9">
        <f>[2]หน้าผ้า!H83</f>
        <v>35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97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จับจีบ4"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 t="str">
        <f>[2]หน้าผ้า!X83</f>
        <v>รอแจ้ง</v>
      </c>
      <c r="U74" s="11">
        <f>[2]หน้าผ้า!AA83</f>
        <v>152</v>
      </c>
      <c r="V74" s="10">
        <f>[2]หน้าผ้า!AJ83</f>
        <v>0</v>
      </c>
      <c r="W74" s="10">
        <f>[2]หน้าผ้า!AL83</f>
        <v>152</v>
      </c>
      <c r="X74" s="10">
        <f>[2]หน้าผ้า!AM83</f>
        <v>6000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5987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 t="str">
        <f>[2]หน้าผ้า!DN83</f>
        <v>รอแจ้ง</v>
      </c>
      <c r="AK74" s="3" t="e">
        <f>[2]หน้าผ้า!DQ83</f>
        <v>#VALUE!</v>
      </c>
      <c r="AL74" s="3" t="e">
        <f>[2]หน้าผ้า!DR83</f>
        <v>#VALUE!</v>
      </c>
      <c r="AM74" s="3" t="e">
        <f>[2]หน้าผ้า!DS83</f>
        <v>#VALUE!</v>
      </c>
      <c r="AN74" s="3" t="e">
        <f>[2]หน้าผ้า!DT83</f>
        <v>#VALUE!</v>
      </c>
      <c r="AO74" s="3" t="e">
        <f>[2]หน้าผ้า!DU83</f>
        <v>#VALUE!</v>
      </c>
      <c r="AP74" s="3" t="e">
        <f>[2]หน้าผ้า!DP83</f>
        <v>#VALUE!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 t="str">
        <f>[2]หน้าผ้า!AG83</f>
        <v>ลบสี 5040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45611</v>
      </c>
      <c r="B75" s="14" t="str">
        <f>[2]หน้าผ้า!B84</f>
        <v>MK67-001532</v>
      </c>
      <c r="C75" s="9" t="str">
        <f>[2]หน้าผ้า!E84</f>
        <v>บจก.อินเทคค์ โกลบอล</v>
      </c>
      <c r="D75" s="13" t="str">
        <f>[2]หน้าผ้า!F84</f>
        <v>เฟิร์สช้อย 903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 t="str">
        <f>[2]หน้าผ้า!X84</f>
        <v>รอแจ้ง</v>
      </c>
      <c r="U75" s="11">
        <f>[2]หน้าผ้า!AA84</f>
        <v>117</v>
      </c>
      <c r="V75" s="10">
        <f>[2]หน้าผ้า!AJ84</f>
        <v>0</v>
      </c>
      <c r="W75" s="10">
        <f>[2]หน้าผ้า!AL84</f>
        <v>117</v>
      </c>
      <c r="X75" s="10">
        <f>[2]หน้าผ้า!AM84</f>
        <v>10065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4</v>
      </c>
      <c r="AJ75" s="3" t="str">
        <f>[2]หน้าผ้า!DN84</f>
        <v>รอแจ้ง</v>
      </c>
      <c r="AK75" s="3" t="e">
        <f>[2]หน้าผ้า!DQ84</f>
        <v>#VALUE!</v>
      </c>
      <c r="AL75" s="3" t="e">
        <f>[2]หน้าผ้า!DR84</f>
        <v>#VALUE!</v>
      </c>
      <c r="AM75" s="3" t="e">
        <f>[2]หน้าผ้า!DS84</f>
        <v>#VALUE!</v>
      </c>
      <c r="AN75" s="3" t="e">
        <f>[2]หน้าผ้า!DT84</f>
        <v>#VALUE!</v>
      </c>
      <c r="AO75" s="3" t="e">
        <f>[2]หน้าผ้า!DU84</f>
        <v>#VALUE!</v>
      </c>
      <c r="AP75" s="3" t="e">
        <f>[2]หน้าผ้า!DP84</f>
        <v>#VALUE!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45523</v>
      </c>
      <c r="B76" s="14" t="str">
        <f>[2]หน้าผ้า!B85</f>
        <v>MK67-001153</v>
      </c>
      <c r="C76" s="9" t="str">
        <f>[2]หน้าผ้า!E85</f>
        <v>บจก.อินเทคค์ โกลบอล</v>
      </c>
      <c r="D76" s="13" t="str">
        <f>[2]หน้าผ้า!F85</f>
        <v>สุบรรณ 777</v>
      </c>
      <c r="E76" s="9">
        <f>[2]หน้าผ้า!G85</f>
        <v>20</v>
      </c>
      <c r="F76" s="9">
        <f>[2]หน้าผ้า!H85</f>
        <v>36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 t="str">
        <f>[2]หน้าผ้า!X85</f>
        <v>รอแจ้ง</v>
      </c>
      <c r="U76" s="11">
        <f>[2]หน้าผ้า!AA85</f>
        <v>1260</v>
      </c>
      <c r="V76" s="10">
        <f>[2]หน้าผ้า!AJ85</f>
        <v>0</v>
      </c>
      <c r="W76" s="10">
        <f>[2]หน้าผ้า!AL85</f>
        <v>1260</v>
      </c>
      <c r="X76" s="10">
        <f>[2]หน้าผ้า!AM85</f>
        <v>11095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 t="str">
        <f>[2]หน้าผ้า!DN85</f>
        <v>รอแจ้ง</v>
      </c>
      <c r="AK76" s="3" t="e">
        <f>[2]หน้าผ้า!DQ85</f>
        <v>#VALUE!</v>
      </c>
      <c r="AL76" s="3" t="e">
        <f>[2]หน้าผ้า!DR85</f>
        <v>#VALUE!</v>
      </c>
      <c r="AM76" s="3" t="e">
        <f>[2]หน้าผ้า!DS85</f>
        <v>#VALUE!</v>
      </c>
      <c r="AN76" s="3" t="e">
        <f>[2]หน้าผ้า!DT85</f>
        <v>#VALUE!</v>
      </c>
      <c r="AO76" s="3" t="e">
        <f>[2]หน้าผ้า!DU85</f>
        <v>#VALUE!</v>
      </c>
      <c r="AP76" s="3" t="e">
        <f>[2]หน้าผ้า!DP85</f>
        <v>#VALUE!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45523</v>
      </c>
      <c r="B77" s="14" t="str">
        <f>[2]หน้าผ้า!B86</f>
        <v>MK67-001153</v>
      </c>
      <c r="C77" s="9" t="str">
        <f>[2]หน้าผ้า!E86</f>
        <v>บจก.อินเทคค์ โกลบอล</v>
      </c>
      <c r="D77" s="13" t="str">
        <f>[2]หน้าผ้า!F86</f>
        <v>สุบรรณ 666</v>
      </c>
      <c r="E77" s="9">
        <f>[2]หน้าผ้า!G86</f>
        <v>20</v>
      </c>
      <c r="F77" s="9">
        <f>[2]หน้าผ้า!H86</f>
        <v>36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จับจีบ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มัด80 ใช้สายรัด</v>
      </c>
      <c r="T77" s="12" t="str">
        <f>[2]หน้าผ้า!X86</f>
        <v>รอแจ้ง</v>
      </c>
      <c r="U77" s="11">
        <f>[2]หน้าผ้า!AA86</f>
        <v>89</v>
      </c>
      <c r="V77" s="10">
        <f>[2]หน้าผ้า!AJ86</f>
        <v>0</v>
      </c>
      <c r="W77" s="10">
        <f>[2]หน้าผ้า!AL86</f>
        <v>89</v>
      </c>
      <c r="X77" s="10">
        <f>[2]หน้าผ้า!AM86</f>
        <v>11180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 t="str">
        <f>[2]หน้าผ้า!DN86</f>
        <v>รอแจ้ง</v>
      </c>
      <c r="AK77" s="3" t="e">
        <f>[2]หน้าผ้า!DQ86</f>
        <v>#VALUE!</v>
      </c>
      <c r="AL77" s="3" t="e">
        <f>[2]หน้าผ้า!DR86</f>
        <v>#VALUE!</v>
      </c>
      <c r="AM77" s="3" t="e">
        <f>[2]หน้าผ้า!DS86</f>
        <v>#VALUE!</v>
      </c>
      <c r="AN77" s="3" t="e">
        <f>[2]หน้าผ้า!DT86</f>
        <v>#VALUE!</v>
      </c>
      <c r="AO77" s="3" t="e">
        <f>[2]หน้าผ้า!DU86</f>
        <v>#VALUE!</v>
      </c>
      <c r="AP77" s="3" t="e">
        <f>[2]หน้าผ้า!DP86</f>
        <v>#VALUE!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45741</v>
      </c>
      <c r="B78" s="14" t="str">
        <f>[2]หน้าผ้า!B87</f>
        <v>MK68-000452</v>
      </c>
      <c r="C78" s="9" t="str">
        <f>[2]หน้าผ้า!E87</f>
        <v>บจก.เอพีเอ็ม อะโกร</v>
      </c>
      <c r="D78" s="13" t="str">
        <f>[2]หน้าผ้า!F87</f>
        <v>วี-ฟีด วี 07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ใส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 t="str">
        <f>[2]หน้าผ้า!X87</f>
        <v>รอส่ง</v>
      </c>
      <c r="U78" s="11">
        <f>[2]หน้าผ้า!AA87</f>
        <v>4000</v>
      </c>
      <c r="V78" s="10">
        <f>[2]หน้าผ้า!AJ87</f>
        <v>3857</v>
      </c>
      <c r="W78" s="10">
        <f>[2]หน้าผ้า!AL87</f>
        <v>143</v>
      </c>
      <c r="X78" s="10">
        <f>[2]หน้าผ้า!AM87</f>
        <v>4200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 t="str">
        <f>[2]หน้าผ้า!DN87</f>
        <v>รอส่ง</v>
      </c>
      <c r="AK78" s="3" t="e">
        <f>[2]หน้าผ้า!DQ87</f>
        <v>#VALUE!</v>
      </c>
      <c r="AL78" s="3" t="e">
        <f>[2]หน้าผ้า!DR87</f>
        <v>#VALUE!</v>
      </c>
      <c r="AM78" s="3" t="e">
        <f>[2]หน้าผ้า!DS87</f>
        <v>#VALUE!</v>
      </c>
      <c r="AN78" s="3" t="e">
        <f>[2]หน้าผ้า!DT87</f>
        <v>#VALUE!</v>
      </c>
      <c r="AO78" s="3" t="e">
        <f>[2]หน้าผ้า!DU87</f>
        <v>#VALUE!</v>
      </c>
      <c r="AP78" s="3" t="e">
        <f>[2]หน้าผ้า!DP87</f>
        <v>#VALUE!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 t="str">
        <f>[2]หน้าผ้า!AG87</f>
        <v>มีลบสี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45720</v>
      </c>
      <c r="B79" s="14" t="str">
        <f>[2]หน้าผ้า!B88</f>
        <v>ใบรับคำสั่งซื้อ</v>
      </c>
      <c r="C79" s="9" t="str">
        <f>[2]หน้าผ้า!E88</f>
        <v>บจก.เอพีเอ็ม อะโกร</v>
      </c>
      <c r="D79" s="13" t="str">
        <f>[2]หน้าผ้า!F88</f>
        <v>นีโอ พี3(เอส)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 t="str">
        <f>[2]หน้าผ้า!X88</f>
        <v>รอส่ง</v>
      </c>
      <c r="U79" s="11">
        <f>[2]หน้าผ้า!AA88</f>
        <v>4000</v>
      </c>
      <c r="V79" s="10">
        <f>[2]หน้าผ้า!AJ88</f>
        <v>4010</v>
      </c>
      <c r="W79" s="10">
        <f>[2]หน้าผ้า!AL88</f>
        <v>0</v>
      </c>
      <c r="X79" s="10">
        <f>[2]หน้าผ้า!AM88</f>
        <v>4470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 t="str">
        <f>[2]หน้าผ้า!DN88</f>
        <v>รอส่ง</v>
      </c>
      <c r="AK79" s="3" t="e">
        <f>[2]หน้าผ้า!DQ88</f>
        <v>#VALUE!</v>
      </c>
      <c r="AL79" s="3" t="e">
        <f>[2]หน้าผ้า!DR88</f>
        <v>#VALUE!</v>
      </c>
      <c r="AM79" s="3" t="e">
        <f>[2]หน้าผ้า!DS88</f>
        <v>#VALUE!</v>
      </c>
      <c r="AN79" s="3" t="e">
        <f>[2]หน้าผ้า!DT88</f>
        <v>#VALUE!</v>
      </c>
      <c r="AO79" s="3" t="e">
        <f>[2]หน้าผ้า!DU88</f>
        <v>#VALUE!</v>
      </c>
      <c r="AP79" s="3" t="e">
        <f>[2]หน้าผ้า!DP88</f>
        <v>#VALUE!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45720</v>
      </c>
      <c r="B80" s="14" t="str">
        <f>[2]หน้าผ้า!B89</f>
        <v>ใบรับคำสั่งซื้อ</v>
      </c>
      <c r="C80" s="9" t="str">
        <f>[2]หน้าผ้า!E89</f>
        <v>บจก.เอพีเอ็ม อะโกร</v>
      </c>
      <c r="D80" s="13" t="str">
        <f>[2]หน้าผ้า!F89</f>
        <v>นีโอ พี4(เอส)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 t="str">
        <f>[2]หน้าผ้า!X89</f>
        <v>รอส่ง</v>
      </c>
      <c r="U80" s="11">
        <f>[2]หน้าผ้า!AA89</f>
        <v>3000</v>
      </c>
      <c r="V80" s="10">
        <f>[2]หน้าผ้า!AJ89</f>
        <v>3065</v>
      </c>
      <c r="W80" s="10">
        <f>[2]หน้าผ้า!AL89</f>
        <v>0</v>
      </c>
      <c r="X80" s="10">
        <f>[2]หน้าผ้า!AM89</f>
        <v>3300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 t="str">
        <f>[2]หน้าผ้า!DN89</f>
        <v>รอส่ง</v>
      </c>
      <c r="AK80" s="3" t="e">
        <f>[2]หน้าผ้า!DQ89</f>
        <v>#VALUE!</v>
      </c>
      <c r="AL80" s="3" t="e">
        <f>[2]หน้าผ้า!DR89</f>
        <v>#VALUE!</v>
      </c>
      <c r="AM80" s="3" t="e">
        <f>[2]หน้าผ้า!DS89</f>
        <v>#VALUE!</v>
      </c>
      <c r="AN80" s="3" t="e">
        <f>[2]หน้าผ้า!DT89</f>
        <v>#VALUE!</v>
      </c>
      <c r="AO80" s="3" t="e">
        <f>[2]หน้าผ้า!DU89</f>
        <v>#VALUE!</v>
      </c>
      <c r="AP80" s="3" t="e">
        <f>[2]หน้าผ้า!DP89</f>
        <v>#VALUE!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45541</v>
      </c>
      <c r="B81" s="14" t="str">
        <f>[2]หน้าผ้า!B90</f>
        <v>MK67-001236</v>
      </c>
      <c r="C81" s="9" t="str">
        <f>[2]หน้าผ้า!E90</f>
        <v>บจก.เอพีเอ็ม อะโกร</v>
      </c>
      <c r="D81" s="13" t="str">
        <f>[2]หน้าผ้า!F90</f>
        <v>ยูฟีด รวมไก่ วัว</v>
      </c>
      <c r="E81" s="9">
        <f>[2]หน้าผ้า!G90</f>
        <v>20</v>
      </c>
      <c r="F81" s="9">
        <f>[2]หน้าผ้า!H90</f>
        <v>40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108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 t="str">
        <f>[2]หน้าผ้า!X90</f>
        <v>รอส่ง</v>
      </c>
      <c r="U81" s="11">
        <f>[2]หน้าผ้า!AA90</f>
        <v>3000</v>
      </c>
      <c r="V81" s="10">
        <f>[2]หน้าผ้า!AJ90</f>
        <v>3318</v>
      </c>
      <c r="W81" s="10">
        <f>[2]หน้าผ้า!AL90</f>
        <v>0</v>
      </c>
      <c r="X81" s="10">
        <f>[2]หน้าผ้า!AM90</f>
        <v>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ลูกค้าสั่งผิดเอาไปส่งเดือน10</v>
      </c>
      <c r="AG81" s="1" t="str">
        <f>[3]หน้าผ้า!DC93</f>
        <v>รอแบบ</v>
      </c>
      <c r="AH81" s="1" t="str">
        <f>[2]หน้าผ้า!DL90</f>
        <v>P6</v>
      </c>
      <c r="AI81" s="1">
        <f>[2]หน้าผ้า!DM90</f>
        <v>4</v>
      </c>
      <c r="AJ81" s="3" t="str">
        <f>[2]หน้าผ้า!DN90</f>
        <v>รอส่ง</v>
      </c>
      <c r="AK81" s="3" t="e">
        <f>[2]หน้าผ้า!DQ90</f>
        <v>#VALUE!</v>
      </c>
      <c r="AL81" s="3" t="e">
        <f>[2]หน้าผ้า!DR90</f>
        <v>#VALUE!</v>
      </c>
      <c r="AM81" s="3" t="e">
        <f>[2]หน้าผ้า!DS90</f>
        <v>#VALUE!</v>
      </c>
      <c r="AN81" s="3" t="e">
        <f>[2]หน้าผ้า!DT90</f>
        <v>#VALUE!</v>
      </c>
      <c r="AO81" s="3" t="e">
        <f>[2]หน้าผ้า!DU90</f>
        <v>#VALUE!</v>
      </c>
      <c r="AP81" s="3" t="e">
        <f>[2]หน้าผ้า!DP90</f>
        <v>#VALUE!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>
        <f>[2]หน้าผ้า!ED90</f>
        <v>0</v>
      </c>
      <c r="AY81" s="2" t="str">
        <f>[2]หน้าผ้า!AG90</f>
        <v>ลูกค้าต้องการเคลือบใส แต่เปิดมาเคลือบด้าน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45581</v>
      </c>
      <c r="B82" s="14" t="str">
        <f>[2]หน้าผ้า!B91</f>
        <v>MK67-001396</v>
      </c>
      <c r="C82" s="9" t="str">
        <f>[2]หน้าผ้า!E91</f>
        <v>บจก.เอพีเอ็ม อะโกร</v>
      </c>
      <c r="D82" s="13" t="str">
        <f>[2]หน้าผ้า!F91</f>
        <v>นีโอ พี4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500กระสอบแบน</v>
      </c>
      <c r="T82" s="12" t="str">
        <f>[2]หน้าผ้า!X91</f>
        <v>รอส่ง</v>
      </c>
      <c r="U82" s="11">
        <f>[2]หน้าผ้า!AA91</f>
        <v>3000</v>
      </c>
      <c r="V82" s="10">
        <f>[2]หน้าผ้า!AJ91</f>
        <v>3194</v>
      </c>
      <c r="W82" s="10">
        <f>[2]หน้าผ้า!AL91</f>
        <v>0</v>
      </c>
      <c r="X82" s="10">
        <f>[2]หน้าผ้า!AM91</f>
        <v>5632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รอส่ง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0</v>
      </c>
      <c r="B83" s="14">
        <f>[2]หน้าผ้า!B92</f>
        <v>0</v>
      </c>
      <c r="C83" s="9">
        <f>[2]หน้าผ้า!E92</f>
        <v>0</v>
      </c>
      <c r="D83" s="13">
        <f>[2]หน้าผ้า!F92</f>
        <v>0</v>
      </c>
      <c r="E83" s="9">
        <f>[2]หน้าผ้า!G92</f>
        <v>20</v>
      </c>
      <c r="F83" s="9">
        <f>[2]หน้าผ้า!H92</f>
        <v>38</v>
      </c>
      <c r="G83" s="9">
        <f>[2]หน้าผ้า!I92</f>
        <v>0</v>
      </c>
      <c r="H83" s="9">
        <f>[2]หน้าผ้า!J92</f>
        <v>0</v>
      </c>
      <c r="I83" s="9">
        <f>[2]หน้าผ้า!L92</f>
        <v>84</v>
      </c>
      <c r="J83" s="9" t="str">
        <f>[2]หน้าผ้า!M92</f>
        <v>±</v>
      </c>
      <c r="K83" s="9">
        <f>[2]หน้าผ้า!N92</f>
        <v>5</v>
      </c>
      <c r="L83" s="9">
        <f>[2]หน้าผ้า!R92</f>
        <v>0</v>
      </c>
      <c r="M83" s="10">
        <f>[2]หน้าผ้า!T92</f>
        <v>0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>
        <f>[2]หน้าผ้า!Z92</f>
        <v>0</v>
      </c>
      <c r="T83" s="12">
        <f>[2]หน้าผ้า!X92</f>
        <v>0</v>
      </c>
      <c r="U83" s="11">
        <f>[2]หน้าผ้า!AA92</f>
        <v>0</v>
      </c>
      <c r="V83" s="10">
        <f>[2]หน้าผ้า!AJ92</f>
        <v>0</v>
      </c>
      <c r="W83" s="10">
        <f>[2]หน้าผ้า!AL92</f>
        <v>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317789.56000000011</v>
      </c>
      <c r="AB83" s="8">
        <f>[2]หน้าผ้า!AR92</f>
        <v>17378.68</v>
      </c>
      <c r="AC83" s="8">
        <f>[2]หน้าผ้า!AS92</f>
        <v>300410.88000000006</v>
      </c>
      <c r="AD83" s="8">
        <f>[2]หน้าผ้า!AT92</f>
        <v>6621.78</v>
      </c>
      <c r="AE83" s="8">
        <f>[2]หน้าผ้า!AU92</f>
        <v>311167.78000000009</v>
      </c>
      <c r="AF83" s="8" t="str">
        <f>[2]หน้าผ้า!AI92</f>
        <v>ระบุในSD</v>
      </c>
      <c r="AG83" s="1" t="str">
        <f>[3]หน้าผ้า!DC95</f>
        <v>พร้อมส่ง</v>
      </c>
      <c r="AH83" s="1">
        <f>[2]หน้าผ้า!DL92</f>
        <v>0</v>
      </c>
      <c r="AI83" s="1" t="str">
        <f>[2]หน้าผ้า!DM92</f>
        <v>Lead time</v>
      </c>
      <c r="AJ83" s="3">
        <f>[2]หน้าผ้า!DN92</f>
        <v>0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0</v>
      </c>
      <c r="AP83" s="3">
        <f>[2]หน้าผ้า!DP92</f>
        <v>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>
        <f>[2]หน้าผ้า!EC92</f>
        <v>0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 t="str">
        <f>[2]หน้าผ้า!C93</f>
        <v>ประมาณการ</v>
      </c>
      <c r="B84" s="14" t="str">
        <f>[2]หน้าผ้า!B93</f>
        <v>ประมาณการ</v>
      </c>
      <c r="C84" s="9" t="str">
        <f>[2]หน้าผ้า!E93</f>
        <v>บจก.ซันฟีด</v>
      </c>
      <c r="D84" s="13" t="str">
        <f>[2]หน้าผ้า!F93</f>
        <v>รอแบบ</v>
      </c>
      <c r="E84" s="9">
        <f>[2]หน้าผ้า!G93</f>
        <v>20</v>
      </c>
      <c r="F84" s="9">
        <f>[2]หน้าผ้า!H93</f>
        <v>39</v>
      </c>
      <c r="G84" s="9" t="str">
        <f>[2]หน้าผ้า!I93</f>
        <v>ขาว</v>
      </c>
      <c r="H84" s="9">
        <f>[2]หน้าผ้า!J93</f>
        <v>0</v>
      </c>
      <c r="I84" s="9">
        <f>[2]หน้าผ้า!L93</f>
        <v>84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>
        <f>[2]หน้าผ้า!X93</f>
        <v>45868</v>
      </c>
      <c r="U84" s="11">
        <f>[2]หน้าผ้า!AA93</f>
        <v>100000</v>
      </c>
      <c r="V84" s="10">
        <f>[2]หน้าผ้า!AJ93</f>
        <v>0</v>
      </c>
      <c r="W84" s="10">
        <f>[2]หน้าผ้า!AL93</f>
        <v>100000</v>
      </c>
      <c r="X84" s="10">
        <f>[2]หน้าผ้า!AM93</f>
        <v>0</v>
      </c>
      <c r="Y84" s="10">
        <f>[2]หน้าผ้า!AN93</f>
        <v>105000</v>
      </c>
      <c r="Z84" s="9" t="str">
        <f>[2]หน้าผ้า!AO93</f>
        <v>WSWT2025850</v>
      </c>
      <c r="AA84" s="8">
        <f>[2]หน้าผ้า!AQ93</f>
        <v>113157.00000000001</v>
      </c>
      <c r="AB84" s="8">
        <f>[2]หน้าผ้า!AR93</f>
        <v>7720</v>
      </c>
      <c r="AC84" s="8">
        <f>[2]หน้าผ้า!AS93</f>
        <v>105437.00000000001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รอตัด</v>
      </c>
      <c r="AH84" s="1" t="str">
        <f>[2]หน้าผ้า!DL93</f>
        <v>P7</v>
      </c>
      <c r="AI84" s="1">
        <f>[2]หน้าผ้า!DM93</f>
        <v>2</v>
      </c>
      <c r="AJ84" s="3">
        <f>[2]หน้าผ้า!DN93</f>
        <v>45868</v>
      </c>
      <c r="AK84" s="3">
        <f>[2]หน้าผ้า!DQ93</f>
        <v>0</v>
      </c>
      <c r="AL84" s="3">
        <f>[2]หน้าผ้า!DR93</f>
        <v>45859</v>
      </c>
      <c r="AM84" s="3">
        <f>[2]หน้าผ้า!DS93</f>
        <v>45866</v>
      </c>
      <c r="AN84" s="3">
        <f>[2]หน้าผ้า!DT93</f>
        <v>45867</v>
      </c>
      <c r="AO84" s="3">
        <f>[2]หน้าผ้า!DU93</f>
        <v>45867</v>
      </c>
      <c r="AP84" s="3">
        <f>[2]หน้าผ้า!DP93</f>
        <v>45863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งานพิมพ์</v>
      </c>
      <c r="AX84" s="2" t="str">
        <f>[2]หน้าผ้า!ED93</f>
        <v>รอART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WRWT25850/WRWT25800</v>
      </c>
      <c r="BD84" s="56">
        <f>[2]หน้าผ้า!CA93</f>
        <v>8306.0925555555586</v>
      </c>
    </row>
    <row r="85" spans="1:56" ht="27.75" customHeight="1" x14ac:dyDescent="0.45">
      <c r="A85" s="3">
        <f>[2]หน้าผ้า!C94</f>
        <v>0</v>
      </c>
      <c r="B85" s="14">
        <f>[2]หน้าผ้า!B94</f>
        <v>0</v>
      </c>
      <c r="C85" s="9">
        <f>[2]หน้าผ้า!E94</f>
        <v>0</v>
      </c>
      <c r="D85" s="13">
        <f>[2]หน้าผ้า!F94</f>
        <v>0</v>
      </c>
      <c r="E85" s="9">
        <f>[2]หน้าผ้า!G94</f>
        <v>20</v>
      </c>
      <c r="F85" s="9">
        <f>[2]หน้าผ้า!H94</f>
        <v>38</v>
      </c>
      <c r="G85" s="9">
        <f>[2]หน้าผ้า!I94</f>
        <v>0</v>
      </c>
      <c r="H85" s="9">
        <f>[2]หน้าผ้า!J94</f>
        <v>0</v>
      </c>
      <c r="I85" s="9">
        <f>[2]หน้าผ้า!L94</f>
        <v>82</v>
      </c>
      <c r="J85" s="9" t="str">
        <f>[2]หน้าผ้า!M94</f>
        <v>+</v>
      </c>
      <c r="K85" s="9">
        <f>[2]หน้าผ้า!N94</f>
        <v>2</v>
      </c>
      <c r="L85" s="9">
        <f>[2]หน้าผ้า!R94</f>
        <v>0</v>
      </c>
      <c r="M85" s="10">
        <f>[2]หน้าผ้า!T94</f>
        <v>0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>
        <f>[2]หน้าผ้า!Z94</f>
        <v>0</v>
      </c>
      <c r="T85" s="12">
        <f>[2]หน้าผ้า!X94</f>
        <v>0</v>
      </c>
      <c r="U85" s="11">
        <f>[2]หน้าผ้า!AA94</f>
        <v>0</v>
      </c>
      <c r="V85" s="10">
        <f>[2]หน้าผ้า!AJ94</f>
        <v>0</v>
      </c>
      <c r="W85" s="10">
        <f>[2]หน้าผ้า!AL94</f>
        <v>0</v>
      </c>
      <c r="X85" s="10">
        <f>[2]หน้าผ้า!AM94</f>
        <v>0</v>
      </c>
      <c r="Y85" s="10">
        <f>[2]หน้าผ้า!AN94</f>
        <v>0</v>
      </c>
      <c r="Z85" s="9" t="str">
        <f>[2]หน้าผ้า!AO94</f>
        <v>WSWT2025850</v>
      </c>
      <c r="AA85" s="8">
        <f>[2]หน้าผ้า!AQ94</f>
        <v>113157.00000000001</v>
      </c>
      <c r="AB85" s="8">
        <f>[2]หน้าผ้า!AR94</f>
        <v>7720</v>
      </c>
      <c r="AC85" s="8">
        <f>[2]หน้าผ้า!AS94</f>
        <v>105437.00000000001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ระบุในSD</v>
      </c>
      <c r="AG85" s="1" t="str">
        <f>[3]หน้าผ้า!DC97</f>
        <v>ยังไม่ได้พิมพ์</v>
      </c>
      <c r="AH85" s="1">
        <f>[2]หน้าผ้า!DL94</f>
        <v>0</v>
      </c>
      <c r="AI85" s="1" t="str">
        <f>[2]หน้าผ้า!DM94</f>
        <v>Lead time</v>
      </c>
      <c r="AJ85" s="3">
        <f>[2]หน้าผ้า!DN94</f>
        <v>0</v>
      </c>
      <c r="AK85" s="3">
        <f>[2]หน้าผ้า!DQ94</f>
        <v>0</v>
      </c>
      <c r="AL85" s="3">
        <f>[2]หน้าผ้า!DR94</f>
        <v>0</v>
      </c>
      <c r="AM85" s="3">
        <f>[2]หน้าผ้า!DS94</f>
        <v>0</v>
      </c>
      <c r="AN85" s="3">
        <f>[2]หน้าผ้า!DT94</f>
        <v>0</v>
      </c>
      <c r="AO85" s="3">
        <f>[2]หน้าผ้า!DU94</f>
        <v>0</v>
      </c>
      <c r="AP85" s="3">
        <f>[2]หน้าผ้า!DP94</f>
        <v>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>
        <f>[2]หน้าผ้า!EC94</f>
        <v>0</v>
      </c>
      <c r="AX85" s="2">
        <f>[2]หน้าผ้า!ED94</f>
        <v>0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WRWT200850/WRWT25800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0</v>
      </c>
      <c r="B86" s="14">
        <f>[2]หน้าผ้า!B95</f>
        <v>0</v>
      </c>
      <c r="C86" s="9">
        <f>[2]หน้าผ้า!E95</f>
        <v>0</v>
      </c>
      <c r="D86" s="13">
        <f>[2]หน้าผ้า!F95</f>
        <v>0</v>
      </c>
      <c r="E86" s="9">
        <f>[2]หน้าผ้า!G95</f>
        <v>20</v>
      </c>
      <c r="F86" s="9">
        <f>[2]หน้าผ้า!H95</f>
        <v>37</v>
      </c>
      <c r="G86" s="9">
        <f>[2]หน้าผ้า!I95</f>
        <v>0</v>
      </c>
      <c r="H86" s="9">
        <f>[2]หน้าผ้า!J95</f>
        <v>0</v>
      </c>
      <c r="I86" s="9">
        <f>[2]หน้าผ้า!L95</f>
        <v>82</v>
      </c>
      <c r="J86" s="9" t="str">
        <f>[2]หน้าผ้า!M95</f>
        <v>±</v>
      </c>
      <c r="K86" s="9">
        <f>[2]หน้าผ้า!N95</f>
        <v>5</v>
      </c>
      <c r="L86" s="9">
        <f>[2]หน้าผ้า!R95</f>
        <v>0</v>
      </c>
      <c r="M86" s="10">
        <f>[2]หน้าผ้า!T95</f>
        <v>0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>
        <f>[2]หน้าผ้า!Z95</f>
        <v>0</v>
      </c>
      <c r="T86" s="12">
        <f>[2]หน้าผ้า!X95</f>
        <v>0</v>
      </c>
      <c r="U86" s="11">
        <f>[2]หน้าผ้า!AA95</f>
        <v>0</v>
      </c>
      <c r="V86" s="10">
        <f>[2]หน้าผ้า!AJ95</f>
        <v>0</v>
      </c>
      <c r="W86" s="10">
        <f>[2]หน้าผ้า!AL95</f>
        <v>0</v>
      </c>
      <c r="X86" s="10">
        <f>[2]หน้าผ้า!AM95</f>
        <v>0</v>
      </c>
      <c r="Y86" s="10">
        <f>[2]หน้าผ้า!AN95</f>
        <v>0</v>
      </c>
      <c r="Z86" s="9" t="str">
        <f>[2]หน้าผ้า!AO95</f>
        <v>WSWT2021750</v>
      </c>
      <c r="AA86" s="8" t="e">
        <f>[2]หน้าผ้า!AQ95</f>
        <v>#REF!</v>
      </c>
      <c r="AB86" s="8" t="e">
        <f>[2]หน้าผ้า!AR95</f>
        <v>#REF!</v>
      </c>
      <c r="AC86" s="8" t="e">
        <f>[2]หน้าผ้า!AS95</f>
        <v>#REF!</v>
      </c>
      <c r="AD86" s="8" t="e">
        <f>[2]หน้าผ้า!AT95</f>
        <v>#REF!</v>
      </c>
      <c r="AE86" s="8" t="e">
        <f>[2]หน้าผ้า!AU95</f>
        <v>#REF!</v>
      </c>
      <c r="AF86" s="8" t="str">
        <f>[2]หน้าผ้า!AI95</f>
        <v>ระบุในSD</v>
      </c>
      <c r="AG86" s="1" t="str">
        <f>[3]หน้าผ้า!DC98</f>
        <v>ยังไม่ได้พิมพ์</v>
      </c>
      <c r="AH86" s="1">
        <f>[2]หน้าผ้า!DL95</f>
        <v>0</v>
      </c>
      <c r="AI86" s="1" t="str">
        <f>[2]หน้าผ้า!DM95</f>
        <v>Lead time</v>
      </c>
      <c r="AJ86" s="3">
        <f>[2]หน้าผ้า!DN95</f>
        <v>0</v>
      </c>
      <c r="AK86" s="3">
        <f>[2]หน้าผ้า!DQ95</f>
        <v>0</v>
      </c>
      <c r="AL86" s="3">
        <f>[2]หน้าผ้า!DR95</f>
        <v>0</v>
      </c>
      <c r="AM86" s="3">
        <f>[2]หน้าผ้า!DS95</f>
        <v>0</v>
      </c>
      <c r="AN86" s="3">
        <f>[2]หน้าผ้า!DT95</f>
        <v>0</v>
      </c>
      <c r="AO86" s="3">
        <f>[2]หน้าผ้า!DU95</f>
        <v>0</v>
      </c>
      <c r="AP86" s="3">
        <f>[2]หน้าผ้า!DP95</f>
        <v>0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>
        <f>[2]หน้าผ้า!EC95</f>
        <v>0</v>
      </c>
      <c r="AX86" s="2">
        <f>[2]หน้าผ้า!ED95</f>
        <v>0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WRWT200750/WRWT21750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45825</v>
      </c>
      <c r="B87" s="14" t="str">
        <f>[2]หน้าผ้า!B96</f>
        <v>MK68-000798</v>
      </c>
      <c r="C87" s="9" t="str">
        <f>[2]หน้าผ้า!E96</f>
        <v>บจก.อินเทคค์ โกลบอล</v>
      </c>
      <c r="D87" s="13" t="str">
        <f>[2]หน้าผ้า!F96</f>
        <v>เพอเฟคค์ 664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78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จับจีบ4"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>
        <f>[2]หน้าผ้า!X96</f>
        <v>45845</v>
      </c>
      <c r="U87" s="11">
        <f>[2]หน้าผ้า!AA96</f>
        <v>2080</v>
      </c>
      <c r="V87" s="10">
        <f>[2]หน้าผ้า!AJ96</f>
        <v>0</v>
      </c>
      <c r="W87" s="10">
        <f>[2]หน้าผ้า!AL96</f>
        <v>2080</v>
      </c>
      <c r="X87" s="10">
        <f>[2]หน้าผ้า!AM96</f>
        <v>52080</v>
      </c>
      <c r="Y87" s="10">
        <f>[2]หน้าผ้า!AN96</f>
        <v>0</v>
      </c>
      <c r="Z87" s="9" t="str">
        <f>[2]หน้าผ้า!AO96</f>
        <v>WSWT2025800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 t="str">
        <f>[2]หน้าผ้า!AI96</f>
        <v>ห้ามขาด-ห้ามเกิน</v>
      </c>
      <c r="AG87" s="1" t="str">
        <f>[3]หน้าผ้า!DC99</f>
        <v>รอตัด</v>
      </c>
      <c r="AH87" s="1" t="str">
        <f>[2]หน้าผ้า!DL96</f>
        <v>P7</v>
      </c>
      <c r="AI87" s="1">
        <f>[2]หน้าผ้า!DM96</f>
        <v>2</v>
      </c>
      <c r="AJ87" s="3">
        <f>[2]หน้าผ้า!DN96</f>
        <v>45845</v>
      </c>
      <c r="AK87" s="3">
        <f>[2]หน้าผ้า!DQ96</f>
        <v>0</v>
      </c>
      <c r="AL87" s="3">
        <f>[2]หน้าผ้า!DR96</f>
        <v>45836</v>
      </c>
      <c r="AM87" s="3">
        <f>[2]หน้าผ้า!DS96</f>
        <v>45843</v>
      </c>
      <c r="AN87" s="3">
        <f>[2]หน้าผ้า!DT96</f>
        <v>45844</v>
      </c>
      <c r="AO87" s="3">
        <f>[2]หน้าผ้า!DU96</f>
        <v>45844</v>
      </c>
      <c r="AP87" s="3">
        <f>[2]หน้าผ้า!DP96</f>
        <v>45840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WRWT25800/WRWT25800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45825</v>
      </c>
      <c r="B88" s="14" t="str">
        <f>[2]หน้าผ้า!B97</f>
        <v>MK68-000798</v>
      </c>
      <c r="C88" s="9" t="str">
        <f>[2]หน้าผ้า!E97</f>
        <v>บจก.อินเทคค์ โกลบอล</v>
      </c>
      <c r="D88" s="13" t="str">
        <f>[2]หน้าผ้า!F97</f>
        <v>เพอเฟคค์ 664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>
        <f>[2]หน้าผ้า!J97</f>
        <v>0</v>
      </c>
      <c r="I88" s="9">
        <f>[2]หน้าผ้า!L97</f>
        <v>78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จับจีบ4"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>
        <f>[2]หน้าผ้า!X97</f>
        <v>45845</v>
      </c>
      <c r="U88" s="11">
        <f>[2]หน้าผ้า!AA97</f>
        <v>40000</v>
      </c>
      <c r="V88" s="10">
        <f>[2]หน้าผ้า!AJ97</f>
        <v>0</v>
      </c>
      <c r="W88" s="10">
        <f>[2]หน้าผ้า!AL97</f>
        <v>40000</v>
      </c>
      <c r="X88" s="10">
        <f>[2]หน้าผ้า!AM97</f>
        <v>0</v>
      </c>
      <c r="Y88" s="10">
        <f>[2]หน้าผ้า!AN97</f>
        <v>42000</v>
      </c>
      <c r="Z88" s="9" t="str">
        <f>[2]หน้าผ้า!AO97</f>
        <v>WSWT2025800</v>
      </c>
      <c r="AA88" s="8">
        <f>[2]หน้าผ้า!AQ97</f>
        <v>41910</v>
      </c>
      <c r="AB88" s="8">
        <f>[2]หน้าผ้า!AR97</f>
        <v>41910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 t="str">
        <f>[2]หน้าผ้า!AI97</f>
        <v>ห้ามขาด-ห้ามเกิน</v>
      </c>
      <c r="AG88" s="1" t="str">
        <f>[3]หน้าผ้า!DC100</f>
        <v>รอตัด</v>
      </c>
      <c r="AH88" s="1" t="str">
        <f>[2]หน้าผ้า!DL97</f>
        <v>P7</v>
      </c>
      <c r="AI88" s="1">
        <f>[2]หน้าผ้า!DM97</f>
        <v>2</v>
      </c>
      <c r="AJ88" s="3">
        <f>[2]หน้าผ้า!DN97</f>
        <v>45845</v>
      </c>
      <c r="AK88" s="3">
        <f>[2]หน้าผ้า!DQ97</f>
        <v>0</v>
      </c>
      <c r="AL88" s="3">
        <f>[2]หน้าผ้า!DR97</f>
        <v>45836</v>
      </c>
      <c r="AM88" s="3">
        <f>[2]หน้าผ้า!DS97</f>
        <v>45843</v>
      </c>
      <c r="AN88" s="3">
        <f>[2]หน้าผ้า!DT97</f>
        <v>45844</v>
      </c>
      <c r="AO88" s="3">
        <f>[2]หน้าผ้า!DU97</f>
        <v>45844</v>
      </c>
      <c r="AP88" s="3">
        <f>[2]หน้าผ้า!DP97</f>
        <v>45840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งานพิมพ์</v>
      </c>
      <c r="AX88" s="2" t="str">
        <f>[2]หน้าผ้า!ED97</f>
        <v xml:space="preserve"> /</v>
      </c>
      <c r="AY88" s="2" t="str">
        <f>[2]หน้าผ้า!AG97</f>
        <v>3/7 5/7 9/7 12/7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WRWT25800/WRWT25800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45825</v>
      </c>
      <c r="B89" s="14" t="str">
        <f>[2]หน้าผ้า!B98</f>
        <v>MK68-000799</v>
      </c>
      <c r="C89" s="9" t="str">
        <f>[2]หน้าผ้า!E98</f>
        <v>บจก.อินเทคค์ โกลบอล</v>
      </c>
      <c r="D89" s="13" t="str">
        <f>[2]หน้าผ้า!F98</f>
        <v>เพอเฟคค์ 664HP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>
        <f>[2]หน้าผ้า!J98</f>
        <v>0</v>
      </c>
      <c r="I89" s="9">
        <f>[2]หน้าผ้า!L98</f>
        <v>78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จับจีบ4"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>
        <f>[2]หน้าผ้า!X98</f>
        <v>45845</v>
      </c>
      <c r="U89" s="11">
        <f>[2]หน้าผ้า!AA98</f>
        <v>6827</v>
      </c>
      <c r="V89" s="10">
        <f>[2]หน้าผ้า!AJ98</f>
        <v>0</v>
      </c>
      <c r="W89" s="10">
        <f>[2]หน้าผ้า!AL98</f>
        <v>6827</v>
      </c>
      <c r="X89" s="10">
        <f>[2]หน้าผ้า!AM98</f>
        <v>0</v>
      </c>
      <c r="Y89" s="10">
        <f>[2]หน้าผ้า!AN98</f>
        <v>7168.35</v>
      </c>
      <c r="Z89" s="9" t="str">
        <f>[2]หน้าผ้า!AO98</f>
        <v>WSWT2025800</v>
      </c>
      <c r="AA89" s="8">
        <f>[2]หน้าผ้า!AQ98</f>
        <v>7152.9892500000005</v>
      </c>
      <c r="AB89" s="8">
        <f>[2]หน้าผ้า!AR98</f>
        <v>7152.9892500000005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 t="str">
        <f>[2]หน้าผ้า!AI98</f>
        <v>ห้ามขาด-ห้ามเกิน</v>
      </c>
      <c r="AG89" s="1" t="str">
        <f>[3]หน้าผ้า!DC101</f>
        <v>รอตัด</v>
      </c>
      <c r="AH89" s="1" t="str">
        <f>[2]หน้าผ้า!DL98</f>
        <v>P7</v>
      </c>
      <c r="AI89" s="1">
        <f>[2]หน้าผ้า!DM98</f>
        <v>2</v>
      </c>
      <c r="AJ89" s="3">
        <f>[2]หน้าผ้า!DN98</f>
        <v>45845</v>
      </c>
      <c r="AK89" s="3">
        <f>[2]หน้าผ้า!DQ98</f>
        <v>0</v>
      </c>
      <c r="AL89" s="3">
        <f>[2]หน้าผ้า!DR98</f>
        <v>45836</v>
      </c>
      <c r="AM89" s="3">
        <f>[2]หน้าผ้า!DS98</f>
        <v>45843</v>
      </c>
      <c r="AN89" s="3">
        <f>[2]หน้าผ้า!DT98</f>
        <v>45844</v>
      </c>
      <c r="AO89" s="3">
        <f>[2]หน้าผ้า!DU98</f>
        <v>45844</v>
      </c>
      <c r="AP89" s="3">
        <f>[2]หน้าผ้า!DP98</f>
        <v>45840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งานพิมพ์</v>
      </c>
      <c r="AX89" s="2" t="str">
        <f>[2]หน้าผ้า!ED98</f>
        <v xml:space="preserve"> /</v>
      </c>
      <c r="AY89" s="2" t="str">
        <f>[2]หน้าผ้า!AG98</f>
        <v>1/7 5/7 7/7  12/7 14/7 19/7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WRWT25800/WRWT25800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45818</v>
      </c>
      <c r="B90" s="14" t="str">
        <f>[2]หน้าผ้า!B99</f>
        <v>MK68-000768</v>
      </c>
      <c r="C90" s="9" t="str">
        <f>[2]หน้าผ้า!E99</f>
        <v>บจก.เบทาโกร</v>
      </c>
      <c r="D90" s="13" t="str">
        <f>[2]หน้าผ้า!F99</f>
        <v xml:space="preserve">WB ฟาร์ม F931L 30kg </v>
      </c>
      <c r="E90" s="9">
        <f>[2]หน้าผ้า!G99</f>
        <v>20</v>
      </c>
      <c r="F90" s="9">
        <f>[2]หน้าผ้า!H99</f>
        <v>37</v>
      </c>
      <c r="G90" s="9" t="str">
        <f>[2]หน้าผ้า!I99</f>
        <v>ขาว</v>
      </c>
      <c r="H90" s="9">
        <f>[2]หน้าผ้า!J99</f>
        <v>0</v>
      </c>
      <c r="I90" s="9">
        <f>[2]หน้าผ้า!L99</f>
        <v>80</v>
      </c>
      <c r="J90" s="9" t="str">
        <f>[2]หน้าผ้า!M99</f>
        <v>±</v>
      </c>
      <c r="K90" s="9">
        <f>[2]หน้าผ้า!N99</f>
        <v>3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 พร้อมระบุชื่อบริษัท รายการสินค้า จำนวนแต่ละแพ็ค</v>
      </c>
      <c r="T90" s="12">
        <f>[2]หน้าผ้า!X99</f>
        <v>45847</v>
      </c>
      <c r="U90" s="11">
        <f>[2]หน้าผ้า!AA99</f>
        <v>30000</v>
      </c>
      <c r="V90" s="10">
        <f>[2]หน้าผ้า!AJ99</f>
        <v>0</v>
      </c>
      <c r="W90" s="10">
        <f>[2]หน้าผ้า!AL99</f>
        <v>30000</v>
      </c>
      <c r="X90" s="10">
        <f>[2]หน้าผ้า!AM99</f>
        <v>31500</v>
      </c>
      <c r="Y90" s="10">
        <f>[2]หน้าผ้า!AN99</f>
        <v>0</v>
      </c>
      <c r="Z90" s="9" t="str">
        <f>[2]หน้าผ้า!AO99</f>
        <v>WSWT2025800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 t="str">
        <f>[2]หน้าผ้า!AI99</f>
        <v>ลพบุรี1</v>
      </c>
      <c r="AG90" s="1" t="str">
        <f>[3]หน้าผ้า!DC102</f>
        <v>พร้อมส่ง</v>
      </c>
      <c r="AH90" s="1" t="str">
        <f>[2]หน้าผ้า!DL99</f>
        <v>P7</v>
      </c>
      <c r="AI90" s="1">
        <f>[2]หน้าผ้า!DM99</f>
        <v>2</v>
      </c>
      <c r="AJ90" s="3">
        <f>[2]หน้าผ้า!DN99</f>
        <v>45847</v>
      </c>
      <c r="AK90" s="3">
        <f>[2]หน้าผ้า!DQ99</f>
        <v>0</v>
      </c>
      <c r="AL90" s="3">
        <f>[2]หน้าผ้า!DR99</f>
        <v>45838</v>
      </c>
      <c r="AM90" s="3">
        <f>[2]หน้าผ้า!DS99</f>
        <v>45845</v>
      </c>
      <c r="AN90" s="3">
        <f>[2]หน้าผ้า!DT99</f>
        <v>45846</v>
      </c>
      <c r="AO90" s="3">
        <f>[2]หน้าผ้า!DU99</f>
        <v>45846</v>
      </c>
      <c r="AP90" s="3">
        <f>[2]หน้าผ้า!DP99</f>
        <v>45842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WRWT25800/WRWT25800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45821</v>
      </c>
      <c r="B91" s="14" t="str">
        <f>[2]หน้าผ้า!B100</f>
        <v>MK68-000790</v>
      </c>
      <c r="C91" s="9" t="str">
        <f>[2]หน้าผ้า!E100</f>
        <v>บจก.เบทาโกร</v>
      </c>
      <c r="D91" s="13" t="str">
        <f>[2]หน้าผ้า!F100</f>
        <v>บาลานส์ 945</v>
      </c>
      <c r="E91" s="9">
        <f>[2]หน้าผ้า!G100</f>
        <v>20</v>
      </c>
      <c r="F91" s="9">
        <f>[2]หน้าผ้า!H100</f>
        <v>37</v>
      </c>
      <c r="G91" s="9" t="str">
        <f>[2]หน้าผ้า!I100</f>
        <v>ขาว</v>
      </c>
      <c r="H91" s="9">
        <f>[2]หน้าผ้า!J100</f>
        <v>0</v>
      </c>
      <c r="I91" s="9">
        <f>[2]หน้าผ้า!L100</f>
        <v>80</v>
      </c>
      <c r="J91" s="9" t="str">
        <f>[2]หน้าผ้า!M100</f>
        <v>±</v>
      </c>
      <c r="K91" s="9">
        <f>[2]หน้าผ้า!N100</f>
        <v>3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 พร้อมระบุชื่อบริษัท รายการสินค้า จำนวนแต่ละแพ็ค</v>
      </c>
      <c r="T91" s="12">
        <f>[2]หน้าผ้า!X100</f>
        <v>45848</v>
      </c>
      <c r="U91" s="11">
        <f>[2]หน้าผ้า!AA100</f>
        <v>5000</v>
      </c>
      <c r="V91" s="10">
        <f>[2]หน้าผ้า!AJ100</f>
        <v>0</v>
      </c>
      <c r="W91" s="10">
        <f>[2]หน้าผ้า!AL100</f>
        <v>5000</v>
      </c>
      <c r="X91" s="10">
        <f>[2]หน้าผ้า!AM100</f>
        <v>5500</v>
      </c>
      <c r="Y91" s="10">
        <f>[2]หน้าผ้า!AN100</f>
        <v>0</v>
      </c>
      <c r="Z91" s="9" t="str">
        <f>[2]หน้าผ้า!AO100</f>
        <v>WSWT2025800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 t="str">
        <f>[2]หน้าผ้า!AI100</f>
        <v>ลพบุรี3</v>
      </c>
      <c r="AG91" s="1" t="str">
        <f>[3]หน้าผ้า!DC103</f>
        <v>พิมพ์ไม่ครบ</v>
      </c>
      <c r="AH91" s="1" t="str">
        <f>[2]หน้าผ้า!DL100</f>
        <v>P7</v>
      </c>
      <c r="AI91" s="1">
        <f>[2]หน้าผ้า!DM100</f>
        <v>2</v>
      </c>
      <c r="AJ91" s="3">
        <f>[2]หน้าผ้า!DN100</f>
        <v>45848</v>
      </c>
      <c r="AK91" s="3">
        <f>[2]หน้าผ้า!DQ100</f>
        <v>0</v>
      </c>
      <c r="AL91" s="3">
        <f>[2]หน้าผ้า!DR100</f>
        <v>45839</v>
      </c>
      <c r="AM91" s="3">
        <f>[2]หน้าผ้า!DS100</f>
        <v>45846</v>
      </c>
      <c r="AN91" s="3">
        <f>[2]หน้าผ้า!DT100</f>
        <v>45847</v>
      </c>
      <c r="AO91" s="3">
        <f>[2]หน้าผ้า!DU100</f>
        <v>45847</v>
      </c>
      <c r="AP91" s="3">
        <f>[2]หน้าผ้า!DP100</f>
        <v>45843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WRWT25800/WRWT25800</v>
      </c>
      <c r="BD91" s="56">
        <f>[2]หน้าผ้า!CA100</f>
        <v>0</v>
      </c>
    </row>
    <row r="92" spans="1:56" ht="27.75" customHeight="1" x14ac:dyDescent="0.45">
      <c r="A92" s="3">
        <f>[2]หน้าผ้า!C101</f>
        <v>45821</v>
      </c>
      <c r="B92" s="14" t="str">
        <f>[2]หน้าผ้า!B101</f>
        <v>MK68-000790</v>
      </c>
      <c r="C92" s="9" t="str">
        <f>[2]หน้าผ้า!E101</f>
        <v>บจก.เบทาโกร</v>
      </c>
      <c r="D92" s="13" t="str">
        <f>[2]หน้าผ้า!F101</f>
        <v>เบทาโกร 327</v>
      </c>
      <c r="E92" s="9">
        <f>[2]หน้าผ้า!G101</f>
        <v>20</v>
      </c>
      <c r="F92" s="9">
        <f>[2]หน้าผ้า!H101</f>
        <v>37</v>
      </c>
      <c r="G92" s="9" t="str">
        <f>[2]หน้าผ้า!I101</f>
        <v>ขาว</v>
      </c>
      <c r="H92" s="9">
        <f>[2]หน้าผ้า!J101</f>
        <v>0</v>
      </c>
      <c r="I92" s="9">
        <f>[2]หน้าผ้า!L101</f>
        <v>80</v>
      </c>
      <c r="J92" s="9" t="str">
        <f>[2]หน้าผ้า!M101</f>
        <v>±</v>
      </c>
      <c r="K92" s="9">
        <f>[2]หน้าผ้า!N101</f>
        <v>3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 พร้อมระบุชื่อบริษัท รายการสินค้า จำนวนแต่ละแพ็ค</v>
      </c>
      <c r="T92" s="12">
        <f>[2]หน้าผ้า!X101</f>
        <v>45848</v>
      </c>
      <c r="U92" s="11">
        <f>[2]หน้าผ้า!AA101</f>
        <v>5000</v>
      </c>
      <c r="V92" s="10">
        <f>[2]หน้าผ้า!AJ101</f>
        <v>0</v>
      </c>
      <c r="W92" s="10">
        <f>[2]หน้าผ้า!AL101</f>
        <v>5000</v>
      </c>
      <c r="X92" s="10">
        <f>[2]หน้าผ้า!AM101</f>
        <v>5300</v>
      </c>
      <c r="Y92" s="10">
        <f>[2]หน้าผ้า!AN101</f>
        <v>0</v>
      </c>
      <c r="Z92" s="9" t="str">
        <f>[2]หน้าผ้า!AO101</f>
        <v>WSWT2025800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 t="str">
        <f>[2]หน้าผ้า!AI101</f>
        <v>ลพบุรี3</v>
      </c>
      <c r="AG92" s="1" t="str">
        <f>[3]หน้าผ้า!DC104</f>
        <v>ยังไม่ได้พิมพ์</v>
      </c>
      <c r="AH92" s="1" t="str">
        <f>[2]หน้าผ้า!DL101</f>
        <v>P7</v>
      </c>
      <c r="AI92" s="1">
        <f>[2]หน้าผ้า!DM101</f>
        <v>2</v>
      </c>
      <c r="AJ92" s="3">
        <f>[2]หน้าผ้า!DN101</f>
        <v>45848</v>
      </c>
      <c r="AK92" s="3">
        <f>[2]หน้าผ้า!DQ101</f>
        <v>0</v>
      </c>
      <c r="AL92" s="3">
        <f>[2]หน้าผ้า!DR101</f>
        <v>45839</v>
      </c>
      <c r="AM92" s="3">
        <f>[2]หน้าผ้า!DS101</f>
        <v>45846</v>
      </c>
      <c r="AN92" s="3">
        <f>[2]หน้าผ้า!DT101</f>
        <v>45847</v>
      </c>
      <c r="AO92" s="3">
        <f>[2]หน้าผ้า!DU101</f>
        <v>45847</v>
      </c>
      <c r="AP92" s="3">
        <f>[2]หน้าผ้า!DP101</f>
        <v>45843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WRWT25800/WRWT25800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45818</v>
      </c>
      <c r="B93" s="14" t="str">
        <f>[2]หน้าผ้า!B102</f>
        <v>MK68-000770</v>
      </c>
      <c r="C93" s="9" t="str">
        <f>[2]หน้าผ้า!E102</f>
        <v>บจก.เบทาโกร</v>
      </c>
      <c r="D93" s="13" t="str">
        <f>[2]หน้าผ้า!F102</f>
        <v>WB ฟาร์ม F992 30kg LP</v>
      </c>
      <c r="E93" s="9">
        <f>[2]หน้าผ้า!G102</f>
        <v>20</v>
      </c>
      <c r="F93" s="9">
        <f>[2]หน้าผ้า!H102</f>
        <v>37</v>
      </c>
      <c r="G93" s="9" t="str">
        <f>[2]หน้าผ้า!I102</f>
        <v>ขาว</v>
      </c>
      <c r="H93" s="9">
        <f>[2]หน้าผ้า!J102</f>
        <v>0</v>
      </c>
      <c r="I93" s="9">
        <f>[2]หน้าผ้า!L102</f>
        <v>80</v>
      </c>
      <c r="J93" s="9" t="str">
        <f>[2]หน้าผ้า!M102</f>
        <v>±</v>
      </c>
      <c r="K93" s="9">
        <f>[2]หน้าผ้า!N102</f>
        <v>3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 พร้อมระบุชื่อบริษัท รายการสินค้า จำนวนแต่ละแพ็ค</v>
      </c>
      <c r="T93" s="12">
        <f>[2]หน้าผ้า!X102</f>
        <v>45849</v>
      </c>
      <c r="U93" s="11">
        <f>[2]หน้าผ้า!AA102</f>
        <v>5000</v>
      </c>
      <c r="V93" s="10">
        <f>[2]หน้าผ้า!AJ102</f>
        <v>5072</v>
      </c>
      <c r="W93" s="10">
        <f>[2]หน้าผ้า!AL102</f>
        <v>0</v>
      </c>
      <c r="X93" s="10">
        <f>[2]หน้าผ้า!AM102</f>
        <v>5435</v>
      </c>
      <c r="Y93" s="10">
        <f>[2]หน้าผ้า!AN102</f>
        <v>0</v>
      </c>
      <c r="Z93" s="9" t="str">
        <f>[2]หน้าผ้า!AO102</f>
        <v>WSWT2025800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 t="str">
        <f>[2]หน้าผ้า!AI102</f>
        <v>ลำพูน</v>
      </c>
      <c r="AG93" s="1" t="str">
        <f>[3]หน้าผ้า!DC105</f>
        <v>ยังไม่ได้พิมพ์</v>
      </c>
      <c r="AH93" s="1" t="str">
        <f>[2]หน้าผ้า!DL102</f>
        <v>P7</v>
      </c>
      <c r="AI93" s="1">
        <f>[2]หน้าผ้า!DM102</f>
        <v>2</v>
      </c>
      <c r="AJ93" s="3">
        <f>[2]หน้าผ้า!DN102</f>
        <v>45849</v>
      </c>
      <c r="AK93" s="3">
        <f>[2]หน้าผ้า!DQ102</f>
        <v>0</v>
      </c>
      <c r="AL93" s="3">
        <f>[2]หน้าผ้า!DR102</f>
        <v>45840</v>
      </c>
      <c r="AM93" s="3">
        <f>[2]หน้าผ้า!DS102</f>
        <v>45847</v>
      </c>
      <c r="AN93" s="3">
        <f>[2]หน้าผ้า!DT102</f>
        <v>45848</v>
      </c>
      <c r="AO93" s="3">
        <f>[2]หน้าผ้า!DU102</f>
        <v>45848</v>
      </c>
      <c r="AP93" s="3">
        <f>[2]หน้าผ้า!DP102</f>
        <v>45844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WRWT25800/WRWT25800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45821</v>
      </c>
      <c r="B94" s="14" t="str">
        <f>[2]หน้าผ้า!B103</f>
        <v>MK68-000789</v>
      </c>
      <c r="C94" s="9" t="str">
        <f>[2]หน้าผ้า!E103</f>
        <v>บจก.เบทาโกร</v>
      </c>
      <c r="D94" s="13" t="str">
        <f>[2]หน้าผ้า!F103</f>
        <v>WB ฟาร์ม F992 30kg LR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>
        <f>[2]หน้าผ้า!J103</f>
        <v>0</v>
      </c>
      <c r="I94" s="9">
        <f>[2]หน้าผ้า!L103</f>
        <v>80</v>
      </c>
      <c r="J94" s="9" t="str">
        <f>[2]หน้าผ้า!M103</f>
        <v>±</v>
      </c>
      <c r="K94" s="9">
        <f>[2]หน้าผ้า!N103</f>
        <v>3</v>
      </c>
      <c r="L94" s="9" t="str">
        <f>[2]หน้าผ้า!R103</f>
        <v>ไม่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 พร้อมระบุชื่อบริษัท รายการสินค้า จำนวนแต่ละแพ็ค</v>
      </c>
      <c r="T94" s="12">
        <f>[2]หน้าผ้า!X103</f>
        <v>45852</v>
      </c>
      <c r="U94" s="11">
        <f>[2]หน้าผ้า!AA103</f>
        <v>80000</v>
      </c>
      <c r="V94" s="10">
        <f>[2]หน้าผ้า!AJ103</f>
        <v>0</v>
      </c>
      <c r="W94" s="10">
        <f>[2]หน้าผ้า!AL103</f>
        <v>80000</v>
      </c>
      <c r="X94" s="10">
        <f>[2]หน้าผ้า!AM103</f>
        <v>42215</v>
      </c>
      <c r="Y94" s="10">
        <f>[2]หน้าผ้า!AN103</f>
        <v>39674.25</v>
      </c>
      <c r="Z94" s="9" t="str">
        <f>[2]หน้าผ้า!AO103</f>
        <v>WSWT2025800</v>
      </c>
      <c r="AA94" s="8">
        <f>[2]หน้าผ้า!AQ103</f>
        <v>42677.193982500001</v>
      </c>
      <c r="AB94" s="8">
        <f>[2]หน้าผ้า!AR103</f>
        <v>27654</v>
      </c>
      <c r="AC94" s="8">
        <f>[2]หน้าผ้า!AS103</f>
        <v>15023.193982500001</v>
      </c>
      <c r="AD94" s="8">
        <f>[2]หน้าผ้า!AT103</f>
        <v>0</v>
      </c>
      <c r="AE94" s="8">
        <f>[2]หน้าผ้า!AU103</f>
        <v>0</v>
      </c>
      <c r="AF94" s="8" t="str">
        <f>[2]หน้าผ้า!AI103</f>
        <v>ลพบุรี3</v>
      </c>
      <c r="AG94" s="1" t="str">
        <f>[3]หน้าผ้า!DC106</f>
        <v>ยังไม่ได้พิมพ์</v>
      </c>
      <c r="AH94" s="1" t="str">
        <f>[2]หน้าผ้า!DL103</f>
        <v>P7</v>
      </c>
      <c r="AI94" s="1">
        <f>[2]หน้าผ้า!DM103</f>
        <v>2</v>
      </c>
      <c r="AJ94" s="3">
        <f>[2]หน้าผ้า!DN103</f>
        <v>45852</v>
      </c>
      <c r="AK94" s="3">
        <f>[2]หน้าผ้า!DQ103</f>
        <v>0</v>
      </c>
      <c r="AL94" s="3">
        <f>[2]หน้าผ้า!DR103</f>
        <v>45843</v>
      </c>
      <c r="AM94" s="3">
        <f>[2]หน้าผ้า!DS103</f>
        <v>45850</v>
      </c>
      <c r="AN94" s="3">
        <f>[2]หน้าผ้า!DT103</f>
        <v>45851</v>
      </c>
      <c r="AO94" s="3">
        <f>[2]หน้าผ้า!DU103</f>
        <v>45851</v>
      </c>
      <c r="AP94" s="3">
        <f>[2]หน้าผ้า!DP103</f>
        <v>45847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WRWT25800/WRWT25800</v>
      </c>
      <c r="BD94" s="56">
        <f>[2]หน้าผ้า!CA103</f>
        <v>1148.4397177733333</v>
      </c>
    </row>
    <row r="95" spans="1:56" ht="27.75" customHeight="1" x14ac:dyDescent="0.45">
      <c r="A95" s="3">
        <f>[2]หน้าผ้า!C104</f>
        <v>45818</v>
      </c>
      <c r="B95" s="14" t="str">
        <f>[2]หน้าผ้า!B104</f>
        <v>MK68-000768</v>
      </c>
      <c r="C95" s="9" t="str">
        <f>[2]หน้าผ้า!E104</f>
        <v>บจก.เบทาโกร</v>
      </c>
      <c r="D95" s="13" t="str">
        <f>[2]หน้าผ้า!F104</f>
        <v>WB ฟาร์ม F992 30kg LR</v>
      </c>
      <c r="E95" s="9">
        <f>[2]หน้าผ้า!G104</f>
        <v>20</v>
      </c>
      <c r="F95" s="9">
        <f>[2]หน้าผ้า!H104</f>
        <v>37</v>
      </c>
      <c r="G95" s="9" t="str">
        <f>[2]หน้าผ้า!I104</f>
        <v>ขาว</v>
      </c>
      <c r="H95" s="9">
        <f>[2]หน้าผ้า!J104</f>
        <v>0</v>
      </c>
      <c r="I95" s="9">
        <f>[2]หน้าผ้า!L104</f>
        <v>80</v>
      </c>
      <c r="J95" s="9" t="str">
        <f>[2]หน้าผ้า!M104</f>
        <v>±</v>
      </c>
      <c r="K95" s="9">
        <f>[2]หน้าผ้า!N104</f>
        <v>3</v>
      </c>
      <c r="L95" s="9" t="str">
        <f>[2]หน้าผ้า!R104</f>
        <v>ไม่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 พร้อมระบุชื่อบริษัท รายการสินค้า จำนวนแต่ละแพ็ค</v>
      </c>
      <c r="T95" s="12">
        <f>[2]หน้าผ้า!X104</f>
        <v>45859</v>
      </c>
      <c r="U95" s="11">
        <f>[2]หน้าผ้า!AA104</f>
        <v>50000</v>
      </c>
      <c r="V95" s="10">
        <f>[2]หน้าผ้า!AJ104</f>
        <v>0</v>
      </c>
      <c r="W95" s="10">
        <f>[2]หน้าผ้า!AL104</f>
        <v>50000</v>
      </c>
      <c r="X95" s="10">
        <f>[2]หน้าผ้า!AM104</f>
        <v>0</v>
      </c>
      <c r="Y95" s="10">
        <f>[2]หน้าผ้า!AN104</f>
        <v>52500</v>
      </c>
      <c r="Z95" s="9" t="str">
        <f>[2]หน้าผ้า!AO104</f>
        <v>WSWT2025800</v>
      </c>
      <c r="AA95" s="8">
        <f>[2]หน้าผ้า!AQ104</f>
        <v>53784.500000000007</v>
      </c>
      <c r="AB95" s="8">
        <f>[2]หน้าผ้า!AR104</f>
        <v>0</v>
      </c>
      <c r="AC95" s="8">
        <f>[2]หน้าผ้า!AS104</f>
        <v>53784.500000000007</v>
      </c>
      <c r="AD95" s="8">
        <f>[2]หน้าผ้า!AT104</f>
        <v>0</v>
      </c>
      <c r="AE95" s="8">
        <f>[2]หน้าผ้า!AU104</f>
        <v>0</v>
      </c>
      <c r="AF95" s="8" t="str">
        <f>[2]หน้าผ้า!AI104</f>
        <v>ลพบุรี1</v>
      </c>
      <c r="AG95" s="1" t="str">
        <f>[3]หน้าผ้า!DC107</f>
        <v>ยังไม่ได้พิมพ์</v>
      </c>
      <c r="AH95" s="1" t="str">
        <f>[2]หน้าผ้า!DL104</f>
        <v>P7</v>
      </c>
      <c r="AI95" s="1">
        <f>[2]หน้าผ้า!DM104</f>
        <v>2</v>
      </c>
      <c r="AJ95" s="3">
        <f>[2]หน้าผ้า!DN104</f>
        <v>45859</v>
      </c>
      <c r="AK95" s="3">
        <f>[2]หน้าผ้า!DQ104</f>
        <v>0</v>
      </c>
      <c r="AL95" s="3">
        <f>[2]หน้าผ้า!DR104</f>
        <v>45850</v>
      </c>
      <c r="AM95" s="3">
        <f>[2]หน้าผ้า!DS104</f>
        <v>45857</v>
      </c>
      <c r="AN95" s="3">
        <f>[2]หน้าผ้า!DT104</f>
        <v>45858</v>
      </c>
      <c r="AO95" s="3">
        <f>[2]หน้าผ้า!DU104</f>
        <v>45858</v>
      </c>
      <c r="AP95" s="3">
        <f>[2]หน้าผ้า!DP104</f>
        <v>45854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WRWT25800/WRWT25800</v>
      </c>
      <c r="BD95" s="56">
        <f>[2]หน้าผ้า!CA104</f>
        <v>4111.5262222222227</v>
      </c>
    </row>
    <row r="96" spans="1:56" ht="27.75" customHeight="1" x14ac:dyDescent="0.45">
      <c r="A96" s="3">
        <f>[2]หน้าผ้า!C105</f>
        <v>45818</v>
      </c>
      <c r="B96" s="14" t="str">
        <f>[2]หน้าผ้า!B105</f>
        <v>MK68-000769</v>
      </c>
      <c r="C96" s="9" t="str">
        <f>[2]หน้าผ้า!E105</f>
        <v>บจก.เบทาโกร</v>
      </c>
      <c r="D96" s="13" t="str">
        <f>[2]หน้าผ้า!F105</f>
        <v xml:space="preserve">WB ฟาร์ม F931L 30kg </v>
      </c>
      <c r="E96" s="9">
        <f>[2]หน้าผ้า!G105</f>
        <v>20</v>
      </c>
      <c r="F96" s="9">
        <f>[2]หน้าผ้า!H105</f>
        <v>37</v>
      </c>
      <c r="G96" s="9" t="str">
        <f>[2]หน้าผ้า!I105</f>
        <v>ขาว</v>
      </c>
      <c r="H96" s="9">
        <f>[2]หน้าผ้า!J105</f>
        <v>0</v>
      </c>
      <c r="I96" s="9">
        <f>[2]หน้าผ้า!L105</f>
        <v>80</v>
      </c>
      <c r="J96" s="9" t="str">
        <f>[2]หน้าผ้า!M105</f>
        <v>±</v>
      </c>
      <c r="K96" s="9">
        <f>[2]หน้าผ้า!N105</f>
        <v>3</v>
      </c>
      <c r="L96" s="9" t="str">
        <f>[2]หน้าผ้า!R105</f>
        <v>ไม่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 พร้อมระบุชื่อบริษัท รายการสินค้า จำนวนแต่ละแพ็ค</v>
      </c>
      <c r="T96" s="12">
        <f>[2]หน้าผ้า!X105</f>
        <v>45859</v>
      </c>
      <c r="U96" s="11">
        <f>[2]หน้าผ้า!AA105</f>
        <v>30000</v>
      </c>
      <c r="V96" s="10">
        <f>[2]หน้าผ้า!AJ105</f>
        <v>0</v>
      </c>
      <c r="W96" s="10">
        <f>[2]หน้าผ้า!AL105</f>
        <v>30000</v>
      </c>
      <c r="X96" s="10">
        <f>[2]หน้าผ้า!AM105</f>
        <v>0</v>
      </c>
      <c r="Y96" s="10">
        <f>[2]หน้าผ้า!AN105</f>
        <v>31500</v>
      </c>
      <c r="Z96" s="9" t="str">
        <f>[2]หน้าผ้า!AO105</f>
        <v>WSWT2025800</v>
      </c>
      <c r="AA96" s="8">
        <f>[2]หน้าผ้า!AQ105</f>
        <v>32270.700000000004</v>
      </c>
      <c r="AB96" s="8">
        <f>[2]หน้าผ้า!AR105</f>
        <v>0</v>
      </c>
      <c r="AC96" s="8">
        <f>[2]หน้าผ้า!AS105</f>
        <v>32270.700000000004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>ลพบุรี1</v>
      </c>
      <c r="AG96" s="1" t="str">
        <f>[3]หน้าผ้า!DC108</f>
        <v>ยังไม่ได้พิมพ์</v>
      </c>
      <c r="AH96" s="1" t="str">
        <f>[2]หน้าผ้า!DL105</f>
        <v>P7</v>
      </c>
      <c r="AI96" s="1">
        <f>[2]หน้าผ้า!DM105</f>
        <v>2</v>
      </c>
      <c r="AJ96" s="3">
        <f>[2]หน้าผ้า!DN105</f>
        <v>45859</v>
      </c>
      <c r="AK96" s="3">
        <f>[2]หน้าผ้า!DQ105</f>
        <v>0</v>
      </c>
      <c r="AL96" s="3">
        <f>[2]หน้าผ้า!DR105</f>
        <v>45850</v>
      </c>
      <c r="AM96" s="3">
        <f>[2]หน้าผ้า!DS105</f>
        <v>45857</v>
      </c>
      <c r="AN96" s="3">
        <f>[2]หน้าผ้า!DT105</f>
        <v>45858</v>
      </c>
      <c r="AO96" s="3">
        <f>[2]หน้าผ้า!DU105</f>
        <v>45858</v>
      </c>
      <c r="AP96" s="3">
        <f>[2]หน้าผ้า!DP105</f>
        <v>45854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WRWT25800/WRWT25800</v>
      </c>
      <c r="BD96" s="56">
        <f>[2]หน้าผ้า!CA105</f>
        <v>2466.9157333333337</v>
      </c>
    </row>
    <row r="97" spans="1:56" ht="27.75" customHeight="1" x14ac:dyDescent="0.45">
      <c r="A97" s="3">
        <f>[2]หน้าผ้า!C106</f>
        <v>45831</v>
      </c>
      <c r="B97" s="14" t="str">
        <f>[2]หน้าผ้า!B106</f>
        <v>MK68-000827</v>
      </c>
      <c r="C97" s="9" t="str">
        <f>[2]หน้าผ้า!E106</f>
        <v>บจก.เบทาโกร</v>
      </c>
      <c r="D97" s="13" t="str">
        <f>[2]หน้าผ้า!F106</f>
        <v>มาสเตอร์ 5556</v>
      </c>
      <c r="E97" s="9">
        <f>[2]หน้าผ้า!G106</f>
        <v>20</v>
      </c>
      <c r="F97" s="9">
        <f>[2]หน้าผ้า!H106</f>
        <v>37</v>
      </c>
      <c r="G97" s="9" t="str">
        <f>[2]หน้าผ้า!I106</f>
        <v>ขาว</v>
      </c>
      <c r="H97" s="9">
        <f>[2]หน้าผ้า!J106</f>
        <v>0</v>
      </c>
      <c r="I97" s="9">
        <f>[2]หน้าผ้า!L106</f>
        <v>80</v>
      </c>
      <c r="J97" s="9" t="str">
        <f>[2]หน้าผ้า!M106</f>
        <v>±</v>
      </c>
      <c r="K97" s="9">
        <f>[2]หน้าผ้า!N106</f>
        <v>3</v>
      </c>
      <c r="L97" s="9" t="str">
        <f>[2]หน้าผ้า!R106</f>
        <v>ไม่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 พร้อมระบุชื่อบริษัท รายการสินค้า จำนวนแต่ละแพ็ค</v>
      </c>
      <c r="T97" s="12">
        <f>[2]หน้าผ้า!X106</f>
        <v>45862</v>
      </c>
      <c r="U97" s="11">
        <f>[2]หน้าผ้า!AA106</f>
        <v>5000</v>
      </c>
      <c r="V97" s="10">
        <f>[2]หน้าผ้า!AJ106</f>
        <v>0</v>
      </c>
      <c r="W97" s="10">
        <f>[2]หน้าผ้า!AL106</f>
        <v>5000</v>
      </c>
      <c r="X97" s="10">
        <f>[2]หน้าผ้า!AM106</f>
        <v>0</v>
      </c>
      <c r="Y97" s="10">
        <f>[2]หน้าผ้า!AN106</f>
        <v>5250</v>
      </c>
      <c r="Z97" s="9" t="str">
        <f>[2]หน้าผ้า!AO106</f>
        <v>WSWT2025800</v>
      </c>
      <c r="AA97" s="8">
        <f>[2]หน้าผ้า!AQ106</f>
        <v>5378.4500000000007</v>
      </c>
      <c r="AB97" s="8">
        <f>[2]หน้าผ้า!AR106</f>
        <v>0</v>
      </c>
      <c r="AC97" s="8">
        <f>[2]หน้าผ้า!AS106</f>
        <v>5378.4500000000007</v>
      </c>
      <c r="AD97" s="8">
        <f>[2]หน้าผ้า!AT106</f>
        <v>0</v>
      </c>
      <c r="AE97" s="8">
        <f>[2]หน้าผ้า!AU106</f>
        <v>0</v>
      </c>
      <c r="AF97" s="8" t="str">
        <f>[2]หน้าผ้า!AI106</f>
        <v>ลพบุรี3</v>
      </c>
      <c r="AG97" s="1" t="str">
        <f>[3]หน้าผ้า!DC109</f>
        <v>ยังไม่ได้พิมพ์</v>
      </c>
      <c r="AH97" s="1" t="str">
        <f>[2]หน้าผ้า!DL106</f>
        <v>P7</v>
      </c>
      <c r="AI97" s="1">
        <f>[2]หน้าผ้า!DM106</f>
        <v>2</v>
      </c>
      <c r="AJ97" s="3">
        <f>[2]หน้าผ้า!DN106</f>
        <v>45862</v>
      </c>
      <c r="AK97" s="3">
        <f>[2]หน้าผ้า!DQ106</f>
        <v>0</v>
      </c>
      <c r="AL97" s="3">
        <f>[2]หน้าผ้า!DR106</f>
        <v>45853</v>
      </c>
      <c r="AM97" s="3">
        <f>[2]หน้าผ้า!DS106</f>
        <v>45860</v>
      </c>
      <c r="AN97" s="3">
        <f>[2]หน้าผ้า!DT106</f>
        <v>45861</v>
      </c>
      <c r="AO97" s="3">
        <f>[2]หน้าผ้า!DU106</f>
        <v>45861</v>
      </c>
      <c r="AP97" s="3">
        <f>[2]หน้าผ้า!DP106</f>
        <v>45857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WRWT25800/WRWT25800</v>
      </c>
      <c r="BD97" s="56">
        <f>[2]หน้าผ้า!CA106</f>
        <v>411.15262222222225</v>
      </c>
    </row>
    <row r="98" spans="1:56" ht="27.75" customHeight="1" x14ac:dyDescent="0.45">
      <c r="A98" s="3">
        <f>[2]หน้าผ้า!C107</f>
        <v>45831</v>
      </c>
      <c r="B98" s="14" t="str">
        <f>[2]หน้าผ้า!B107</f>
        <v>MK68-000827</v>
      </c>
      <c r="C98" s="9" t="str">
        <f>[2]หน้าผ้า!E107</f>
        <v>บจก.เบทาโกร</v>
      </c>
      <c r="D98" s="13" t="str">
        <f>[2]หน้าผ้า!F107</f>
        <v>เบทาโกร 405</v>
      </c>
      <c r="E98" s="9">
        <f>[2]หน้าผ้า!G107</f>
        <v>20</v>
      </c>
      <c r="F98" s="9">
        <f>[2]หน้าผ้า!H107</f>
        <v>37</v>
      </c>
      <c r="G98" s="9" t="str">
        <f>[2]หน้าผ้า!I107</f>
        <v>ขาว</v>
      </c>
      <c r="H98" s="9">
        <f>[2]หน้าผ้า!J107</f>
        <v>0</v>
      </c>
      <c r="I98" s="9">
        <f>[2]หน้าผ้า!L107</f>
        <v>80</v>
      </c>
      <c r="J98" s="9" t="str">
        <f>[2]หน้าผ้า!M107</f>
        <v>±</v>
      </c>
      <c r="K98" s="9">
        <f>[2]หน้าผ้า!N107</f>
        <v>3</v>
      </c>
      <c r="L98" s="9" t="str">
        <f>[2]หน้าผ้า!R107</f>
        <v>ไม่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 พร้อมระบุชื่อบริษัท รายการสินค้า จำนวนแต่ละแพ็ค</v>
      </c>
      <c r="T98" s="12">
        <f>[2]หน้าผ้า!X107</f>
        <v>45862</v>
      </c>
      <c r="U98" s="11">
        <f>[2]หน้าผ้า!AA107</f>
        <v>40000</v>
      </c>
      <c r="V98" s="10">
        <f>[2]หน้าผ้า!AJ107</f>
        <v>0</v>
      </c>
      <c r="W98" s="10">
        <f>[2]หน้าผ้า!AL107</f>
        <v>40000</v>
      </c>
      <c r="X98" s="10">
        <f>[2]หน้าผ้า!AM107</f>
        <v>0</v>
      </c>
      <c r="Y98" s="10">
        <f>[2]หน้าผ้า!AN107</f>
        <v>42000</v>
      </c>
      <c r="Z98" s="9" t="str">
        <f>[2]หน้าผ้า!AO107</f>
        <v>WSWT2025800</v>
      </c>
      <c r="AA98" s="8">
        <f>[2]หน้าผ้า!AQ107</f>
        <v>43027.600000000006</v>
      </c>
      <c r="AB98" s="8">
        <f>[2]หน้าผ้า!AR107</f>
        <v>0</v>
      </c>
      <c r="AC98" s="8">
        <f>[2]หน้าผ้า!AS107</f>
        <v>43027.600000000006</v>
      </c>
      <c r="AD98" s="8">
        <f>[2]หน้าผ้า!AT107</f>
        <v>0</v>
      </c>
      <c r="AE98" s="8">
        <f>[2]หน้าผ้า!AU107</f>
        <v>0</v>
      </c>
      <c r="AF98" s="8" t="str">
        <f>[2]หน้าผ้า!AI107</f>
        <v>ลพบุรี3</v>
      </c>
      <c r="AG98" s="1" t="str">
        <f>[3]หน้าผ้า!DC110</f>
        <v>ยังไม่ได้พิมพ์</v>
      </c>
      <c r="AH98" s="1" t="str">
        <f>[2]หน้าผ้า!DL107</f>
        <v>P7</v>
      </c>
      <c r="AI98" s="1">
        <f>[2]หน้าผ้า!DM107</f>
        <v>2</v>
      </c>
      <c r="AJ98" s="3">
        <f>[2]หน้าผ้า!DN107</f>
        <v>45862</v>
      </c>
      <c r="AK98" s="3">
        <f>[2]หน้าผ้า!DQ107</f>
        <v>0</v>
      </c>
      <c r="AL98" s="3">
        <f>[2]หน้าผ้า!DR107</f>
        <v>45853</v>
      </c>
      <c r="AM98" s="3">
        <f>[2]หน้าผ้า!DS107</f>
        <v>45860</v>
      </c>
      <c r="AN98" s="3">
        <f>[2]หน้าผ้า!DT107</f>
        <v>45861</v>
      </c>
      <c r="AO98" s="3">
        <f>[2]หน้าผ้า!DU107</f>
        <v>45861</v>
      </c>
      <c r="AP98" s="3">
        <f>[2]หน้าผ้า!DP107</f>
        <v>45857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WRWT25800/WRWT25800</v>
      </c>
      <c r="BD98" s="56">
        <f>[2]หน้าผ้า!CA107</f>
        <v>3289.220977777778</v>
      </c>
    </row>
    <row r="99" spans="1:56" ht="27.75" customHeight="1" x14ac:dyDescent="0.45">
      <c r="A99" s="3">
        <f>[2]หน้าผ้า!C108</f>
        <v>45842</v>
      </c>
      <c r="B99" s="14" t="str">
        <f>[2]หน้าผ้า!B108</f>
        <v>MK68-000867</v>
      </c>
      <c r="C99" s="9" t="str">
        <f>[2]หน้าผ้า!E108</f>
        <v>บจก.เคอรี่ฟลาวมิลล์</v>
      </c>
      <c r="D99" s="13" t="str">
        <f>[2]หน้าผ้า!F108</f>
        <v>แปดแต้มแดง 25กก.</v>
      </c>
      <c r="E99" s="9">
        <f>[2]หน้าผ้า!G108</f>
        <v>20</v>
      </c>
      <c r="F99" s="9">
        <f>[2]หน้าผ้า!H108</f>
        <v>32</v>
      </c>
      <c r="G99" s="9" t="str">
        <f>[2]หน้าผ้า!I108</f>
        <v>ขาว</v>
      </c>
      <c r="H99" s="9">
        <f>[2]หน้าผ้า!J108</f>
        <v>0</v>
      </c>
      <c r="I99" s="9">
        <f>[2]หน้าผ้า!L108</f>
        <v>72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ห่ออัดเบลแบน500</v>
      </c>
      <c r="T99" s="12">
        <f>[2]หน้าผ้า!X108</f>
        <v>45867</v>
      </c>
      <c r="U99" s="11">
        <f>[2]หน้าผ้า!AA108</f>
        <v>5000</v>
      </c>
      <c r="V99" s="10">
        <f>[2]หน้าผ้า!AJ108</f>
        <v>0</v>
      </c>
      <c r="W99" s="10">
        <f>[2]หน้าผ้า!AL108</f>
        <v>5000</v>
      </c>
      <c r="X99" s="10">
        <f>[2]หน้าผ้า!AM108</f>
        <v>0</v>
      </c>
      <c r="Y99" s="10">
        <f>[2]หน้าผ้า!AN108</f>
        <v>5250</v>
      </c>
      <c r="Z99" s="9" t="str">
        <f>[2]หน้าผ้า!AO108</f>
        <v>WSWT2025800</v>
      </c>
      <c r="AA99" s="8">
        <f>[2]หน้าผ้า!AQ108</f>
        <v>4679.9500000000007</v>
      </c>
      <c r="AB99" s="8">
        <f>[2]หน้าผ้า!AR108</f>
        <v>0</v>
      </c>
      <c r="AC99" s="8">
        <f>[2]หน้าผ้า!AS108</f>
        <v>4679.9500000000007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P7</v>
      </c>
      <c r="AI99" s="1">
        <f>[2]หน้าผ้า!DM108</f>
        <v>2</v>
      </c>
      <c r="AJ99" s="3">
        <f>[2]หน้าผ้า!DN108</f>
        <v>45867</v>
      </c>
      <c r="AK99" s="3">
        <f>[2]หน้าผ้า!DQ108</f>
        <v>0</v>
      </c>
      <c r="AL99" s="3">
        <f>[2]หน้าผ้า!DR108</f>
        <v>45858</v>
      </c>
      <c r="AM99" s="3">
        <f>[2]หน้าผ้า!DS108</f>
        <v>45865</v>
      </c>
      <c r="AN99" s="3">
        <f>[2]หน้าผ้า!DT108</f>
        <v>45866</v>
      </c>
      <c r="AO99" s="3">
        <f>[2]หน้าผ้า!DU108</f>
        <v>45866</v>
      </c>
      <c r="AP99" s="3">
        <f>[2]หน้าผ้า!DP108</f>
        <v>45862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งานพิมพ์</v>
      </c>
      <c r="AX99" s="2" t="str">
        <f>[2]หน้าผ้า!ED108</f>
        <v>รอART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WRWT25800/WRWT25800</v>
      </c>
      <c r="BD99" s="56">
        <f>[2]หน้าผ้า!CA108</f>
        <v>357.75617777777779</v>
      </c>
    </row>
    <row r="100" spans="1:56" ht="27.75" customHeight="1" x14ac:dyDescent="0.45">
      <c r="A100" s="3">
        <f>[2]หน้าผ้า!C109</f>
        <v>45840</v>
      </c>
      <c r="B100" s="14" t="str">
        <f>[2]หน้าผ้า!B109</f>
        <v>MK68-000857</v>
      </c>
      <c r="C100" s="9" t="str">
        <f>[2]หน้าผ้า!E109</f>
        <v>บจก.เบทาโกร</v>
      </c>
      <c r="D100" s="13" t="str">
        <f>[2]หน้าผ้า!F109</f>
        <v>WB ฟาร์ม F914M 30kg.NM</v>
      </c>
      <c r="E100" s="9">
        <f>[2]หน้าผ้า!G109</f>
        <v>20</v>
      </c>
      <c r="F100" s="9">
        <f>[2]หน้าผ้า!H109</f>
        <v>37</v>
      </c>
      <c r="G100" s="9" t="str">
        <f>[2]หน้าผ้า!I109</f>
        <v>ขาว</v>
      </c>
      <c r="H100" s="9">
        <f>[2]หน้าผ้า!J109</f>
        <v>0</v>
      </c>
      <c r="I100" s="9">
        <f>[2]หน้าผ้า!L109</f>
        <v>80</v>
      </c>
      <c r="J100" s="9" t="str">
        <f>[2]หน้าผ้า!M109</f>
        <v>±</v>
      </c>
      <c r="K100" s="9">
        <f>[2]หน้าผ้า!N109</f>
        <v>3</v>
      </c>
      <c r="L100" s="9" t="str">
        <f>[2]หน้าผ้า!R109</f>
        <v>ไม่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 พร้อมระบุชื่อบริษัท รายการสินค้า จำนวนแต่ละแพ็ค</v>
      </c>
      <c r="T100" s="12">
        <f>[2]หน้าผ้า!X109</f>
        <v>45875</v>
      </c>
      <c r="U100" s="11">
        <f>[2]หน้าผ้า!AA109</f>
        <v>13000</v>
      </c>
      <c r="V100" s="10">
        <f>[2]หน้าผ้า!AJ109</f>
        <v>0</v>
      </c>
      <c r="W100" s="10">
        <f>[2]หน้าผ้า!AL109</f>
        <v>13000</v>
      </c>
      <c r="X100" s="10">
        <f>[2]หน้าผ้า!AM109</f>
        <v>0</v>
      </c>
      <c r="Y100" s="10">
        <f>[2]หน้าผ้า!AN109</f>
        <v>13650</v>
      </c>
      <c r="Z100" s="9" t="str">
        <f>[2]หน้าผ้า!AO109</f>
        <v>WSWT2025800</v>
      </c>
      <c r="AA100" s="8">
        <f>[2]หน้าผ้า!AQ109</f>
        <v>13983.970000000001</v>
      </c>
      <c r="AB100" s="8">
        <f>[2]หน้าผ้า!AR109</f>
        <v>0</v>
      </c>
      <c r="AC100" s="8">
        <f>[2]หน้าผ้า!AS109</f>
        <v>13983.970000000001</v>
      </c>
      <c r="AD100" s="8">
        <f>[2]หน้าผ้า!AT109</f>
        <v>0</v>
      </c>
      <c r="AE100" s="8">
        <f>[2]หน้าผ้า!AU109</f>
        <v>0</v>
      </c>
      <c r="AF100" s="8" t="str">
        <f>[2]หน้าผ้า!AI109</f>
        <v>หนองบุญมาก</v>
      </c>
      <c r="AG100" s="1" t="str">
        <f>[3]หน้าผ้า!DC112</f>
        <v>รอแบบ</v>
      </c>
      <c r="AH100" s="1" t="str">
        <f>[2]หน้าผ้า!DL109</f>
        <v>P7</v>
      </c>
      <c r="AI100" s="1">
        <f>[2]หน้าผ้า!DM109</f>
        <v>2</v>
      </c>
      <c r="AJ100" s="3">
        <f>[2]หน้าผ้า!DN109</f>
        <v>45875</v>
      </c>
      <c r="AK100" s="3">
        <f>[2]หน้าผ้า!DQ109</f>
        <v>0</v>
      </c>
      <c r="AL100" s="3">
        <f>[2]หน้าผ้า!DR109</f>
        <v>45866</v>
      </c>
      <c r="AM100" s="3">
        <f>[2]หน้าผ้า!DS109</f>
        <v>45873</v>
      </c>
      <c r="AN100" s="3">
        <f>[2]หน้าผ้า!DT109</f>
        <v>45874</v>
      </c>
      <c r="AO100" s="3">
        <f>[2]หน้าผ้า!DU109</f>
        <v>45874</v>
      </c>
      <c r="AP100" s="3">
        <f>[2]หน้าผ้า!DP109</f>
        <v>45870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WRWT25800/WRWT25800</v>
      </c>
      <c r="BD100" s="56">
        <f>[2]หน้าผ้า!CA109</f>
        <v>1068.996817777778</v>
      </c>
    </row>
    <row r="101" spans="1:56" ht="27.75" customHeight="1" x14ac:dyDescent="0.45">
      <c r="A101" s="3">
        <f>[2]หน้าผ้า!C110</f>
        <v>45834</v>
      </c>
      <c r="B101" s="14" t="str">
        <f>[2]หน้าผ้า!B110</f>
        <v>MK68-000838</v>
      </c>
      <c r="C101" s="9" t="str">
        <f>[2]หน้าผ้า!E110</f>
        <v>บจก.เบทาโกร</v>
      </c>
      <c r="D101" s="13" t="str">
        <f>[2]หน้าผ้า!F110</f>
        <v>WB ฟาร์ม F914M 30kg.</v>
      </c>
      <c r="E101" s="9">
        <f>[2]หน้าผ้า!G110</f>
        <v>20</v>
      </c>
      <c r="F101" s="9">
        <f>[2]หน้าผ้า!H110</f>
        <v>37</v>
      </c>
      <c r="G101" s="9" t="str">
        <f>[2]หน้าผ้า!I110</f>
        <v>ขาว</v>
      </c>
      <c r="H101" s="9">
        <f>[2]หน้าผ้า!J110</f>
        <v>0</v>
      </c>
      <c r="I101" s="9">
        <f>[2]หน้าผ้า!L110</f>
        <v>80</v>
      </c>
      <c r="J101" s="9" t="str">
        <f>[2]หน้าผ้า!M110</f>
        <v>±</v>
      </c>
      <c r="K101" s="9">
        <f>[2]หน้าผ้า!N110</f>
        <v>3</v>
      </c>
      <c r="L101" s="9" t="str">
        <f>[2]หน้าผ้า!R110</f>
        <v>ไม่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 พร้อมระบุชื่อบริษัท รายการสินค้า จำนวนแต่ละแพ็ค</v>
      </c>
      <c r="T101" s="12">
        <f>[2]หน้าผ้า!X110</f>
        <v>45897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</v>
      </c>
      <c r="AA101" s="8">
        <f>[2]หน้าผ้า!AQ110</f>
        <v>5378.4500000000007</v>
      </c>
      <c r="AB101" s="8">
        <f>[2]หน้าผ้า!AR110</f>
        <v>0</v>
      </c>
      <c r="AC101" s="8">
        <f>[2]หน้าผ้า!AS110</f>
        <v>5378.4500000000007</v>
      </c>
      <c r="AD101" s="8">
        <f>[2]หน้าผ้า!AT110</f>
        <v>0</v>
      </c>
      <c r="AE101" s="8">
        <f>[2]หน้าผ้า!AU110</f>
        <v>0</v>
      </c>
      <c r="AF101" s="8" t="str">
        <f>[2]หน้าผ้า!AI110</f>
        <v>พระประแดง</v>
      </c>
      <c r="AG101" s="1" t="str">
        <f>[3]หน้าผ้า!DC113</f>
        <v>พร้อมส่ง</v>
      </c>
      <c r="AH101" s="1" t="str">
        <f>[2]หน้าผ้า!DL110</f>
        <v>P7</v>
      </c>
      <c r="AI101" s="1">
        <f>[2]หน้าผ้า!DM110</f>
        <v>2</v>
      </c>
      <c r="AJ101" s="3">
        <f>[2]หน้าผ้า!DN110</f>
        <v>45897</v>
      </c>
      <c r="AK101" s="3">
        <f>[2]หน้าผ้า!DQ110</f>
        <v>0</v>
      </c>
      <c r="AL101" s="3">
        <f>[2]หน้าผ้า!DR110</f>
        <v>45888</v>
      </c>
      <c r="AM101" s="3">
        <f>[2]หน้าผ้า!DS110</f>
        <v>45895</v>
      </c>
      <c r="AN101" s="3">
        <f>[2]หน้าผ้า!DT110</f>
        <v>45896</v>
      </c>
      <c r="AO101" s="3">
        <f>[2]หน้าผ้า!DU110</f>
        <v>45896</v>
      </c>
      <c r="AP101" s="3">
        <f>[2]หน้าผ้า!DP110</f>
        <v>45892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WRWT25800/WRWT25800</v>
      </c>
      <c r="BD101" s="56">
        <f>[2]หน้าผ้า!CA110</f>
        <v>411.15262222222225</v>
      </c>
    </row>
    <row r="102" spans="1:56" ht="27.75" customHeight="1" x14ac:dyDescent="0.45">
      <c r="A102" s="3">
        <f>[2]หน้าผ้า!C111</f>
        <v>45834</v>
      </c>
      <c r="B102" s="14" t="str">
        <f>[2]หน้าผ้า!B111</f>
        <v>MK68-000838</v>
      </c>
      <c r="C102" s="9" t="str">
        <f>[2]หน้าผ้า!E111</f>
        <v>บจก.เบทาโกร</v>
      </c>
      <c r="D102" s="13" t="str">
        <f>[2]หน้าผ้า!F111</f>
        <v>WB ฟาร์ม F911 30kg.</v>
      </c>
      <c r="E102" s="9">
        <f>[2]หน้าผ้า!G111</f>
        <v>20</v>
      </c>
      <c r="F102" s="9">
        <f>[2]หน้าผ้า!H111</f>
        <v>37</v>
      </c>
      <c r="G102" s="9" t="str">
        <f>[2]หน้าผ้า!I111</f>
        <v>ขาว</v>
      </c>
      <c r="H102" s="9">
        <f>[2]หน้าผ้า!J111</f>
        <v>0</v>
      </c>
      <c r="I102" s="9">
        <f>[2]หน้าผ้า!L111</f>
        <v>80</v>
      </c>
      <c r="J102" s="9" t="str">
        <f>[2]หน้าผ้า!M111</f>
        <v>±</v>
      </c>
      <c r="K102" s="9">
        <f>[2]หน้าผ้า!N111</f>
        <v>3</v>
      </c>
      <c r="L102" s="9" t="str">
        <f>[2]หน้าผ้า!R111</f>
        <v>ไม่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 พร้อมระบุชื่อบริษัท รายการสินค้า จำนวนแต่ละแพ็ค</v>
      </c>
      <c r="T102" s="12">
        <f>[2]หน้าผ้า!X111</f>
        <v>45897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</v>
      </c>
      <c r="AA102" s="8">
        <f>[2]หน้าผ้า!AQ111</f>
        <v>5378.4500000000007</v>
      </c>
      <c r="AB102" s="8">
        <f>[2]หน้าผ้า!AR111</f>
        <v>0</v>
      </c>
      <c r="AC102" s="8">
        <f>[2]หน้าผ้า!AS111</f>
        <v>5378.4500000000007</v>
      </c>
      <c r="AD102" s="8">
        <f>[2]หน้าผ้า!AT111</f>
        <v>0</v>
      </c>
      <c r="AE102" s="8">
        <f>[2]หน้าผ้า!AU111</f>
        <v>0</v>
      </c>
      <c r="AF102" s="8" t="str">
        <f>[2]หน้าผ้า!AI111</f>
        <v>พระประแดง</v>
      </c>
      <c r="AG102" s="1" t="str">
        <f>[3]หน้าผ้า!DC114</f>
        <v>พร้อมส่ง</v>
      </c>
      <c r="AH102" s="1" t="str">
        <f>[2]หน้าผ้า!DL111</f>
        <v>P7</v>
      </c>
      <c r="AI102" s="1">
        <f>[2]หน้าผ้า!DM111</f>
        <v>2</v>
      </c>
      <c r="AJ102" s="3">
        <f>[2]หน้าผ้า!DN111</f>
        <v>45897</v>
      </c>
      <c r="AK102" s="3">
        <f>[2]หน้าผ้า!DQ111</f>
        <v>0</v>
      </c>
      <c r="AL102" s="3">
        <f>[2]หน้าผ้า!DR111</f>
        <v>45888</v>
      </c>
      <c r="AM102" s="3">
        <f>[2]หน้าผ้า!DS111</f>
        <v>45895</v>
      </c>
      <c r="AN102" s="3">
        <f>[2]หน้าผ้า!DT111</f>
        <v>45896</v>
      </c>
      <c r="AO102" s="3">
        <f>[2]หน้าผ้า!DU111</f>
        <v>45896</v>
      </c>
      <c r="AP102" s="3">
        <f>[2]หน้าผ้า!DP111</f>
        <v>45892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WRWT25800/WRWT25800</v>
      </c>
      <c r="BD102" s="56">
        <f>[2]หน้าผ้า!CA111</f>
        <v>411.15262222222225</v>
      </c>
    </row>
    <row r="103" spans="1:56" ht="27.75" customHeight="1" x14ac:dyDescent="0.45">
      <c r="A103" s="3" t="str">
        <f>[2]หน้าผ้า!C112</f>
        <v>ประมาณการ</v>
      </c>
      <c r="B103" s="14" t="str">
        <f>[2]หน้าผ้า!B112</f>
        <v>ประมาณการ</v>
      </c>
      <c r="C103" s="9" t="str">
        <f>[2]หน้าผ้า!E112</f>
        <v>บจก.อินเทคค์ โกลบอล</v>
      </c>
      <c r="D103" s="13" t="str">
        <f>[2]หน้าผ้า!F112</f>
        <v>รอแบบ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>
        <f>[2]หน้าผ้า!J112</f>
        <v>0</v>
      </c>
      <c r="I103" s="9">
        <f>[2]หน้าผ้า!L112</f>
        <v>78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จับจีบ4"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>
        <f>[2]หน้าผ้า!X112</f>
        <v>45868</v>
      </c>
      <c r="U103" s="11">
        <f>[2]หน้าผ้า!AA112</f>
        <v>55000</v>
      </c>
      <c r="V103" s="10">
        <f>[2]หน้าผ้า!AJ112</f>
        <v>0</v>
      </c>
      <c r="W103" s="10">
        <f>[2]หน้าผ้า!AL112</f>
        <v>55000</v>
      </c>
      <c r="X103" s="10">
        <f>[2]หน้าผ้า!AM112</f>
        <v>0</v>
      </c>
      <c r="Y103" s="10">
        <f>[2]หน้าผ้า!AN112</f>
        <v>57750</v>
      </c>
      <c r="Z103" s="9" t="str">
        <f>[2]หน้าผ้า!AO112</f>
        <v>WSWT2025800</v>
      </c>
      <c r="AA103" s="8">
        <f>[2]หน้าผ้า!AQ112</f>
        <v>57626.250000000007</v>
      </c>
      <c r="AB103" s="8">
        <f>[2]หน้าผ้า!AR112</f>
        <v>0</v>
      </c>
      <c r="AC103" s="8">
        <f>[2]หน้าผ้า!AS112</f>
        <v>57626.250000000007</v>
      </c>
      <c r="AD103" s="8">
        <f>[2]หน้าผ้า!AT112</f>
        <v>0</v>
      </c>
      <c r="AE103" s="8">
        <f>[2]หน้าผ้า!AU112</f>
        <v>0</v>
      </c>
      <c r="AF103" s="8" t="str">
        <f>[2]หน้าผ้า!AI112</f>
        <v>ห้ามขาด-ห้ามเกิน</v>
      </c>
      <c r="AG103" s="1" t="str">
        <f>[3]หน้าผ้า!DC115</f>
        <v>พร้อมส่ง</v>
      </c>
      <c r="AH103" s="1" t="str">
        <f>[2]หน้าผ้า!DL112</f>
        <v>P7</v>
      </c>
      <c r="AI103" s="1">
        <f>[2]หน้าผ้า!DM112</f>
        <v>2</v>
      </c>
      <c r="AJ103" s="3">
        <f>[2]หน้าผ้า!DN112</f>
        <v>45868</v>
      </c>
      <c r="AK103" s="3">
        <f>[2]หน้าผ้า!DQ112</f>
        <v>0</v>
      </c>
      <c r="AL103" s="3">
        <f>[2]หน้าผ้า!DR112</f>
        <v>45859</v>
      </c>
      <c r="AM103" s="3">
        <f>[2]หน้าผ้า!DS112</f>
        <v>45866</v>
      </c>
      <c r="AN103" s="3">
        <f>[2]หน้าผ้า!DT112</f>
        <v>45867</v>
      </c>
      <c r="AO103" s="3">
        <f>[2]หน้าผ้า!DU112</f>
        <v>45867</v>
      </c>
      <c r="AP103" s="3">
        <f>[2]หน้าผ้า!DP112</f>
        <v>45863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WRWT25800/WRWT25800</v>
      </c>
      <c r="BD103" s="56">
        <f>[2]หน้าผ้า!CA112</f>
        <v>4405.2066666666669</v>
      </c>
    </row>
    <row r="104" spans="1:56" ht="27.75" customHeight="1" x14ac:dyDescent="0.45">
      <c r="A104" s="3">
        <f>[2]หน้าผ้า!C113</f>
        <v>0</v>
      </c>
      <c r="B104" s="14">
        <f>[2]หน้าผ้า!B113</f>
        <v>0</v>
      </c>
      <c r="C104" s="9">
        <f>[2]หน้าผ้า!E113</f>
        <v>0</v>
      </c>
      <c r="D104" s="13">
        <f>[2]หน้าผ้า!F113</f>
        <v>0</v>
      </c>
      <c r="E104" s="9">
        <f>[2]หน้าผ้า!G113</f>
        <v>20</v>
      </c>
      <c r="F104" s="9">
        <f>[2]หน้าผ้า!H113</f>
        <v>37</v>
      </c>
      <c r="G104" s="9">
        <f>[2]หน้าผ้า!I113</f>
        <v>0</v>
      </c>
      <c r="H104" s="9">
        <f>[2]หน้าผ้า!J113</f>
        <v>0</v>
      </c>
      <c r="I104" s="9">
        <f>[2]หน้าผ้า!L113</f>
        <v>80</v>
      </c>
      <c r="J104" s="9" t="str">
        <f>[2]หน้าผ้า!M113</f>
        <v>±</v>
      </c>
      <c r="K104" s="9">
        <f>[2]หน้าผ้า!N113</f>
        <v>3</v>
      </c>
      <c r="L104" s="9">
        <f>[2]หน้าผ้า!R113</f>
        <v>0</v>
      </c>
      <c r="M104" s="10">
        <f>[2]หน้าผ้า!T113</f>
        <v>0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>
        <f>[2]หน้าผ้า!Z113</f>
        <v>0</v>
      </c>
      <c r="T104" s="12">
        <f>[2]หน้าผ้า!X113</f>
        <v>0</v>
      </c>
      <c r="U104" s="11">
        <f>[2]หน้าผ้า!AA113</f>
        <v>0</v>
      </c>
      <c r="V104" s="10">
        <f>[2]หน้าผ้า!AJ113</f>
        <v>0</v>
      </c>
      <c r="W104" s="10">
        <f>[2]หน้าผ้า!AL113</f>
        <v>0</v>
      </c>
      <c r="X104" s="10">
        <f>[2]หน้าผ้า!AM113</f>
        <v>0</v>
      </c>
      <c r="Y104" s="10">
        <f>[2]หน้าผ้า!AN113</f>
        <v>0</v>
      </c>
      <c r="Z104" s="9" t="str">
        <f>[2]หน้าผ้า!AO113</f>
        <v>WSWT2025800</v>
      </c>
      <c r="AA104" s="8">
        <f>[2]หน้าผ้า!AQ113</f>
        <v>313248.50323250011</v>
      </c>
      <c r="AB104" s="8">
        <f>[2]หน้าผ้า!AR113</f>
        <v>76716.989249999999</v>
      </c>
      <c r="AC104" s="8">
        <f>[2]หน้าผ้า!AS113</f>
        <v>236531.51398250004</v>
      </c>
      <c r="AD104" s="8">
        <f>[2]หน้าผ้า!AT113</f>
        <v>0</v>
      </c>
      <c r="AE104" s="8">
        <f>[2]หน้าผ้า!AU113</f>
        <v>0</v>
      </c>
      <c r="AF104" s="8" t="str">
        <f>[2]หน้าผ้า!AI113</f>
        <v>ระบุในSD</v>
      </c>
      <c r="AG104" s="1" t="str">
        <f>[3]หน้าผ้า!DC116</f>
        <v>พร้อมส่ง</v>
      </c>
      <c r="AH104" s="1">
        <f>[2]หน้าผ้า!DL113</f>
        <v>0</v>
      </c>
      <c r="AI104" s="1" t="str">
        <f>[2]หน้าผ้า!DM113</f>
        <v>Lead time</v>
      </c>
      <c r="AJ104" s="3">
        <f>[2]หน้าผ้า!DN113</f>
        <v>0</v>
      </c>
      <c r="AK104" s="3">
        <f>[2]หน้าผ้า!DQ113</f>
        <v>0</v>
      </c>
      <c r="AL104" s="3">
        <f>[2]หน้าผ้า!DR113</f>
        <v>0</v>
      </c>
      <c r="AM104" s="3">
        <f>[2]หน้าผ้า!DS113</f>
        <v>0</v>
      </c>
      <c r="AN104" s="3">
        <f>[2]หน้าผ้า!DT113</f>
        <v>0</v>
      </c>
      <c r="AO104" s="3">
        <f>[2]หน้าผ้า!DU113</f>
        <v>0</v>
      </c>
      <c r="AP104" s="3">
        <f>[2]หน้าผ้า!DP113</f>
        <v>0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>
        <f>[2]หน้าผ้า!EC113</f>
        <v>0</v>
      </c>
      <c r="AX104" s="2">
        <f>[2]หน้าผ้า!ED113</f>
        <v>0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WRWT25800/WRWT25800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0</v>
      </c>
      <c r="B105" s="14">
        <f>[2]หน้าผ้า!B114</f>
        <v>0</v>
      </c>
      <c r="C105" s="9">
        <f>[2]หน้าผ้า!E114</f>
        <v>0</v>
      </c>
      <c r="D105" s="13">
        <f>[2]หน้าผ้า!F114</f>
        <v>0</v>
      </c>
      <c r="E105" s="9">
        <f>[2]หน้าผ้า!G114</f>
        <v>20</v>
      </c>
      <c r="F105" s="9">
        <f>[2]หน้าผ้า!H114</f>
        <v>34</v>
      </c>
      <c r="G105" s="9">
        <f>[2]หน้าผ้า!I114</f>
        <v>0</v>
      </c>
      <c r="H105" s="9">
        <f>[2]หน้าผ้า!J114</f>
        <v>0</v>
      </c>
      <c r="I105" s="9">
        <f>[2]หน้าผ้า!L114</f>
        <v>98</v>
      </c>
      <c r="J105" s="9" t="str">
        <f>[2]หน้าผ้า!M114</f>
        <v>±</v>
      </c>
      <c r="K105" s="9">
        <f>[2]หน้าผ้า!N114</f>
        <v>5</v>
      </c>
      <c r="L105" s="9">
        <f>[2]หน้าผ้า!R114</f>
        <v>0</v>
      </c>
      <c r="M105" s="10">
        <f>[2]หน้าผ้า!T114</f>
        <v>0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>
        <f>[2]หน้าผ้า!Z114</f>
        <v>0</v>
      </c>
      <c r="T105" s="12">
        <f>[2]หน้าผ้า!X114</f>
        <v>0</v>
      </c>
      <c r="U105" s="11">
        <f>[2]หน้าผ้า!AA114</f>
        <v>0</v>
      </c>
      <c r="V105" s="10">
        <f>[2]หน้าผ้า!AJ114</f>
        <v>0</v>
      </c>
      <c r="W105" s="10">
        <f>[2]หน้าผ้า!AL114</f>
        <v>0</v>
      </c>
      <c r="X105" s="10">
        <f>[2]หน้าผ้า!AM114</f>
        <v>0</v>
      </c>
      <c r="Y105" s="10">
        <f>[2]หน้าผ้า!AN114</f>
        <v>0</v>
      </c>
      <c r="Z105" s="9" t="str">
        <f>[2]หน้าผ้า!AO114</f>
        <v>WSWT2021950UV</v>
      </c>
      <c r="AA105" s="8" t="e">
        <f>[2]หน้าผ้า!AQ114</f>
        <v>#REF!</v>
      </c>
      <c r="AB105" s="8" t="e">
        <f>[2]หน้าผ้า!AR114</f>
        <v>#REF!</v>
      </c>
      <c r="AC105" s="8" t="e">
        <f>[2]หน้าผ้า!AS114</f>
        <v>#REF!</v>
      </c>
      <c r="AD105" s="8" t="e">
        <f>[2]หน้าผ้า!AT114</f>
        <v>#REF!</v>
      </c>
      <c r="AE105" s="8" t="e">
        <f>[2]หน้าผ้า!AU114</f>
        <v>#REF!</v>
      </c>
      <c r="AF105" s="8" t="str">
        <f>[2]หน้าผ้า!AI114</f>
        <v>ระบุในSD</v>
      </c>
      <c r="AG105" s="1" t="str">
        <f>[3]หน้าผ้า!DC117</f>
        <v>พร้อมส่ง</v>
      </c>
      <c r="AH105" s="1">
        <f>[2]หน้าผ้า!DL114</f>
        <v>0</v>
      </c>
      <c r="AI105" s="1" t="str">
        <f>[2]หน้าผ้า!DM114</f>
        <v>Lead time</v>
      </c>
      <c r="AJ105" s="3">
        <f>[2]หน้าผ้า!DN114</f>
        <v>0</v>
      </c>
      <c r="AK105" s="3">
        <f>[2]หน้าผ้า!DQ114</f>
        <v>0</v>
      </c>
      <c r="AL105" s="3">
        <f>[2]หน้าผ้า!DR114</f>
        <v>0</v>
      </c>
      <c r="AM105" s="3">
        <f>[2]หน้าผ้า!DS114</f>
        <v>0</v>
      </c>
      <c r="AN105" s="3">
        <f>[2]หน้าผ้า!DT114</f>
        <v>0</v>
      </c>
      <c r="AO105" s="3">
        <f>[2]หน้าผ้า!DU114</f>
        <v>0</v>
      </c>
      <c r="AP105" s="3">
        <f>[2]หน้าผ้า!DP114</f>
        <v>0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>
        <f>[2]หน้าผ้า!EC114</f>
        <v>0</v>
      </c>
      <c r="AX105" s="2">
        <f>[2]หน้าผ้า!ED114</f>
        <v>0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WRWT200950/WRWT21950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0</v>
      </c>
      <c r="B106" s="14">
        <f>[2]หน้าผ้า!B115</f>
        <v>0</v>
      </c>
      <c r="C106" s="9">
        <f>[2]หน้าผ้า!E115</f>
        <v>0</v>
      </c>
      <c r="D106" s="13">
        <f>[2]หน้าผ้า!F115</f>
        <v>0</v>
      </c>
      <c r="E106" s="9">
        <f>[2]หน้าผ้า!G115</f>
        <v>20</v>
      </c>
      <c r="F106" s="9">
        <f>[2]หน้าผ้า!H115</f>
        <v>34</v>
      </c>
      <c r="G106" s="9">
        <f>[2]หน้าผ้า!I115</f>
        <v>0</v>
      </c>
      <c r="H106" s="9">
        <f>[2]หน้าผ้า!J115</f>
        <v>0</v>
      </c>
      <c r="I106" s="9">
        <f>[2]หน้าผ้า!L115</f>
        <v>95</v>
      </c>
      <c r="J106" s="9" t="str">
        <f>[2]หน้าผ้า!M115</f>
        <v>±</v>
      </c>
      <c r="K106" s="9">
        <f>[2]หน้าผ้า!N115</f>
        <v>5</v>
      </c>
      <c r="L106" s="9">
        <f>[2]หน้าผ้า!R115</f>
        <v>0</v>
      </c>
      <c r="M106" s="10">
        <f>[2]หน้าผ้า!T115</f>
        <v>0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>
        <f>[2]หน้าผ้า!Z115</f>
        <v>0</v>
      </c>
      <c r="T106" s="12">
        <f>[2]หน้าผ้า!X115</f>
        <v>0</v>
      </c>
      <c r="U106" s="11">
        <f>[2]หน้าผ้า!AA115</f>
        <v>0</v>
      </c>
      <c r="V106" s="10">
        <f>[2]หน้าผ้า!AJ115</f>
        <v>0</v>
      </c>
      <c r="W106" s="10">
        <f>[2]หน้าผ้า!AL115</f>
        <v>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WSWT2021900UV</v>
      </c>
      <c r="AA106" s="8" t="e">
        <f>[2]หน้าผ้า!AQ115</f>
        <v>#REF!</v>
      </c>
      <c r="AB106" s="8" t="e">
        <f>[2]หน้าผ้า!AR115</f>
        <v>#REF!</v>
      </c>
      <c r="AC106" s="8" t="e">
        <f>[2]หน้าผ้า!AS115</f>
        <v>#REF!</v>
      </c>
      <c r="AD106" s="8" t="e">
        <f>[2]หน้าผ้า!AT115</f>
        <v>#REF!</v>
      </c>
      <c r="AE106" s="8" t="e">
        <f>[2]หน้าผ้า!AU115</f>
        <v>#REF!</v>
      </c>
      <c r="AF106" s="8" t="str">
        <f>[2]หน้าผ้า!AI115</f>
        <v>ระบุในSD</v>
      </c>
      <c r="AG106" s="1" t="str">
        <f>[3]หน้าผ้า!DC118</f>
        <v>พร้อมส่ง</v>
      </c>
      <c r="AH106" s="1">
        <f>[2]หน้าผ้า!DL115</f>
        <v>0</v>
      </c>
      <c r="AI106" s="1" t="str">
        <f>[2]หน้าผ้า!DM115</f>
        <v>Lead time</v>
      </c>
      <c r="AJ106" s="3">
        <f>[2]หน้าผ้า!DN115</f>
        <v>0</v>
      </c>
      <c r="AK106" s="3">
        <f>[2]หน้าผ้า!DQ115</f>
        <v>0</v>
      </c>
      <c r="AL106" s="3">
        <f>[2]หน้าผ้า!DR115</f>
        <v>0</v>
      </c>
      <c r="AM106" s="3">
        <f>[2]หน้าผ้า!DS115</f>
        <v>0</v>
      </c>
      <c r="AN106" s="3">
        <f>[2]หน้าผ้า!DT115</f>
        <v>0</v>
      </c>
      <c r="AO106" s="3">
        <f>[2]หน้าผ้า!DU115</f>
        <v>0</v>
      </c>
      <c r="AP106" s="3">
        <f>[2]หน้าผ้า!DP115</f>
        <v>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>
        <f>[2]หน้าผ้า!EC115</f>
        <v>0</v>
      </c>
      <c r="AX106" s="2">
        <f>[2]หน้าผ้า!ED115</f>
        <v>0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WRWT200900/WRWT21900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0</v>
      </c>
      <c r="B107" s="14">
        <f>[2]หน้าผ้า!B116</f>
        <v>0</v>
      </c>
      <c r="C107" s="9">
        <f>[2]หน้าผ้า!E116</f>
        <v>0</v>
      </c>
      <c r="D107" s="13">
        <f>[2]หน้าผ้า!F116</f>
        <v>0</v>
      </c>
      <c r="E107" s="9">
        <f>[2]หน้าผ้า!G116</f>
        <v>20</v>
      </c>
      <c r="F107" s="9">
        <f>[2]หน้าผ้า!H116</f>
        <v>34</v>
      </c>
      <c r="G107" s="9">
        <f>[2]หน้าผ้า!I116</f>
        <v>0</v>
      </c>
      <c r="H107" s="9">
        <f>[2]หน้าผ้า!J116</f>
        <v>0</v>
      </c>
      <c r="I107" s="9">
        <f>[2]หน้าผ้า!L116</f>
        <v>80</v>
      </c>
      <c r="J107" s="9" t="str">
        <f>[2]หน้าผ้า!M116</f>
        <v>±</v>
      </c>
      <c r="K107" s="9">
        <f>[2]หน้าผ้า!N116</f>
        <v>5</v>
      </c>
      <c r="L107" s="9">
        <f>[2]หน้าผ้า!R116</f>
        <v>0</v>
      </c>
      <c r="M107" s="10">
        <f>[2]หน้าผ้า!T116</f>
        <v>0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>
        <f>[2]หน้าผ้า!Z116</f>
        <v>0</v>
      </c>
      <c r="T107" s="12">
        <f>[2]หน้าผ้า!X116</f>
        <v>0</v>
      </c>
      <c r="U107" s="11">
        <f>[2]หน้าผ้า!AA116</f>
        <v>0</v>
      </c>
      <c r="V107" s="10">
        <f>[2]หน้าผ้า!AJ116</f>
        <v>0</v>
      </c>
      <c r="W107" s="10">
        <f>[2]หน้าผ้า!AL116</f>
        <v>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WSWT2021750UV</v>
      </c>
      <c r="AA107" s="8" t="e">
        <f>[2]หน้าผ้า!AQ116</f>
        <v>#REF!</v>
      </c>
      <c r="AB107" s="8" t="e">
        <f>[2]หน้าผ้า!AR116</f>
        <v>#REF!</v>
      </c>
      <c r="AC107" s="8" t="e">
        <f>[2]หน้าผ้า!AS116</f>
        <v>#REF!</v>
      </c>
      <c r="AD107" s="8" t="e">
        <f>[2]หน้าผ้า!AT116</f>
        <v>#REF!</v>
      </c>
      <c r="AE107" s="8" t="e">
        <f>[2]หน้าผ้า!AU116</f>
        <v>#REF!</v>
      </c>
      <c r="AF107" s="8" t="str">
        <f>[2]หน้าผ้า!AI116</f>
        <v>ระบุในSD</v>
      </c>
      <c r="AG107" s="1" t="str">
        <f>[3]หน้าผ้า!DC119</f>
        <v>พร้อมส่ง</v>
      </c>
      <c r="AH107" s="1">
        <f>[2]หน้าผ้า!DL116</f>
        <v>0</v>
      </c>
      <c r="AI107" s="1" t="str">
        <f>[2]หน้าผ้า!DM116</f>
        <v>Lead time</v>
      </c>
      <c r="AJ107" s="3">
        <f>[2]หน้าผ้า!DN116</f>
        <v>0</v>
      </c>
      <c r="AK107" s="3">
        <f>[2]หน้าผ้า!DQ116</f>
        <v>0</v>
      </c>
      <c r="AL107" s="3">
        <f>[2]หน้าผ้า!DR116</f>
        <v>0</v>
      </c>
      <c r="AM107" s="3">
        <f>[2]หน้าผ้า!DS116</f>
        <v>0</v>
      </c>
      <c r="AN107" s="3">
        <f>[2]หน้าผ้า!DT116</f>
        <v>0</v>
      </c>
      <c r="AO107" s="3">
        <f>[2]หน้าผ้า!DU116</f>
        <v>0</v>
      </c>
      <c r="AP107" s="3">
        <f>[2]หน้าผ้า!DP116</f>
        <v>0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>
        <f>[2]หน้าผ้า!EC116</f>
        <v>0</v>
      </c>
      <c r="AX107" s="2">
        <f>[2]หน้าผ้า!ED116</f>
        <v>0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WRWT200750/WRWT21750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0</v>
      </c>
      <c r="B108" s="14">
        <f>[2]หน้าผ้า!B117</f>
        <v>0</v>
      </c>
      <c r="C108" s="9">
        <f>[2]หน้าผ้า!E117</f>
        <v>0</v>
      </c>
      <c r="D108" s="13">
        <f>[2]หน้าผ้า!F117</f>
        <v>0</v>
      </c>
      <c r="E108" s="9">
        <f>[2]หน้าผ้า!G117</f>
        <v>20</v>
      </c>
      <c r="F108" s="9">
        <f>[2]หน้าผ้า!H117</f>
        <v>34</v>
      </c>
      <c r="G108" s="9">
        <f>[2]หน้าผ้า!I117</f>
        <v>0</v>
      </c>
      <c r="H108" s="9">
        <f>[2]หน้าผ้า!J117</f>
        <v>0</v>
      </c>
      <c r="I108" s="9">
        <f>[2]หน้าผ้า!L117</f>
        <v>80</v>
      </c>
      <c r="J108" s="9" t="str">
        <f>[2]หน้าผ้า!M117</f>
        <v>±</v>
      </c>
      <c r="K108" s="9">
        <f>[2]หน้าผ้า!N117</f>
        <v>5</v>
      </c>
      <c r="L108" s="9">
        <f>[2]หน้าผ้า!R117</f>
        <v>0</v>
      </c>
      <c r="M108" s="10">
        <f>[2]หน้าผ้า!T117</f>
        <v>0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>
        <f>[2]หน้าผ้า!Z117</f>
        <v>0</v>
      </c>
      <c r="T108" s="12">
        <f>[2]หน้าผ้า!X117</f>
        <v>0</v>
      </c>
      <c r="U108" s="11">
        <f>[2]หน้าผ้า!AA117</f>
        <v>0</v>
      </c>
      <c r="V108" s="10">
        <f>[2]หน้าผ้า!AJ117</f>
        <v>0</v>
      </c>
      <c r="W108" s="10">
        <f>[2]หน้าผ้า!AL117</f>
        <v>0</v>
      </c>
      <c r="X108" s="10">
        <f>[2]หน้าผ้า!AM117</f>
        <v>0</v>
      </c>
      <c r="Y108" s="10">
        <f>[2]หน้าผ้า!AN117</f>
        <v>0</v>
      </c>
      <c r="Z108" s="9" t="str">
        <f>[2]หน้าผ้า!AO117</f>
        <v>WSWT2021800UV</v>
      </c>
      <c r="AA108" s="8" t="e">
        <f>[2]หน้าผ้า!AQ117</f>
        <v>#REF!</v>
      </c>
      <c r="AB108" s="8" t="e">
        <f>[2]หน้าผ้า!AR117</f>
        <v>#REF!</v>
      </c>
      <c r="AC108" s="8" t="e">
        <f>[2]หน้าผ้า!AS117</f>
        <v>#REF!</v>
      </c>
      <c r="AD108" s="8" t="e">
        <f>[2]หน้าผ้า!AT117</f>
        <v>#REF!</v>
      </c>
      <c r="AE108" s="8" t="e">
        <f>[2]หน้าผ้า!AU117</f>
        <v>#REF!</v>
      </c>
      <c r="AF108" s="8" t="str">
        <f>[2]หน้าผ้า!AI117</f>
        <v>ระบุในSD</v>
      </c>
      <c r="AG108" s="1" t="str">
        <f>[3]หน้าผ้า!DC120</f>
        <v>พร้อมส่ง</v>
      </c>
      <c r="AH108" s="1">
        <f>[2]หน้าผ้า!DL117</f>
        <v>0</v>
      </c>
      <c r="AI108" s="1" t="str">
        <f>[2]หน้าผ้า!DM117</f>
        <v>Lead time</v>
      </c>
      <c r="AJ108" s="3">
        <f>[2]หน้าผ้า!DN117</f>
        <v>0</v>
      </c>
      <c r="AK108" s="3">
        <f>[2]หน้าผ้า!DQ117</f>
        <v>0</v>
      </c>
      <c r="AL108" s="3">
        <f>[2]หน้าผ้า!DR117</f>
        <v>0</v>
      </c>
      <c r="AM108" s="3">
        <f>[2]หน้าผ้า!DS117</f>
        <v>0</v>
      </c>
      <c r="AN108" s="3">
        <f>[2]หน้าผ้า!DT117</f>
        <v>0</v>
      </c>
      <c r="AO108" s="3">
        <f>[2]หน้าผ้า!DU117</f>
        <v>0</v>
      </c>
      <c r="AP108" s="3">
        <f>[2]หน้าผ้า!DP117</f>
        <v>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>
        <f>[2]หน้าผ้า!EC117</f>
        <v>0</v>
      </c>
      <c r="AX108" s="2">
        <f>[2]หน้าผ้า!ED117</f>
        <v>0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WRWT200800/WRWT21800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0</v>
      </c>
      <c r="B109" s="14">
        <f>[2]หน้าผ้า!B118</f>
        <v>0</v>
      </c>
      <c r="C109" s="9">
        <f>[2]หน้าผ้า!E118</f>
        <v>0</v>
      </c>
      <c r="D109" s="13">
        <f>[2]หน้าผ้า!F118</f>
        <v>0</v>
      </c>
      <c r="E109" s="9">
        <f>[2]หน้าผ้า!G118</f>
        <v>20</v>
      </c>
      <c r="F109" s="9">
        <f>[2]หน้าผ้า!H118</f>
        <v>37</v>
      </c>
      <c r="G109" s="9" t="str">
        <f>[2]หน้าผ้า!I118</f>
        <v>ขาว</v>
      </c>
      <c r="H109" s="9">
        <f>[2]หน้าผ้า!J118</f>
        <v>0</v>
      </c>
      <c r="I109" s="9">
        <f>[2]หน้าผ้า!L118</f>
        <v>70</v>
      </c>
      <c r="J109" s="9" t="str">
        <f>[2]หน้าผ้า!M118</f>
        <v>±</v>
      </c>
      <c r="K109" s="9">
        <f>[2]หน้าผ้า!N118</f>
        <v>5</v>
      </c>
      <c r="L109" s="9">
        <f>[2]หน้าผ้า!R118</f>
        <v>0</v>
      </c>
      <c r="M109" s="10">
        <f>[2]หน้าผ้า!T118</f>
        <v>0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>
        <f>[2]หน้าผ้า!Z118</f>
        <v>0</v>
      </c>
      <c r="T109" s="12">
        <f>[2]หน้าผ้า!X118</f>
        <v>0</v>
      </c>
      <c r="U109" s="11">
        <f>[2]หน้าผ้า!AA118</f>
        <v>0</v>
      </c>
      <c r="V109" s="10">
        <f>[2]หน้าผ้า!AJ118</f>
        <v>0</v>
      </c>
      <c r="W109" s="10">
        <f>[2]หน้าผ้า!AL118</f>
        <v>0</v>
      </c>
      <c r="X109" s="10">
        <f>[2]หน้าผ้า!AM118</f>
        <v>0</v>
      </c>
      <c r="Y109" s="10">
        <f>[2]หน้าผ้า!AN118</f>
        <v>0</v>
      </c>
      <c r="Z109" s="9" t="str">
        <f>[2]หน้าผ้า!AO118</f>
        <v>WSWT2025700(1)</v>
      </c>
      <c r="AA109" s="8" t="e">
        <f>[2]หน้าผ้า!AQ118</f>
        <v>#REF!</v>
      </c>
      <c r="AB109" s="8" t="e">
        <f>[2]หน้าผ้า!AR118</f>
        <v>#REF!</v>
      </c>
      <c r="AC109" s="8" t="e">
        <f>[2]หน้าผ้า!AS118</f>
        <v>#REF!</v>
      </c>
      <c r="AD109" s="8" t="e">
        <f>[2]หน้าผ้า!AT118</f>
        <v>#REF!</v>
      </c>
      <c r="AE109" s="8" t="e">
        <f>[2]หน้าผ้า!AU118</f>
        <v>#REF!</v>
      </c>
      <c r="AF109" s="8" t="str">
        <f>[2]หน้าผ้า!AI118</f>
        <v>ระบุในSD</v>
      </c>
      <c r="AG109" s="1" t="str">
        <f>[3]หน้าผ้า!DC121</f>
        <v>พร้อมส่ง</v>
      </c>
      <c r="AH109" s="1">
        <f>[2]หน้าผ้า!DL118</f>
        <v>0</v>
      </c>
      <c r="AI109" s="1" t="str">
        <f>[2]หน้าผ้า!DM118</f>
        <v>Lead time</v>
      </c>
      <c r="AJ109" s="3">
        <f>[2]หน้าผ้า!DN118</f>
        <v>0</v>
      </c>
      <c r="AK109" s="3">
        <f>[2]หน้าผ้า!DQ118</f>
        <v>0</v>
      </c>
      <c r="AL109" s="3">
        <f>[2]หน้าผ้า!DR118</f>
        <v>0</v>
      </c>
      <c r="AM109" s="3">
        <f>[2]หน้าผ้า!DS118</f>
        <v>0</v>
      </c>
      <c r="AN109" s="3">
        <f>[2]หน้าผ้า!DT118</f>
        <v>0</v>
      </c>
      <c r="AO109" s="3">
        <f>[2]หน้าผ้า!DU118</f>
        <v>0</v>
      </c>
      <c r="AP109" s="3">
        <f>[2]หน้าผ้า!DP118</f>
        <v>0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>
        <f>[2]หน้าผ้า!EC118</f>
        <v>0</v>
      </c>
      <c r="AX109" s="2">
        <f>[2]หน้าผ้า!ED118</f>
        <v>0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WRWT200800/WRWT25650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0</v>
      </c>
      <c r="B110" s="14">
        <f>[2]หน้าผ้า!B119</f>
        <v>0</v>
      </c>
      <c r="C110" s="9">
        <f>[2]หน้าผ้า!E119</f>
        <v>0</v>
      </c>
      <c r="D110" s="13">
        <f>[2]หน้าผ้า!F119</f>
        <v>0</v>
      </c>
      <c r="E110" s="9">
        <f>[2]หน้าผ้า!G119</f>
        <v>20</v>
      </c>
      <c r="F110" s="9">
        <f>[2]หน้าผ้า!H119</f>
        <v>34</v>
      </c>
      <c r="G110" s="9">
        <f>[2]หน้าผ้า!I119</f>
        <v>0</v>
      </c>
      <c r="H110" s="9">
        <f>[2]หน้าผ้า!J119</f>
        <v>0</v>
      </c>
      <c r="I110" s="9">
        <f>[2]หน้าผ้า!L119</f>
        <v>85</v>
      </c>
      <c r="J110" s="9" t="str">
        <f>[2]หน้าผ้า!M119</f>
        <v>±</v>
      </c>
      <c r="K110" s="9">
        <f>[2]หน้าผ้า!N119</f>
        <v>5</v>
      </c>
      <c r="L110" s="9">
        <f>[2]หน้าผ้า!R119</f>
        <v>0</v>
      </c>
      <c r="M110" s="10">
        <f>[2]หน้าผ้า!T119</f>
        <v>0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>
        <f>[2]หน้าผ้า!Z119</f>
        <v>0</v>
      </c>
      <c r="T110" s="12">
        <f>[2]หน้าผ้า!X119</f>
        <v>0</v>
      </c>
      <c r="U110" s="11">
        <f>[2]หน้าผ้า!AA119</f>
        <v>0</v>
      </c>
      <c r="V110" s="10">
        <f>[2]หน้าผ้า!AJ119</f>
        <v>0</v>
      </c>
      <c r="W110" s="10">
        <f>[2]หน้าผ้า!AL119</f>
        <v>0</v>
      </c>
      <c r="X110" s="10">
        <f>[2]หน้าผ้า!AM119</f>
        <v>0</v>
      </c>
      <c r="Y110" s="10">
        <f>[2]หน้าผ้า!AN119</f>
        <v>0</v>
      </c>
      <c r="Z110" s="9" t="str">
        <f>[2]หน้าผ้า!AO119</f>
        <v>WSWT2021850UV</v>
      </c>
      <c r="AA110" s="8" t="e">
        <f>[2]หน้าผ้า!AQ119</f>
        <v>#REF!</v>
      </c>
      <c r="AB110" s="8" t="e">
        <f>[2]หน้าผ้า!AR119</f>
        <v>#REF!</v>
      </c>
      <c r="AC110" s="8" t="e">
        <f>[2]หน้าผ้า!AS119</f>
        <v>#REF!</v>
      </c>
      <c r="AD110" s="8" t="e">
        <f>[2]หน้าผ้า!AT119</f>
        <v>#REF!</v>
      </c>
      <c r="AE110" s="8" t="e">
        <f>[2]หน้าผ้า!AU119</f>
        <v>#REF!</v>
      </c>
      <c r="AF110" s="8" t="str">
        <f>[2]หน้าผ้า!AI119</f>
        <v>ระบุในSD</v>
      </c>
      <c r="AG110" s="1" t="str">
        <f>[3]หน้าผ้า!DC122</f>
        <v>ผ้าขาว</v>
      </c>
      <c r="AH110" s="1">
        <f>[2]หน้าผ้า!DL119</f>
        <v>0</v>
      </c>
      <c r="AI110" s="1">
        <f>[2]หน้าผ้า!DM119</f>
        <v>0</v>
      </c>
      <c r="AJ110" s="3">
        <f>[2]หน้าผ้า!DN119</f>
        <v>0</v>
      </c>
      <c r="AK110" s="3">
        <f>[2]หน้าผ้า!DQ119</f>
        <v>0</v>
      </c>
      <c r="AL110" s="3">
        <f>[2]หน้าผ้า!DR119</f>
        <v>0</v>
      </c>
      <c r="AM110" s="3">
        <f>[2]หน้าผ้า!DS119</f>
        <v>0</v>
      </c>
      <c r="AN110" s="3">
        <f>[2]หน้าผ้า!DT119</f>
        <v>0</v>
      </c>
      <c r="AO110" s="3">
        <f>[2]หน้าผ้า!DU119</f>
        <v>0</v>
      </c>
      <c r="AP110" s="3">
        <f>[2]หน้าผ้า!DP119</f>
        <v>0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>
        <f>[2]หน้าผ้า!EC119</f>
        <v>0</v>
      </c>
      <c r="AX110" s="2">
        <f>[2]หน้าผ้า!ED119</f>
        <v>0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WRWT200850/WRWT21850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0</v>
      </c>
      <c r="B111" s="14">
        <f>[2]หน้าผ้า!B120</f>
        <v>0</v>
      </c>
      <c r="C111" s="9">
        <f>[2]หน้าผ้า!E120</f>
        <v>0</v>
      </c>
      <c r="D111" s="13">
        <f>[2]หน้าผ้า!F120</f>
        <v>0</v>
      </c>
      <c r="E111" s="9">
        <f>[2]หน้าผ้า!G120</f>
        <v>20</v>
      </c>
      <c r="F111" s="9">
        <f>[2]หน้าผ้า!H120</f>
        <v>34</v>
      </c>
      <c r="G111" s="9">
        <f>[2]หน้าผ้า!I120</f>
        <v>0</v>
      </c>
      <c r="H111" s="9">
        <f>[2]หน้าผ้า!J120</f>
        <v>0</v>
      </c>
      <c r="I111" s="9">
        <f>[2]หน้าผ้า!L120</f>
        <v>80</v>
      </c>
      <c r="J111" s="9" t="str">
        <f>[2]หน้าผ้า!M120</f>
        <v>±</v>
      </c>
      <c r="K111" s="9">
        <f>[2]หน้าผ้า!N120</f>
        <v>5</v>
      </c>
      <c r="L111" s="9">
        <f>[2]หน้าผ้า!R120</f>
        <v>0</v>
      </c>
      <c r="M111" s="10">
        <f>[2]หน้าผ้า!T120</f>
        <v>0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>
        <f>[2]หน้าผ้า!Z120</f>
        <v>0</v>
      </c>
      <c r="T111" s="12">
        <f>[2]หน้าผ้า!X120</f>
        <v>0</v>
      </c>
      <c r="U111" s="11">
        <f>[2]หน้าผ้า!AA120</f>
        <v>0</v>
      </c>
      <c r="V111" s="10">
        <f>[2]หน้าผ้า!AJ120</f>
        <v>0</v>
      </c>
      <c r="W111" s="10">
        <f>[2]หน้าผ้า!AL120</f>
        <v>0</v>
      </c>
      <c r="X111" s="10">
        <f>[2]หน้าผ้า!AM120</f>
        <v>0</v>
      </c>
      <c r="Y111" s="10">
        <f>[2]หน้าผ้า!AN120</f>
        <v>0</v>
      </c>
      <c r="Z111" s="9" t="str">
        <f>[2]หน้าผ้า!AO120</f>
        <v>WSWT2021750UV</v>
      </c>
      <c r="AA111" s="8" t="e">
        <f>[2]หน้าผ้า!AQ120</f>
        <v>#REF!</v>
      </c>
      <c r="AB111" s="8" t="e">
        <f>[2]หน้าผ้า!AR120</f>
        <v>#REF!</v>
      </c>
      <c r="AC111" s="8" t="e">
        <f>[2]หน้าผ้า!AS120</f>
        <v>#REF!</v>
      </c>
      <c r="AD111" s="8" t="e">
        <f>[2]หน้าผ้า!AT120</f>
        <v>#REF!</v>
      </c>
      <c r="AE111" s="8" t="e">
        <f>[2]หน้าผ้า!AU120</f>
        <v>#REF!</v>
      </c>
      <c r="AF111" s="8" t="str">
        <f>[2]หน้าผ้า!AI120</f>
        <v>ระบุในSD</v>
      </c>
      <c r="AG111" s="1" t="str">
        <f>[3]หน้าผ้า!DC123</f>
        <v>ผ้าขาว</v>
      </c>
      <c r="AH111" s="1">
        <f>[2]หน้าผ้า!DL120</f>
        <v>0</v>
      </c>
      <c r="AI111" s="1">
        <f>[2]หน้าผ้า!DM120</f>
        <v>0</v>
      </c>
      <c r="AJ111" s="3">
        <f>[2]หน้าผ้า!DN120</f>
        <v>0</v>
      </c>
      <c r="AK111" s="3">
        <f>[2]หน้าผ้า!DQ120</f>
        <v>0</v>
      </c>
      <c r="AL111" s="3">
        <f>[2]หน้าผ้า!DR120</f>
        <v>0</v>
      </c>
      <c r="AM111" s="3">
        <f>[2]หน้าผ้า!DS120</f>
        <v>0</v>
      </c>
      <c r="AN111" s="3">
        <f>[2]หน้าผ้า!DT120</f>
        <v>0</v>
      </c>
      <c r="AO111" s="3">
        <f>[2]หน้าผ้า!DU120</f>
        <v>0</v>
      </c>
      <c r="AP111" s="3">
        <f>[2]หน้าผ้า!DP120</f>
        <v>0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>
        <f>[2]หน้าผ้า!EC120</f>
        <v>0</v>
      </c>
      <c r="AX111" s="2">
        <f>[2]หน้าผ้า!ED120</f>
        <v>0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WRWT200750/WRWT21750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0</v>
      </c>
      <c r="B112" s="14">
        <f>[2]หน้าผ้า!B121</f>
        <v>0</v>
      </c>
      <c r="C112" s="9">
        <f>[2]หน้าผ้า!E121</f>
        <v>0</v>
      </c>
      <c r="D112" s="13">
        <f>[2]หน้าผ้า!F121</f>
        <v>0</v>
      </c>
      <c r="E112" s="9">
        <f>[2]หน้าผ้า!G121</f>
        <v>21</v>
      </c>
      <c r="F112" s="9">
        <f>[2]หน้าผ้า!H121</f>
        <v>39</v>
      </c>
      <c r="G112" s="9">
        <f>[2]หน้าผ้า!I121</f>
        <v>0</v>
      </c>
      <c r="H112" s="9">
        <f>[2]หน้าผ้า!J121</f>
        <v>0</v>
      </c>
      <c r="I112" s="9">
        <f>[2]หน้าผ้า!L121</f>
        <v>78</v>
      </c>
      <c r="J112" s="9" t="str">
        <f>[2]หน้าผ้า!M121</f>
        <v>±</v>
      </c>
      <c r="K112" s="9">
        <f>[2]หน้าผ้า!N121</f>
        <v>3</v>
      </c>
      <c r="L112" s="9">
        <f>[2]หน้าผ้า!R121</f>
        <v>0</v>
      </c>
      <c r="M112" s="10">
        <f>[2]หน้าผ้า!T121</f>
        <v>0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>
        <f>[2]หน้าผ้า!Z121</f>
        <v>0</v>
      </c>
      <c r="T112" s="12">
        <f>[2]หน้าผ้า!X121</f>
        <v>0</v>
      </c>
      <c r="U112" s="11">
        <f>[2]หน้าผ้า!AA121</f>
        <v>0</v>
      </c>
      <c r="V112" s="10">
        <f>[2]หน้าผ้า!AJ121</f>
        <v>0</v>
      </c>
      <c r="W112" s="10">
        <f>[2]หน้าผ้า!AL121</f>
        <v>0</v>
      </c>
      <c r="X112" s="10">
        <f>[2]หน้าผ้า!AM121</f>
        <v>0</v>
      </c>
      <c r="Y112" s="10">
        <f>[2]หน้าผ้า!AN121</f>
        <v>0</v>
      </c>
      <c r="Z112" s="9" t="str">
        <f>[2]หน้าผ้า!AO121</f>
        <v>WSWT2125700</v>
      </c>
      <c r="AA112" s="8" t="e">
        <f>[2]หน้าผ้า!AQ121</f>
        <v>#REF!</v>
      </c>
      <c r="AB112" s="8" t="e">
        <f>[2]หน้าผ้า!AR121</f>
        <v>#REF!</v>
      </c>
      <c r="AC112" s="8" t="e">
        <f>[2]หน้าผ้า!AS121</f>
        <v>#REF!</v>
      </c>
      <c r="AD112" s="8" t="e">
        <f>[2]หน้าผ้า!AT121</f>
        <v>#REF!</v>
      </c>
      <c r="AE112" s="8" t="e">
        <f>[2]หน้าผ้า!AU121</f>
        <v>#REF!</v>
      </c>
      <c r="AF112" s="8" t="str">
        <f>[2]หน้าผ้า!AI121</f>
        <v>ระบุในSD</v>
      </c>
      <c r="AG112" s="1" t="str">
        <f>[3]หน้าผ้า!DC124</f>
        <v>ยังไม่ได้พิมพ์</v>
      </c>
      <c r="AH112" s="1">
        <f>[2]หน้าผ้า!DL121</f>
        <v>0</v>
      </c>
      <c r="AI112" s="1">
        <f>[2]หน้าผ้า!DM121</f>
        <v>0</v>
      </c>
      <c r="AJ112" s="3">
        <f>[2]หน้าผ้า!DN121</f>
        <v>0</v>
      </c>
      <c r="AK112" s="3">
        <f>[2]หน้าผ้า!DQ121</f>
        <v>0</v>
      </c>
      <c r="AL112" s="3">
        <f>[2]หน้าผ้า!DR121</f>
        <v>0</v>
      </c>
      <c r="AM112" s="3">
        <f>[2]หน้าผ้า!DS121</f>
        <v>0</v>
      </c>
      <c r="AN112" s="3">
        <f>[2]หน้าผ้า!DT121</f>
        <v>0</v>
      </c>
      <c r="AO112" s="3">
        <f>[2]หน้าผ้า!DU121</f>
        <v>0</v>
      </c>
      <c r="AP112" s="3">
        <f>[2]หน้าผ้า!DP121</f>
        <v>0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>
        <f>[2]หน้าผ้า!EC121</f>
        <v>0</v>
      </c>
      <c r="AX112" s="2">
        <f>[2]หน้าผ้า!ED121</f>
        <v>0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WRWT210800/WRWT25650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45841</v>
      </c>
      <c r="B113" s="14" t="str">
        <f>[2]หน้าผ้า!B122</f>
        <v>MK68-000860</v>
      </c>
      <c r="C113" s="9" t="str">
        <f>[2]หน้าผ้า!E122</f>
        <v>บจก.หนองบัวฟีดมิลล์</v>
      </c>
      <c r="D113" s="13" t="str">
        <f>[2]หน้าผ้า!F122</f>
        <v>ไม่พิมพ์</v>
      </c>
      <c r="E113" s="9">
        <f>[2]หน้าผ้า!G122</f>
        <v>21</v>
      </c>
      <c r="F113" s="9">
        <f>[2]หน้าผ้า!H122</f>
        <v>38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69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ไม่</v>
      </c>
      <c r="M113" s="10">
        <f>[2]หน้าผ้า!T122</f>
        <v>22</v>
      </c>
      <c r="N113" s="9">
        <f>[2]หน้าผ้า!U122</f>
        <v>41</v>
      </c>
      <c r="O113" s="9">
        <f>[2]หน้าผ้า!V122</f>
        <v>40</v>
      </c>
      <c r="P113" s="10">
        <f>[2]หน้าผ้า!AB122</f>
        <v>554.10389308031984</v>
      </c>
      <c r="Q113" s="10">
        <f>[2]หน้าผ้า!AC122</f>
        <v>0</v>
      </c>
      <c r="R113" s="10">
        <f>[2]หน้าผ้า!AD122</f>
        <v>554.10389308031984</v>
      </c>
      <c r="S113" s="9" t="str">
        <f>[2]หน้าผ้า!Z122</f>
        <v>500กระสอบ</v>
      </c>
      <c r="T113" s="12">
        <f>[2]หน้าผ้า!X122</f>
        <v>45852</v>
      </c>
      <c r="U113" s="11">
        <f>[2]หน้าผ้า!AA122</f>
        <v>25000</v>
      </c>
      <c r="V113" s="10">
        <f>[2]หน้าผ้า!AJ122</f>
        <v>100</v>
      </c>
      <c r="W113" s="10">
        <f>[2]หน้าผ้า!AL122</f>
        <v>24900</v>
      </c>
      <c r="X113" s="10">
        <f>[2]หน้าผ้า!AM122</f>
        <v>0</v>
      </c>
      <c r="Y113" s="10">
        <f>[2]หน้าผ้า!AN122</f>
        <v>0</v>
      </c>
      <c r="Z113" s="9" t="str">
        <f>[2]หน้าผ้า!AO122</f>
        <v>WSWT2125650</v>
      </c>
      <c r="AA113" s="8">
        <f>[2]หน้าผ้า!AQ122</f>
        <v>27480.386999999999</v>
      </c>
      <c r="AB113" s="8">
        <f>[2]หน้าผ้า!AR122</f>
        <v>8894</v>
      </c>
      <c r="AC113" s="8">
        <f>[2]หน้าผ้า!AS122</f>
        <v>18586.386999999999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P13</v>
      </c>
      <c r="AI113" s="1">
        <f>[2]หน้าผ้า!DM122</f>
        <v>2</v>
      </c>
      <c r="AJ113" s="3">
        <f>[2]หน้าผ้า!DN122</f>
        <v>45852</v>
      </c>
      <c r="AK113" s="3">
        <f>[2]หน้าผ้า!DQ122</f>
        <v>0</v>
      </c>
      <c r="AL113" s="3">
        <f>[2]หน้าผ้า!DR122</f>
        <v>0</v>
      </c>
      <c r="AM113" s="3">
        <f>[2]หน้าผ้า!DS122</f>
        <v>0</v>
      </c>
      <c r="AN113" s="3">
        <f>[2]หน้าผ้า!DT122</f>
        <v>0</v>
      </c>
      <c r="AO113" s="3">
        <f>[2]หน้าผ้า!DU122</f>
        <v>45850</v>
      </c>
      <c r="AP113" s="3">
        <f>[2]หน้าผ้า!DP122</f>
        <v>45847</v>
      </c>
      <c r="AQ113" s="3">
        <f>[2]หน้าผ้า!DW122</f>
        <v>45851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ตัด</v>
      </c>
      <c r="AX113" s="2">
        <f>[2]หน้าผ้า!ED122</f>
        <v>0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WRWT25650/WRWT25650</v>
      </c>
      <c r="BD113" s="56">
        <f>[2]หน้าผ้า!CA122</f>
        <v>1268.5209127499998</v>
      </c>
    </row>
    <row r="114" spans="1:56" ht="27.75" customHeight="1" x14ac:dyDescent="0.45">
      <c r="A114" s="3" t="str">
        <f>[2]หน้าผ้า!C123</f>
        <v>ประมาณการ</v>
      </c>
      <c r="B114" s="14" t="str">
        <f>[2]หน้าผ้า!B123</f>
        <v>ประมาณการ</v>
      </c>
      <c r="C114" s="9" t="str">
        <f>[2]หน้าผ้า!E123</f>
        <v>บจก.หนองบัวฟีดมิลล์</v>
      </c>
      <c r="D114" s="13" t="str">
        <f>[2]หน้าผ้า!F123</f>
        <v>ไม่พิมพ์</v>
      </c>
      <c r="E114" s="9">
        <f>[2]หน้าผ้า!G123</f>
        <v>21</v>
      </c>
      <c r="F114" s="9">
        <f>[2]หน้าผ้า!H123</f>
        <v>38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69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ไม่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</v>
      </c>
      <c r="T114" s="12">
        <f>[2]หน้าผ้า!X123</f>
        <v>45868</v>
      </c>
      <c r="U114" s="11">
        <f>[2]หน้าผ้า!AA123</f>
        <v>15000</v>
      </c>
      <c r="V114" s="10">
        <f>[2]หน้าผ้า!AJ123</f>
        <v>0</v>
      </c>
      <c r="W114" s="10">
        <f>[2]หน้าผ้า!AL123</f>
        <v>15000</v>
      </c>
      <c r="X114" s="10">
        <f>[2]หน้าผ้า!AM123</f>
        <v>0</v>
      </c>
      <c r="Y114" s="10">
        <f>[2]หน้าผ้า!AN123</f>
        <v>0</v>
      </c>
      <c r="Z114" s="9" t="str">
        <f>[2]หน้าผ้า!AO123</f>
        <v>WSWT2125650</v>
      </c>
      <c r="AA114" s="8">
        <f>[2]หน้าผ้า!AQ123</f>
        <v>16554.45</v>
      </c>
      <c r="AB114" s="8">
        <f>[2]หน้าผ้า!AR123</f>
        <v>0</v>
      </c>
      <c r="AC114" s="8">
        <f>[2]หน้าผ้า!AS123</f>
        <v>16554.45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P3</v>
      </c>
      <c r="AI114" s="1">
        <f>[2]หน้าผ้า!DM123</f>
        <v>1</v>
      </c>
      <c r="AJ114" s="3">
        <f>[2]หน้าผ้า!DN123</f>
        <v>45868</v>
      </c>
      <c r="AK114" s="3">
        <f>[2]หน้าผ้า!DQ123</f>
        <v>0</v>
      </c>
      <c r="AL114" s="3">
        <f>[2]หน้าผ้า!DR123</f>
        <v>0</v>
      </c>
      <c r="AM114" s="3">
        <f>[2]หน้าผ้า!DS123</f>
        <v>0</v>
      </c>
      <c r="AN114" s="3">
        <f>[2]หน้าผ้า!DT123</f>
        <v>0</v>
      </c>
      <c r="AO114" s="3">
        <f>[2]หน้าผ้า!DU123</f>
        <v>45867</v>
      </c>
      <c r="AP114" s="3">
        <f>[2]หน้าผ้า!DP123</f>
        <v>45863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ตัด</v>
      </c>
      <c r="AX114" s="2">
        <f>[2]หน้าผ้า!ED123</f>
        <v>0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WRWT25650/WRWT25650</v>
      </c>
      <c r="BD114" s="56">
        <f>[2]หน้าผ้า!CA123</f>
        <v>1129.8412125</v>
      </c>
    </row>
    <row r="115" spans="1:56" ht="27.75" customHeight="1" x14ac:dyDescent="0.45">
      <c r="A115" s="3">
        <f>[2]หน้าผ้า!C124</f>
        <v>45842</v>
      </c>
      <c r="B115" s="14" t="str">
        <f>[2]หน้าผ้า!B124</f>
        <v xml:space="preserve">MK68-000865 </v>
      </c>
      <c r="C115" s="9" t="str">
        <f>[2]หน้าผ้า!E124</f>
        <v>บจก.ไลม์มาสเตอร์</v>
      </c>
      <c r="D115" s="13" t="str">
        <f>[2]หน้าผ้า!F124</f>
        <v>LMC 20 kg</v>
      </c>
      <c r="E115" s="9">
        <f>[2]หน้าผ้า!G124</f>
        <v>21</v>
      </c>
      <c r="F115" s="9">
        <f>[2]หน้าผ้า!H124</f>
        <v>34</v>
      </c>
      <c r="G115" s="9" t="str">
        <f>[2]หน้าผ้า!I124</f>
        <v>ขาว</v>
      </c>
      <c r="H115" s="9">
        <f>[2]หน้าผ้า!J124</f>
        <v>0</v>
      </c>
      <c r="I115" s="9">
        <f>[2]หน้าผ้า!L124</f>
        <v>60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ไม่</v>
      </c>
      <c r="M115" s="10">
        <f>[2]หน้าผ้า!T124</f>
        <v>22</v>
      </c>
      <c r="N115" s="9">
        <f>[2]หน้าผ้า!U124</f>
        <v>36</v>
      </c>
      <c r="O115" s="9">
        <f>[2]หน้าผ้า!V124</f>
        <v>40</v>
      </c>
      <c r="P115" s="10">
        <f>[2]หน้าผ้า!AB124</f>
        <v>195.39367372799995</v>
      </c>
      <c r="Q115" s="10">
        <f>[2]หน้าผ้า!AC124</f>
        <v>0</v>
      </c>
      <c r="R115" s="10">
        <f>[2]หน้าผ้า!AD124</f>
        <v>195.39367372799995</v>
      </c>
      <c r="S115" s="9" t="str">
        <f>[2]หน้าผ้า!Z124</f>
        <v>500กระสอบ</v>
      </c>
      <c r="T115" s="12">
        <f>[2]หน้าผ้า!X124</f>
        <v>45852</v>
      </c>
      <c r="U115" s="11">
        <f>[2]หน้าผ้า!AA124</f>
        <v>10000</v>
      </c>
      <c r="V115" s="10">
        <f>[2]หน้าผ้า!AJ124</f>
        <v>0</v>
      </c>
      <c r="W115" s="10">
        <f>[2]หน้าผ้า!AL124</f>
        <v>10000</v>
      </c>
      <c r="X115" s="10">
        <f>[2]หน้าผ้า!AM124</f>
        <v>0</v>
      </c>
      <c r="Y115" s="10">
        <f>[2]หน้าผ้า!AN124</f>
        <v>10500</v>
      </c>
      <c r="Z115" s="9" t="str">
        <f>[2]หน้าผ้า!AO124</f>
        <v>WSWT2125650</v>
      </c>
      <c r="AA115" s="8">
        <f>[2]หน้าผ้า!AQ124</f>
        <v>9918.7000000000007</v>
      </c>
      <c r="AB115" s="8">
        <f>[2]หน้าผ้า!AR124</f>
        <v>9918.7000000000007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P9</v>
      </c>
      <c r="AI115" s="1">
        <f>[2]หน้าผ้า!DM124</f>
        <v>3</v>
      </c>
      <c r="AJ115" s="3">
        <f>[2]หน้าผ้า!DN124</f>
        <v>45852</v>
      </c>
      <c r="AK115" s="3">
        <f>[2]หน้าผ้า!DQ124</f>
        <v>0</v>
      </c>
      <c r="AL115" s="3">
        <f>[2]หน้าผ้า!DR124</f>
        <v>45842</v>
      </c>
      <c r="AM115" s="3">
        <f>[2]หน้าผ้า!DS124</f>
        <v>45849</v>
      </c>
      <c r="AN115" s="3">
        <f>[2]หน้าผ้า!DT124</f>
        <v>45850</v>
      </c>
      <c r="AO115" s="3">
        <f>[2]หน้าผ้า!DU124</f>
        <v>45850</v>
      </c>
      <c r="AP115" s="3">
        <f>[2]หน้าผ้า!DP124</f>
        <v>45847</v>
      </c>
      <c r="AQ115" s="3">
        <f>[2]หน้าผ้า!DW124</f>
        <v>45851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WRWT25650/WRWT25650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0</v>
      </c>
      <c r="B116" s="14">
        <f>[2]หน้าผ้า!B125</f>
        <v>0</v>
      </c>
      <c r="C116" s="9">
        <f>[2]หน้าผ้า!E125</f>
        <v>0</v>
      </c>
      <c r="D116" s="13">
        <f>[2]หน้าผ้า!F125</f>
        <v>0</v>
      </c>
      <c r="E116" s="9">
        <f>[2]หน้าผ้า!G125</f>
        <v>21</v>
      </c>
      <c r="F116" s="9">
        <f>[2]หน้าผ้า!H125</f>
        <v>37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67</v>
      </c>
      <c r="J116" s="9" t="str">
        <f>[2]หน้าผ้า!M125</f>
        <v>±</v>
      </c>
      <c r="K116" s="9">
        <f>[2]หน้าผ้า!N125</f>
        <v>5</v>
      </c>
      <c r="L116" s="9">
        <f>[2]หน้าผ้า!R125</f>
        <v>0</v>
      </c>
      <c r="M116" s="10">
        <f>[2]หน้าผ้า!T125</f>
        <v>0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>
        <f>[2]หน้าผ้า!Z125</f>
        <v>0</v>
      </c>
      <c r="T116" s="12">
        <f>[2]หน้าผ้า!X125</f>
        <v>0</v>
      </c>
      <c r="U116" s="11">
        <f>[2]หน้าผ้า!AA125</f>
        <v>0</v>
      </c>
      <c r="V116" s="10">
        <f>[2]หน้าผ้า!AJ125</f>
        <v>0</v>
      </c>
      <c r="W116" s="10">
        <f>[2]หน้าผ้า!AL125</f>
        <v>0</v>
      </c>
      <c r="X116" s="10">
        <f>[2]หน้าผ้า!AM125</f>
        <v>0</v>
      </c>
      <c r="Y116" s="10">
        <f>[2]หน้าผ้า!AN125</f>
        <v>0</v>
      </c>
      <c r="Z116" s="9" t="str">
        <f>[2]หน้าผ้า!AO125</f>
        <v>WSWT2125650</v>
      </c>
      <c r="AA116" s="8">
        <f>[2]หน้าผ้า!AQ125</f>
        <v>53953.536999999997</v>
      </c>
      <c r="AB116" s="8">
        <f>[2]หน้าผ้า!AR125</f>
        <v>18812.7</v>
      </c>
      <c r="AC116" s="8">
        <f>[2]หน้าผ้า!AS125</f>
        <v>35140.837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ระบุในSD</v>
      </c>
      <c r="AG116" s="1" t="str">
        <f>[3]หน้าผ้า!DC128</f>
        <v>พร้อมส่ง</v>
      </c>
      <c r="AH116" s="1">
        <f>[2]หน้าผ้า!DL125</f>
        <v>0</v>
      </c>
      <c r="AI116" s="1" t="str">
        <f>[2]หน้าผ้า!DM125</f>
        <v>Lead time</v>
      </c>
      <c r="AJ116" s="3">
        <f>[2]หน้าผ้า!DN125</f>
        <v>0</v>
      </c>
      <c r="AK116" s="3">
        <f>[2]หน้าผ้า!DQ125</f>
        <v>0</v>
      </c>
      <c r="AL116" s="3">
        <f>[2]หน้าผ้า!DR125</f>
        <v>0</v>
      </c>
      <c r="AM116" s="3">
        <f>[2]หน้าผ้า!DS125</f>
        <v>0</v>
      </c>
      <c r="AN116" s="3">
        <f>[2]หน้าผ้า!DT125</f>
        <v>0</v>
      </c>
      <c r="AO116" s="3">
        <f>[2]หน้าผ้า!DU125</f>
        <v>0</v>
      </c>
      <c r="AP116" s="3">
        <f>[2]หน้าผ้า!DP125</f>
        <v>0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>
        <f>[2]หน้าผ้า!EC125</f>
        <v>0</v>
      </c>
      <c r="AX116" s="2">
        <f>[2]หน้าผ้า!ED125</f>
        <v>0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WRWT25650/WRWT25650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0</v>
      </c>
      <c r="B117" s="14">
        <f>[2]หน้าผ้า!B126</f>
        <v>0</v>
      </c>
      <c r="C117" s="9">
        <f>[2]หน้าผ้า!E126</f>
        <v>0</v>
      </c>
      <c r="D117" s="13">
        <f>[2]หน้าผ้า!F126</f>
        <v>0</v>
      </c>
      <c r="E117" s="9">
        <f>[2]หน้าผ้า!G126</f>
        <v>21</v>
      </c>
      <c r="F117" s="9">
        <f>[2]หน้าผ้า!H126</f>
        <v>37</v>
      </c>
      <c r="G117" s="9" t="str">
        <f>[2]หน้าผ้า!I126</f>
        <v>ขาวแถบใส5</v>
      </c>
      <c r="H117" s="9">
        <f>[2]หน้าผ้า!J126</f>
        <v>0</v>
      </c>
      <c r="I117" s="9">
        <f>[2]หน้าผ้า!L126</f>
        <v>67</v>
      </c>
      <c r="J117" s="9" t="str">
        <f>[2]หน้าผ้า!M126</f>
        <v>±</v>
      </c>
      <c r="K117" s="9">
        <f>[2]หน้าผ้า!N126</f>
        <v>5</v>
      </c>
      <c r="L117" s="9">
        <f>[2]หน้าผ้า!R126</f>
        <v>0</v>
      </c>
      <c r="M117" s="10">
        <f>[2]หน้าผ้า!T126</f>
        <v>0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>
        <f>[2]หน้าผ้า!Z126</f>
        <v>0</v>
      </c>
      <c r="T117" s="12">
        <f>[2]หน้าผ้า!X126</f>
        <v>0</v>
      </c>
      <c r="U117" s="11">
        <f>[2]หน้าผ้า!AA126</f>
        <v>0</v>
      </c>
      <c r="V117" s="10">
        <f>[2]หน้าผ้า!AJ126</f>
        <v>0</v>
      </c>
      <c r="W117" s="10">
        <f>[2]หน้าผ้า!AL126</f>
        <v>0</v>
      </c>
      <c r="X117" s="10">
        <f>[2]หน้าผ้า!AM126</f>
        <v>0</v>
      </c>
      <c r="Y117" s="10">
        <f>[2]หน้าผ้า!AN126</f>
        <v>0</v>
      </c>
      <c r="Z117" s="9" t="str">
        <f>[2]หน้าผ้า!AO126</f>
        <v>WSWTSCL052125650</v>
      </c>
      <c r="AA117" s="8" t="e">
        <f>[2]หน้าผ้า!AQ126</f>
        <v>#REF!</v>
      </c>
      <c r="AB117" s="8" t="e">
        <f>[2]หน้าผ้า!AR126</f>
        <v>#REF!</v>
      </c>
      <c r="AC117" s="8" t="e">
        <f>[2]หน้าผ้า!AS126</f>
        <v>#REF!</v>
      </c>
      <c r="AD117" s="8" t="e">
        <f>[2]หน้าผ้า!AT126</f>
        <v>#REF!</v>
      </c>
      <c r="AE117" s="8" t="e">
        <f>[2]หน้าผ้า!AU126</f>
        <v>#REF!</v>
      </c>
      <c r="AF117" s="8" t="str">
        <f>[2]หน้าผ้า!AI126</f>
        <v>ระบุในSD</v>
      </c>
      <c r="AG117" s="1" t="str">
        <f>[3]หน้าผ้า!DC129</f>
        <v>พร้อมส่ง</v>
      </c>
      <c r="AH117" s="1">
        <f>[2]หน้าผ้า!DL126</f>
        <v>0</v>
      </c>
      <c r="AI117" s="1" t="str">
        <f>[2]หน้าผ้า!DM126</f>
        <v>Lead time</v>
      </c>
      <c r="AJ117" s="3">
        <f>[2]หน้าผ้า!DN126</f>
        <v>0</v>
      </c>
      <c r="AK117" s="3">
        <f>[2]หน้าผ้า!DQ126</f>
        <v>0</v>
      </c>
      <c r="AL117" s="3">
        <f>[2]หน้าผ้า!DR126</f>
        <v>0</v>
      </c>
      <c r="AM117" s="3">
        <f>[2]หน้าผ้า!DS126</f>
        <v>0</v>
      </c>
      <c r="AN117" s="3">
        <f>[2]หน้าผ้า!DT126</f>
        <v>0</v>
      </c>
      <c r="AO117" s="3">
        <f>[2]หน้าผ้า!DU126</f>
        <v>0</v>
      </c>
      <c r="AP117" s="3">
        <f>[2]หน้าผ้า!DP126</f>
        <v>0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>
        <f>[2]หน้าผ้า!EC126</f>
        <v>0</v>
      </c>
      <c r="AX117" s="2">
        <f>[2]หน้าผ้า!ED126</f>
        <v>0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WRWT25650/WRCL25680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45841</v>
      </c>
      <c r="B118" s="14" t="str">
        <f>[2]หน้าผ้า!B127</f>
        <v>MK68-000859</v>
      </c>
      <c r="C118" s="9" t="str">
        <f>[2]หน้าผ้า!E127</f>
        <v>ร้านสมคิดพันธุ์ข้าว</v>
      </c>
      <c r="D118" s="13" t="str">
        <f>[2]หน้าผ้า!F127</f>
        <v>ทองทั้งทุ่ง</v>
      </c>
      <c r="E118" s="9">
        <f>[2]หน้าผ้า!G127</f>
        <v>21</v>
      </c>
      <c r="F118" s="9">
        <f>[2]หน้าผ้า!H127</f>
        <v>34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76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</v>
      </c>
      <c r="T118" s="12">
        <f>[2]หน้าผ้า!X127</f>
        <v>45847</v>
      </c>
      <c r="U118" s="11">
        <f>[2]หน้าผ้า!AA127</f>
        <v>6000</v>
      </c>
      <c r="V118" s="10">
        <f>[2]หน้าผ้า!AJ127</f>
        <v>0</v>
      </c>
      <c r="W118" s="10">
        <f>[2]หน้าผ้า!AL127</f>
        <v>6000</v>
      </c>
      <c r="X118" s="10">
        <f>[2]หน้าผ้า!AM127</f>
        <v>0</v>
      </c>
      <c r="Y118" s="10">
        <f>[2]หน้าผ้า!AN127</f>
        <v>6300</v>
      </c>
      <c r="Z118" s="9" t="str">
        <f>[2]หน้าผ้า!AO127</f>
        <v>WSWT2125800</v>
      </c>
      <c r="AA118" s="8">
        <f>[2]หน้าผ้า!AQ127</f>
        <v>5951.22</v>
      </c>
      <c r="AB118" s="8">
        <f>[2]หน้าผ้า!AR127</f>
        <v>5951.22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รอตัด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45847</v>
      </c>
      <c r="AK118" s="3">
        <f>[2]หน้าผ้า!DQ127</f>
        <v>0</v>
      </c>
      <c r="AL118" s="3">
        <f>[2]หน้าผ้า!DR127</f>
        <v>45838</v>
      </c>
      <c r="AM118" s="3">
        <f>[2]หน้าผ้า!DS127</f>
        <v>45845</v>
      </c>
      <c r="AN118" s="3">
        <f>[2]หน้าผ้า!DT127</f>
        <v>45846</v>
      </c>
      <c r="AO118" s="3">
        <f>[2]หน้าผ้า!DU127</f>
        <v>45846</v>
      </c>
      <c r="AP118" s="3">
        <f>[2]หน้าผ้า!DP127</f>
        <v>45842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0</v>
      </c>
      <c r="B119" s="14">
        <f>[2]หน้าผ้า!B128</f>
        <v>0</v>
      </c>
      <c r="C119" s="9">
        <f>[2]หน้าผ้า!E128</f>
        <v>0</v>
      </c>
      <c r="D119" s="13">
        <f>[2]หน้าผ้า!F128</f>
        <v>0</v>
      </c>
      <c r="E119" s="9">
        <f>[2]หน้าผ้า!G128</f>
        <v>21</v>
      </c>
      <c r="F119" s="9">
        <f>[2]หน้าผ้า!H128</f>
        <v>37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83</v>
      </c>
      <c r="J119" s="9" t="str">
        <f>[2]หน้าผ้า!M128</f>
        <v>±</v>
      </c>
      <c r="K119" s="9">
        <f>[2]หน้าผ้า!N128</f>
        <v>5</v>
      </c>
      <c r="L119" s="9">
        <f>[2]หน้าผ้า!R128</f>
        <v>0</v>
      </c>
      <c r="M119" s="10">
        <f>[2]หน้าผ้า!T128</f>
        <v>0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>
        <f>[2]หน้าผ้า!Z128</f>
        <v>0</v>
      </c>
      <c r="T119" s="12">
        <f>[2]หน้าผ้า!X128</f>
        <v>0</v>
      </c>
      <c r="U119" s="11">
        <f>[2]หน้าผ้า!AA128</f>
        <v>0</v>
      </c>
      <c r="V119" s="10">
        <f>[2]หน้าผ้า!AJ128</f>
        <v>0</v>
      </c>
      <c r="W119" s="10">
        <f>[2]หน้าผ้า!AL128</f>
        <v>0</v>
      </c>
      <c r="X119" s="10">
        <f>[2]หน้าผ้า!AM128</f>
        <v>0</v>
      </c>
      <c r="Y119" s="10">
        <f>[2]หน้าผ้า!AN128</f>
        <v>0</v>
      </c>
      <c r="Z119" s="9" t="str">
        <f>[2]หน้าผ้า!AO128</f>
        <v>WSWT2125800</v>
      </c>
      <c r="AA119" s="8">
        <f>[2]หน้าผ้า!AQ128</f>
        <v>5951.22</v>
      </c>
      <c r="AB119" s="8">
        <f>[2]หน้าผ้า!AR128</f>
        <v>5951.22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ระบุในSD</v>
      </c>
      <c r="AG119" s="1" t="str">
        <f>[3]หน้าผ้า!DC131</f>
        <v>พร้อมส่ง</v>
      </c>
      <c r="AH119" s="1">
        <f>[2]หน้าผ้า!DL128</f>
        <v>0</v>
      </c>
      <c r="AI119" s="1">
        <f>[2]หน้าผ้า!DM128</f>
        <v>0</v>
      </c>
      <c r="AJ119" s="3">
        <f>[2]หน้าผ้า!DN128</f>
        <v>0</v>
      </c>
      <c r="AK119" s="3">
        <f>[2]หน้าผ้า!DQ128</f>
        <v>0</v>
      </c>
      <c r="AL119" s="3">
        <f>[2]หน้าผ้า!DR128</f>
        <v>0</v>
      </c>
      <c r="AM119" s="3">
        <f>[2]หน้าผ้า!DS128</f>
        <v>0</v>
      </c>
      <c r="AN119" s="3">
        <f>[2]หน้าผ้า!DT128</f>
        <v>0</v>
      </c>
      <c r="AO119" s="3">
        <f>[2]หน้าผ้า!DU128</f>
        <v>0</v>
      </c>
      <c r="AP119" s="3">
        <f>[2]หน้าผ้า!DP128</f>
        <v>0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>
        <f>[2]หน้าผ้า!EC128</f>
        <v>0</v>
      </c>
      <c r="AX119" s="2">
        <f>[2]หน้าผ้า!ED128</f>
        <v>0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WRWT210800/WRWT25800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45839</v>
      </c>
      <c r="B120" s="14" t="str">
        <f>[2]หน้าผ้า!B129</f>
        <v>MK68-000850</v>
      </c>
      <c r="C120" s="9" t="str">
        <f>[2]หน้าผ้า!E129</f>
        <v>บจก.เอพีเอ็ม อะโกร</v>
      </c>
      <c r="D120" s="13" t="str">
        <f>[2]หน้าผ้า!F129</f>
        <v>โมโม่ 402</v>
      </c>
      <c r="E120" s="9">
        <f>[2]หน้าผ้า!G129</f>
        <v>21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จับจีบ</v>
      </c>
      <c r="M120" s="10">
        <f>[2]หน้าผ้า!T129</f>
        <v>22</v>
      </c>
      <c r="N120" s="9">
        <f>[2]หน้าผ้า!U129</f>
        <v>40</v>
      </c>
      <c r="O120" s="9">
        <f>[2]หน้าผ้า!V129</f>
        <v>40</v>
      </c>
      <c r="P120" s="10">
        <f>[2]หน้าผ้า!AB129</f>
        <v>0.260524898304</v>
      </c>
      <c r="Q120" s="10">
        <f>[2]หน้าผ้า!AC129</f>
        <v>0</v>
      </c>
      <c r="R120" s="10">
        <f>[2]หน้าผ้า!AD129</f>
        <v>0.260524898304</v>
      </c>
      <c r="S120" s="9" t="str">
        <f>[2]หน้าผ้า!Z129</f>
        <v>500กระสอบแบน</v>
      </c>
      <c r="T120" s="12">
        <f>[2]หน้าผ้า!X129</f>
        <v>45845</v>
      </c>
      <c r="U120" s="11">
        <f>[2]หน้าผ้า!AA129</f>
        <v>5000</v>
      </c>
      <c r="V120" s="10">
        <f>[2]หน้าผ้า!AJ129</f>
        <v>4988</v>
      </c>
      <c r="W120" s="10">
        <f>[2]หน้าผ้า!AL129</f>
        <v>12</v>
      </c>
      <c r="X120" s="10">
        <f>[2]หน้าผ้า!AM129</f>
        <v>5400</v>
      </c>
      <c r="Y120" s="10">
        <f>[2]หน้าผ้า!AN129</f>
        <v>0</v>
      </c>
      <c r="Z120" s="9" t="str">
        <f>[2]หน้าผ้า!AO129</f>
        <v>WSWT2121670SM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P8</v>
      </c>
      <c r="AI120" s="1">
        <f>[2]หน้าผ้า!DM129</f>
        <v>4</v>
      </c>
      <c r="AJ120" s="3">
        <f>[2]หน้าผ้า!DN129</f>
        <v>45845</v>
      </c>
      <c r="AK120" s="3">
        <f>[2]หน้าผ้า!DQ129</f>
        <v>45841</v>
      </c>
      <c r="AL120" s="3">
        <f>[2]หน้าผ้า!DR129</f>
        <v>45835</v>
      </c>
      <c r="AM120" s="3">
        <f>[2]หน้าผ้า!DS129</f>
        <v>45842</v>
      </c>
      <c r="AN120" s="3">
        <f>[2]หน้าผ้า!DT129</f>
        <v>45843</v>
      </c>
      <c r="AO120" s="3">
        <f>[2]หน้าผ้า!DU129</f>
        <v>45843</v>
      </c>
      <c r="AP120" s="3">
        <f>[2]หน้าผ้า!DP129</f>
        <v>45840</v>
      </c>
      <c r="AQ120" s="3">
        <f>[2]หน้าผ้า!DW129</f>
        <v>45844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WRWT21670/WRWT21670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45826</v>
      </c>
      <c r="B121" s="14" t="str">
        <f>[2]หน้าผ้า!B130</f>
        <v>MK68-000805</v>
      </c>
      <c r="C121" s="9" t="str">
        <f>[2]หน้าผ้า!E130</f>
        <v>บจก.เอพีเอ็ม อะโกร</v>
      </c>
      <c r="D121" s="13" t="str">
        <f>[2]หน้าผ้า!F130</f>
        <v>ฟีล กู๊ด 801</v>
      </c>
      <c r="E121" s="9">
        <f>[2]หน้าผ้า!G130</f>
        <v>21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102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>
        <f>[2]หน้าผ้า!T130</f>
        <v>22</v>
      </c>
      <c r="N121" s="9">
        <f>[2]หน้าผ้า!U130</f>
        <v>40</v>
      </c>
      <c r="O121" s="9">
        <f>[2]หน้าผ้า!V130</f>
        <v>40</v>
      </c>
      <c r="P121" s="10">
        <f>[2]หน้าผ้า!AB130</f>
        <v>57.250346402303983</v>
      </c>
      <c r="Q121" s="10">
        <f>[2]หน้าผ้า!AC130</f>
        <v>0</v>
      </c>
      <c r="R121" s="10">
        <f>[2]หน้าผ้า!AD130</f>
        <v>57.250346402303983</v>
      </c>
      <c r="S121" s="9" t="str">
        <f>[2]หน้าผ้า!Z130</f>
        <v>500กระสอบแบน</v>
      </c>
      <c r="T121" s="12">
        <f>[2]หน้าผ้า!X130</f>
        <v>45845</v>
      </c>
      <c r="U121" s="11">
        <f>[2]หน้าผ้า!AA130</f>
        <v>3000</v>
      </c>
      <c r="V121" s="10">
        <f>[2]หน้าผ้า!AJ130</f>
        <v>363</v>
      </c>
      <c r="W121" s="10">
        <f>[2]หน้าผ้า!AL130</f>
        <v>2637</v>
      </c>
      <c r="X121" s="10">
        <f>[2]หน้าผ้า!AM130</f>
        <v>3500</v>
      </c>
      <c r="Y121" s="10">
        <f>[2]หน้าผ้า!AN130</f>
        <v>0</v>
      </c>
      <c r="Z121" s="9" t="str">
        <f>[2]หน้าผ้า!AO130</f>
        <v>WSWT2121670SM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P8</v>
      </c>
      <c r="AI121" s="1">
        <f>[2]หน้าผ้า!DM130</f>
        <v>4</v>
      </c>
      <c r="AJ121" s="3">
        <f>[2]หน้าผ้า!DN130</f>
        <v>45845</v>
      </c>
      <c r="AK121" s="3">
        <f>[2]หน้าผ้า!DQ130</f>
        <v>45841</v>
      </c>
      <c r="AL121" s="3">
        <f>[2]หน้าผ้า!DR130</f>
        <v>45835</v>
      </c>
      <c r="AM121" s="3">
        <f>[2]หน้าผ้า!DS130</f>
        <v>45842</v>
      </c>
      <c r="AN121" s="3">
        <f>[2]หน้าผ้า!DT130</f>
        <v>45843</v>
      </c>
      <c r="AO121" s="3">
        <f>[2]หน้าผ้า!DU130</f>
        <v>45843</v>
      </c>
      <c r="AP121" s="3">
        <f>[2]หน้าผ้า!DP130</f>
        <v>45840</v>
      </c>
      <c r="AQ121" s="3">
        <f>[2]หน้าผ้า!DW130</f>
        <v>45844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 t="str">
        <f>[2]หน้าผ้า!AG130</f>
        <v>18/7---7/7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WRWT21670/WRWT21670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45826</v>
      </c>
      <c r="B122" s="14" t="str">
        <f>[2]หน้าผ้า!B131</f>
        <v>MK68-000804</v>
      </c>
      <c r="C122" s="9" t="str">
        <f>[2]หน้าผ้า!E131</f>
        <v>บจก.เอพีเอ็ม อะโกร</v>
      </c>
      <c r="D122" s="13" t="str">
        <f>[2]หน้าผ้า!F131</f>
        <v>ฟีล กู๊ด 802</v>
      </c>
      <c r="E122" s="9">
        <f>[2]หน้าผ้า!G131</f>
        <v>21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102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>
        <f>[2]หน้าผ้า!T131</f>
        <v>22</v>
      </c>
      <c r="N122" s="9">
        <f>[2]หน้าผ้า!U131</f>
        <v>40</v>
      </c>
      <c r="O122" s="9">
        <f>[2]หน้าผ้า!V131</f>
        <v>40</v>
      </c>
      <c r="P122" s="10">
        <f>[2]หน้าผ้า!AB131</f>
        <v>11.506516341759998</v>
      </c>
      <c r="Q122" s="10">
        <f>[2]หน้าผ้า!AC131</f>
        <v>0</v>
      </c>
      <c r="R122" s="10">
        <f>[2]หน้าผ้า!AD131</f>
        <v>11.506516341759998</v>
      </c>
      <c r="S122" s="9" t="str">
        <f>[2]หน้าผ้า!Z131</f>
        <v>500กระสอบแบน</v>
      </c>
      <c r="T122" s="12">
        <f>[2]หน้าผ้า!X131</f>
        <v>45847</v>
      </c>
      <c r="U122" s="11">
        <f>[2]หน้าผ้า!AA131</f>
        <v>1000</v>
      </c>
      <c r="V122" s="10">
        <f>[2]หน้าผ้า!AJ131</f>
        <v>470</v>
      </c>
      <c r="W122" s="10">
        <f>[2]หน้าผ้า!AL131</f>
        <v>530</v>
      </c>
      <c r="X122" s="10">
        <f>[2]หน้าผ้า!AM131</f>
        <v>8250</v>
      </c>
      <c r="Y122" s="10">
        <f>[2]หน้าผ้า!AN131</f>
        <v>0</v>
      </c>
      <c r="Z122" s="9" t="str">
        <f>[2]หน้าผ้า!AO131</f>
        <v>WSWT2121670SM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P8</v>
      </c>
      <c r="AI122" s="1">
        <f>[2]หน้าผ้า!DM131</f>
        <v>4</v>
      </c>
      <c r="AJ122" s="3">
        <f>[2]หน้าผ้า!DN131</f>
        <v>45847</v>
      </c>
      <c r="AK122" s="3">
        <f>[2]หน้าผ้า!DQ131</f>
        <v>45843</v>
      </c>
      <c r="AL122" s="3">
        <f>[2]หน้าผ้า!DR131</f>
        <v>45837</v>
      </c>
      <c r="AM122" s="3">
        <f>[2]หน้าผ้า!DS131</f>
        <v>45844</v>
      </c>
      <c r="AN122" s="3">
        <f>[2]หน้าผ้า!DT131</f>
        <v>45845</v>
      </c>
      <c r="AO122" s="3">
        <f>[2]หน้าผ้า!DU131</f>
        <v>45845</v>
      </c>
      <c r="AP122" s="3">
        <f>[2]หน้าผ้า!DP131</f>
        <v>45842</v>
      </c>
      <c r="AQ122" s="3">
        <f>[2]หน้าผ้า!DW131</f>
        <v>45846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WRWT21670/WRWT21670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45833</v>
      </c>
      <c r="B123" s="14" t="str">
        <f>[2]หน้าผ้า!B132</f>
        <v>MK68-000833</v>
      </c>
      <c r="C123" s="9" t="str">
        <f>[2]หน้าผ้า!E132</f>
        <v>บจก.หนองบัวฟีดมิลล์</v>
      </c>
      <c r="D123" s="13" t="str">
        <f>[2]หน้าผ้า!F132</f>
        <v>ยูนิคอร์นฟิช202</v>
      </c>
      <c r="E123" s="9">
        <f>[2]หน้าผ้า!G132</f>
        <v>21</v>
      </c>
      <c r="F123" s="9">
        <f>[2]หน้าผ้า!H132</f>
        <v>37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>
        <f>[2]หน้าผ้า!T132</f>
        <v>22</v>
      </c>
      <c r="N123" s="9">
        <f>[2]หน้าผ้า!U132</f>
        <v>40</v>
      </c>
      <c r="O123" s="9">
        <f>[2]หน้าผ้า!V132</f>
        <v>40</v>
      </c>
      <c r="P123" s="10">
        <f>[2]หน้าผ้า!AB132</f>
        <v>217.10408191999997</v>
      </c>
      <c r="Q123" s="10">
        <f>[2]หน้าผ้า!AC132</f>
        <v>0</v>
      </c>
      <c r="R123" s="10">
        <f>[2]หน้าผ้า!AD132</f>
        <v>217.10408191999997</v>
      </c>
      <c r="S123" s="9" t="str">
        <f>[2]หน้าผ้า!Z132</f>
        <v>500กระสอบ</v>
      </c>
      <c r="T123" s="12">
        <f>[2]หน้าผ้า!X132</f>
        <v>45850</v>
      </c>
      <c r="U123" s="11">
        <f>[2]หน้าผ้า!AA132</f>
        <v>10000</v>
      </c>
      <c r="V123" s="10">
        <f>[2]หน้าผ้า!AJ132</f>
        <v>0</v>
      </c>
      <c r="W123" s="10">
        <f>[2]หน้าผ้า!AL132</f>
        <v>10000</v>
      </c>
      <c r="X123" s="10">
        <f>[2]หน้าผ้า!AM132</f>
        <v>0</v>
      </c>
      <c r="Y123" s="10">
        <f>[2]หน้าผ้า!AN132</f>
        <v>10500</v>
      </c>
      <c r="Z123" s="9" t="str">
        <f>[2]หน้าผ้า!AO132</f>
        <v>WSWT2121670SM</v>
      </c>
      <c r="AA123" s="8">
        <f>[2]หน้าผ้า!AQ132</f>
        <v>10756.900000000001</v>
      </c>
      <c r="AB123" s="8">
        <f>[2]หน้าผ้า!AR132</f>
        <v>10756.900000000001</v>
      </c>
      <c r="AC123" s="8">
        <f>[2]หน้าผ้า!AS132</f>
        <v>0</v>
      </c>
      <c r="AD123" s="8">
        <f>[2]หน้าผ้า!AT132</f>
        <v>10756.900000000001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รอแบบ</v>
      </c>
      <c r="AH123" s="1" t="str">
        <f>[2]หน้าผ้า!DL132</f>
        <v>P8</v>
      </c>
      <c r="AI123" s="1">
        <f>[2]หน้าผ้า!DM132</f>
        <v>4</v>
      </c>
      <c r="AJ123" s="3">
        <f>[2]หน้าผ้า!DN132</f>
        <v>45850</v>
      </c>
      <c r="AK123" s="3">
        <f>[2]หน้าผ้า!DQ132</f>
        <v>45846</v>
      </c>
      <c r="AL123" s="3">
        <f>[2]หน้าผ้า!DR132</f>
        <v>45840</v>
      </c>
      <c r="AM123" s="3">
        <f>[2]หน้าผ้า!DS132</f>
        <v>45847</v>
      </c>
      <c r="AN123" s="3">
        <f>[2]หน้าผ้า!DT132</f>
        <v>45848</v>
      </c>
      <c r="AO123" s="3">
        <f>[2]หน้าผ้า!DU132</f>
        <v>45848</v>
      </c>
      <c r="AP123" s="3">
        <f>[2]หน้าผ้า!DP132</f>
        <v>45845</v>
      </c>
      <c r="AQ123" s="3">
        <f>[2]หน้าผ้า!DW132</f>
        <v>45849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WRWT21670/WRWT21670</v>
      </c>
      <c r="BD123" s="56">
        <f>[2]หน้าผ้า!CA132</f>
        <v>0</v>
      </c>
    </row>
    <row r="124" spans="1:56" ht="27.75" customHeight="1" x14ac:dyDescent="0.45">
      <c r="A124" s="3">
        <f>[2]หน้าผ้า!C133</f>
        <v>45841</v>
      </c>
      <c r="B124" s="14" t="str">
        <f>[2]หน้าผ้า!B133</f>
        <v>MK68-000856</v>
      </c>
      <c r="C124" s="9" t="str">
        <f>[2]หน้าผ้า!E133</f>
        <v>บจก.บลูฟาโล่</v>
      </c>
      <c r="D124" s="13" t="str">
        <f>[2]หน้าผ้า!F133</f>
        <v>เมอร์รี่ 882M</v>
      </c>
      <c r="E124" s="9">
        <f>[2]หน้าผ้า!G133</f>
        <v>21</v>
      </c>
      <c r="F124" s="9">
        <f>[2]หน้าผ้า!H133</f>
        <v>37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97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>
        <f>[2]หน้าผ้า!T133</f>
        <v>22</v>
      </c>
      <c r="N124" s="9">
        <f>[2]หน้าผ้า!U133</f>
        <v>40</v>
      </c>
      <c r="O124" s="9">
        <f>[2]หน้าผ้า!V133</f>
        <v>40</v>
      </c>
      <c r="P124" s="10">
        <f>[2]หน้าผ้า!AB133</f>
        <v>108.55204095999999</v>
      </c>
      <c r="Q124" s="10">
        <f>[2]หน้าผ้า!AC133</f>
        <v>0</v>
      </c>
      <c r="R124" s="10">
        <f>[2]หน้าผ้า!AD133</f>
        <v>108.55204095999999</v>
      </c>
      <c r="S124" s="9" t="str">
        <f>[2]หน้าผ้า!Z133</f>
        <v>500กระสอบ</v>
      </c>
      <c r="T124" s="12">
        <f>[2]หน้าผ้า!X133</f>
        <v>45850</v>
      </c>
      <c r="U124" s="11">
        <f>[2]หน้าผ้า!AA133</f>
        <v>5000</v>
      </c>
      <c r="V124" s="10">
        <f>[2]หน้าผ้า!AJ133</f>
        <v>0</v>
      </c>
      <c r="W124" s="10">
        <f>[2]หน้าผ้า!AL133</f>
        <v>5000</v>
      </c>
      <c r="X124" s="10">
        <f>[2]หน้าผ้า!AM133</f>
        <v>0</v>
      </c>
      <c r="Y124" s="10">
        <f>[2]หน้าผ้า!AN133</f>
        <v>5250</v>
      </c>
      <c r="Z124" s="9" t="str">
        <f>[2]หน้าผ้า!AO133</f>
        <v>WSWT2121670SM</v>
      </c>
      <c r="AA124" s="8">
        <f>[2]หน้าผ้า!AQ133</f>
        <v>5378.4500000000007</v>
      </c>
      <c r="AB124" s="8">
        <f>[2]หน้าผ้า!AR133</f>
        <v>5378.4500000000007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5378.4500000000007</v>
      </c>
      <c r="AF124" s="8">
        <f>[2]หน้าผ้า!AI133</f>
        <v>0</v>
      </c>
      <c r="AG124" s="1" t="str">
        <f>[3]หน้าผ้า!DC136</f>
        <v>รอแบบ</v>
      </c>
      <c r="AH124" s="1" t="str">
        <f>[2]หน้าผ้า!DL133</f>
        <v>P8</v>
      </c>
      <c r="AI124" s="1">
        <f>[2]หน้าผ้า!DM133</f>
        <v>4</v>
      </c>
      <c r="AJ124" s="3">
        <f>[2]หน้าผ้า!DN133</f>
        <v>45850</v>
      </c>
      <c r="AK124" s="3">
        <f>[2]หน้าผ้า!DQ133</f>
        <v>45846</v>
      </c>
      <c r="AL124" s="3">
        <f>[2]หน้าผ้า!DR133</f>
        <v>45840</v>
      </c>
      <c r="AM124" s="3">
        <f>[2]หน้าผ้า!DS133</f>
        <v>45847</v>
      </c>
      <c r="AN124" s="3">
        <f>[2]หน้าผ้า!DT133</f>
        <v>45848</v>
      </c>
      <c r="AO124" s="3">
        <f>[2]หน้าผ้า!DU133</f>
        <v>45848</v>
      </c>
      <c r="AP124" s="3">
        <f>[2]หน้าผ้า!DP133</f>
        <v>45845</v>
      </c>
      <c r="AQ124" s="3">
        <f>[2]หน้าผ้า!DW133</f>
        <v>45849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WRWT21670/WRWT21670</v>
      </c>
      <c r="BD124" s="56">
        <f>[2]หน้าผ้า!CA133</f>
        <v>0</v>
      </c>
    </row>
    <row r="125" spans="1:56" ht="27.75" customHeight="1" x14ac:dyDescent="0.45">
      <c r="A125" s="3">
        <f>[2]หน้าผ้า!C134</f>
        <v>45841</v>
      </c>
      <c r="B125" s="14" t="str">
        <f>[2]หน้าผ้า!B134</f>
        <v>MK68-000856</v>
      </c>
      <c r="C125" s="9" t="str">
        <f>[2]หน้าผ้า!E134</f>
        <v>บจก.บลูฟาโล่</v>
      </c>
      <c r="D125" s="13" t="str">
        <f>[2]หน้าผ้า!F134</f>
        <v>เมอร์รี่ 882L</v>
      </c>
      <c r="E125" s="9">
        <f>[2]หน้าผ้า!G134</f>
        <v>21</v>
      </c>
      <c r="F125" s="9">
        <f>[2]หน้าผ้า!H134</f>
        <v>37</v>
      </c>
      <c r="G125" s="9" t="str">
        <f>[2]หน้าผ้า!I134</f>
        <v>ขาว</v>
      </c>
      <c r="H125" s="9" t="str">
        <f>[2]หน้าผ้า!J134</f>
        <v>ใส</v>
      </c>
      <c r="I125" s="9">
        <f>[2]หน้าผ้า!L134</f>
        <v>97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>
        <f>[2]หน้าผ้า!T134</f>
        <v>22</v>
      </c>
      <c r="N125" s="9">
        <f>[2]หน้าผ้า!U134</f>
        <v>40</v>
      </c>
      <c r="O125" s="9">
        <f>[2]หน้าผ้า!V134</f>
        <v>40</v>
      </c>
      <c r="P125" s="10">
        <f>[2]หน้าผ้า!AB134</f>
        <v>108.55204095999999</v>
      </c>
      <c r="Q125" s="10">
        <f>[2]หน้าผ้า!AC134</f>
        <v>0</v>
      </c>
      <c r="R125" s="10">
        <f>[2]หน้าผ้า!AD134</f>
        <v>108.55204095999999</v>
      </c>
      <c r="S125" s="9" t="str">
        <f>[2]หน้าผ้า!Z134</f>
        <v>500กระสอบ</v>
      </c>
      <c r="T125" s="12">
        <f>[2]หน้าผ้า!X134</f>
        <v>45850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0</v>
      </c>
      <c r="Y125" s="10">
        <f>[2]หน้าผ้า!AN134</f>
        <v>5250</v>
      </c>
      <c r="Z125" s="9" t="str">
        <f>[2]หน้าผ้า!AO134</f>
        <v>WSWT2121670SM</v>
      </c>
      <c r="AA125" s="8">
        <f>[2]หน้าผ้า!AQ134</f>
        <v>5378.4500000000007</v>
      </c>
      <c r="AB125" s="8">
        <f>[2]หน้าผ้า!AR134</f>
        <v>5378.4500000000007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5378.4500000000007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P8</v>
      </c>
      <c r="AI125" s="1">
        <f>[2]หน้าผ้า!DM134</f>
        <v>4</v>
      </c>
      <c r="AJ125" s="3">
        <f>[2]หน้าผ้า!DN134</f>
        <v>45850</v>
      </c>
      <c r="AK125" s="3">
        <f>[2]หน้าผ้า!DQ134</f>
        <v>45846</v>
      </c>
      <c r="AL125" s="3">
        <f>[2]หน้าผ้า!DR134</f>
        <v>45840</v>
      </c>
      <c r="AM125" s="3">
        <f>[2]หน้าผ้า!DS134</f>
        <v>45847</v>
      </c>
      <c r="AN125" s="3">
        <f>[2]หน้าผ้า!DT134</f>
        <v>45848</v>
      </c>
      <c r="AO125" s="3">
        <f>[2]หน้าผ้า!DU134</f>
        <v>45848</v>
      </c>
      <c r="AP125" s="3">
        <f>[2]หน้าผ้า!DP134</f>
        <v>45845</v>
      </c>
      <c r="AQ125" s="3">
        <f>[2]หน้าผ้า!DW134</f>
        <v>45849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WRWT21670/WRWT21670</v>
      </c>
      <c r="BD125" s="56">
        <f>[2]หน้าผ้า!CA134</f>
        <v>0</v>
      </c>
    </row>
    <row r="126" spans="1:56" ht="27.75" customHeight="1" x14ac:dyDescent="0.45">
      <c r="A126" s="3" t="str">
        <f>[2]หน้าผ้า!C135</f>
        <v>ประมาณการ</v>
      </c>
      <c r="B126" s="14" t="str">
        <f>[2]หน้าผ้า!B135</f>
        <v>ประมาณการ</v>
      </c>
      <c r="C126" s="9" t="str">
        <f>[2]หน้าผ้า!E135</f>
        <v>บจก.แอมโก้เวท</v>
      </c>
      <c r="D126" s="13" t="str">
        <f>[2]หน้าผ้า!F135</f>
        <v>รอแบบ</v>
      </c>
      <c r="E126" s="9">
        <f>[2]หน้าผ้า!G135</f>
        <v>21</v>
      </c>
      <c r="F126" s="9">
        <f>[2]หน้าผ้า!H135</f>
        <v>37</v>
      </c>
      <c r="G126" s="9" t="str">
        <f>[2]หน้าผ้า!I135</f>
        <v>ขาว</v>
      </c>
      <c r="H126" s="9" t="str">
        <f>[2]หน้าผ้า!J135</f>
        <v>ใส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</v>
      </c>
      <c r="T126" s="12">
        <f>[2]หน้าผ้า!X135</f>
        <v>45868</v>
      </c>
      <c r="U126" s="11">
        <f>[2]หน้าผ้า!AA135</f>
        <v>300000</v>
      </c>
      <c r="V126" s="10">
        <f>[2]หน้าผ้า!AJ135</f>
        <v>0</v>
      </c>
      <c r="W126" s="10">
        <f>[2]หน้าผ้า!AL135</f>
        <v>300000</v>
      </c>
      <c r="X126" s="10">
        <f>[2]หน้าผ้า!AM135</f>
        <v>0</v>
      </c>
      <c r="Y126" s="10">
        <f>[2]หน้าผ้า!AN135</f>
        <v>315000</v>
      </c>
      <c r="Z126" s="9" t="str">
        <f>[2]หน้าผ้า!AO135</f>
        <v>WSWT2121670SM</v>
      </c>
      <c r="AA126" s="8">
        <f>[2]หน้าผ้า!AQ135</f>
        <v>322707</v>
      </c>
      <c r="AB126" s="8">
        <f>[2]หน้าผ้า!AR135</f>
        <v>48000</v>
      </c>
      <c r="AC126" s="8">
        <f>[2]หน้าผ้า!AS135</f>
        <v>274707</v>
      </c>
      <c r="AD126" s="8">
        <f>[2]หน้าผ้า!AT135</f>
        <v>0</v>
      </c>
      <c r="AE126" s="8">
        <f>[2]หน้าผ้า!AU135</f>
        <v>322707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P8</v>
      </c>
      <c r="AI126" s="1">
        <f>[2]หน้าผ้า!DM135</f>
        <v>4</v>
      </c>
      <c r="AJ126" s="3">
        <f>[2]หน้าผ้า!DN135</f>
        <v>45868</v>
      </c>
      <c r="AK126" s="3">
        <f>[2]หน้าผ้า!DQ135</f>
        <v>45864</v>
      </c>
      <c r="AL126" s="3">
        <f>[2]หน้าผ้า!DR135</f>
        <v>45858</v>
      </c>
      <c r="AM126" s="3">
        <f>[2]หน้าผ้า!DS135</f>
        <v>45865</v>
      </c>
      <c r="AN126" s="3">
        <f>[2]หน้าผ้า!DT135</f>
        <v>45866</v>
      </c>
      <c r="AO126" s="3">
        <f>[2]หน้าผ้า!DU135</f>
        <v>45866</v>
      </c>
      <c r="AP126" s="3">
        <f>[2]หน้าผ้า!DP135</f>
        <v>45863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>รอART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WRWT21670/WRWT21670</v>
      </c>
      <c r="BD126" s="56">
        <f>[2]หน้าผ้า!CA135</f>
        <v>19755.096059999996</v>
      </c>
    </row>
    <row r="127" spans="1:56" ht="27.75" customHeight="1" x14ac:dyDescent="0.45">
      <c r="A127" s="3" t="str">
        <f>[2]หน้าผ้า!C136</f>
        <v>ประมาณการ</v>
      </c>
      <c r="B127" s="14" t="str">
        <f>[2]หน้าผ้า!B136</f>
        <v>ประมาณการ</v>
      </c>
      <c r="C127" s="9" t="str">
        <f>[2]หน้าผ้า!E136</f>
        <v>บจก.เอ็นบี</v>
      </c>
      <c r="D127" s="13" t="str">
        <f>[2]หน้าผ้า!F136</f>
        <v>รอแบบ</v>
      </c>
      <c r="E127" s="9">
        <f>[2]หน้าผ้า!G136</f>
        <v>21</v>
      </c>
      <c r="F127" s="9">
        <f>[2]หน้าผ้า!H136</f>
        <v>37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>
        <f>[2]หน้าผ้า!T136</f>
        <v>22</v>
      </c>
      <c r="N127" s="9">
        <f>[2]หน้าผ้า!U136</f>
        <v>40</v>
      </c>
      <c r="O127" s="9">
        <f>[2]หน้าผ้า!V136</f>
        <v>40</v>
      </c>
      <c r="P127" s="10">
        <f>[2]หน้าผ้า!AB136</f>
        <v>434.20816383999994</v>
      </c>
      <c r="Q127" s="10">
        <f>[2]หน้าผ้า!AC136</f>
        <v>0</v>
      </c>
      <c r="R127" s="10">
        <f>[2]หน้าผ้า!AD136</f>
        <v>434.20816383999994</v>
      </c>
      <c r="S127" s="9" t="str">
        <f>[2]หน้าผ้า!Z136</f>
        <v>500กระสอบ</v>
      </c>
      <c r="T127" s="12">
        <f>[2]หน้าผ้า!X136</f>
        <v>45868</v>
      </c>
      <c r="U127" s="11">
        <f>[2]หน้าผ้า!AA136</f>
        <v>20000</v>
      </c>
      <c r="V127" s="10">
        <f>[2]หน้าผ้า!AJ136</f>
        <v>0</v>
      </c>
      <c r="W127" s="10">
        <f>[2]หน้าผ้า!AL136</f>
        <v>20000</v>
      </c>
      <c r="X127" s="10">
        <f>[2]หน้าผ้า!AM136</f>
        <v>0</v>
      </c>
      <c r="Y127" s="10">
        <f>[2]หน้าผ้า!AN136</f>
        <v>21000</v>
      </c>
      <c r="Z127" s="9" t="str">
        <f>[2]หน้าผ้า!AO136</f>
        <v>WSWT2121670SM</v>
      </c>
      <c r="AA127" s="8">
        <f>[2]หน้าผ้า!AQ136</f>
        <v>21513.800000000003</v>
      </c>
      <c r="AB127" s="8">
        <f>[2]หน้าผ้า!AR136</f>
        <v>0</v>
      </c>
      <c r="AC127" s="8">
        <f>[2]หน้าผ้า!AS136</f>
        <v>21513.800000000003</v>
      </c>
      <c r="AD127" s="8">
        <f>[2]หน้าผ้า!AT136</f>
        <v>0</v>
      </c>
      <c r="AE127" s="8">
        <f>[2]หน้าผ้า!AU136</f>
        <v>21513.800000000003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P8</v>
      </c>
      <c r="AI127" s="1">
        <f>[2]หน้าผ้า!DM136</f>
        <v>4</v>
      </c>
      <c r="AJ127" s="3">
        <f>[2]หน้าผ้า!DN136</f>
        <v>45868</v>
      </c>
      <c r="AK127" s="3">
        <f>[2]หน้าผ้า!DQ136</f>
        <v>45864</v>
      </c>
      <c r="AL127" s="3">
        <f>[2]หน้าผ้า!DR136</f>
        <v>45858</v>
      </c>
      <c r="AM127" s="3">
        <f>[2]หน้าผ้า!DS136</f>
        <v>45865</v>
      </c>
      <c r="AN127" s="3">
        <f>[2]หน้าผ้า!DT136</f>
        <v>45866</v>
      </c>
      <c r="AO127" s="3">
        <f>[2]หน้าผ้า!DU136</f>
        <v>45866</v>
      </c>
      <c r="AP127" s="3">
        <f>[2]หน้าผ้า!DP136</f>
        <v>45863</v>
      </c>
      <c r="AQ127" s="3">
        <f>[2]หน้าผ้า!DW136</f>
        <v>45867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>รอART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WRWT21670/WRWT21670</v>
      </c>
      <c r="BD127" s="56">
        <f>[2]หน้าผ้า!CA136</f>
        <v>1547.1290706666666</v>
      </c>
    </row>
    <row r="128" spans="1:56" ht="27.75" customHeight="1" x14ac:dyDescent="0.45">
      <c r="A128" s="3" t="str">
        <f>[2]หน้าผ้า!C137</f>
        <v>ประมาณการ</v>
      </c>
      <c r="B128" s="14" t="str">
        <f>[2]หน้าผ้า!B137</f>
        <v>ประมาณการ</v>
      </c>
      <c r="C128" s="9" t="str">
        <f>[2]หน้าผ้า!E137</f>
        <v>บจก.ที.ซี.ยูเนี่ยน อโกรเทค</v>
      </c>
      <c r="D128" s="13" t="str">
        <f>[2]หน้าผ้า!F137</f>
        <v>Zhejiang UN</v>
      </c>
      <c r="E128" s="9">
        <f>[2]หน้าผ้า!G137</f>
        <v>21</v>
      </c>
      <c r="F128" s="9">
        <f>[2]หน้าผ้า!H137</f>
        <v>37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>
        <f>[2]หน้าผ้า!X137</f>
        <v>45868</v>
      </c>
      <c r="U128" s="11">
        <f>[2]หน้าผ้า!AA137</f>
        <v>10000</v>
      </c>
      <c r="V128" s="10">
        <f>[2]หน้าผ้า!AJ137</f>
        <v>0</v>
      </c>
      <c r="W128" s="10">
        <f>[2]หน้าผ้า!AL137</f>
        <v>10000</v>
      </c>
      <c r="X128" s="10">
        <f>[2]หน้าผ้า!AM137</f>
        <v>0</v>
      </c>
      <c r="Y128" s="10">
        <f>[2]หน้าผ้า!AN137</f>
        <v>10500</v>
      </c>
      <c r="Z128" s="9" t="str">
        <f>[2]หน้าผ้า!AO137</f>
        <v>WSWT2121670SM</v>
      </c>
      <c r="AA128" s="8">
        <f>[2]หน้าผ้า!AQ137</f>
        <v>10756.900000000001</v>
      </c>
      <c r="AB128" s="8">
        <f>[2]หน้าผ้า!AR137</f>
        <v>10756.900000000001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10756.900000000001</v>
      </c>
      <c r="AF128" s="8">
        <f>[2]หน้าผ้า!AI137</f>
        <v>0</v>
      </c>
      <c r="AG128" s="1" t="str">
        <f>[3]หน้าผ้า!DC140</f>
        <v>ยังไม่ได้พิมพ์</v>
      </c>
      <c r="AH128" s="1" t="str">
        <f>[2]หน้าผ้า!DL137</f>
        <v>P8</v>
      </c>
      <c r="AI128" s="1">
        <f>[2]หน้าผ้า!DM137</f>
        <v>4</v>
      </c>
      <c r="AJ128" s="3">
        <f>[2]หน้าผ้า!DN137</f>
        <v>45868</v>
      </c>
      <c r="AK128" s="3">
        <f>[2]หน้าผ้า!DQ137</f>
        <v>45864</v>
      </c>
      <c r="AL128" s="3">
        <f>[2]หน้าผ้า!DR137</f>
        <v>45858</v>
      </c>
      <c r="AM128" s="3">
        <f>[2]หน้าผ้า!DS137</f>
        <v>45865</v>
      </c>
      <c r="AN128" s="3">
        <f>[2]หน้าผ้า!DT137</f>
        <v>45866</v>
      </c>
      <c r="AO128" s="3">
        <f>[2]หน้าผ้า!DU137</f>
        <v>45866</v>
      </c>
      <c r="AP128" s="3">
        <f>[2]หน้าผ้า!DP137</f>
        <v>45863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WRWT21670/WRWT21670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45826</v>
      </c>
      <c r="B129" s="14" t="str">
        <f>[2]หน้าผ้า!B138</f>
        <v>MK68-000804</v>
      </c>
      <c r="C129" s="9" t="str">
        <f>[2]หน้าผ้า!E138</f>
        <v>บจก.เอพีเอ็ม อะโกร</v>
      </c>
      <c r="D129" s="13" t="str">
        <f>[2]หน้าผ้า!F138</f>
        <v>ฟีล กู๊ด 802</v>
      </c>
      <c r="E129" s="9">
        <f>[2]หน้าผ้า!G138</f>
        <v>21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ใส</v>
      </c>
      <c r="I129" s="9">
        <f>[2]หน้าผ้า!L138</f>
        <v>102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>
        <f>[2]หน้าผ้า!T138</f>
        <v>22</v>
      </c>
      <c r="N129" s="9">
        <f>[2]หน้าผ้า!U138</f>
        <v>40</v>
      </c>
      <c r="O129" s="9">
        <f>[2]หน้าผ้า!V138</f>
        <v>40</v>
      </c>
      <c r="P129" s="10">
        <f>[2]หน้าผ้า!AB138</f>
        <v>151.97285734399995</v>
      </c>
      <c r="Q129" s="10">
        <f>[2]หน้าผ้า!AC138</f>
        <v>0</v>
      </c>
      <c r="R129" s="10">
        <f>[2]หน้าผ้า!AD138</f>
        <v>151.97285734399995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7000</v>
      </c>
      <c r="V129" s="10">
        <f>[2]หน้าผ้า!AJ138</f>
        <v>0</v>
      </c>
      <c r="W129" s="10">
        <f>[2]หน้าผ้า!AL138</f>
        <v>7000</v>
      </c>
      <c r="X129" s="10">
        <f>[2]หน้าผ้า!AM138</f>
        <v>0</v>
      </c>
      <c r="Y129" s="10">
        <f>[2]หน้าผ้า!AN138</f>
        <v>7350</v>
      </c>
      <c r="Z129" s="9" t="str">
        <f>[2]หน้าผ้า!AO138</f>
        <v>WSWT2121670SM</v>
      </c>
      <c r="AA129" s="8">
        <f>[2]หน้าผ้า!AQ138</f>
        <v>7725.41</v>
      </c>
      <c r="AB129" s="8">
        <f>[2]หน้าผ้า!AR138</f>
        <v>7725.41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7725.41</v>
      </c>
      <c r="AF129" s="8">
        <f>[2]หน้าผ้า!AI138</f>
        <v>0</v>
      </c>
      <c r="AG129" s="1" t="str">
        <f>[3]หน้าผ้า!DC141</f>
        <v>ยังไม่ได้พิมพ์</v>
      </c>
      <c r="AH129" s="1" t="str">
        <f>[2]หน้าผ้า!DL138</f>
        <v>P8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 t="e">
        <f>[2]หน้าผ้า!DW138</f>
        <v>#VALUE!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WRWT21670/WRWT21670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45628</v>
      </c>
      <c r="B130" s="14" t="str">
        <f>[2]หน้าผ้า!B139</f>
        <v>MK67-001617</v>
      </c>
      <c r="C130" s="9" t="str">
        <f>[2]หน้าผ้า!E139</f>
        <v>บจก.ที.ซี.ยูเนี่ยน อโกรเทค</v>
      </c>
      <c r="D130" s="13" t="str">
        <f>[2]หน้าผ้า!F139</f>
        <v>Zhejiang UN</v>
      </c>
      <c r="E130" s="9">
        <f>[2]หน้าผ้า!G139</f>
        <v>21</v>
      </c>
      <c r="F130" s="9">
        <f>[2]หน้าผ้า!H139</f>
        <v>37</v>
      </c>
      <c r="G130" s="9" t="str">
        <f>[2]หน้าผ้า!I139</f>
        <v>ขาว</v>
      </c>
      <c r="H130" s="9" t="str">
        <f>[2]หน้าผ้า!J139</f>
        <v>ใส</v>
      </c>
      <c r="I130" s="9">
        <f>[2]หน้าผ้า!L139</f>
        <v>100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ไม่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 xml:space="preserve">300กระสอบแบนเต็มใบ </v>
      </c>
      <c r="T130" s="12" t="str">
        <f>[2]หน้าผ้า!X139</f>
        <v>รอแจ้ง</v>
      </c>
      <c r="U130" s="11">
        <f>[2]หน้าผ้า!AA139</f>
        <v>8000</v>
      </c>
      <c r="V130" s="10">
        <f>[2]หน้าผ้า!AJ139</f>
        <v>0</v>
      </c>
      <c r="W130" s="10">
        <f>[2]หน้าผ้า!AL139</f>
        <v>8000</v>
      </c>
      <c r="X130" s="10">
        <f>[2]หน้าผ้า!AM139</f>
        <v>0</v>
      </c>
      <c r="Y130" s="10">
        <f>[2]หน้าผ้า!AN139</f>
        <v>8400</v>
      </c>
      <c r="Z130" s="9" t="str">
        <f>[2]หน้าผ้า!AO139</f>
        <v>WSWT2121670SM</v>
      </c>
      <c r="AA130" s="8">
        <f>[2]หน้าผ้า!AQ139</f>
        <v>8605.52</v>
      </c>
      <c r="AB130" s="8">
        <f>[2]หน้าผ้า!AR139</f>
        <v>8605.52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8605.52</v>
      </c>
      <c r="AF130" s="8">
        <f>[2]หน้าผ้า!AI139</f>
        <v>0</v>
      </c>
      <c r="AG130" s="1" t="str">
        <f>[3]หน้าผ้า!DC142</f>
        <v>รอแบบ</v>
      </c>
      <c r="AH130" s="1" t="str">
        <f>[2]หน้าผ้า!DL139</f>
        <v>P8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 t="str">
        <f>[2]หน้าผ้า!AG139</f>
        <v>20/1--5/3 ลูกค้าแจ้งเลื่อน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WRWT21670/WRWT21670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45631</v>
      </c>
      <c r="B131" s="14" t="str">
        <f>[2]หน้าผ้า!B140</f>
        <v>MK67-001642</v>
      </c>
      <c r="C131" s="9" t="str">
        <f>[2]หน้าผ้า!E140</f>
        <v>บจก.ที.ซี.ยูเนี่ยน อโกรเทค</v>
      </c>
      <c r="D131" s="13" t="str">
        <f>[2]หน้าผ้า!F140</f>
        <v>Zhejiang UN</v>
      </c>
      <c r="E131" s="9">
        <f>[2]หน้าผ้า!G140</f>
        <v>21</v>
      </c>
      <c r="F131" s="9">
        <f>[2]หน้าผ้า!H140</f>
        <v>37</v>
      </c>
      <c r="G131" s="9" t="str">
        <f>[2]หน้าผ้า!I140</f>
        <v>ขาว</v>
      </c>
      <c r="H131" s="9" t="str">
        <f>[2]หน้าผ้า!J140</f>
        <v>ใส</v>
      </c>
      <c r="I131" s="9">
        <f>[2]หน้าผ้า!L140</f>
        <v>100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ไม่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 xml:space="preserve">300กระสอบแบนเต็มใบ </v>
      </c>
      <c r="T131" s="12" t="str">
        <f>[2]หน้าผ้า!X140</f>
        <v>รอแจ้ง</v>
      </c>
      <c r="U131" s="11">
        <f>[2]หน้าผ้า!AA140</f>
        <v>16000</v>
      </c>
      <c r="V131" s="10">
        <f>[2]หน้าผ้า!AJ140</f>
        <v>0</v>
      </c>
      <c r="W131" s="10">
        <f>[2]หน้าผ้า!AL140</f>
        <v>16000</v>
      </c>
      <c r="X131" s="10">
        <f>[2]หน้าผ้า!AM140</f>
        <v>0</v>
      </c>
      <c r="Y131" s="10">
        <f>[2]หน้าผ้า!AN140</f>
        <v>16800</v>
      </c>
      <c r="Z131" s="9" t="str">
        <f>[2]หน้าผ้า!AO140</f>
        <v>WSWT2121670SM</v>
      </c>
      <c r="AA131" s="8">
        <f>[2]หน้าผ้า!AQ140</f>
        <v>17211.04</v>
      </c>
      <c r="AB131" s="8">
        <f>[2]หน้าผ้า!AR140</f>
        <v>0</v>
      </c>
      <c r="AC131" s="8">
        <f>[2]หน้าผ้า!AS140</f>
        <v>17211.04</v>
      </c>
      <c r="AD131" s="8">
        <f>[2]หน้าผ้า!AT140</f>
        <v>0</v>
      </c>
      <c r="AE131" s="8">
        <f>[2]หน้าผ้า!AU140</f>
        <v>17211.04</v>
      </c>
      <c r="AF131" s="8">
        <f>[2]หน้าผ้า!AI140</f>
        <v>0</v>
      </c>
      <c r="AG131" s="1" t="str">
        <f>[3]หน้าผ้า!DC143</f>
        <v>ยังไม่ได้พิมพ์</v>
      </c>
      <c r="AH131" s="1" t="str">
        <f>[2]หน้าผ้า!DL140</f>
        <v>P8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 t="str">
        <f>[2]หน้าผ้า!AG140</f>
        <v>3/2---19/3 ลูกค้าแจ้งเลื่อน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WRWT21670/WRWT21670</v>
      </c>
      <c r="BD131" s="56">
        <f>[2]หน้าผ้า!CA140</f>
        <v>1237.7032565333332</v>
      </c>
    </row>
    <row r="132" spans="1:56" ht="27.75" customHeight="1" x14ac:dyDescent="0.45">
      <c r="A132" s="3">
        <f>[2]หน้าผ้า!C141</f>
        <v>45631</v>
      </c>
      <c r="B132" s="14" t="str">
        <f>[2]หน้าผ้า!B141</f>
        <v>MK67-001643</v>
      </c>
      <c r="C132" s="9" t="str">
        <f>[2]หน้าผ้า!E141</f>
        <v>บจก.ที.ซี.ยูเนี่ยน อโกรเทค</v>
      </c>
      <c r="D132" s="13" t="str">
        <f>[2]หน้าผ้า!F141</f>
        <v>Zhejiang UN</v>
      </c>
      <c r="E132" s="9">
        <f>[2]หน้าผ้า!G141</f>
        <v>21</v>
      </c>
      <c r="F132" s="9">
        <f>[2]หน้าผ้า!H141</f>
        <v>37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100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ไม่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 xml:space="preserve">300กระสอบแบนเต็มใบ </v>
      </c>
      <c r="T132" s="12" t="str">
        <f>[2]หน้าผ้า!X141</f>
        <v>รอแจ้ง</v>
      </c>
      <c r="U132" s="11">
        <f>[2]หน้าผ้า!AA141</f>
        <v>16000</v>
      </c>
      <c r="V132" s="10">
        <f>[2]หน้าผ้า!AJ141</f>
        <v>0</v>
      </c>
      <c r="W132" s="10">
        <f>[2]หน้าผ้า!AL141</f>
        <v>16000</v>
      </c>
      <c r="X132" s="10">
        <f>[2]หน้าผ้า!AM141</f>
        <v>0</v>
      </c>
      <c r="Y132" s="10">
        <f>[2]หน้าผ้า!AN141</f>
        <v>16800</v>
      </c>
      <c r="Z132" s="9" t="str">
        <f>[2]หน้าผ้า!AO141</f>
        <v>WSWT2121670SM</v>
      </c>
      <c r="AA132" s="8">
        <f>[2]หน้าผ้า!AQ141</f>
        <v>17211.04</v>
      </c>
      <c r="AB132" s="8">
        <f>[2]หน้าผ้า!AR141</f>
        <v>0</v>
      </c>
      <c r="AC132" s="8">
        <f>[2]หน้าผ้า!AS141</f>
        <v>17211.04</v>
      </c>
      <c r="AD132" s="8">
        <f>[2]หน้าผ้า!AT141</f>
        <v>0</v>
      </c>
      <c r="AE132" s="8">
        <f>[2]หน้าผ้า!AU141</f>
        <v>17211.04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P8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 t="str">
        <f>[2]หน้าผ้า!AG141</f>
        <v>17/2---28/3 ลูกค้าแจ้งเลื่อน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WRWT21670/WRWT21670</v>
      </c>
      <c r="BD132" s="56">
        <f>[2]หน้าผ้า!CA141</f>
        <v>1237.7032565333332</v>
      </c>
    </row>
    <row r="133" spans="1:56" ht="27.75" customHeight="1" x14ac:dyDescent="0.45">
      <c r="A133" s="3" t="str">
        <f>[2]หน้าผ้า!C142</f>
        <v>ประมาณการ</v>
      </c>
      <c r="B133" s="14" t="str">
        <f>[2]หน้าผ้า!B142</f>
        <v>ประมาณการ</v>
      </c>
      <c r="C133" s="9" t="str">
        <f>[2]หน้าผ้า!E142</f>
        <v>บจก.เอพีเอ็ม อะโกร</v>
      </c>
      <c r="D133" s="13" t="str">
        <f>[2]หน้าผ้า!F142</f>
        <v>รอแบบ</v>
      </c>
      <c r="E133" s="9">
        <f>[2]หน้าผ้า!G142</f>
        <v>21</v>
      </c>
      <c r="F133" s="9">
        <f>[2]หน้าผ้า!H142</f>
        <v>40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108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จับจีบ</v>
      </c>
      <c r="M133" s="10">
        <f>[2]หน้าผ้า!T142</f>
        <v>22</v>
      </c>
      <c r="N133" s="9">
        <f>[2]หน้าผ้า!U142</f>
        <v>42</v>
      </c>
      <c r="O133" s="9">
        <f>[2]หน้าผ้า!V142</f>
        <v>40</v>
      </c>
      <c r="P133" s="10">
        <f>[2]หน้าผ้า!AB142</f>
        <v>227.95928601599996</v>
      </c>
      <c r="Q133" s="10">
        <f>[2]หน้าผ้า!AC142</f>
        <v>0</v>
      </c>
      <c r="R133" s="10">
        <f>[2]หน้าผ้า!AD142</f>
        <v>227.95928601599996</v>
      </c>
      <c r="S133" s="9" t="str">
        <f>[2]หน้าผ้า!Z142</f>
        <v>500กระสอบแบน</v>
      </c>
      <c r="T133" s="12" t="str">
        <f>[2]หน้าผ้า!X142</f>
        <v>รอแจ้ง</v>
      </c>
      <c r="U133" s="11">
        <f>[2]หน้าผ้า!AA142</f>
        <v>10000</v>
      </c>
      <c r="V133" s="10">
        <f>[2]หน้าผ้า!AJ142</f>
        <v>0</v>
      </c>
      <c r="W133" s="10">
        <f>[2]หน้าผ้า!AL142</f>
        <v>10000</v>
      </c>
      <c r="X133" s="10">
        <f>[2]หน้าผ้า!AM142</f>
        <v>0</v>
      </c>
      <c r="Y133" s="10">
        <f>[2]หน้าผ้า!AN142</f>
        <v>10500</v>
      </c>
      <c r="Z133" s="9" t="str">
        <f>[2]หน้าผ้า!AO142</f>
        <v>WSWT2121670SM</v>
      </c>
      <c r="AA133" s="8">
        <f>[2]หน้าผ้า!AQ142</f>
        <v>11595.1</v>
      </c>
      <c r="AB133" s="8">
        <f>[2]หน้าผ้า!AR142</f>
        <v>0</v>
      </c>
      <c r="AC133" s="8">
        <f>[2]หน้าผ้า!AS142</f>
        <v>11595.1</v>
      </c>
      <c r="AD133" s="8">
        <f>[2]หน้าผ้า!AT142</f>
        <v>0</v>
      </c>
      <c r="AE133" s="8">
        <f>[2]หน้าผ้า!AU142</f>
        <v>11595.1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P8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 t="e">
        <f>[2]หน้าผ้า!DW142</f>
        <v>#VALUE!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>รอART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WRWT21670/WRWT21670</v>
      </c>
      <c r="BD133" s="56">
        <f>[2]หน้าผ้า!CA142</f>
        <v>833.84229133333326</v>
      </c>
    </row>
    <row r="134" spans="1:56" ht="27.75" customHeight="1" x14ac:dyDescent="0.45">
      <c r="A134" s="3">
        <f>[2]หน้าผ้า!C143</f>
        <v>45066</v>
      </c>
      <c r="B134" s="14" t="str">
        <f>[2]หน้าผ้า!B143</f>
        <v>MK66-000701</v>
      </c>
      <c r="C134" s="9" t="str">
        <f>[2]หน้าผ้า!E143</f>
        <v>บจก.เอสพีเอ็ม อาหารสัตว์</v>
      </c>
      <c r="D134" s="13" t="str">
        <f>[2]หน้าผ้า!F143</f>
        <v>มาซูฟีด ซี041</v>
      </c>
      <c r="E134" s="9">
        <f>[2]หน้าผ้า!G143</f>
        <v>21</v>
      </c>
      <c r="F134" s="9">
        <f>[2]หน้าผ้า!H143</f>
        <v>38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102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>
        <f>[2]หน้าผ้า!T143</f>
        <v>22</v>
      </c>
      <c r="N134" s="9">
        <f>[2]หน้าผ้า!U143</f>
        <v>40</v>
      </c>
      <c r="O134" s="9">
        <f>[2]หน้าผ้า!V143</f>
        <v>40</v>
      </c>
      <c r="P134" s="10">
        <f>[2]หน้าผ้า!AB143</f>
        <v>108.55204095999999</v>
      </c>
      <c r="Q134" s="10">
        <f>[2]หน้าผ้า!AC143</f>
        <v>0</v>
      </c>
      <c r="R134" s="10">
        <f>[2]หน้าผ้า!AD143</f>
        <v>108.55204095999999</v>
      </c>
      <c r="S134" s="9" t="str">
        <f>[2]หน้าผ้า!Z143</f>
        <v>500กระสอบแบน</v>
      </c>
      <c r="T134" s="12" t="str">
        <f>[2]หน้าผ้า!X143</f>
        <v>รอแจ้ง</v>
      </c>
      <c r="U134" s="11">
        <f>[2]หน้าผ้า!AA143</f>
        <v>5000</v>
      </c>
      <c r="V134" s="10">
        <f>[2]หน้าผ้า!AJ143</f>
        <v>0</v>
      </c>
      <c r="W134" s="10">
        <f>[2]หน้าผ้า!AL143</f>
        <v>5000</v>
      </c>
      <c r="X134" s="10">
        <f>[2]หน้าผ้า!AM143</f>
        <v>0</v>
      </c>
      <c r="Y134" s="10">
        <f>[2]หน้าผ้า!AN143</f>
        <v>5250</v>
      </c>
      <c r="Z134" s="9" t="str">
        <f>[2]หน้าผ้า!AO143</f>
        <v>WSWT2121670SM</v>
      </c>
      <c r="AA134" s="8">
        <f>[2]หน้าผ้า!AQ143</f>
        <v>5518.15</v>
      </c>
      <c r="AB134" s="8">
        <f>[2]หน้าผ้า!AR143</f>
        <v>0</v>
      </c>
      <c r="AC134" s="8">
        <f>[2]หน้าผ้า!AS143</f>
        <v>5518.15</v>
      </c>
      <c r="AD134" s="8">
        <f>[2]หน้าผ้า!AT143</f>
        <v>0</v>
      </c>
      <c r="AE134" s="8">
        <f>[2]หน้าผ้า!AU143</f>
        <v>5518.15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P8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 t="e">
        <f>[2]หน้าผ้า!DW143</f>
        <v>#VALUE!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WRWT21670/WRWT21670</v>
      </c>
      <c r="BD134" s="56">
        <f>[2]หน้าผ้า!CA143</f>
        <v>396.82856033333326</v>
      </c>
    </row>
    <row r="135" spans="1:56" ht="27.75" customHeight="1" x14ac:dyDescent="0.45">
      <c r="A135" s="3">
        <f>[2]หน้าผ้า!C144</f>
        <v>45800</v>
      </c>
      <c r="B135" s="14" t="str">
        <f>[2]หน้าผ้า!B144</f>
        <v>MK68-000703</v>
      </c>
      <c r="C135" s="9" t="str">
        <f>[2]หน้าผ้า!E144</f>
        <v>บจก.เอสพีเอ็ม อาหารสัตว์</v>
      </c>
      <c r="D135" s="13" t="str">
        <f>[2]หน้าผ้า!F144</f>
        <v>มาซู ฟีดบี0434</v>
      </c>
      <c r="E135" s="9">
        <f>[2]หน้าผ้า!G144</f>
        <v>21</v>
      </c>
      <c r="F135" s="9">
        <f>[2]หน้าผ้า!H144</f>
        <v>40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บิด</v>
      </c>
      <c r="M135" s="10">
        <f>[2]หน้าผ้า!T144</f>
        <v>22</v>
      </c>
      <c r="N135" s="9">
        <f>[2]หน้าผ้า!U144</f>
        <v>42</v>
      </c>
      <c r="O135" s="9">
        <f>[2]หน้าผ้า!V144</f>
        <v>40</v>
      </c>
      <c r="P135" s="10">
        <f>[2]หน้าผ้า!AB144</f>
        <v>5.2886554355711999</v>
      </c>
      <c r="Q135" s="10">
        <f>[2]หน้าผ้า!AC144</f>
        <v>0</v>
      </c>
      <c r="R135" s="10">
        <f>[2]หน้าผ้า!AD144</f>
        <v>5.2886554355711999</v>
      </c>
      <c r="S135" s="9" t="str">
        <f>[2]หน้าผ้า!Z144</f>
        <v>500กระสอบแบน</v>
      </c>
      <c r="T135" s="12" t="str">
        <f>[2]หน้าผ้า!X144</f>
        <v>รอส่ง</v>
      </c>
      <c r="U135" s="11">
        <f>[2]หน้าผ้า!AA144</f>
        <v>5000</v>
      </c>
      <c r="V135" s="10">
        <f>[2]หน้าผ้า!AJ144</f>
        <v>4768</v>
      </c>
      <c r="W135" s="10">
        <f>[2]หน้าผ้า!AL144</f>
        <v>232</v>
      </c>
      <c r="X135" s="10">
        <f>[2]หน้าผ้า!AM144</f>
        <v>10420</v>
      </c>
      <c r="Y135" s="10">
        <f>[2]หน้าผ้า!AN144</f>
        <v>0</v>
      </c>
      <c r="Z135" s="9" t="str">
        <f>[2]หน้าผ้า!AO144</f>
        <v>WSWT2121670SM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P8</v>
      </c>
      <c r="AI135" s="1">
        <f>[2]หน้าผ้า!DM144</f>
        <v>4</v>
      </c>
      <c r="AJ135" s="3" t="str">
        <f>[2]หน้าผ้า!DN144</f>
        <v>รอส่ง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 t="e">
        <f>[2]หน้าผ้า!DW144</f>
        <v>#VALUE!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WRWT21670/WRWT21670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21</v>
      </c>
      <c r="F136" s="9">
        <f>[2]หน้าผ้า!H145</f>
        <v>37</v>
      </c>
      <c r="G136" s="9">
        <f>[2]หน้าผ้า!I145</f>
        <v>0</v>
      </c>
      <c r="H136" s="9">
        <f>[2]หน้าผ้า!J145</f>
        <v>0</v>
      </c>
      <c r="I136" s="9">
        <f>[2]หน้าผ้า!L145</f>
        <v>74</v>
      </c>
      <c r="J136" s="9" t="str">
        <f>[2]หน้าผ้า!M145</f>
        <v>±</v>
      </c>
      <c r="K136" s="9">
        <f>[2]หน้าผ้า!N145</f>
        <v>5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 t="str">
        <f>[2]หน้าผ้า!AC145</f>
        <v>ว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WSWT2121670SM</v>
      </c>
      <c r="AA136" s="8">
        <f>[2]หน้าผ้า!AQ145</f>
        <v>444357.75999999995</v>
      </c>
      <c r="AB136" s="8">
        <f>[2]หน้าผ้า!AR145</f>
        <v>96601.630000000019</v>
      </c>
      <c r="AC136" s="8">
        <f>[2]หน้าผ้า!AS145</f>
        <v>347756.12999999995</v>
      </c>
      <c r="AD136" s="8">
        <f>[2]หน้าผ้า!AT145</f>
        <v>10756.900000000001</v>
      </c>
      <c r="AE136" s="8">
        <f>[2]หน้าผ้า!AU145</f>
        <v>433600.86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 t="str">
        <f>[2]หน้าผ้า!DM145</f>
        <v>Lead time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WRWT210670/WRWT21670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9</v>
      </c>
      <c r="B137" s="14" t="str">
        <f>[2]หน้าผ้า!B146</f>
        <v>MK68-000640</v>
      </c>
      <c r="C137" s="9" t="str">
        <f>[2]หน้าผ้า!E146</f>
        <v>กรมการข้าว</v>
      </c>
      <c r="D137" s="13" t="str">
        <f>[2]หน้าผ้า!F146</f>
        <v>เมล็ดพันธุ์ข้าว</v>
      </c>
      <c r="E137" s="9">
        <f>[2]หน้าผ้า!G146</f>
        <v>22</v>
      </c>
      <c r="F137" s="9">
        <f>[2]หน้าผ้า!H146</f>
        <v>34</v>
      </c>
      <c r="G137" s="9" t="str">
        <f>[2]หน้าผ้า!I146</f>
        <v>ขาว</v>
      </c>
      <c r="H137" s="9" t="str">
        <f>[2]หน้าผ้า!J146</f>
        <v>ใส</v>
      </c>
      <c r="I137" s="9">
        <f>[2]หน้าผ้า!L146</f>
        <v>115</v>
      </c>
      <c r="J137" s="9" t="str">
        <f>[2]หน้าผ้า!M146</f>
        <v>+</v>
      </c>
      <c r="K137" s="9">
        <f>[2]หน้าผ้า!N146</f>
        <v>5</v>
      </c>
      <c r="L137" s="9" t="str">
        <f>[2]หน้าผ้า!R146</f>
        <v>ไม่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300กระสอบแบนเต็มใบ</v>
      </c>
      <c r="T137" s="12" t="str">
        <f>[2]หน้าผ้า!X146</f>
        <v>รอส่ง</v>
      </c>
      <c r="U137" s="11">
        <f>[2]หน้าผ้า!AA146</f>
        <v>239700</v>
      </c>
      <c r="V137" s="10">
        <f>[2]หน้าผ้า!AJ146</f>
        <v>239700</v>
      </c>
      <c r="W137" s="10">
        <f>[2]หน้าผ้า!AL146</f>
        <v>0</v>
      </c>
      <c r="X137" s="10">
        <f>[2]หน้าผ้า!AM146</f>
        <v>251442</v>
      </c>
      <c r="Y137" s="10">
        <f>[2]หน้าผ้า!AN146</f>
        <v>0</v>
      </c>
      <c r="Z137" s="9" t="str">
        <f>[2]หน้าผ้า!AO146</f>
        <v>WSWT2221940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ห้ามขาด-ผลิตเกิน 300</v>
      </c>
      <c r="AG137" s="1" t="str">
        <f>[3]หน้าผ้า!DC149</f>
        <v>พร้อมส่ง</v>
      </c>
      <c r="AH137" s="1" t="str">
        <f>[2]หน้าผ้า!DL146</f>
        <v>P8</v>
      </c>
      <c r="AI137" s="1">
        <f>[2]หน้าผ้า!DM146</f>
        <v>4</v>
      </c>
      <c r="AJ137" s="3" t="str">
        <f>[2]หน้าผ้า!DN146</f>
        <v>รอส่ง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WRWT21940/WRWT21940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0</v>
      </c>
      <c r="B138" s="14">
        <f>[2]หน้าผ้า!B147</f>
        <v>0</v>
      </c>
      <c r="C138" s="9">
        <f>[2]หน้าผ้า!E147</f>
        <v>0</v>
      </c>
      <c r="D138" s="13">
        <f>[2]หน้าผ้า!F147</f>
        <v>0</v>
      </c>
      <c r="E138" s="9">
        <f>[2]หน้าผ้า!G147</f>
        <v>21.6</v>
      </c>
      <c r="F138" s="9">
        <f>[2]หน้าผ้า!H147</f>
        <v>34</v>
      </c>
      <c r="G138" s="9">
        <f>[2]หน้าผ้า!I147</f>
        <v>0</v>
      </c>
      <c r="H138" s="9">
        <f>[2]หน้าผ้า!J147</f>
        <v>0</v>
      </c>
      <c r="I138" s="9">
        <f>[2]หน้าผ้า!L147</f>
        <v>97</v>
      </c>
      <c r="J138" s="9" t="str">
        <f>[2]หน้าผ้า!M147</f>
        <v>±</v>
      </c>
      <c r="K138" s="9">
        <f>[2]หน้าผ้า!N147</f>
        <v>5</v>
      </c>
      <c r="L138" s="9">
        <f>[2]หน้าผ้า!R147</f>
        <v>0</v>
      </c>
      <c r="M138" s="10">
        <f>[2]หน้าผ้า!T147</f>
        <v>0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>
        <f>[2]หน้าผ้า!Z147</f>
        <v>0</v>
      </c>
      <c r="T138" s="12">
        <f>[2]หน้าผ้า!X147</f>
        <v>0</v>
      </c>
      <c r="U138" s="11">
        <f>[2]หน้าผ้า!AA147</f>
        <v>0</v>
      </c>
      <c r="V138" s="10">
        <f>[2]หน้าผ้า!AJ147</f>
        <v>0</v>
      </c>
      <c r="W138" s="10">
        <f>[2]หน้าผ้า!AL147</f>
        <v>0</v>
      </c>
      <c r="X138" s="10">
        <f>[2]หน้าผ้า!AM147</f>
        <v>0</v>
      </c>
      <c r="Y138" s="10">
        <f>[2]หน้าผ้า!AN147</f>
        <v>0</v>
      </c>
      <c r="Z138" s="9" t="str">
        <f>[2]หน้าผ้า!AO147</f>
        <v>WSWT2221940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ระบุในSD</v>
      </c>
      <c r="AG138" s="1" t="str">
        <f>[3]หน้าผ้า!DC150</f>
        <v>รอตัด</v>
      </c>
      <c r="AH138" s="1">
        <f>[2]หน้าผ้า!DL147</f>
        <v>0</v>
      </c>
      <c r="AI138" s="1" t="str">
        <f>[2]หน้าผ้า!DM147</f>
        <v>Lead time</v>
      </c>
      <c r="AJ138" s="3">
        <f>[2]หน้าผ้า!DN147</f>
        <v>0</v>
      </c>
      <c r="AK138" s="3">
        <f>[2]หน้าผ้า!DQ147</f>
        <v>0</v>
      </c>
      <c r="AL138" s="3">
        <f>[2]หน้าผ้า!DR147</f>
        <v>0</v>
      </c>
      <c r="AM138" s="3">
        <f>[2]หน้าผ้า!DS147</f>
        <v>0</v>
      </c>
      <c r="AN138" s="3">
        <f>[2]หน้าผ้า!DT147</f>
        <v>0</v>
      </c>
      <c r="AO138" s="3">
        <f>[2]หน้าผ้า!DU147</f>
        <v>0</v>
      </c>
      <c r="AP138" s="3">
        <f>[2]หน้าผ้า!DP147</f>
        <v>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>
        <f>[2]หน้าผ้า!EC147</f>
        <v>0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WRWT21940/WRWT21940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45820</v>
      </c>
      <c r="B139" s="14" t="str">
        <f>[2]หน้าผ้า!B148</f>
        <v>MK68-000784</v>
      </c>
      <c r="C139" s="9" t="str">
        <f>[2]หน้าผ้า!E148</f>
        <v>บจก.ซิเบลโก้(สบปราบ)</v>
      </c>
      <c r="D139" s="13" t="str">
        <f>[2]หน้าผ้า!F148</f>
        <v>OPAL CA3(ถุงในดำ)</v>
      </c>
      <c r="E139" s="9">
        <f>[2]หน้าผ้า!G148</f>
        <v>23</v>
      </c>
      <c r="F139" s="9">
        <f>[2]หน้าผ้า!H148</f>
        <v>34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68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ไม่</v>
      </c>
      <c r="M139" s="10">
        <f>[2]หน้าผ้า!T148</f>
        <v>24</v>
      </c>
      <c r="N139" s="9">
        <f>[2]หน้าผ้า!U148</f>
        <v>37</v>
      </c>
      <c r="O139" s="9">
        <f>[2]หน้าผ้า!V148</f>
        <v>50</v>
      </c>
      <c r="P139" s="10">
        <f>[2]หน้าผ้า!AB148</f>
        <v>8.2154158272000011</v>
      </c>
      <c r="Q139" s="10">
        <f>[2]หน้าผ้า!AC148</f>
        <v>0</v>
      </c>
      <c r="R139" s="10">
        <f>[2]หน้าผ้า!AD148</f>
        <v>8.2154158272000011</v>
      </c>
      <c r="S139" s="9" t="str">
        <f>[2]หน้าผ้า!Z148</f>
        <v>มัด100</v>
      </c>
      <c r="T139" s="12">
        <f>[2]หน้าผ้า!X148</f>
        <v>45847</v>
      </c>
      <c r="U139" s="11">
        <f>[2]หน้าผ้า!AA148</f>
        <v>6500</v>
      </c>
      <c r="V139" s="10">
        <f>[2]หน้าผ้า!AJ148</f>
        <v>6200</v>
      </c>
      <c r="W139" s="10">
        <f>[2]หน้าผ้า!AL148</f>
        <v>300</v>
      </c>
      <c r="X139" s="10">
        <f>[2]หน้าผ้า!AM148</f>
        <v>6700</v>
      </c>
      <c r="Y139" s="10">
        <f>[2]หน้าผ้า!AN148</f>
        <v>0</v>
      </c>
      <c r="Z139" s="9" t="str">
        <f>[2]หน้าผ้า!AO148</f>
        <v>WSWT2325650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รอแบบ</v>
      </c>
      <c r="AH139" s="1" t="str">
        <f>[2]หน้าผ้า!DL148</f>
        <v>P9</v>
      </c>
      <c r="AI139" s="1">
        <f>[2]หน้าผ้า!DM148</f>
        <v>3</v>
      </c>
      <c r="AJ139" s="3">
        <f>[2]หน้าผ้า!DN148</f>
        <v>45847</v>
      </c>
      <c r="AK139" s="3">
        <f>[2]หน้าผ้า!DQ148</f>
        <v>0</v>
      </c>
      <c r="AL139" s="3">
        <f>[2]หน้าผ้า!DR148</f>
        <v>45837</v>
      </c>
      <c r="AM139" s="3">
        <f>[2]หน้าผ้า!DS148</f>
        <v>45844</v>
      </c>
      <c r="AN139" s="3">
        <f>[2]หน้าผ้า!DT148</f>
        <v>45845</v>
      </c>
      <c r="AO139" s="3">
        <f>[2]หน้าผ้า!DU148</f>
        <v>45845</v>
      </c>
      <c r="AP139" s="3">
        <f>[2]หน้าผ้า!DP148</f>
        <v>45842</v>
      </c>
      <c r="AQ139" s="3">
        <f>[2]หน้าผ้า!DW148</f>
        <v>45846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WRWT25650/WRWT25650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45820</v>
      </c>
      <c r="B140" s="14" t="str">
        <f>[2]หน้าผ้า!B149</f>
        <v>MK68-000784</v>
      </c>
      <c r="C140" s="9" t="str">
        <f>[2]หน้าผ้า!E149</f>
        <v>บจก.ซิเบลโก้(สบปราบ)</v>
      </c>
      <c r="D140" s="13" t="str">
        <f>[2]หน้าผ้า!F149</f>
        <v>EXCELBLEND S50(ถุงในดำ)</v>
      </c>
      <c r="E140" s="9">
        <f>[2]หน้าผ้า!G149</f>
        <v>23</v>
      </c>
      <c r="F140" s="9">
        <f>[2]หน้าผ้า!H149</f>
        <v>34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68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ไม่</v>
      </c>
      <c r="M140" s="10">
        <f>[2]หน้าผ้า!T149</f>
        <v>24</v>
      </c>
      <c r="N140" s="9">
        <f>[2]หน้าผ้า!U149</f>
        <v>37</v>
      </c>
      <c r="O140" s="9">
        <f>[2]หน้าผ้า!V149</f>
        <v>50</v>
      </c>
      <c r="P140" s="10">
        <f>[2]หน้าผ้า!AB149</f>
        <v>12.432662618496</v>
      </c>
      <c r="Q140" s="10">
        <f>[2]หน้าผ้า!AC149</f>
        <v>0</v>
      </c>
      <c r="R140" s="10">
        <f>[2]หน้าผ้า!AD149</f>
        <v>12.432662618496</v>
      </c>
      <c r="S140" s="9" t="str">
        <f>[2]หน้าผ้า!Z149</f>
        <v>มัด100</v>
      </c>
      <c r="T140" s="12">
        <f>[2]หน้าผ้า!X149</f>
        <v>45847</v>
      </c>
      <c r="U140" s="11">
        <f>[2]หน้าผ้า!AA149</f>
        <v>6500</v>
      </c>
      <c r="V140" s="10">
        <f>[2]หน้าผ้า!AJ149</f>
        <v>6046</v>
      </c>
      <c r="W140" s="10">
        <f>[2]หน้าผ้า!AL149</f>
        <v>454</v>
      </c>
      <c r="X140" s="10">
        <f>[2]หน้าผ้า!AM149</f>
        <v>6700</v>
      </c>
      <c r="Y140" s="10">
        <f>[2]หน้าผ้า!AN149</f>
        <v>0</v>
      </c>
      <c r="Z140" s="9" t="str">
        <f>[2]หน้าผ้า!AO149</f>
        <v>WSWT2325650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รอแบบ</v>
      </c>
      <c r="AH140" s="1" t="str">
        <f>[2]หน้าผ้า!DL149</f>
        <v>P9</v>
      </c>
      <c r="AI140" s="1">
        <f>[2]หน้าผ้า!DM149</f>
        <v>3</v>
      </c>
      <c r="AJ140" s="3">
        <f>[2]หน้าผ้า!DN149</f>
        <v>45847</v>
      </c>
      <c r="AK140" s="3">
        <f>[2]หน้าผ้า!DQ149</f>
        <v>0</v>
      </c>
      <c r="AL140" s="3">
        <f>[2]หน้าผ้า!DR149</f>
        <v>45837</v>
      </c>
      <c r="AM140" s="3">
        <f>[2]หน้าผ้า!DS149</f>
        <v>45844</v>
      </c>
      <c r="AN140" s="3">
        <f>[2]หน้าผ้า!DT149</f>
        <v>45845</v>
      </c>
      <c r="AO140" s="3">
        <f>[2]หน้าผ้า!DU149</f>
        <v>45845</v>
      </c>
      <c r="AP140" s="3">
        <f>[2]หน้าผ้า!DP149</f>
        <v>45842</v>
      </c>
      <c r="AQ140" s="3">
        <f>[2]หน้าผ้า!DW149</f>
        <v>45846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WRWT25650/WRWT25650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45820</v>
      </c>
      <c r="B141" s="14" t="str">
        <f>[2]หน้าผ้า!B150</f>
        <v>MK68-000784</v>
      </c>
      <c r="C141" s="9" t="str">
        <f>[2]หน้าผ้า!E150</f>
        <v>บจก.ซิเบลโก้(สบปราบ)</v>
      </c>
      <c r="D141" s="13" t="str">
        <f>[2]หน้าผ้า!F150</f>
        <v>BLANK FORM</v>
      </c>
      <c r="E141" s="9">
        <f>[2]หน้าผ้า!G150</f>
        <v>23</v>
      </c>
      <c r="F141" s="9">
        <f>[2]หน้าผ้า!H150</f>
        <v>38</v>
      </c>
      <c r="G141" s="9" t="str">
        <f>[2]หน้าผ้า!I150</f>
        <v>ขาว</v>
      </c>
      <c r="H141" s="9" t="str">
        <f>[2]หน้าผ้า!J150</f>
        <v>ใส</v>
      </c>
      <c r="I141" s="9">
        <f>[2]หน้าผ้า!L150</f>
        <v>100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ไม่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มัด100</v>
      </c>
      <c r="T141" s="12">
        <f>[2]หน้าผ้า!X150</f>
        <v>45847</v>
      </c>
      <c r="U141" s="11">
        <f>[2]หน้าผ้า!AA150</f>
        <v>7000</v>
      </c>
      <c r="V141" s="10">
        <f>[2]หน้าผ้า!AJ150</f>
        <v>0</v>
      </c>
      <c r="W141" s="10">
        <f>[2]หน้าผ้า!AL150</f>
        <v>7000</v>
      </c>
      <c r="X141" s="10">
        <f>[2]หน้าผ้า!AM150</f>
        <v>7355</v>
      </c>
      <c r="Y141" s="10">
        <f>[2]หน้าผ้า!AN150</f>
        <v>0</v>
      </c>
      <c r="Z141" s="9" t="str">
        <f>[2]หน้าผ้า!AO150</f>
        <v>WSWT2325650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P8</v>
      </c>
      <c r="AI141" s="1">
        <f>[2]หน้าผ้า!DM150</f>
        <v>4</v>
      </c>
      <c r="AJ141" s="3">
        <f>[2]หน้าผ้า!DN150</f>
        <v>45847</v>
      </c>
      <c r="AK141" s="3">
        <f>[2]หน้าผ้า!DQ150</f>
        <v>45843</v>
      </c>
      <c r="AL141" s="3">
        <f>[2]หน้าผ้า!DR150</f>
        <v>45837</v>
      </c>
      <c r="AM141" s="3">
        <f>[2]หน้าผ้า!DS150</f>
        <v>45844</v>
      </c>
      <c r="AN141" s="3">
        <f>[2]หน้าผ้า!DT150</f>
        <v>45845</v>
      </c>
      <c r="AO141" s="3">
        <f>[2]หน้าผ้า!DU150</f>
        <v>45845</v>
      </c>
      <c r="AP141" s="3">
        <f>[2]หน้าผ้า!DP150</f>
        <v>45842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WRWT25650/WRWT25650</v>
      </c>
      <c r="BD141" s="56">
        <f>[2]หน้าผ้า!CA150</f>
        <v>0</v>
      </c>
    </row>
    <row r="142" spans="1:56" ht="27.75" customHeight="1" x14ac:dyDescent="0.45">
      <c r="A142" s="3" t="str">
        <f>[2]หน้าผ้า!C151</f>
        <v>ประมาณการ</v>
      </c>
      <c r="B142" s="14" t="str">
        <f>[2]หน้าผ้า!B151</f>
        <v>ประมาณการ</v>
      </c>
      <c r="C142" s="9" t="str">
        <f>[2]หน้าผ้า!E151</f>
        <v>พันธุ์ข้าว</v>
      </c>
      <c r="D142" s="13" t="str">
        <f>[2]หน้าผ้า!F151</f>
        <v>รอแบบ</v>
      </c>
      <c r="E142" s="9">
        <f>[2]หน้าผ้า!G151</f>
        <v>23</v>
      </c>
      <c r="F142" s="9">
        <f>[2]หน้าผ้า!H151</f>
        <v>34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68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</v>
      </c>
      <c r="T142" s="12">
        <f>[2]หน้าผ้า!X151</f>
        <v>45868</v>
      </c>
      <c r="U142" s="11">
        <f>[2]หน้าผ้า!AA151</f>
        <v>40000</v>
      </c>
      <c r="V142" s="10">
        <f>[2]หน้าผ้า!AJ151</f>
        <v>0</v>
      </c>
      <c r="W142" s="10">
        <f>[2]หน้าผ้า!AL151</f>
        <v>40000</v>
      </c>
      <c r="X142" s="10">
        <f>[2]หน้าผ้า!AM151</f>
        <v>0</v>
      </c>
      <c r="Y142" s="10">
        <f>[2]หน้าผ้า!AN151</f>
        <v>42000</v>
      </c>
      <c r="Z142" s="9" t="str">
        <f>[2]หน้าผ้า!AO151</f>
        <v>WSWT2325650</v>
      </c>
      <c r="AA142" s="8">
        <f>[2]หน้าผ้า!AQ151</f>
        <v>39674.800000000003</v>
      </c>
      <c r="AB142" s="8">
        <f>[2]หน้าผ้า!AR151</f>
        <v>0</v>
      </c>
      <c r="AC142" s="8">
        <f>[2]หน้าผ้า!AS151</f>
        <v>39674.800000000003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รอแบบ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45868</v>
      </c>
      <c r="AK142" s="3">
        <f>[2]หน้าผ้า!DQ151</f>
        <v>0</v>
      </c>
      <c r="AL142" s="3">
        <f>[2]หน้าผ้า!DR151</f>
        <v>45859</v>
      </c>
      <c r="AM142" s="3">
        <f>[2]หน้าผ้า!DS151</f>
        <v>45866</v>
      </c>
      <c r="AN142" s="3">
        <f>[2]หน้าผ้า!DT151</f>
        <v>45867</v>
      </c>
      <c r="AO142" s="3">
        <f>[2]หน้าผ้า!DU151</f>
        <v>45867</v>
      </c>
      <c r="AP142" s="3">
        <f>[2]หน้าผ้า!DP151</f>
        <v>45863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>รอART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WRWT25650/WRWT25650</v>
      </c>
      <c r="BD142" s="56">
        <f>[2]หน้าผ้า!CA151</f>
        <v>2965.6913</v>
      </c>
    </row>
    <row r="143" spans="1:56" ht="27.75" customHeight="1" x14ac:dyDescent="0.45">
      <c r="A143" s="3" t="str">
        <f>[2]หน้าผ้า!C152</f>
        <v>ประมาณการ</v>
      </c>
      <c r="B143" s="14" t="str">
        <f>[2]หน้าผ้า!B152</f>
        <v>ประมาณการ</v>
      </c>
      <c r="C143" s="9" t="str">
        <f>[2]หน้าผ้า!E152</f>
        <v>บจก.ซิเบลโก้(สบปราบ)</v>
      </c>
      <c r="D143" s="13" t="str">
        <f>[2]หน้าผ้า!F152</f>
        <v>รอแบบ</v>
      </c>
      <c r="E143" s="9">
        <f>[2]หน้าผ้า!G152</f>
        <v>23</v>
      </c>
      <c r="F143" s="9">
        <f>[2]หน้าผ้า!H152</f>
        <v>34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68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ไม่</v>
      </c>
      <c r="M143" s="10">
        <f>[2]หน้าผ้า!T152</f>
        <v>24</v>
      </c>
      <c r="N143" s="9">
        <f>[2]หน้าผ้า!U152</f>
        <v>37</v>
      </c>
      <c r="O143" s="9">
        <f>[2]หน้าผ้า!V152</f>
        <v>50</v>
      </c>
      <c r="P143" s="10">
        <f>[2]หน้าผ้า!AB152</f>
        <v>821.54158271999995</v>
      </c>
      <c r="Q143" s="10">
        <f>[2]หน้าผ้า!AC152</f>
        <v>0</v>
      </c>
      <c r="R143" s="10">
        <f>[2]หน้าผ้า!AD152</f>
        <v>821.54158271999995</v>
      </c>
      <c r="S143" s="9" t="str">
        <f>[2]หน้าผ้า!Z152</f>
        <v>มัด100</v>
      </c>
      <c r="T143" s="12">
        <f>[2]หน้าผ้า!X152</f>
        <v>45868</v>
      </c>
      <c r="U143" s="11">
        <f>[2]หน้าผ้า!AA152</f>
        <v>30000</v>
      </c>
      <c r="V143" s="10">
        <f>[2]หน้าผ้า!AJ152</f>
        <v>0</v>
      </c>
      <c r="W143" s="10">
        <f>[2]หน้าผ้า!AL152</f>
        <v>30000</v>
      </c>
      <c r="X143" s="10">
        <f>[2]หน้าผ้า!AM152</f>
        <v>0</v>
      </c>
      <c r="Y143" s="10">
        <f>[2]หน้าผ้า!AN152</f>
        <v>31500</v>
      </c>
      <c r="Z143" s="9" t="str">
        <f>[2]หน้าผ้า!AO152</f>
        <v>WSWT2325650</v>
      </c>
      <c r="AA143" s="8">
        <f>[2]หน้าผ้า!AQ152</f>
        <v>29756.100000000002</v>
      </c>
      <c r="AB143" s="8">
        <f>[2]หน้าผ้า!AR152</f>
        <v>29756.100000000002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P9</v>
      </c>
      <c r="AI143" s="1">
        <f>[2]หน้าผ้า!DM152</f>
        <v>3</v>
      </c>
      <c r="AJ143" s="3">
        <f>[2]หน้าผ้า!DN152</f>
        <v>45868</v>
      </c>
      <c r="AK143" s="3">
        <f>[2]หน้าผ้า!DQ152</f>
        <v>0</v>
      </c>
      <c r="AL143" s="3">
        <f>[2]หน้าผ้า!DR152</f>
        <v>45858</v>
      </c>
      <c r="AM143" s="3">
        <f>[2]หน้าผ้า!DS152</f>
        <v>45865</v>
      </c>
      <c r="AN143" s="3">
        <f>[2]หน้าผ้า!DT152</f>
        <v>45866</v>
      </c>
      <c r="AO143" s="3">
        <f>[2]หน้าผ้า!DU152</f>
        <v>45866</v>
      </c>
      <c r="AP143" s="3">
        <f>[2]หน้าผ้า!DP152</f>
        <v>45863</v>
      </c>
      <c r="AQ143" s="3">
        <f>[2]หน้าผ้า!DW152</f>
        <v>45867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>รอART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WRWT25650/WRWT25650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23</v>
      </c>
      <c r="F144" s="9">
        <f>[2]หน้าผ้า!H153</f>
        <v>34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68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WSWT2325650</v>
      </c>
      <c r="AA144" s="8">
        <f>[2]หน้าผ้า!AQ153</f>
        <v>69430.900000000009</v>
      </c>
      <c r="AB144" s="8">
        <f>[2]หน้าผ้า!AR153</f>
        <v>29756.100000000002</v>
      </c>
      <c r="AC144" s="8">
        <f>[2]หน้าผ้า!AS153</f>
        <v>39674.800000000003</v>
      </c>
      <c r="AD144" s="8">
        <f>[2]หน้าผ้า!AT153</f>
        <v>0</v>
      </c>
      <c r="AE144" s="8">
        <f>[2]หน้าผ้า!AU153</f>
        <v>0</v>
      </c>
      <c r="AF144" s="8" t="str">
        <f>[2]หน้าผ้า!AI153</f>
        <v>ระบุในSD</v>
      </c>
      <c r="AG144" s="1" t="str">
        <f>[3]หน้าผ้า!DC156</f>
        <v>พร้อมส่ง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WRWT25650/WRWT25650</v>
      </c>
      <c r="BD144" s="56">
        <f>[2]หน้าผ้า!CA153</f>
        <v>0</v>
      </c>
    </row>
    <row r="145" spans="1:56" ht="27.75" customHeight="1" x14ac:dyDescent="0.45">
      <c r="A145" s="3" t="str">
        <f>[2]หน้าผ้า!C154</f>
        <v>ประมาณการ</v>
      </c>
      <c r="B145" s="14" t="str">
        <f>[2]หน้าผ้า!B154</f>
        <v>ประมาณการ</v>
      </c>
      <c r="C145" s="9" t="str">
        <f>[2]หน้าผ้า!E154</f>
        <v>พันธุ์ข้าว</v>
      </c>
      <c r="D145" s="13" t="str">
        <f>[2]หน้าผ้า!F154</f>
        <v>รอแบบ</v>
      </c>
      <c r="E145" s="9">
        <f>[2]หน้าผ้า!G154</f>
        <v>23</v>
      </c>
      <c r="F145" s="9">
        <f>[2]หน้าผ้า!H154</f>
        <v>34</v>
      </c>
      <c r="G145" s="9" t="str">
        <f>[2]หน้าผ้า!I154</f>
        <v>ขาวแถบใส5</v>
      </c>
      <c r="H145" s="9">
        <f>[2]หน้าผ้า!J154</f>
        <v>0</v>
      </c>
      <c r="I145" s="9">
        <f>[2]หน้าผ้า!L154</f>
        <v>68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</v>
      </c>
      <c r="T145" s="12">
        <f>[2]หน้าผ้า!X154</f>
        <v>45868</v>
      </c>
      <c r="U145" s="11">
        <f>[2]หน้าผ้า!AA154</f>
        <v>10000</v>
      </c>
      <c r="V145" s="10">
        <f>[2]หน้าผ้า!AJ154</f>
        <v>0</v>
      </c>
      <c r="W145" s="10">
        <f>[2]หน้าผ้า!AL154</f>
        <v>10000</v>
      </c>
      <c r="X145" s="10">
        <f>[2]หน้าผ้า!AM154</f>
        <v>0</v>
      </c>
      <c r="Y145" s="10">
        <f>[2]หน้าผ้า!AN154</f>
        <v>10500</v>
      </c>
      <c r="Z145" s="9" t="str">
        <f>[2]หน้าผ้า!AO154</f>
        <v>WSWTSCL052325650</v>
      </c>
      <c r="AA145" s="8">
        <f>[2]หน้าผ้า!AQ154</f>
        <v>9918.7000000000007</v>
      </c>
      <c r="AB145" s="8">
        <f>[2]หน้าผ้า!AR154</f>
        <v>0</v>
      </c>
      <c r="AC145" s="8">
        <f>[2]หน้าผ้า!AS154</f>
        <v>9918.7000000000007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45868</v>
      </c>
      <c r="AK145" s="3">
        <f>[2]หน้าผ้า!DQ154</f>
        <v>0</v>
      </c>
      <c r="AL145" s="3">
        <f>[2]หน้าผ้า!DR154</f>
        <v>45859</v>
      </c>
      <c r="AM145" s="3">
        <f>[2]หน้าผ้า!DS154</f>
        <v>45866</v>
      </c>
      <c r="AN145" s="3">
        <f>[2]หน้าผ้า!DT154</f>
        <v>45867</v>
      </c>
      <c r="AO145" s="3">
        <f>[2]หน้าผ้า!DU154</f>
        <v>45867</v>
      </c>
      <c r="AP145" s="3">
        <f>[2]หน้าผ้า!DP154</f>
        <v>45863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>รอART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WRWT25650/WRCL25680</v>
      </c>
      <c r="BD145" s="56">
        <f>[2]หน้าผ้า!CA154</f>
        <v>800.41704844444439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23</v>
      </c>
      <c r="F146" s="9">
        <f>[2]หน้าผ้า!H155</f>
        <v>34</v>
      </c>
      <c r="G146" s="9" t="str">
        <f>[2]หน้าผ้า!I155</f>
        <v>ขาวแถบใส5</v>
      </c>
      <c r="H146" s="9">
        <f>[2]หน้าผ้า!J155</f>
        <v>0</v>
      </c>
      <c r="I146" s="9">
        <f>[2]หน้าผ้า!L155</f>
        <v>68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WSWTSCL052325650</v>
      </c>
      <c r="AA146" s="8">
        <f>[2]หน้าผ้า!AQ155</f>
        <v>9918.7000000000007</v>
      </c>
      <c r="AB146" s="8">
        <f>[2]หน้าผ้า!AR155</f>
        <v>0</v>
      </c>
      <c r="AC146" s="8">
        <f>[2]หน้าผ้า!AS155</f>
        <v>9918.7000000000007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>
        <f>[2]หน้าผ้า!DL155</f>
        <v>0</v>
      </c>
      <c r="AI146" s="1" t="str">
        <f>[2]หน้าผ้า!DM155</f>
        <v>Lead time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WRWT25650/WRCL25680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23</v>
      </c>
      <c r="F147" s="9">
        <f>[2]หน้าผ้า!H156</f>
        <v>34</v>
      </c>
      <c r="G147" s="9" t="str">
        <f>[2]หน้าผ้า!I156</f>
        <v>ขาวแถบใส2</v>
      </c>
      <c r="H147" s="9">
        <f>[2]หน้าผ้า!J156</f>
        <v>0</v>
      </c>
      <c r="I147" s="9">
        <f>[2]หน้าผ้า!L156</f>
        <v>68</v>
      </c>
      <c r="J147" s="9" t="str">
        <f>[2]หน้าผ้า!M156</f>
        <v>±</v>
      </c>
      <c r="K147" s="9">
        <f>[2]หน้าผ้า!N156</f>
        <v>5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WSWTFCL022325650</v>
      </c>
      <c r="AA147" s="8" t="e">
        <f>[2]หน้าผ้า!AQ156</f>
        <v>#REF!</v>
      </c>
      <c r="AB147" s="8" t="e">
        <f>[2]หน้าผ้า!AR156</f>
        <v>#REF!</v>
      </c>
      <c r="AC147" s="8" t="e">
        <f>[2]หน้าผ้า!AS156</f>
        <v>#REF!</v>
      </c>
      <c r="AD147" s="8" t="e">
        <f>[2]หน้าผ้า!AT156</f>
        <v>#REF!</v>
      </c>
      <c r="AE147" s="8" t="e">
        <f>[2]หน้าผ้า!AU156</f>
        <v>#REF!</v>
      </c>
      <c r="AF147" s="8" t="str">
        <f>[2]หน้าผ้า!AI156</f>
        <v>ระบุในSD</v>
      </c>
      <c r="AG147" s="1" t="str">
        <f>[3]หน้าผ้า!DC159</f>
        <v>ยังไม่ได้พิมพ์</v>
      </c>
      <c r="AH147" s="1">
        <f>[2]หน้าผ้า!DL156</f>
        <v>0</v>
      </c>
      <c r="AI147" s="1" t="str">
        <f>[2]หน้าผ้า!DM156</f>
        <v>Lead time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WRWT25650/WRCL25680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0</v>
      </c>
      <c r="B148" s="14">
        <f>[2]หน้าผ้า!B157</f>
        <v>0</v>
      </c>
      <c r="C148" s="9">
        <f>[2]หน้าผ้า!E157</f>
        <v>0</v>
      </c>
      <c r="D148" s="13">
        <f>[2]หน้าผ้า!F157</f>
        <v>0</v>
      </c>
      <c r="E148" s="9">
        <f>[2]หน้าผ้า!G157</f>
        <v>23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85</v>
      </c>
      <c r="J148" s="9" t="str">
        <f>[2]หน้าผ้า!M157</f>
        <v>±</v>
      </c>
      <c r="K148" s="9">
        <f>[2]หน้าผ้า!N157</f>
        <v>5</v>
      </c>
      <c r="L148" s="9">
        <f>[2]หน้าผ้า!R157</f>
        <v>0</v>
      </c>
      <c r="M148" s="10">
        <f>[2]หน้าผ้า!T157</f>
        <v>0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>
        <f>[2]หน้าผ้า!Z157</f>
        <v>0</v>
      </c>
      <c r="T148" s="12">
        <f>[2]หน้าผ้า!X157</f>
        <v>0</v>
      </c>
      <c r="U148" s="11">
        <f>[2]หน้าผ้า!AA157</f>
        <v>0</v>
      </c>
      <c r="V148" s="10">
        <f>[2]หน้าผ้า!AJ157</f>
        <v>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WSWT2325800</v>
      </c>
      <c r="AA148" s="8" t="e">
        <f>[2]หน้าผ้า!AQ157</f>
        <v>#REF!</v>
      </c>
      <c r="AB148" s="8" t="e">
        <f>[2]หน้าผ้า!AR157</f>
        <v>#REF!</v>
      </c>
      <c r="AC148" s="8" t="e">
        <f>[2]หน้าผ้า!AS157</f>
        <v>#REF!</v>
      </c>
      <c r="AD148" s="8" t="e">
        <f>[2]หน้าผ้า!AT157</f>
        <v>#REF!</v>
      </c>
      <c r="AE148" s="8" t="e">
        <f>[2]หน้าผ้า!AU157</f>
        <v>#REF!</v>
      </c>
      <c r="AF148" s="8" t="str">
        <f>[2]หน้าผ้า!AI157</f>
        <v>ระบุในSD</v>
      </c>
      <c r="AG148" s="1" t="str">
        <f>[3]หน้าผ้า!DC160</f>
        <v>ผ้าขาว</v>
      </c>
      <c r="AH148" s="1">
        <f>[2]หน้าผ้า!DL157</f>
        <v>0</v>
      </c>
      <c r="AI148" s="1" t="str">
        <f>[2]หน้าผ้า!DM157</f>
        <v>Lead time</v>
      </c>
      <c r="AJ148" s="3">
        <f>[2]หน้าผ้า!DN157</f>
        <v>0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0</v>
      </c>
      <c r="AP148" s="3">
        <f>[2]หน้าผ้า!DP157</f>
        <v>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>
        <f>[2]หน้าผ้า!EC157</f>
        <v>0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WRWT25800/WRWT28750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45839</v>
      </c>
      <c r="B149" s="14" t="str">
        <f>[2]หน้าผ้า!B158</f>
        <v>MK68-000852</v>
      </c>
      <c r="C149" s="9" t="str">
        <f>[2]หน้าผ้า!E158</f>
        <v>คุณวัลภา เผ่าเต็ม</v>
      </c>
      <c r="D149" s="13" t="str">
        <f>[2]หน้าผ้า!F158</f>
        <v>ดวงใจ(ชมพู-ม่วง)</v>
      </c>
      <c r="E149" s="9">
        <f>[2]หน้าผ้า!G158</f>
        <v>23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85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ไม่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</v>
      </c>
      <c r="T149" s="12">
        <f>[2]หน้าผ้า!X158</f>
        <v>45852</v>
      </c>
      <c r="U149" s="11">
        <f>[2]หน้าผ้า!AA158</f>
        <v>10000</v>
      </c>
      <c r="V149" s="10">
        <f>[2]หน้าผ้า!AJ158</f>
        <v>0</v>
      </c>
      <c r="W149" s="10">
        <f>[2]หน้าผ้า!AL158</f>
        <v>10000</v>
      </c>
      <c r="X149" s="10">
        <f>[2]หน้าผ้า!AM158</f>
        <v>0</v>
      </c>
      <c r="Y149" s="10">
        <f>[2]หน้าผ้า!AN158</f>
        <v>10500</v>
      </c>
      <c r="Z149" s="9" t="str">
        <f>[2]หน้าผ้า!AO158</f>
        <v>WSWT2321750</v>
      </c>
      <c r="AA149" s="8">
        <f>[2]หน้าผ้า!AQ158</f>
        <v>10756.900000000001</v>
      </c>
      <c r="AB149" s="8">
        <f>[2]หน้าผ้า!AR158</f>
        <v>7327</v>
      </c>
      <c r="AC149" s="8">
        <f>[2]หน้าผ้า!AS158</f>
        <v>3429.9000000000015</v>
      </c>
      <c r="AD149" s="8">
        <f>[2]หน้าผ้า!AT158</f>
        <v>0</v>
      </c>
      <c r="AE149" s="8">
        <f>[2]หน้าผ้า!AU158</f>
        <v>0</v>
      </c>
      <c r="AF149" s="8" t="str">
        <f>[2]หน้าผ้า!AI158</f>
        <v>ด้านคู่1ม้วนใช้ได้</v>
      </c>
      <c r="AG149" s="1" t="str">
        <f>[3]หน้าผ้า!DC161</f>
        <v>พร้อมส่ง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45852</v>
      </c>
      <c r="AK149" s="3">
        <f>[2]หน้าผ้า!DQ158</f>
        <v>0</v>
      </c>
      <c r="AL149" s="3">
        <f>[2]หน้าผ้า!DR158</f>
        <v>45843</v>
      </c>
      <c r="AM149" s="3">
        <f>[2]หน้าผ้า!DS158</f>
        <v>45850</v>
      </c>
      <c r="AN149" s="3">
        <f>[2]หน้าผ้า!DT158</f>
        <v>45851</v>
      </c>
      <c r="AO149" s="3">
        <f>[2]หน้าผ้า!DU158</f>
        <v>45851</v>
      </c>
      <c r="AP149" s="3">
        <f>[2]หน้าผ้า!DP158</f>
        <v>45847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>รอART</v>
      </c>
      <c r="AY149" s="2" t="str">
        <f>[2]หน้าผ้า!AG158</f>
        <v>12/7เย็น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WRWT21750/WRWT21750</v>
      </c>
      <c r="BD149" s="56">
        <f>[2]หน้าผ้า!CA158</f>
        <v>302.40285000000011</v>
      </c>
    </row>
    <row r="150" spans="1:56" ht="27.75" customHeight="1" x14ac:dyDescent="0.45">
      <c r="A150" s="3">
        <f>[2]หน้าผ้า!C159</f>
        <v>45839</v>
      </c>
      <c r="B150" s="14" t="str">
        <f>[2]หน้าผ้า!B159</f>
        <v>MK68-000852</v>
      </c>
      <c r="C150" s="9" t="str">
        <f>[2]หน้าผ้า!E159</f>
        <v>คุณวัลภา เผ่าเต็ม</v>
      </c>
      <c r="D150" s="13" t="str">
        <f>[2]หน้าผ้า!F159</f>
        <v>ใบเตย</v>
      </c>
      <c r="E150" s="9">
        <f>[2]หน้าผ้า!G159</f>
        <v>23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85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</v>
      </c>
      <c r="T150" s="12">
        <f>[2]หน้าผ้า!X159</f>
        <v>45852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0</v>
      </c>
      <c r="Y150" s="10">
        <f>[2]หน้าผ้า!AN159</f>
        <v>5250</v>
      </c>
      <c r="Z150" s="9" t="str">
        <f>[2]หน้าผ้า!AO159</f>
        <v>WSWT2321750</v>
      </c>
      <c r="AA150" s="8">
        <f>[2]หน้าผ้า!AQ159</f>
        <v>5378.4500000000007</v>
      </c>
      <c r="AB150" s="8">
        <f>[2]หน้าผ้า!AR159</f>
        <v>0</v>
      </c>
      <c r="AC150" s="8">
        <f>[2]หน้าผ้า!AS159</f>
        <v>5378.4500000000007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พร้อมส่ง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45852</v>
      </c>
      <c r="AK150" s="3">
        <f>[2]หน้าผ้า!DQ159</f>
        <v>0</v>
      </c>
      <c r="AL150" s="3">
        <f>[2]หน้าผ้า!DR159</f>
        <v>45843</v>
      </c>
      <c r="AM150" s="3">
        <f>[2]หน้าผ้า!DS159</f>
        <v>45850</v>
      </c>
      <c r="AN150" s="3">
        <f>[2]หน้าผ้า!DT159</f>
        <v>45851</v>
      </c>
      <c r="AO150" s="3">
        <f>[2]หน้าผ้า!DU159</f>
        <v>45851</v>
      </c>
      <c r="AP150" s="3">
        <f>[2]หน้าผ้า!DP159</f>
        <v>45847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>รอART</v>
      </c>
      <c r="AY150" s="2" t="str">
        <f>[2]หน้าผ้า!AG159</f>
        <v>12/7เย็น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WRWT21750/WRWT21750</v>
      </c>
      <c r="BD150" s="56">
        <f>[2]หน้าผ้า!CA159</f>
        <v>474.2000083333333</v>
      </c>
    </row>
    <row r="151" spans="1:56" ht="27.75" customHeight="1" x14ac:dyDescent="0.45">
      <c r="A151" s="3">
        <f>[2]หน้าผ้า!C160</f>
        <v>45727</v>
      </c>
      <c r="B151" s="14" t="str">
        <f>[2]หน้าผ้า!B160</f>
        <v>MK68-000378</v>
      </c>
      <c r="C151" s="9" t="str">
        <f>[2]หน้าผ้า!E160</f>
        <v>บจก.แอมโก้เวท</v>
      </c>
      <c r="D151" s="13" t="str">
        <f>[2]หน้าผ้า!F160</f>
        <v>ไม่พิมพ์</v>
      </c>
      <c r="E151" s="9">
        <f>[2]หน้าผ้า!G160</f>
        <v>23</v>
      </c>
      <c r="F151" s="9">
        <f>[2]หน้าผ้า!H160</f>
        <v>40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125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จับจีบ4"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1000</v>
      </c>
      <c r="V151" s="10">
        <f>[2]หน้าผ้า!AJ160</f>
        <v>0</v>
      </c>
      <c r="W151" s="10">
        <f>[2]หน้าผ้า!AL160</f>
        <v>1000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WSWT2321750</v>
      </c>
      <c r="AA151" s="8">
        <f>[2]หน้าผ้า!AQ160</f>
        <v>1159.5100000000002</v>
      </c>
      <c r="AB151" s="8">
        <f>[2]หน้าผ้า!AR160</f>
        <v>1159.5100000000002</v>
      </c>
      <c r="AC151" s="8">
        <f>[2]หน้าผ้า!AS160</f>
        <v>0</v>
      </c>
      <c r="AD151" s="8">
        <f>[2]หน้าผ้า!AT160</f>
        <v>1159.5100000000002</v>
      </c>
      <c r="AE151" s="8">
        <f>[2]หน้าผ้า!AU160</f>
        <v>0</v>
      </c>
      <c r="AF151" s="8" t="str">
        <f>[2]หน้าผ้า!AI160</f>
        <v>ห้ามขาด-เกินได้5%</v>
      </c>
      <c r="AG151" s="1" t="str">
        <f>[3]หน้าผ้า!DC163</f>
        <v>พร้อมส่ง</v>
      </c>
      <c r="AH151" s="1" t="str">
        <f>[2]หน้าผ้า!DL160</f>
        <v>P11</v>
      </c>
      <c r="AI151" s="1">
        <f>[2]หน้าผ้า!DM160</f>
        <v>2</v>
      </c>
      <c r="AJ151" s="3" t="str">
        <f>[2]หน้าผ้า!DN160</f>
        <v>รอแจ้ง</v>
      </c>
      <c r="AK151" s="3" t="e">
        <f>[2]หน้าผ้า!DQ160</f>
        <v>#VALUE!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งานเคลือบ+ตัด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WRWT21750/WRWT21750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>
        <f>[2]หน้าผ้า!F161</f>
        <v>0</v>
      </c>
      <c r="E152" s="9">
        <f>[2]หน้าผ้า!G161</f>
        <v>23</v>
      </c>
      <c r="F152" s="9">
        <f>[2]หน้าผ้า!H161</f>
        <v>37</v>
      </c>
      <c r="G152" s="9">
        <f>[2]หน้าผ้า!I161</f>
        <v>0</v>
      </c>
      <c r="H152" s="9">
        <f>[2]หน้าผ้า!J161</f>
        <v>0</v>
      </c>
      <c r="I152" s="9">
        <f>[2]หน้าผ้า!L161</f>
        <v>85</v>
      </c>
      <c r="J152" s="9" t="str">
        <f>[2]หน้าผ้า!M161</f>
        <v>±</v>
      </c>
      <c r="K152" s="9">
        <f>[2]หน้าผ้า!N161</f>
        <v>5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WSWT2321750</v>
      </c>
      <c r="AA152" s="8">
        <f>[2]หน้าผ้า!AQ161</f>
        <v>17294.86</v>
      </c>
      <c r="AB152" s="8">
        <f>[2]หน้าผ้า!AR161</f>
        <v>8486.51</v>
      </c>
      <c r="AC152" s="8">
        <f>[2]หน้าผ้า!AS161</f>
        <v>8808.3500000000022</v>
      </c>
      <c r="AD152" s="8">
        <f>[2]หน้าผ้า!AT161</f>
        <v>1159.5100000000002</v>
      </c>
      <c r="AE152" s="8">
        <f>[2]หน้าผ้า!AU161</f>
        <v>0</v>
      </c>
      <c r="AF152" s="8" t="str">
        <f>[2]หน้าผ้า!AI161</f>
        <v>ระบุในSD</v>
      </c>
      <c r="AG152" s="1" t="str">
        <f>[3]หน้าผ้า!DC164</f>
        <v>พร้อมส่ง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WRWT230750/WRWT21750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23</v>
      </c>
      <c r="F153" s="9">
        <f>[2]หน้าผ้า!H162</f>
        <v>34</v>
      </c>
      <c r="G153" s="9">
        <f>[2]หน้าผ้า!I162</f>
        <v>0</v>
      </c>
      <c r="H153" s="9">
        <f>[2]หน้าผ้า!J162</f>
        <v>0</v>
      </c>
      <c r="I153" s="9">
        <f>[2]หน้าผ้า!L162</f>
        <v>68</v>
      </c>
      <c r="J153" s="9" t="str">
        <f>[2]หน้าผ้า!M162</f>
        <v>±</v>
      </c>
      <c r="K153" s="9">
        <f>[2]หน้าผ้า!N162</f>
        <v>5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WSWTSCL1R042325650</v>
      </c>
      <c r="AA153" s="8" t="e">
        <f>[2]หน้าผ้า!AQ162</f>
        <v>#REF!</v>
      </c>
      <c r="AB153" s="8" t="e">
        <f>[2]หน้าผ้า!AR162</f>
        <v>#REF!</v>
      </c>
      <c r="AC153" s="8" t="e">
        <f>[2]หน้าผ้า!AS162</f>
        <v>#REF!</v>
      </c>
      <c r="AD153" s="8" t="e">
        <f>[2]หน้าผ้า!AT162</f>
        <v>#REF!</v>
      </c>
      <c r="AE153" s="8" t="e">
        <f>[2]หน้าผ้า!AU162</f>
        <v>#REF!</v>
      </c>
      <c r="AF153" s="8" t="str">
        <f>[2]หน้าผ้า!AI162</f>
        <v>ระบุในSD</v>
      </c>
      <c r="AG153" s="1" t="str">
        <f>[3]หน้าผ้า!DC165</f>
        <v>พร้อมส่ง</v>
      </c>
      <c r="AH153" s="1">
        <f>[2]หน้าผ้า!DL162</f>
        <v>0</v>
      </c>
      <c r="AI153" s="1" t="str">
        <f>[2]หน้าผ้า!DM162</f>
        <v>Lead time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WRWT230650/WRWT25680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0</v>
      </c>
      <c r="B154" s="14">
        <f>[2]หน้าผ้า!B163</f>
        <v>0</v>
      </c>
      <c r="C154" s="9">
        <f>[2]หน้าผ้า!E163</f>
        <v>0</v>
      </c>
      <c r="D154" s="13">
        <f>[2]หน้าผ้า!F163</f>
        <v>0</v>
      </c>
      <c r="E154" s="9">
        <f>[2]หน้าผ้า!G163</f>
        <v>23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90</v>
      </c>
      <c r="J154" s="9" t="str">
        <f>[2]หน้าผ้า!M163</f>
        <v>±</v>
      </c>
      <c r="K154" s="9">
        <f>[2]หน้าผ้า!N163</f>
        <v>5</v>
      </c>
      <c r="L154" s="9">
        <f>[2]หน้าผ้า!R163</f>
        <v>0</v>
      </c>
      <c r="M154" s="10">
        <f>[2]หน้าผ้า!T163</f>
        <v>0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>
        <f>[2]หน้าผ้า!Z163</f>
        <v>0</v>
      </c>
      <c r="T154" s="12">
        <f>[2]หน้าผ้า!X163</f>
        <v>0</v>
      </c>
      <c r="U154" s="11">
        <f>[2]หน้าผ้า!AA163</f>
        <v>0</v>
      </c>
      <c r="V154" s="10">
        <f>[2]หน้าผ้า!AJ163</f>
        <v>0</v>
      </c>
      <c r="W154" s="10">
        <f>[2]หน้าผ้า!AL163</f>
        <v>0</v>
      </c>
      <c r="X154" s="10">
        <f>[2]หน้าผ้า!AM163</f>
        <v>0</v>
      </c>
      <c r="Y154" s="10">
        <f>[2]หน้าผ้า!AN163</f>
        <v>0</v>
      </c>
      <c r="Z154" s="9" t="str">
        <f>[2]หน้าผ้า!AO163</f>
        <v>WSWT2325800SM</v>
      </c>
      <c r="AA154" s="8" t="e">
        <f>[2]หน้าผ้า!AQ163</f>
        <v>#REF!</v>
      </c>
      <c r="AB154" s="8" t="e">
        <f>[2]หน้าผ้า!AR163</f>
        <v>#REF!</v>
      </c>
      <c r="AC154" s="8" t="e">
        <f>[2]หน้าผ้า!AS163</f>
        <v>#REF!</v>
      </c>
      <c r="AD154" s="8" t="e">
        <f>[2]หน้าผ้า!AT163</f>
        <v>#REF!</v>
      </c>
      <c r="AE154" s="8" t="e">
        <f>[2]หน้าผ้า!AU163</f>
        <v>#REF!</v>
      </c>
      <c r="AF154" s="8" t="str">
        <f>[2]หน้าผ้า!AI163</f>
        <v>ระบุในSD</v>
      </c>
      <c r="AG154" s="1" t="str">
        <f>[3]หน้าผ้า!DC166</f>
        <v>พร้อมส่ง</v>
      </c>
      <c r="AH154" s="1">
        <f>[2]หน้าผ้า!DL163</f>
        <v>0</v>
      </c>
      <c r="AI154" s="1" t="str">
        <f>[2]หน้าผ้า!DM163</f>
        <v>Lead time</v>
      </c>
      <c r="AJ154" s="3">
        <f>[2]หน้าผ้า!DN163</f>
        <v>0</v>
      </c>
      <c r="AK154" s="3">
        <f>[2]หน้าผ้า!DQ163</f>
        <v>0</v>
      </c>
      <c r="AL154" s="3">
        <f>[2]หน้าผ้า!DR163</f>
        <v>0</v>
      </c>
      <c r="AM154" s="3">
        <f>[2]หน้าผ้า!DS163</f>
        <v>0</v>
      </c>
      <c r="AN154" s="3">
        <f>[2]หน้าผ้า!DT163</f>
        <v>0</v>
      </c>
      <c r="AO154" s="3">
        <f>[2]หน้าผ้า!DU163</f>
        <v>0</v>
      </c>
      <c r="AP154" s="3">
        <f>[2]หน้าผ้า!DP163</f>
        <v>0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>
        <f>[2]หน้าผ้า!EC163</f>
        <v>0</v>
      </c>
      <c r="AX154" s="2">
        <f>[2]หน้าผ้า!ED163</f>
        <v>0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WRWT21800/WRWT21800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0</v>
      </c>
      <c r="B155" s="14">
        <f>[2]หน้าผ้า!B164</f>
        <v>0</v>
      </c>
      <c r="C155" s="9">
        <f>[2]หน้าผ้า!E164</f>
        <v>0</v>
      </c>
      <c r="D155" s="13">
        <f>[2]หน้าผ้า!F164</f>
        <v>0</v>
      </c>
      <c r="E155" s="9">
        <f>[2]หน้าผ้า!G164</f>
        <v>23</v>
      </c>
      <c r="F155" s="9">
        <f>[2]หน้าผ้า!H164</f>
        <v>37</v>
      </c>
      <c r="G155" s="9">
        <f>[2]หน้าผ้า!I164</f>
        <v>0</v>
      </c>
      <c r="H155" s="9">
        <f>[2]หน้าผ้า!J164</f>
        <v>0</v>
      </c>
      <c r="I155" s="9">
        <f>[2]หน้าผ้า!L164</f>
        <v>120</v>
      </c>
      <c r="J155" s="9" t="str">
        <f>[2]หน้าผ้า!M164</f>
        <v>+</v>
      </c>
      <c r="K155" s="9">
        <f>[2]หน้าผ้า!N164</f>
        <v>5</v>
      </c>
      <c r="L155" s="9">
        <f>[2]หน้าผ้า!R164</f>
        <v>0</v>
      </c>
      <c r="M155" s="10">
        <f>[2]หน้าผ้า!T164</f>
        <v>0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>
        <f>[2]หน้าผ้า!Z164</f>
        <v>0</v>
      </c>
      <c r="T155" s="12">
        <f>[2]หน้าผ้า!X164</f>
        <v>0</v>
      </c>
      <c r="U155" s="11">
        <f>[2]หน้าผ้า!AA164</f>
        <v>0</v>
      </c>
      <c r="V155" s="10">
        <f>[2]หน้าผ้า!AJ164</f>
        <v>0</v>
      </c>
      <c r="W155" s="10">
        <f>[2]หน้าผ้า!AL164</f>
        <v>0</v>
      </c>
      <c r="X155" s="10">
        <f>[2]หน้าผ้า!AM164</f>
        <v>0</v>
      </c>
      <c r="Y155" s="10">
        <f>[2]หน้าผ้า!AN164</f>
        <v>0</v>
      </c>
      <c r="Z155" s="9" t="str">
        <f>[2]หน้าผ้า!AO164</f>
        <v>WSWT23211125120SMFX</v>
      </c>
      <c r="AA155" s="8" t="e">
        <f>[2]หน้าผ้า!AQ164</f>
        <v>#REF!</v>
      </c>
      <c r="AB155" s="8" t="e">
        <f>[2]หน้าผ้า!AR164</f>
        <v>#REF!</v>
      </c>
      <c r="AC155" s="8" t="e">
        <f>[2]หน้าผ้า!AS164</f>
        <v>#REF!</v>
      </c>
      <c r="AD155" s="8" t="e">
        <f>[2]หน้าผ้า!AT164</f>
        <v>#REF!</v>
      </c>
      <c r="AE155" s="8" t="e">
        <f>[2]หน้าผ้า!AU164</f>
        <v>#REF!</v>
      </c>
      <c r="AF155" s="8" t="str">
        <f>[2]หน้าผ้า!AI164</f>
        <v>ระบุในSD</v>
      </c>
      <c r="AG155" s="1" t="str">
        <f>[3]หน้าผ้า!DC167</f>
        <v>รอตัด</v>
      </c>
      <c r="AH155" s="1">
        <f>[2]หน้าผ้า!DL164</f>
        <v>0</v>
      </c>
      <c r="AI155" s="1" t="str">
        <f>[2]หน้าผ้า!DM164</f>
        <v>Lead time</v>
      </c>
      <c r="AJ155" s="3">
        <f>[2]หน้าผ้า!DN164</f>
        <v>0</v>
      </c>
      <c r="AK155" s="3">
        <f>[2]หน้าผ้า!DQ164</f>
        <v>0</v>
      </c>
      <c r="AL155" s="3">
        <f>[2]หน้าผ้า!DR164</f>
        <v>0</v>
      </c>
      <c r="AM155" s="3">
        <f>[2]หน้าผ้า!DS164</f>
        <v>0</v>
      </c>
      <c r="AN155" s="3">
        <f>[2]หน้าผ้า!DT164</f>
        <v>0</v>
      </c>
      <c r="AO155" s="3">
        <f>[2]หน้าผ้า!DU164</f>
        <v>0</v>
      </c>
      <c r="AP155" s="3">
        <f>[2]หน้าผ้า!DP164</f>
        <v>0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>
        <f>[2]หน้าผ้า!EC164</f>
        <v>0</v>
      </c>
      <c r="AX155" s="2">
        <f>[2]หน้าผ้า!ED164</f>
        <v>0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WROP2301125/WRBR21940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0</v>
      </c>
      <c r="B156" s="14">
        <f>[2]หน้าผ้า!B165</f>
        <v>0</v>
      </c>
      <c r="C156" s="9">
        <f>[2]หน้าผ้า!E165</f>
        <v>0</v>
      </c>
      <c r="D156" s="13" t="str">
        <f>[2]หน้าผ้า!F165</f>
        <v xml:space="preserve">  </v>
      </c>
      <c r="E156" s="9">
        <f>[2]หน้าผ้า!G165</f>
        <v>23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130</v>
      </c>
      <c r="J156" s="9" t="str">
        <f>[2]หน้าผ้า!M165</f>
        <v>+</v>
      </c>
      <c r="K156" s="9">
        <f>[2]หน้าผ้า!N165</f>
        <v>3</v>
      </c>
      <c r="L156" s="9">
        <f>[2]หน้าผ้า!R165</f>
        <v>0</v>
      </c>
      <c r="M156" s="10">
        <f>[2]หน้าผ้า!T165</f>
        <v>0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>
        <f>[2]หน้าผ้า!Z165</f>
        <v>0</v>
      </c>
      <c r="T156" s="12">
        <f>[2]หน้าผ้า!X165</f>
        <v>0</v>
      </c>
      <c r="U156" s="11">
        <f>[2]หน้าผ้า!AA165</f>
        <v>0</v>
      </c>
      <c r="V156" s="10">
        <f>[2]หน้าผ้า!AJ165</f>
        <v>0</v>
      </c>
      <c r="W156" s="10">
        <f>[2]หน้าผ้า!AL165</f>
        <v>0</v>
      </c>
      <c r="X156" s="10">
        <f>[2]หน้าผ้า!AM165</f>
        <v>0</v>
      </c>
      <c r="Y156" s="10">
        <f>[2]หน้าผ้า!AN165</f>
        <v>0</v>
      </c>
      <c r="Z156" s="9" t="str">
        <f>[2]หน้าผ้า!AO165</f>
        <v>WSWT23211125130</v>
      </c>
      <c r="AA156" s="8" t="e">
        <f>[2]หน้าผ้า!AQ165</f>
        <v>#REF!</v>
      </c>
      <c r="AB156" s="8" t="e">
        <f>[2]หน้าผ้า!AR165</f>
        <v>#REF!</v>
      </c>
      <c r="AC156" s="8" t="e">
        <f>[2]หน้าผ้า!AS165</f>
        <v>#REF!</v>
      </c>
      <c r="AD156" s="8" t="e">
        <f>[2]หน้าผ้า!AT165</f>
        <v>#REF!</v>
      </c>
      <c r="AE156" s="8" t="e">
        <f>[2]หน้าผ้า!AU165</f>
        <v>#REF!</v>
      </c>
      <c r="AF156" s="8" t="str">
        <f>[2]หน้าผ้า!AI165</f>
        <v>ระบุในSD</v>
      </c>
      <c r="AG156" s="1" t="str">
        <f>[3]หน้าผ้า!DC168</f>
        <v>พร้อมส่ง</v>
      </c>
      <c r="AH156" s="1">
        <f>[2]หน้าผ้า!DL165</f>
        <v>0</v>
      </c>
      <c r="AI156" s="1" t="str">
        <f>[2]หน้าผ้า!DM165</f>
        <v>Lead time</v>
      </c>
      <c r="AJ156" s="3">
        <f>[2]หน้าผ้า!DN165</f>
        <v>0</v>
      </c>
      <c r="AK156" s="3">
        <f>[2]หน้าผ้า!DQ165</f>
        <v>0</v>
      </c>
      <c r="AL156" s="3">
        <f>[2]หน้าผ้า!DR165</f>
        <v>0</v>
      </c>
      <c r="AM156" s="3">
        <f>[2]หน้าผ้า!DS165</f>
        <v>0</v>
      </c>
      <c r="AN156" s="3">
        <f>[2]หน้าผ้า!DT165</f>
        <v>0</v>
      </c>
      <c r="AO156" s="3">
        <f>[2]หน้าผ้า!DU165</f>
        <v>0</v>
      </c>
      <c r="AP156" s="3">
        <f>[2]หน้าผ้า!DP165</f>
        <v>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>
        <f>[2]หน้าผ้า!EC165</f>
        <v>0</v>
      </c>
      <c r="AX156" s="2">
        <f>[2]หน้าผ้า!ED165</f>
        <v>0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WRWT211125/WRWT251080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0</v>
      </c>
      <c r="B157" s="14">
        <f>[2]หน้าผ้า!B166</f>
        <v>0</v>
      </c>
      <c r="C157" s="9">
        <f>[2]หน้าผ้า!E166</f>
        <v>0</v>
      </c>
      <c r="D157" s="13">
        <f>[2]หน้าผ้า!F166</f>
        <v>0</v>
      </c>
      <c r="E157" s="9">
        <f>[2]หน้าผ้า!G166</f>
        <v>23</v>
      </c>
      <c r="F157" s="9">
        <f>[2]หน้าผ้า!H166</f>
        <v>37</v>
      </c>
      <c r="G157" s="9">
        <f>[2]หน้าผ้า!I166</f>
        <v>0</v>
      </c>
      <c r="H157" s="9">
        <f>[2]หน้าผ้า!J166</f>
        <v>0</v>
      </c>
      <c r="I157" s="9">
        <f>[2]หน้าผ้า!L166</f>
        <v>120</v>
      </c>
      <c r="J157" s="9" t="str">
        <f>[2]หน้าผ้า!M166</f>
        <v>±</v>
      </c>
      <c r="K157" s="9">
        <f>[2]หน้าผ้า!N166</f>
        <v>3</v>
      </c>
      <c r="L157" s="9">
        <f>[2]หน้าผ้า!R166</f>
        <v>0</v>
      </c>
      <c r="M157" s="10">
        <f>[2]หน้าผ้า!T166</f>
        <v>0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>
        <f>[2]หน้าผ้า!Z166</f>
        <v>0</v>
      </c>
      <c r="T157" s="12">
        <f>[2]หน้าผ้า!X166</f>
        <v>0</v>
      </c>
      <c r="U157" s="11">
        <f>[2]หน้าผ้า!AA166</f>
        <v>0</v>
      </c>
      <c r="V157" s="10">
        <f>[2]หน้าผ้า!AJ166</f>
        <v>0</v>
      </c>
      <c r="W157" s="10">
        <f>[2]หน้าผ้า!AL166</f>
        <v>0</v>
      </c>
      <c r="X157" s="10">
        <f>[2]หน้าผ้า!AM166</f>
        <v>0</v>
      </c>
      <c r="Y157" s="10">
        <f>[2]หน้าผ้า!AN166</f>
        <v>0</v>
      </c>
      <c r="Z157" s="9" t="str">
        <f>[2]หน้าผ้า!AO166</f>
        <v>WSWT2321112512051</v>
      </c>
      <c r="AA157" s="8" t="e">
        <f>[2]หน้าผ้า!AQ166</f>
        <v>#REF!</v>
      </c>
      <c r="AB157" s="8" t="e">
        <f>[2]หน้าผ้า!AR166</f>
        <v>#REF!</v>
      </c>
      <c r="AC157" s="8" t="e">
        <f>[2]หน้าผ้า!AS166</f>
        <v>#REF!</v>
      </c>
      <c r="AD157" s="8" t="e">
        <f>[2]หน้าผ้า!AT166</f>
        <v>#REF!</v>
      </c>
      <c r="AE157" s="8" t="e">
        <f>[2]หน้าผ้า!AU166</f>
        <v>#REF!</v>
      </c>
      <c r="AF157" s="8" t="str">
        <f>[2]หน้าผ้า!AI166</f>
        <v>ระบุในSD</v>
      </c>
      <c r="AG157" s="1" t="str">
        <f>[3]หน้าผ้า!DC169</f>
        <v>พร้อมส่ง</v>
      </c>
      <c r="AH157" s="1">
        <f>[2]หน้าผ้า!DL166</f>
        <v>0</v>
      </c>
      <c r="AI157" s="1" t="str">
        <f>[2]หน้าผ้า!DM166</f>
        <v>Lead time</v>
      </c>
      <c r="AJ157" s="3">
        <f>[2]หน้าผ้า!DN166</f>
        <v>0</v>
      </c>
      <c r="AK157" s="3">
        <f>[2]หน้าผ้า!DQ166</f>
        <v>0</v>
      </c>
      <c r="AL157" s="3">
        <f>[2]หน้าผ้า!DR166</f>
        <v>0</v>
      </c>
      <c r="AM157" s="3">
        <f>[2]หน้าผ้า!DS166</f>
        <v>0</v>
      </c>
      <c r="AN157" s="3">
        <f>[2]หน้าผ้า!DT166</f>
        <v>0</v>
      </c>
      <c r="AO157" s="3">
        <f>[2]หน้าผ้า!DU166</f>
        <v>0</v>
      </c>
      <c r="AP157" s="3">
        <f>[2]หน้าผ้า!DP166</f>
        <v>0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>
        <f>[2]หน้าผ้า!EC166</f>
        <v>0</v>
      </c>
      <c r="AX157" s="2">
        <f>[2]หน้าผ้า!ED166</f>
        <v>0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WRWT211125/WRWT21900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45601</v>
      </c>
      <c r="B158" s="14" t="str">
        <f>[2]หน้าผ้า!B167</f>
        <v>MK67-001490</v>
      </c>
      <c r="C158" s="9" t="str">
        <f>[2]หน้าผ้า!E167</f>
        <v>บจก.น้ำตาลทิพย์สุโขทัย</v>
      </c>
      <c r="D158" s="13" t="str">
        <f>[2]หน้าผ้า!F167</f>
        <v>Blue for Refine sugar</v>
      </c>
      <c r="E158" s="9">
        <f>[2]หน้าผ้า!G167</f>
        <v>23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130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>
        <f>[2]หน้าผ้า!T167</f>
        <v>24</v>
      </c>
      <c r="N158" s="9">
        <f>[2]หน้าผ้า!U167</f>
        <v>40</v>
      </c>
      <c r="O158" s="9">
        <f>[2]หน้าผ้า!V167</f>
        <v>55</v>
      </c>
      <c r="P158" s="10">
        <f>[2]หน้าผ้า!AB167</f>
        <v>113.49115882367998</v>
      </c>
      <c r="Q158" s="10">
        <f>[2]หน้าผ้า!AC167</f>
        <v>0</v>
      </c>
      <c r="R158" s="10">
        <f>[2]หน้าผ้า!AD167</f>
        <v>113.49115882367998</v>
      </c>
      <c r="S158" s="9" t="str">
        <f>[2]หน้าผ้า!Z167</f>
        <v>400แบน</v>
      </c>
      <c r="T158" s="12">
        <f>[2]หน้าผ้า!X167</f>
        <v>45842</v>
      </c>
      <c r="U158" s="11">
        <f>[2]หน้าผ้า!AA167</f>
        <v>51600</v>
      </c>
      <c r="V158" s="10">
        <f>[2]หน้าผ้า!AJ167</f>
        <v>48115</v>
      </c>
      <c r="W158" s="10">
        <f>[2]หน้าผ้า!AL167</f>
        <v>3485</v>
      </c>
      <c r="X158" s="10">
        <f>[2]หน้าผ้า!AM167</f>
        <v>55560</v>
      </c>
      <c r="Y158" s="10">
        <f>[2]หน้าผ้า!AN167</f>
        <v>0</v>
      </c>
      <c r="Z158" s="9" t="str">
        <f>[2]หน้าผ้า!AO167</f>
        <v>WSWT2321112512551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P9</v>
      </c>
      <c r="AI158" s="1">
        <f>[2]หน้าผ้า!DM167</f>
        <v>3</v>
      </c>
      <c r="AJ158" s="3">
        <f>[2]หน้าผ้า!DN167</f>
        <v>45842</v>
      </c>
      <c r="AK158" s="3">
        <f>[2]หน้าผ้า!DQ167</f>
        <v>0</v>
      </c>
      <c r="AL158" s="3">
        <f>[2]หน้าผ้า!DR167</f>
        <v>45832</v>
      </c>
      <c r="AM158" s="3">
        <f>[2]หน้าผ้า!DS167</f>
        <v>45839</v>
      </c>
      <c r="AN158" s="3">
        <f>[2]หน้าผ้า!DT167</f>
        <v>45840</v>
      </c>
      <c r="AO158" s="3">
        <f>[2]หน้าผ้า!DU167</f>
        <v>45840</v>
      </c>
      <c r="AP158" s="3">
        <f>[2]หน้าผ้า!DP167</f>
        <v>45837</v>
      </c>
      <c r="AQ158" s="3">
        <f>[2]หน้าผ้า!DW167</f>
        <v>45841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 t="str">
        <f>[2]หน้าผ้า!AG167</f>
        <v>ห้ามเกิน  3/7เย็น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WRWT211125/WRWT251030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45601</v>
      </c>
      <c r="B159" s="14" t="str">
        <f>[2]หน้าผ้า!B168</f>
        <v>MK67-001490</v>
      </c>
      <c r="C159" s="9" t="str">
        <f>[2]หน้าผ้า!E168</f>
        <v>บจก.น้ำตาลทิพย์สุโขทัย</v>
      </c>
      <c r="D159" s="13" t="str">
        <f>[2]หน้าผ้า!F168</f>
        <v>Green for white sugar</v>
      </c>
      <c r="E159" s="9">
        <f>[2]หน้าผ้า!G168</f>
        <v>23</v>
      </c>
      <c r="F159" s="9">
        <f>[2]หน้าผ้า!H168</f>
        <v>37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130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>
        <f>[2]หน้าผ้า!T168</f>
        <v>24</v>
      </c>
      <c r="N159" s="9">
        <f>[2]หน้าผ้า!U168</f>
        <v>40</v>
      </c>
      <c r="O159" s="9">
        <f>[2]หน้าผ้า!V168</f>
        <v>55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400แบน</v>
      </c>
      <c r="T159" s="12">
        <f>[2]หน้าผ้า!X168</f>
        <v>45852</v>
      </c>
      <c r="U159" s="11">
        <f>[2]หน้าผ้า!AA168</f>
        <v>50000</v>
      </c>
      <c r="V159" s="10">
        <f>[2]หน้าผ้า!AJ168</f>
        <v>50000</v>
      </c>
      <c r="W159" s="10">
        <f>[2]หน้าผ้า!AL168</f>
        <v>0</v>
      </c>
      <c r="X159" s="10">
        <f>[2]หน้าผ้า!AM168</f>
        <v>0</v>
      </c>
      <c r="Y159" s="10">
        <f>[2]หน้าผ้า!AN168</f>
        <v>0</v>
      </c>
      <c r="Z159" s="9" t="str">
        <f>[2]หน้าผ้า!AO168</f>
        <v>WSWT2321112512551VN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 t="str">
        <f>[2]หน้าผ้า!AI168</f>
        <v>สั่งเวียดนามสำเร็จรูปทั้งหมด</v>
      </c>
      <c r="AG159" s="1" t="str">
        <f>[3]หน้าผ้า!DC171</f>
        <v>ยังไม่ได้พิมพ์</v>
      </c>
      <c r="AH159" s="1" t="str">
        <f>[2]หน้าผ้า!DL168</f>
        <v>P9</v>
      </c>
      <c r="AI159" s="1">
        <f>[2]หน้าผ้า!DM168</f>
        <v>3</v>
      </c>
      <c r="AJ159" s="3">
        <f>[2]หน้าผ้า!DN168</f>
        <v>45852</v>
      </c>
      <c r="AK159" s="3">
        <f>[2]หน้าผ้า!DQ168</f>
        <v>0</v>
      </c>
      <c r="AL159" s="3">
        <f>[2]หน้าผ้า!DR168</f>
        <v>45842</v>
      </c>
      <c r="AM159" s="3">
        <f>[2]หน้าผ้า!DS168</f>
        <v>45849</v>
      </c>
      <c r="AN159" s="3">
        <f>[2]หน้าผ้า!DT168</f>
        <v>45850</v>
      </c>
      <c r="AO159" s="3">
        <f>[2]หน้าผ้า!DU168</f>
        <v>45850</v>
      </c>
      <c r="AP159" s="3">
        <f>[2]หน้าผ้า!DP168</f>
        <v>45847</v>
      </c>
      <c r="AQ159" s="3">
        <f>[2]หน้าผ้า!DW168</f>
        <v>45851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WRWT211125/WRWT251030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45601</v>
      </c>
      <c r="B160" s="14" t="str">
        <f>[2]หน้าผ้า!B169</f>
        <v>MK67-001490</v>
      </c>
      <c r="C160" s="9" t="str">
        <f>[2]หน้าผ้า!E169</f>
        <v>บจก.น้ำตาลทิพย์สุโขทัย</v>
      </c>
      <c r="D160" s="13" t="str">
        <f>[2]หน้าผ้า!F169</f>
        <v>Green for white sugar</v>
      </c>
      <c r="E160" s="9">
        <f>[2]หน้าผ้า!G169</f>
        <v>23</v>
      </c>
      <c r="F160" s="9">
        <f>[2]หน้าผ้า!H169</f>
        <v>37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130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>
        <f>[2]หน้าผ้า!T169</f>
        <v>24</v>
      </c>
      <c r="N160" s="9">
        <f>[2]หน้าผ้า!U169</f>
        <v>40</v>
      </c>
      <c r="O160" s="9">
        <f>[2]หน้าผ้า!V169</f>
        <v>55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400แบน</v>
      </c>
      <c r="T160" s="12">
        <f>[2]หน้าผ้า!X169</f>
        <v>45860</v>
      </c>
      <c r="U160" s="11">
        <f>[2]หน้าผ้า!AA169</f>
        <v>50000</v>
      </c>
      <c r="V160" s="10">
        <f>[2]หน้าผ้า!AJ169</f>
        <v>50000</v>
      </c>
      <c r="W160" s="10">
        <f>[2]หน้าผ้า!AL169</f>
        <v>0</v>
      </c>
      <c r="X160" s="10">
        <f>[2]หน้าผ้า!AM169</f>
        <v>0</v>
      </c>
      <c r="Y160" s="10">
        <f>[2]หน้าผ้า!AN169</f>
        <v>0</v>
      </c>
      <c r="Z160" s="9" t="str">
        <f>[2]หน้าผ้า!AO169</f>
        <v>WSWT2321112512551VN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 t="str">
        <f>[2]หน้าผ้า!AI169</f>
        <v>สั่งเวียดนามสำเร็จรูปทั้งหมด</v>
      </c>
      <c r="AG160" s="1" t="str">
        <f>[3]หน้าผ้า!DC172</f>
        <v>พร้อมส่ง</v>
      </c>
      <c r="AH160" s="1" t="str">
        <f>[2]หน้าผ้า!DL169</f>
        <v>P9</v>
      </c>
      <c r="AI160" s="1">
        <f>[2]หน้าผ้า!DM169</f>
        <v>3</v>
      </c>
      <c r="AJ160" s="3">
        <f>[2]หน้าผ้า!DN169</f>
        <v>45860</v>
      </c>
      <c r="AK160" s="3">
        <f>[2]หน้าผ้า!DQ169</f>
        <v>0</v>
      </c>
      <c r="AL160" s="3">
        <f>[2]หน้าผ้า!DR169</f>
        <v>45850</v>
      </c>
      <c r="AM160" s="3">
        <f>[2]หน้าผ้า!DS169</f>
        <v>45857</v>
      </c>
      <c r="AN160" s="3">
        <f>[2]หน้าผ้า!DT169</f>
        <v>45858</v>
      </c>
      <c r="AO160" s="3">
        <f>[2]หน้าผ้า!DU169</f>
        <v>45858</v>
      </c>
      <c r="AP160" s="3">
        <f>[2]หน้าผ้า!DP169</f>
        <v>45855</v>
      </c>
      <c r="AQ160" s="3">
        <f>[2]หน้าผ้า!DW169</f>
        <v>45859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45858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WRWT211125/WRWT251030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45601</v>
      </c>
      <c r="B161" s="14" t="str">
        <f>[2]หน้าผ้า!B170</f>
        <v>MK67-001490</v>
      </c>
      <c r="C161" s="9" t="str">
        <f>[2]หน้าผ้า!E170</f>
        <v>บจก.น้ำตาลทิพย์สุโขทัย</v>
      </c>
      <c r="D161" s="13" t="str">
        <f>[2]หน้าผ้า!F170</f>
        <v>Green for white sugar</v>
      </c>
      <c r="E161" s="9">
        <f>[2]หน้าผ้า!G170</f>
        <v>23</v>
      </c>
      <c r="F161" s="9">
        <f>[2]หน้าผ้า!H170</f>
        <v>37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130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>
        <f>[2]หน้าผ้า!T170</f>
        <v>24</v>
      </c>
      <c r="N161" s="9">
        <f>[2]หน้าผ้า!U170</f>
        <v>40</v>
      </c>
      <c r="O161" s="9">
        <f>[2]หน้าผ้า!V170</f>
        <v>55</v>
      </c>
      <c r="P161" s="10">
        <f>[2]หน้าผ้า!AB170</f>
        <v>1394.6549118458877</v>
      </c>
      <c r="Q161" s="10">
        <f>[2]หน้าผ้า!AC170</f>
        <v>0</v>
      </c>
      <c r="R161" s="10">
        <f>[2]หน้าผ้า!AD170</f>
        <v>1394.6549118458877</v>
      </c>
      <c r="S161" s="9" t="str">
        <f>[2]หน้าผ้า!Z170</f>
        <v>400แบน</v>
      </c>
      <c r="T161" s="12">
        <f>[2]หน้าผ้า!X170</f>
        <v>45868</v>
      </c>
      <c r="U161" s="11">
        <f>[2]หน้าผ้า!AA170</f>
        <v>45000</v>
      </c>
      <c r="V161" s="10">
        <f>[2]หน้าผ้า!AJ170</f>
        <v>2174</v>
      </c>
      <c r="W161" s="10">
        <f>[2]หน้าผ้า!AL170</f>
        <v>42826</v>
      </c>
      <c r="X161" s="10">
        <f>[2]หน้าผ้า!AM170</f>
        <v>0</v>
      </c>
      <c r="Y161" s="10">
        <f>[2]หน้าผ้า!AN170</f>
        <v>44967.3</v>
      </c>
      <c r="Z161" s="9" t="str">
        <f>[2]หน้าผ้า!AO170</f>
        <v>WSWT2321112512551</v>
      </c>
      <c r="AA161" s="8">
        <f>[2]หน้าผ้า!AQ170</f>
        <v>46067.499940000009</v>
      </c>
      <c r="AB161" s="8">
        <f>[2]หน้าผ้า!AR170</f>
        <v>46067.499940000009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 t="str">
        <f>[2]หน้าผ้า!AI170</f>
        <v>สั่งเวียดนามสำเร็จรูปทั้งหมด</v>
      </c>
      <c r="AG161" s="1" t="str">
        <f>[3]หน้าผ้า!DC173</f>
        <v>พร้อมส่ง</v>
      </c>
      <c r="AH161" s="1" t="str">
        <f>[2]หน้าผ้า!DL170</f>
        <v>P9</v>
      </c>
      <c r="AI161" s="1">
        <f>[2]หน้าผ้า!DM170</f>
        <v>3</v>
      </c>
      <c r="AJ161" s="3">
        <f>[2]หน้าผ้า!DN170</f>
        <v>45868</v>
      </c>
      <c r="AK161" s="3">
        <f>[2]หน้าผ้า!DQ170</f>
        <v>0</v>
      </c>
      <c r="AL161" s="3">
        <f>[2]หน้าผ้า!DR170</f>
        <v>45858</v>
      </c>
      <c r="AM161" s="3">
        <f>[2]หน้าผ้า!DS170</f>
        <v>45865</v>
      </c>
      <c r="AN161" s="3">
        <f>[2]หน้าผ้า!DT170</f>
        <v>45866</v>
      </c>
      <c r="AO161" s="3">
        <f>[2]หน้าผ้า!DU170</f>
        <v>45866</v>
      </c>
      <c r="AP161" s="3">
        <f>[2]หน้าผ้า!DP170</f>
        <v>45863</v>
      </c>
      <c r="AQ161" s="3">
        <f>[2]หน้าผ้า!DW170</f>
        <v>45867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45858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WRWT211125/WRWT251030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45601</v>
      </c>
      <c r="B162" s="14" t="str">
        <f>[2]หน้าผ้า!B171</f>
        <v>MK67-001490</v>
      </c>
      <c r="C162" s="9" t="str">
        <f>[2]หน้าผ้า!E171</f>
        <v>บจก.น้ำตาลทิพย์สุโขทัย</v>
      </c>
      <c r="D162" s="13" t="str">
        <f>[2]หน้าผ้า!F171</f>
        <v>Green for white sugar</v>
      </c>
      <c r="E162" s="9">
        <f>[2]หน้าผ้า!G171</f>
        <v>23</v>
      </c>
      <c r="F162" s="9">
        <f>[2]หน้าผ้า!H171</f>
        <v>37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130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>
        <f>[2]หน้าผ้า!T171</f>
        <v>24</v>
      </c>
      <c r="N162" s="9">
        <f>[2]หน้าผ้า!U171</f>
        <v>40</v>
      </c>
      <c r="O162" s="9">
        <f>[2]หน้าผ้า!V171</f>
        <v>55</v>
      </c>
      <c r="P162" s="10">
        <f>[2]หน้าผ้า!AB171</f>
        <v>14370.488259224063</v>
      </c>
      <c r="Q162" s="10">
        <f>[2]หน้าผ้า!AC171</f>
        <v>0</v>
      </c>
      <c r="R162" s="10">
        <f>[2]หน้าผ้า!AD171</f>
        <v>14370.488259224063</v>
      </c>
      <c r="S162" s="9" t="str">
        <f>[2]หน้าผ้า!Z171</f>
        <v>400แบน</v>
      </c>
      <c r="T162" s="12" t="str">
        <f>[2]หน้าผ้า!X171</f>
        <v>รอแจ้ง</v>
      </c>
      <c r="U162" s="11">
        <f>[2]หน้าผ้า!AA171</f>
        <v>441278</v>
      </c>
      <c r="V162" s="10">
        <f>[2]หน้าผ้า!AJ171</f>
        <v>0</v>
      </c>
      <c r="W162" s="10">
        <f>[2]หน้าผ้า!AL171</f>
        <v>441278</v>
      </c>
      <c r="X162" s="10">
        <f>[2]หน้าผ้า!AM171</f>
        <v>0</v>
      </c>
      <c r="Y162" s="10">
        <f>[2]หน้าผ้า!AN171</f>
        <v>463341.9</v>
      </c>
      <c r="Z162" s="9" t="str">
        <f>[2]หน้าผ้า!AO171</f>
        <v>WSWT2321112512551</v>
      </c>
      <c r="AA162" s="8">
        <f>[2]หน้าผ้า!AQ171</f>
        <v>474678.33182000002</v>
      </c>
      <c r="AB162" s="8">
        <f>[2]หน้าผ้า!AR171</f>
        <v>0</v>
      </c>
      <c r="AC162" s="8">
        <f>[2]หน้าผ้า!AS171</f>
        <v>474678.33182000002</v>
      </c>
      <c r="AD162" s="8">
        <f>[2]หน้าผ้า!AT171</f>
        <v>0</v>
      </c>
      <c r="AE162" s="8">
        <f>[2]หน้าผ้า!AU171</f>
        <v>0</v>
      </c>
      <c r="AF162" s="8" t="str">
        <f>[2]หน้าผ้า!AI171</f>
        <v>สั่งเวียดนามสำเร็จรูปทั้งหมด</v>
      </c>
      <c r="AG162" s="1" t="str">
        <f>[3]หน้าผ้า!DC174</f>
        <v>พร้อมส่ง</v>
      </c>
      <c r="AH162" s="1" t="str">
        <f>[2]หน้าผ้า!DL171</f>
        <v>P9</v>
      </c>
      <c r="AI162" s="1">
        <f>[2]หน้าผ้า!DM171</f>
        <v>3</v>
      </c>
      <c r="AJ162" s="3" t="str">
        <f>[2]หน้าผ้า!DN171</f>
        <v>รอแจ้ง</v>
      </c>
      <c r="AK162" s="3">
        <f>[2]หน้าผ้า!DQ171</f>
        <v>0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 t="e">
        <f>[2]หน้าผ้า!DW171</f>
        <v>#VALUE!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WRWT211125/WRWT251030</v>
      </c>
      <c r="BD162" s="56">
        <f>[2]หน้าผ้า!CA171</f>
        <v>60808.008422340245</v>
      </c>
    </row>
    <row r="163" spans="1:56" ht="27.75" customHeight="1" x14ac:dyDescent="0.45">
      <c r="A163" s="3">
        <f>[2]หน้าผ้า!C172</f>
        <v>0</v>
      </c>
      <c r="B163" s="14">
        <f>[2]หน้าผ้า!B172</f>
        <v>0</v>
      </c>
      <c r="C163" s="9">
        <f>[2]หน้าผ้า!E172</f>
        <v>0</v>
      </c>
      <c r="D163" s="13">
        <f>[2]หน้าผ้า!F172</f>
        <v>0</v>
      </c>
      <c r="E163" s="9">
        <f>[2]หน้าผ้า!G172</f>
        <v>23</v>
      </c>
      <c r="F163" s="9">
        <f>[2]หน้าผ้า!H172</f>
        <v>37</v>
      </c>
      <c r="G163" s="9">
        <f>[2]หน้าผ้า!I172</f>
        <v>0</v>
      </c>
      <c r="H163" s="9">
        <f>[2]หน้าผ้า!J172</f>
        <v>0</v>
      </c>
      <c r="I163" s="9">
        <f>[2]หน้าผ้า!L172</f>
        <v>128</v>
      </c>
      <c r="J163" s="9" t="str">
        <f>[2]หน้าผ้า!M172</f>
        <v>±</v>
      </c>
      <c r="K163" s="9">
        <f>[2]หน้าผ้า!N172</f>
        <v>5</v>
      </c>
      <c r="L163" s="9">
        <f>[2]หน้าผ้า!R172</f>
        <v>0</v>
      </c>
      <c r="M163" s="10">
        <f>[2]หน้าผ้า!T172</f>
        <v>0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>
        <f>[2]หน้าผ้า!Z172</f>
        <v>0</v>
      </c>
      <c r="T163" s="12">
        <f>[2]หน้าผ้า!X172</f>
        <v>0</v>
      </c>
      <c r="U163" s="11">
        <f>[2]หน้าผ้า!AA172</f>
        <v>0</v>
      </c>
      <c r="V163" s="10">
        <f>[2]หน้าผ้า!AJ172</f>
        <v>0</v>
      </c>
      <c r="W163" s="10">
        <f>[2]หน้าผ้า!AL172</f>
        <v>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WSWT2321112512551</v>
      </c>
      <c r="AA163" s="8">
        <f>[2]หน้าผ้า!AQ172</f>
        <v>520745.83176000003</v>
      </c>
      <c r="AB163" s="8">
        <f>[2]หน้าผ้า!AR172</f>
        <v>46067.499940000009</v>
      </c>
      <c r="AC163" s="8">
        <f>[2]หน้าผ้า!AS172</f>
        <v>474678.33182000002</v>
      </c>
      <c r="AD163" s="8">
        <f>[2]หน้าผ้า!AT172</f>
        <v>0</v>
      </c>
      <c r="AE163" s="8">
        <f>[2]หน้าผ้า!AU172</f>
        <v>0</v>
      </c>
      <c r="AF163" s="8" t="str">
        <f>[2]หน้าผ้า!AI172</f>
        <v>ระบุในSD</v>
      </c>
      <c r="AG163" s="1" t="str">
        <f>[3]หน้าผ้า!DC175</f>
        <v>พร้อมส่ง</v>
      </c>
      <c r="AH163" s="1">
        <f>[2]หน้าผ้า!DL172</f>
        <v>0</v>
      </c>
      <c r="AI163" s="1">
        <f>[2]หน้าผ้า!DM172</f>
        <v>0</v>
      </c>
      <c r="AJ163" s="3">
        <f>[2]หน้าผ้า!DN172</f>
        <v>0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0</v>
      </c>
      <c r="AP163" s="3">
        <f>[2]หน้าผ้า!DP172</f>
        <v>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>
        <f>[2]หน้าผ้า!EC172</f>
        <v>0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WRWT2301125/WRWT251030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0</v>
      </c>
      <c r="B164" s="14">
        <f>[2]หน้าผ้า!B173</f>
        <v>0</v>
      </c>
      <c r="C164" s="9">
        <f>[2]หน้าผ้า!E173</f>
        <v>0</v>
      </c>
      <c r="D164" s="13">
        <f>[2]หน้าผ้า!F173</f>
        <v>0</v>
      </c>
      <c r="E164" s="9">
        <f>[2]หน้าผ้า!G173</f>
        <v>24</v>
      </c>
      <c r="F164" s="9">
        <f>[2]หน้าผ้า!H173</f>
        <v>37</v>
      </c>
      <c r="G164" s="9">
        <f>[2]หน้าผ้า!I173</f>
        <v>0</v>
      </c>
      <c r="H164" s="9">
        <f>[2]หน้าผ้า!J173</f>
        <v>0</v>
      </c>
      <c r="I164" s="9">
        <f>[2]หน้าผ้า!L173</f>
        <v>120</v>
      </c>
      <c r="J164" s="9" t="str">
        <f>[2]หน้าผ้า!M173</f>
        <v>+</v>
      </c>
      <c r="K164" s="9">
        <f>[2]หน้าผ้า!N173</f>
        <v>3</v>
      </c>
      <c r="L164" s="9">
        <f>[2]หน้าผ้า!R173</f>
        <v>0</v>
      </c>
      <c r="M164" s="10">
        <f>[2]หน้าผ้า!T173</f>
        <v>0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>
        <f>[2]หน้าผ้า!Z173</f>
        <v>0</v>
      </c>
      <c r="T164" s="12">
        <f>[2]หน้าผ้า!X173</f>
        <v>0</v>
      </c>
      <c r="U164" s="11">
        <f>[2]หน้าผ้า!AA173</f>
        <v>0</v>
      </c>
      <c r="V164" s="10">
        <f>[2]หน้าผ้า!AJ173</f>
        <v>0</v>
      </c>
      <c r="W164" s="10">
        <f>[2]หน้าผ้า!AL173</f>
        <v>0</v>
      </c>
      <c r="X164" s="10">
        <f>[2]หน้าผ้า!AM173</f>
        <v>0</v>
      </c>
      <c r="Y164" s="10">
        <f>[2]หน้าผ้า!AN173</f>
        <v>0</v>
      </c>
      <c r="Z164" s="9" t="str">
        <f>[2]หน้าผ้า!AO173</f>
        <v>WSWT24211125120</v>
      </c>
      <c r="AA164" s="8" t="e">
        <f>[2]หน้าผ้า!AQ173</f>
        <v>#REF!</v>
      </c>
      <c r="AB164" s="8" t="e">
        <f>[2]หน้าผ้า!AR173</f>
        <v>#REF!</v>
      </c>
      <c r="AC164" s="8" t="e">
        <f>[2]หน้าผ้า!AS173</f>
        <v>#REF!</v>
      </c>
      <c r="AD164" s="8" t="e">
        <f>[2]หน้าผ้า!AT173</f>
        <v>#REF!</v>
      </c>
      <c r="AE164" s="8" t="e">
        <f>[2]หน้าผ้า!AU173</f>
        <v>#REF!</v>
      </c>
      <c r="AF164" s="8" t="str">
        <f>[2]หน้าผ้า!AI173</f>
        <v>ระบุในSD</v>
      </c>
      <c r="AG164" s="1" t="str">
        <f>[3]หน้าผ้า!DC176</f>
        <v>รอแบบ</v>
      </c>
      <c r="AH164" s="1">
        <f>[2]หน้าผ้า!DL173</f>
        <v>0</v>
      </c>
      <c r="AI164" s="1">
        <f>[2]หน้าผ้า!DM173</f>
        <v>0</v>
      </c>
      <c r="AJ164" s="3">
        <f>[2]หน้าผ้า!DN173</f>
        <v>0</v>
      </c>
      <c r="AK164" s="3">
        <f>[2]หน้าผ้า!DQ173</f>
        <v>0</v>
      </c>
      <c r="AL164" s="3">
        <f>[2]หน้าผ้า!DR173</f>
        <v>0</v>
      </c>
      <c r="AM164" s="3">
        <f>[2]หน้าผ้า!DS173</f>
        <v>0</v>
      </c>
      <c r="AN164" s="3">
        <f>[2]หน้าผ้า!DT173</f>
        <v>0</v>
      </c>
      <c r="AO164" s="3">
        <f>[2]หน้าผ้า!DU173</f>
        <v>0</v>
      </c>
      <c r="AP164" s="3">
        <f>[2]หน้าผ้า!DP173</f>
        <v>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>
        <f>[2]หน้าผ้า!EC173</f>
        <v>0</v>
      </c>
      <c r="AX164" s="2">
        <f>[2]หน้าผ้า!ED173</f>
        <v>0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WRWT2401125/WRWT25850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0</v>
      </c>
      <c r="B165" s="14">
        <f>[2]หน้าผ้า!B174</f>
        <v>0</v>
      </c>
      <c r="C165" s="9">
        <f>[2]หน้าผ้า!E174</f>
        <v>0</v>
      </c>
      <c r="D165" s="13" t="str">
        <f>[2]หน้าผ้า!F174</f>
        <v xml:space="preserve"> </v>
      </c>
      <c r="E165" s="9">
        <f>[2]หน้าผ้า!G174</f>
        <v>24</v>
      </c>
      <c r="F165" s="9">
        <f>[2]หน้าผ้า!H174</f>
        <v>37</v>
      </c>
      <c r="G165" s="9">
        <f>[2]หน้าผ้า!I174</f>
        <v>0</v>
      </c>
      <c r="H165" s="9">
        <f>[2]หน้าผ้า!J174</f>
        <v>0</v>
      </c>
      <c r="I165" s="9">
        <f>[2]หน้าผ้า!L174</f>
        <v>125</v>
      </c>
      <c r="J165" s="9" t="str">
        <f>[2]หน้าผ้า!M174</f>
        <v>+</v>
      </c>
      <c r="K165" s="9">
        <f>[2]หน้าผ้า!N174</f>
        <v>3</v>
      </c>
      <c r="L165" s="9">
        <f>[2]หน้าผ้า!R174</f>
        <v>0</v>
      </c>
      <c r="M165" s="10">
        <f>[2]หน้าผ้า!T174</f>
        <v>0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>
        <f>[2]หน้าผ้า!Z174</f>
        <v>0</v>
      </c>
      <c r="T165" s="12">
        <f>[2]หน้าผ้า!X174</f>
        <v>0</v>
      </c>
      <c r="U165" s="11">
        <f>[2]หน้าผ้า!AA174</f>
        <v>0</v>
      </c>
      <c r="V165" s="10">
        <f>[2]หน้าผ้า!AJ174</f>
        <v>0</v>
      </c>
      <c r="W165" s="10">
        <f>[2]หน้าผ้า!AL174</f>
        <v>0</v>
      </c>
      <c r="X165" s="10">
        <f>[2]หน้าผ้า!AM174</f>
        <v>0</v>
      </c>
      <c r="Y165" s="10">
        <f>[2]หน้าผ้า!AN174</f>
        <v>0</v>
      </c>
      <c r="Z165" s="9" t="str">
        <f>[2]หน้าผ้า!AO174</f>
        <v>WSWT2421112512551</v>
      </c>
      <c r="AA165" s="8" t="e">
        <f>[2]หน้าผ้า!AQ174</f>
        <v>#REF!</v>
      </c>
      <c r="AB165" s="8" t="e">
        <f>[2]หน้าผ้า!AR174</f>
        <v>#REF!</v>
      </c>
      <c r="AC165" s="8" t="e">
        <f>[2]หน้าผ้า!AS174</f>
        <v>#REF!</v>
      </c>
      <c r="AD165" s="8" t="e">
        <f>[2]หน้าผ้า!AT174</f>
        <v>#REF!</v>
      </c>
      <c r="AE165" s="8" t="e">
        <f>[2]หน้าผ้า!AU174</f>
        <v>#REF!</v>
      </c>
      <c r="AF165" s="8" t="str">
        <f>[2]หน้าผ้า!AI174</f>
        <v>ระบุในSD</v>
      </c>
      <c r="AG165" s="1" t="str">
        <f>[3]หน้าผ้า!DC177</f>
        <v>พร้อมส่ง</v>
      </c>
      <c r="AH165" s="1">
        <f>[2]หน้าผ้า!DL174</f>
        <v>0</v>
      </c>
      <c r="AI165" s="1" t="str">
        <f>[2]หน้าผ้า!DM174</f>
        <v>Lead time</v>
      </c>
      <c r="AJ165" s="3">
        <f>[2]หน้าผ้า!DN174</f>
        <v>0</v>
      </c>
      <c r="AK165" s="3">
        <f>[2]หน้าผ้า!DQ174</f>
        <v>0</v>
      </c>
      <c r="AL165" s="3">
        <f>[2]หน้าผ้า!DR174</f>
        <v>0</v>
      </c>
      <c r="AM165" s="3">
        <f>[2]หน้าผ้า!DS174</f>
        <v>0</v>
      </c>
      <c r="AN165" s="3">
        <f>[2]หน้าผ้า!DT174</f>
        <v>0</v>
      </c>
      <c r="AO165" s="3">
        <f>[2]หน้าผ้า!DU174</f>
        <v>0</v>
      </c>
      <c r="AP165" s="3">
        <f>[2]หน้าผ้า!DP174</f>
        <v>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>
        <f>[2]หน้าผ้า!EC174</f>
        <v>0</v>
      </c>
      <c r="AX165" s="2">
        <f>[2]หน้าผ้า!ED174</f>
        <v>0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WRWT2401125/WRWT25960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0</v>
      </c>
      <c r="B166" s="14">
        <f>[2]หน้าผ้า!B175</f>
        <v>0</v>
      </c>
      <c r="C166" s="9">
        <f>[2]หน้าผ้า!E175</f>
        <v>0</v>
      </c>
      <c r="D166" s="13">
        <f>[2]หน้าผ้า!F175</f>
        <v>0</v>
      </c>
      <c r="E166" s="9">
        <f>[2]หน้าผ้า!G175</f>
        <v>26</v>
      </c>
      <c r="F166" s="9">
        <f>[2]หน้าผ้า!H175</f>
        <v>38</v>
      </c>
      <c r="G166" s="9" t="str">
        <f>[2]หน้าผ้า!I175</f>
        <v>เหลือง</v>
      </c>
      <c r="H166" s="9">
        <f>[2]หน้าผ้า!J175</f>
        <v>0</v>
      </c>
      <c r="I166" s="9">
        <f>[2]หน้าผ้า!L175</f>
        <v>105</v>
      </c>
      <c r="J166" s="9" t="str">
        <f>[2]หน้าผ้า!M175</f>
        <v>±</v>
      </c>
      <c r="K166" s="9">
        <f>[2]หน้าผ้า!N175</f>
        <v>5</v>
      </c>
      <c r="L166" s="9">
        <f>[2]หน้าผ้า!R175</f>
        <v>0</v>
      </c>
      <c r="M166" s="10">
        <f>[2]หน้าผ้า!T175</f>
        <v>0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>
        <f>[2]หน้าผ้า!Z175</f>
        <v>0</v>
      </c>
      <c r="T166" s="12">
        <f>[2]หน้าผ้า!X175</f>
        <v>0</v>
      </c>
      <c r="U166" s="11">
        <f>[2]หน้าผ้า!AA175</f>
        <v>0</v>
      </c>
      <c r="V166" s="10">
        <f>[2]หน้าผ้า!AJ175</f>
        <v>0</v>
      </c>
      <c r="W166" s="10">
        <f>[2]หน้าผ้า!AL175</f>
        <v>0</v>
      </c>
      <c r="X166" s="10">
        <f>[2]หน้าผ้า!AM175</f>
        <v>0</v>
      </c>
      <c r="Y166" s="10">
        <f>[2]หน้าผ้า!AN175</f>
        <v>0</v>
      </c>
      <c r="Z166" s="9" t="str">
        <f>[2]หน้าผ้า!AO175</f>
        <v>WSYL2625850</v>
      </c>
      <c r="AA166" s="8" t="e">
        <f>[2]หน้าผ้า!AQ175</f>
        <v>#REF!</v>
      </c>
      <c r="AB166" s="8" t="e">
        <f>[2]หน้าผ้า!AR175</f>
        <v>#REF!</v>
      </c>
      <c r="AC166" s="8" t="e">
        <f>[2]หน้าผ้า!AS175</f>
        <v>#REF!</v>
      </c>
      <c r="AD166" s="8" t="e">
        <f>[2]หน้าผ้า!AT175</f>
        <v>#REF!</v>
      </c>
      <c r="AE166" s="8" t="e">
        <f>[2]หน้าผ้า!AU175</f>
        <v>#REF!</v>
      </c>
      <c r="AF166" s="8" t="str">
        <f>[2]หน้าผ้า!AI175</f>
        <v>ระบุในSD</v>
      </c>
      <c r="AG166" s="1" t="str">
        <f>[3]หน้าผ้า!DC178</f>
        <v>ผ้าขาว</v>
      </c>
      <c r="AH166" s="1">
        <f>[2]หน้าผ้า!DL175</f>
        <v>0</v>
      </c>
      <c r="AI166" s="1" t="str">
        <f>[2]หน้าผ้า!DM175</f>
        <v>Lead time</v>
      </c>
      <c r="AJ166" s="3">
        <f>[2]หน้าผ้า!DN175</f>
        <v>0</v>
      </c>
      <c r="AK166" s="3">
        <f>[2]หน้าผ้า!DQ175</f>
        <v>0</v>
      </c>
      <c r="AL166" s="3">
        <f>[2]หน้าผ้า!DR175</f>
        <v>0</v>
      </c>
      <c r="AM166" s="3">
        <f>[2]หน้าผ้า!DS175</f>
        <v>0</v>
      </c>
      <c r="AN166" s="3">
        <f>[2]หน้าผ้า!DT175</f>
        <v>0</v>
      </c>
      <c r="AO166" s="3">
        <f>[2]หน้าผ้า!DU175</f>
        <v>0</v>
      </c>
      <c r="AP166" s="3">
        <f>[2]หน้าผ้า!DP175</f>
        <v>0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>
        <f>[2]หน้าผ้า!EC175</f>
        <v>0</v>
      </c>
      <c r="AX166" s="2">
        <f>[2]หน้าผ้า!ED175</f>
        <v>0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WRYL25850/WRYL25850</v>
      </c>
      <c r="BD166" s="56">
        <f>[2]หน้าผ้า!CA175</f>
        <v>0</v>
      </c>
    </row>
    <row r="167" spans="1:56" ht="27.75" customHeight="1" x14ac:dyDescent="0.45">
      <c r="A167" s="3" t="str">
        <f>[2]หน้าผ้า!C176</f>
        <v>ประมาณการ</v>
      </c>
      <c r="B167" s="14" t="str">
        <f>[2]หน้าผ้า!B176</f>
        <v>ประมาณการ</v>
      </c>
      <c r="C167" s="9" t="str">
        <f>[2]หน้าผ้า!E176</f>
        <v>บจก.กบินทร์อินทรีย์</v>
      </c>
      <c r="D167" s="13" t="str">
        <f>[2]หน้าผ้า!F176</f>
        <v>รอแบบ</v>
      </c>
      <c r="E167" s="9">
        <f>[2]หน้าผ้า!G176</f>
        <v>26</v>
      </c>
      <c r="F167" s="9">
        <f>[2]หน้าผ้า!H176</f>
        <v>41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97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>
        <f>[2]หน้าผ้า!T176</f>
        <v>27</v>
      </c>
      <c r="N167" s="9">
        <f>[2]หน้าผ้า!U176</f>
        <v>43</v>
      </c>
      <c r="O167" s="9">
        <f>[2]หน้าผ้า!V176</f>
        <v>40</v>
      </c>
      <c r="P167" s="10">
        <f>[2]หน้าผ้า!AB176</f>
        <v>229.14349009919997</v>
      </c>
      <c r="Q167" s="10">
        <f>[2]หน้าผ้า!AC176</f>
        <v>0</v>
      </c>
      <c r="R167" s="10">
        <f>[2]หน้าผ้า!AD176</f>
        <v>229.14349009919997</v>
      </c>
      <c r="S167" s="9" t="str">
        <f>[2]หน้าผ้า!Z176</f>
        <v>300กระสอบ</v>
      </c>
      <c r="T167" s="12">
        <f>[2]หน้าผ้า!X176</f>
        <v>45868</v>
      </c>
      <c r="U167" s="11">
        <f>[2]หน้าผ้า!AA176</f>
        <v>8000</v>
      </c>
      <c r="V167" s="10">
        <f>[2]หน้าผ้า!AJ176</f>
        <v>0</v>
      </c>
      <c r="W167" s="10">
        <f>[2]หน้าผ้า!AL176</f>
        <v>8000</v>
      </c>
      <c r="X167" s="10">
        <f>[2]หน้าผ้า!AM176</f>
        <v>0</v>
      </c>
      <c r="Y167" s="10">
        <f>[2]หน้าผ้า!AN176</f>
        <v>8400</v>
      </c>
      <c r="Z167" s="9" t="str">
        <f>[2]หน้าผ้า!AO176</f>
        <v>WSWT2625650</v>
      </c>
      <c r="AA167" s="8">
        <f>[2]หน้าผ้า!AQ176</f>
        <v>9499.6</v>
      </c>
      <c r="AB167" s="8">
        <f>[2]หน้าผ้า!AR176</f>
        <v>0</v>
      </c>
      <c r="AC167" s="8">
        <f>[2]หน้าผ้า!AS176</f>
        <v>9499.6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P9</v>
      </c>
      <c r="AI167" s="1">
        <f>[2]หน้าผ้า!DM176</f>
        <v>3</v>
      </c>
      <c r="AJ167" s="3">
        <f>[2]หน้าผ้า!DN176</f>
        <v>45868</v>
      </c>
      <c r="AK167" s="3">
        <f>[2]หน้าผ้า!DQ176</f>
        <v>0</v>
      </c>
      <c r="AL167" s="3">
        <f>[2]หน้าผ้า!DR176</f>
        <v>45858</v>
      </c>
      <c r="AM167" s="3">
        <f>[2]หน้าผ้า!DS176</f>
        <v>45865</v>
      </c>
      <c r="AN167" s="3">
        <f>[2]หน้าผ้า!DT176</f>
        <v>45866</v>
      </c>
      <c r="AO167" s="3">
        <f>[2]หน้าผ้า!DU176</f>
        <v>45866</v>
      </c>
      <c r="AP167" s="3">
        <f>[2]หน้าผ้า!DP176</f>
        <v>45863</v>
      </c>
      <c r="AQ167" s="3">
        <f>[2]หน้าผ้า!DW176</f>
        <v>45867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>รอART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WRWT25650/WRWT25650</v>
      </c>
      <c r="BD167" s="56">
        <f>[2]หน้าผ้า!CA176</f>
        <v>767.03992444444452</v>
      </c>
    </row>
    <row r="168" spans="1:56" ht="27.75" customHeight="1" x14ac:dyDescent="0.45">
      <c r="A168" s="3">
        <f>[2]หน้าผ้า!C177</f>
        <v>0</v>
      </c>
      <c r="B168" s="14">
        <f>[2]หน้าผ้า!B177</f>
        <v>0</v>
      </c>
      <c r="C168" s="9">
        <f>[2]หน้าผ้า!E177</f>
        <v>0</v>
      </c>
      <c r="D168" s="13">
        <f>[2]หน้าผ้า!F177</f>
        <v>0</v>
      </c>
      <c r="E168" s="9">
        <f>[2]หน้าผ้า!G177</f>
        <v>26</v>
      </c>
      <c r="F168" s="9">
        <f>[2]หน้าผ้า!H177</f>
        <v>43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102</v>
      </c>
      <c r="J168" s="9" t="str">
        <f>[2]หน้าผ้า!M177</f>
        <v>±</v>
      </c>
      <c r="K168" s="9">
        <f>[2]หน้าผ้า!N177</f>
        <v>5</v>
      </c>
      <c r="L168" s="9">
        <f>[2]หน้าผ้า!R177</f>
        <v>0</v>
      </c>
      <c r="M168" s="10">
        <f>[2]หน้าผ้า!T177</f>
        <v>0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>
        <f>[2]หน้าผ้า!Z177</f>
        <v>0</v>
      </c>
      <c r="T168" s="12">
        <f>[2]หน้าผ้า!X177</f>
        <v>0</v>
      </c>
      <c r="U168" s="11">
        <f>[2]หน้าผ้า!AA177</f>
        <v>0</v>
      </c>
      <c r="V168" s="10">
        <f>[2]หน้าผ้า!AJ177</f>
        <v>0</v>
      </c>
      <c r="W168" s="10">
        <f>[2]หน้าผ้า!AL177</f>
        <v>0</v>
      </c>
      <c r="X168" s="10">
        <f>[2]หน้าผ้า!AM177</f>
        <v>0</v>
      </c>
      <c r="Y168" s="10">
        <f>[2]หน้าผ้า!AN177</f>
        <v>0</v>
      </c>
      <c r="Z168" s="9" t="str">
        <f>[2]หน้าผ้า!AO177</f>
        <v>WSWT2625650</v>
      </c>
      <c r="AA168" s="8">
        <f>[2]หน้าผ้า!AQ177</f>
        <v>9499.6</v>
      </c>
      <c r="AB168" s="8">
        <f>[2]หน้าผ้า!AR177</f>
        <v>0</v>
      </c>
      <c r="AC168" s="8">
        <f>[2]หน้าผ้า!AS177</f>
        <v>9499.6</v>
      </c>
      <c r="AD168" s="8">
        <f>[2]หน้าผ้า!AT177</f>
        <v>0</v>
      </c>
      <c r="AE168" s="8">
        <f>[2]หน้าผ้า!AU177</f>
        <v>0</v>
      </c>
      <c r="AF168" s="8" t="str">
        <f>[2]หน้าผ้า!AI177</f>
        <v>ระบุในSD</v>
      </c>
      <c r="AG168" s="1" t="str">
        <f>[3]หน้าผ้า!DC180</f>
        <v>พร้อมส่ง</v>
      </c>
      <c r="AH168" s="1">
        <f>[2]หน้าผ้า!DL177</f>
        <v>0</v>
      </c>
      <c r="AI168" s="1" t="str">
        <f>[2]หน้าผ้า!DM177</f>
        <v>Lead time</v>
      </c>
      <c r="AJ168" s="3">
        <f>[2]หน้าผ้า!DN177</f>
        <v>0</v>
      </c>
      <c r="AK168" s="3">
        <f>[2]หน้าผ้า!DQ177</f>
        <v>0</v>
      </c>
      <c r="AL168" s="3">
        <f>[2]หน้าผ้า!DR177</f>
        <v>0</v>
      </c>
      <c r="AM168" s="3">
        <f>[2]หน้าผ้า!DS177</f>
        <v>0</v>
      </c>
      <c r="AN168" s="3">
        <f>[2]หน้าผ้า!DT177</f>
        <v>0</v>
      </c>
      <c r="AO168" s="3">
        <f>[2]หน้าผ้า!DU177</f>
        <v>0</v>
      </c>
      <c r="AP168" s="3">
        <f>[2]หน้าผ้า!DP177</f>
        <v>0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>
        <f>[2]หน้าผ้า!EC177</f>
        <v>0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WRWT25650/WRWT25650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45839</v>
      </c>
      <c r="B169" s="14" t="str">
        <f>[2]หน้าผ้า!B178</f>
        <v>ใบรับคำสั่งซื้อ</v>
      </c>
      <c r="C169" s="9" t="str">
        <f>[2]หน้าผ้า!E178</f>
        <v>คุณธนนท์ อุทัยไพศาลวงศ์</v>
      </c>
      <c r="D169" s="13" t="str">
        <f>[2]หน้าผ้า!F178</f>
        <v>ไม่พิมพ์</v>
      </c>
      <c r="E169" s="9">
        <f>[2]หน้าผ้า!G178</f>
        <v>26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93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ไม่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>มัด100</v>
      </c>
      <c r="T169" s="12">
        <f>[2]หน้าผ้า!X178</f>
        <v>45847</v>
      </c>
      <c r="U169" s="11">
        <f>[2]หน้าผ้า!AA178</f>
        <v>10000</v>
      </c>
      <c r="V169" s="10">
        <f>[2]หน้าผ้า!AJ178</f>
        <v>0</v>
      </c>
      <c r="W169" s="10">
        <f>[2]หน้าผ้า!AL178</f>
        <v>10000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WSWT262575051</v>
      </c>
      <c r="AA169" s="8">
        <f>[2]หน้าผ้า!AQ178</f>
        <v>11315.7</v>
      </c>
      <c r="AB169" s="8">
        <f>[2]หน้าผ้า!AR178</f>
        <v>6000</v>
      </c>
      <c r="AC169" s="8">
        <f>[2]หน้าผ้า!AS178</f>
        <v>5315.7000000000007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พร้อมส่ง</v>
      </c>
      <c r="AH169" s="1" t="str">
        <f>[2]หน้าผ้า!DL178</f>
        <v>P3</v>
      </c>
      <c r="AI169" s="1">
        <f>[2]หน้าผ้า!DM178</f>
        <v>1</v>
      </c>
      <c r="AJ169" s="3">
        <f>[2]หน้าผ้า!DN178</f>
        <v>45847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45846</v>
      </c>
      <c r="AP169" s="3">
        <f>[2]หน้าผ้า!DP178</f>
        <v>45842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ตัด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WRWT25800/WRWT25650</v>
      </c>
      <c r="BD169" s="56">
        <f>[2]หน้าผ้า!CA178</f>
        <v>477.5861133333334</v>
      </c>
    </row>
    <row r="170" spans="1:56" ht="27.75" customHeight="1" x14ac:dyDescent="0.45">
      <c r="A170" s="3">
        <f>[2]หน้าผ้า!C179</f>
        <v>0</v>
      </c>
      <c r="B170" s="14">
        <f>[2]หน้าผ้า!B179</f>
        <v>0</v>
      </c>
      <c r="C170" s="9">
        <f>[2]หน้าผ้า!E179</f>
        <v>0</v>
      </c>
      <c r="D170" s="13">
        <f>[2]หน้าผ้า!F179</f>
        <v>0</v>
      </c>
      <c r="E170" s="9">
        <f>[2]หน้าผ้า!G179</f>
        <v>26</v>
      </c>
      <c r="F170" s="9">
        <f>[2]หน้าผ้า!H179</f>
        <v>43</v>
      </c>
      <c r="G170" s="9">
        <f>[2]หน้าผ้า!I179</f>
        <v>0</v>
      </c>
      <c r="H170" s="9">
        <f>[2]หน้าผ้า!J179</f>
        <v>0</v>
      </c>
      <c r="I170" s="9">
        <f>[2]หน้าผ้า!L179</f>
        <v>100</v>
      </c>
      <c r="J170" s="9" t="str">
        <f>[2]หน้าผ้า!M179</f>
        <v>±</v>
      </c>
      <c r="K170" s="9">
        <f>[2]หน้าผ้า!N179</f>
        <v>5</v>
      </c>
      <c r="L170" s="9">
        <f>[2]หน้าผ้า!R179</f>
        <v>0</v>
      </c>
      <c r="M170" s="10">
        <f>[2]หน้าผ้า!T179</f>
        <v>0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>
        <f>[2]หน้าผ้า!Z179</f>
        <v>0</v>
      </c>
      <c r="T170" s="12">
        <f>[2]หน้าผ้า!X179</f>
        <v>0</v>
      </c>
      <c r="U170" s="11">
        <f>[2]หน้าผ้า!AA179</f>
        <v>0</v>
      </c>
      <c r="V170" s="10">
        <f>[2]หน้าผ้า!AJ179</f>
        <v>0</v>
      </c>
      <c r="W170" s="10">
        <f>[2]หน้าผ้า!AL179</f>
        <v>0</v>
      </c>
      <c r="X170" s="10">
        <f>[2]หน้าผ้า!AM179</f>
        <v>0</v>
      </c>
      <c r="Y170" s="10">
        <f>[2]หน้าผ้า!AN179</f>
        <v>0</v>
      </c>
      <c r="Z170" s="9" t="str">
        <f>[2]หน้าผ้า!AO179</f>
        <v>WSWT262575051</v>
      </c>
      <c r="AA170" s="8">
        <f>[2]หน้าผ้า!AQ179</f>
        <v>11315.7</v>
      </c>
      <c r="AB170" s="8">
        <f>[2]หน้าผ้า!AR179</f>
        <v>6000</v>
      </c>
      <c r="AC170" s="8">
        <f>[2]หน้าผ้า!AS179</f>
        <v>5315.7000000000007</v>
      </c>
      <c r="AD170" s="8">
        <f>[2]หน้าผ้า!AT179</f>
        <v>0</v>
      </c>
      <c r="AE170" s="8">
        <f>[2]หน้าผ้า!AU179</f>
        <v>0</v>
      </c>
      <c r="AF170" s="8" t="str">
        <f>[2]หน้าผ้า!AI179</f>
        <v>ระบุในSD</v>
      </c>
      <c r="AG170" s="1" t="str">
        <f>[3]หน้าผ้า!DC182</f>
        <v>ผ้าขาว</v>
      </c>
      <c r="AH170" s="1">
        <f>[2]หน้าผ้า!DL179</f>
        <v>0</v>
      </c>
      <c r="AI170" s="1" t="str">
        <f>[2]หน้าผ้า!DM179</f>
        <v>Lead time</v>
      </c>
      <c r="AJ170" s="3">
        <f>[2]หน้าผ้า!DN179</f>
        <v>0</v>
      </c>
      <c r="AK170" s="3">
        <f>[2]หน้าผ้า!DQ179</f>
        <v>0</v>
      </c>
      <c r="AL170" s="3">
        <f>[2]หน้าผ้า!DR179</f>
        <v>0</v>
      </c>
      <c r="AM170" s="3">
        <f>[2]หน้าผ้า!DS179</f>
        <v>0</v>
      </c>
      <c r="AN170" s="3">
        <f>[2]หน้าผ้า!DT179</f>
        <v>0</v>
      </c>
      <c r="AO170" s="3">
        <f>[2]หน้าผ้า!DU179</f>
        <v>0</v>
      </c>
      <c r="AP170" s="3">
        <f>[2]หน้าผ้า!DP179</f>
        <v>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>
        <f>[2]หน้าผ้า!EC179</f>
        <v>0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WRWT25800/WRWT25650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26</v>
      </c>
      <c r="F171" s="9">
        <f>[2]หน้าผ้า!H180</f>
        <v>43</v>
      </c>
      <c r="G171" s="9">
        <f>[2]หน้าผ้า!I180</f>
        <v>0</v>
      </c>
      <c r="H171" s="9">
        <f>[2]หน้าผ้า!J180</f>
        <v>0</v>
      </c>
      <c r="I171" s="9">
        <f>[2]หน้าผ้า!L180</f>
        <v>113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WSWT2625700</v>
      </c>
      <c r="AA171" s="8" t="e">
        <f>[2]หน้าผ้า!AQ180</f>
        <v>#REF!</v>
      </c>
      <c r="AB171" s="8" t="e">
        <f>[2]หน้าผ้า!AR180</f>
        <v>#REF!</v>
      </c>
      <c r="AC171" s="8" t="e">
        <f>[2]หน้าผ้า!AS180</f>
        <v>#REF!</v>
      </c>
      <c r="AD171" s="8" t="e">
        <f>[2]หน้าผ้า!AT180</f>
        <v>#REF!</v>
      </c>
      <c r="AE171" s="8" t="e">
        <f>[2]หน้าผ้า!AU180</f>
        <v>#REF!</v>
      </c>
      <c r="AF171" s="8" t="str">
        <f>[2]หน้าผ้า!AI180</f>
        <v>ระบุในSD</v>
      </c>
      <c r="AG171" s="1" t="str">
        <f>[3]หน้าผ้า!DC183</f>
        <v>พร้อมส่ง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WRWT260800/WRWT25650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>
        <f>[2]หน้าผ้า!F181</f>
        <v>0</v>
      </c>
      <c r="E172" s="9">
        <f>[2]หน้าผ้า!G181</f>
        <v>26</v>
      </c>
      <c r="F172" s="9">
        <f>[2]หน้าผ้า!H181</f>
        <v>41</v>
      </c>
      <c r="G172" s="9">
        <f>[2]หน้าผ้า!I181</f>
        <v>0</v>
      </c>
      <c r="H172" s="9">
        <f>[2]หน้าผ้า!J181</f>
        <v>0</v>
      </c>
      <c r="I172" s="9">
        <f>[2]หน้าผ้า!L181</f>
        <v>90</v>
      </c>
      <c r="J172" s="9" t="str">
        <f>[2]หน้าผ้า!M181</f>
        <v>±</v>
      </c>
      <c r="K172" s="9">
        <f>[2]หน้าผ้า!N181</f>
        <v>5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WSWT2625800SM</v>
      </c>
      <c r="AA172" s="8" t="e">
        <f>[2]หน้าผ้า!AQ181</f>
        <v>#REF!</v>
      </c>
      <c r="AB172" s="8" t="e">
        <f>[2]หน้าผ้า!AR181</f>
        <v>#REF!</v>
      </c>
      <c r="AC172" s="8" t="e">
        <f>[2]หน้าผ้า!AS181</f>
        <v>#REF!</v>
      </c>
      <c r="AD172" s="8" t="e">
        <f>[2]หน้าผ้า!AT181</f>
        <v>#REF!</v>
      </c>
      <c r="AE172" s="8" t="e">
        <f>[2]หน้าผ้า!AU181</f>
        <v>#REF!</v>
      </c>
      <c r="AF172" s="8" t="str">
        <f>[2]หน้าผ้า!AI181</f>
        <v>ระบุในSD</v>
      </c>
      <c r="AG172" s="1" t="str">
        <f>[3]หน้าผ้า!DC184</f>
        <v>รอตัด</v>
      </c>
      <c r="AH172" s="1">
        <f>[2]หน้าผ้า!DL181</f>
        <v>0</v>
      </c>
      <c r="AI172" s="1" t="str">
        <f>[2]หน้าผ้า!DM181</f>
        <v>Lead time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WRWT260800/WRWT25650</v>
      </c>
      <c r="BD172" s="56">
        <f>[2]หน้าผ้า!CA181</f>
        <v>0</v>
      </c>
    </row>
    <row r="173" spans="1:56" ht="27.75" customHeight="1" x14ac:dyDescent="0.45">
      <c r="A173" s="3" t="str">
        <f>[2]หน้าผ้า!C182</f>
        <v>ประมาณการ</v>
      </c>
      <c r="B173" s="14" t="str">
        <f>[2]หน้าผ้า!B182</f>
        <v>ประมาณการ</v>
      </c>
      <c r="C173" s="9" t="str">
        <f>[2]หน้าผ้า!E182</f>
        <v>บจก.ที.ซี.ยูเนี่ยน อโกรเทค</v>
      </c>
      <c r="D173" s="13" t="str">
        <f>[2]หน้าผ้า!F182</f>
        <v>ไม่พิมพ์</v>
      </c>
      <c r="E173" s="9">
        <f>[2]หน้าผ้า!G182</f>
        <v>26</v>
      </c>
      <c r="F173" s="9">
        <f>[2]หน้าผ้า!H182</f>
        <v>43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116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ไม่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45868</v>
      </c>
      <c r="U173" s="11">
        <f>[2]หน้าผ้า!AA182</f>
        <v>10000</v>
      </c>
      <c r="V173" s="10">
        <f>[2]หน้าผ้า!AJ182</f>
        <v>0</v>
      </c>
      <c r="W173" s="10">
        <f>[2]หน้าผ้า!AL182</f>
        <v>10000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 xml:space="preserve">WSWT2625800 </v>
      </c>
      <c r="AA173" s="8">
        <f>[2]หน้าผ้า!AQ182</f>
        <v>12433.3</v>
      </c>
      <c r="AB173" s="8">
        <f>[2]หน้าผ้า!AR182</f>
        <v>12433.3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ผ้าขาว</v>
      </c>
      <c r="AH173" s="1" t="str">
        <f>[2]หน้าผ้า!DL182</f>
        <v>P3</v>
      </c>
      <c r="AI173" s="1">
        <f>[2]หน้าผ้า!DM182</f>
        <v>1</v>
      </c>
      <c r="AJ173" s="3">
        <f>[2]หน้าผ้า!DN182</f>
        <v>45868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45867</v>
      </c>
      <c r="AP173" s="3">
        <f>[2]หน้าผ้า!DP182</f>
        <v>45863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ตัด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WRWT25800/WRWT25800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0</v>
      </c>
      <c r="B174" s="14">
        <f>[2]หน้าผ้า!B183</f>
        <v>0</v>
      </c>
      <c r="C174" s="9">
        <f>[2]หน้าผ้า!E183</f>
        <v>0</v>
      </c>
      <c r="D174" s="13">
        <f>[2]หน้าผ้า!F183</f>
        <v>0</v>
      </c>
      <c r="E174" s="9">
        <f>[2]หน้าผ้า!G183</f>
        <v>26</v>
      </c>
      <c r="F174" s="9">
        <f>[2]หน้าผ้า!H183</f>
        <v>43</v>
      </c>
      <c r="G174" s="9">
        <f>[2]หน้าผ้า!I183</f>
        <v>0</v>
      </c>
      <c r="H174" s="9">
        <f>[2]หน้าผ้า!J183</f>
        <v>0</v>
      </c>
      <c r="I174" s="9">
        <f>[2]หน้าผ้า!L183</f>
        <v>116</v>
      </c>
      <c r="J174" s="9" t="str">
        <f>[2]หน้าผ้า!M183</f>
        <v>±</v>
      </c>
      <c r="K174" s="9">
        <f>[2]หน้าผ้า!N183</f>
        <v>5</v>
      </c>
      <c r="L174" s="9">
        <f>[2]หน้าผ้า!R183</f>
        <v>0</v>
      </c>
      <c r="M174" s="10">
        <f>[2]หน้าผ้า!T183</f>
        <v>0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>
        <f>[2]หน้าผ้า!Z183</f>
        <v>0</v>
      </c>
      <c r="T174" s="12">
        <f>[2]หน้าผ้า!X183</f>
        <v>0</v>
      </c>
      <c r="U174" s="11">
        <f>[2]หน้าผ้า!AA183</f>
        <v>0</v>
      </c>
      <c r="V174" s="10">
        <f>[2]หน้าผ้า!AJ183</f>
        <v>0</v>
      </c>
      <c r="W174" s="10">
        <f>[2]หน้าผ้า!AL183</f>
        <v>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 xml:space="preserve">WSWT2625800 </v>
      </c>
      <c r="AA174" s="8">
        <f>[2]หน้าผ้า!AQ183</f>
        <v>12433.3</v>
      </c>
      <c r="AB174" s="8">
        <f>[2]หน้าผ้า!AR183</f>
        <v>12433.3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 t="str">
        <f>[2]หน้าผ้า!AI183</f>
        <v>ระบุในSD</v>
      </c>
      <c r="AG174" s="1" t="str">
        <f>[3]หน้าผ้า!DC186</f>
        <v>ยังไม่ได้พิมพ์</v>
      </c>
      <c r="AH174" s="1">
        <f>[2]หน้าผ้า!DL183</f>
        <v>0</v>
      </c>
      <c r="AI174" s="1" t="str">
        <f>[2]หน้าผ้า!DM183</f>
        <v>Lead time</v>
      </c>
      <c r="AJ174" s="3">
        <f>[2]หน้าผ้า!DN183</f>
        <v>0</v>
      </c>
      <c r="AK174" s="3">
        <f>[2]หน้าผ้า!DQ183</f>
        <v>0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>
        <f>[2]หน้าผ้า!DU183</f>
        <v>0</v>
      </c>
      <c r="AP174" s="3">
        <f>[2]หน้าผ้า!DP183</f>
        <v>0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>
        <f>[2]หน้าผ้า!EC183</f>
        <v>0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WRWT260800/WRWT25800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45835</v>
      </c>
      <c r="B175" s="14" t="str">
        <f>[2]หน้าผ้า!B184</f>
        <v>MK68-000839</v>
      </c>
      <c r="C175" s="9" t="str">
        <f>[2]หน้าผ้า!E184</f>
        <v>บจก.ที.ซี.ยูเนี่ยน อโกรเทค</v>
      </c>
      <c r="D175" s="13" t="str">
        <f>[2]หน้าผ้า!F184</f>
        <v>TUNA MEAL MARIN TRUST</v>
      </c>
      <c r="E175" s="9">
        <f>[2]หน้าผ้า!G184</f>
        <v>26</v>
      </c>
      <c r="F175" s="9">
        <f>[2]หน้าผ้า!H184</f>
        <v>43</v>
      </c>
      <c r="G175" s="9" t="str">
        <f>[2]หน้าผ้า!I184</f>
        <v>ขาว</v>
      </c>
      <c r="H175" s="9" t="str">
        <f>[2]หน้าผ้า!J184</f>
        <v>ใส</v>
      </c>
      <c r="I175" s="9">
        <f>[2]หน้าผ้า!L184</f>
        <v>150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45846</v>
      </c>
      <c r="U175" s="11">
        <f>[2]หน้าผ้า!AA184</f>
        <v>10000</v>
      </c>
      <c r="V175" s="10">
        <f>[2]หน้าผ้า!AJ184</f>
        <v>7386</v>
      </c>
      <c r="W175" s="10">
        <f>[2]หน้าผ้า!AL184</f>
        <v>2614</v>
      </c>
      <c r="X175" s="10">
        <f>[2]หน้าผ้า!AM184</f>
        <v>12414</v>
      </c>
      <c r="Y175" s="10">
        <f>[2]หน้าผ้า!AN184</f>
        <v>0</v>
      </c>
      <c r="Z175" s="9" t="str">
        <f>[2]หน้าผ้า!AO184</f>
        <v>WSWT2625850SM</v>
      </c>
      <c r="AA175" s="8">
        <f>[2]หน้าผ้า!AQ184</f>
        <v>0</v>
      </c>
      <c r="AB175" s="8">
        <f>[2]หน้าผ้า!AR184</f>
        <v>0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0</v>
      </c>
      <c r="AF175" s="8" t="str">
        <f>[2]หน้าผ้า!AI184</f>
        <v>ห้ามขาด-เกินได้5%</v>
      </c>
      <c r="AG175" s="1" t="str">
        <f>[3]หน้าผ้า!DC187</f>
        <v>ยังไม่ได้พิมพ์</v>
      </c>
      <c r="AH175" s="1" t="str">
        <f>[2]หน้าผ้า!DL184</f>
        <v>P6</v>
      </c>
      <c r="AI175" s="1">
        <f>[2]หน้าผ้า!DM184</f>
        <v>4</v>
      </c>
      <c r="AJ175" s="3">
        <f>[2]หน้าผ้า!DN184</f>
        <v>45846</v>
      </c>
      <c r="AK175" s="3">
        <f>[2]หน้าผ้า!DQ184</f>
        <v>45842</v>
      </c>
      <c r="AL175" s="3">
        <f>[2]หน้าผ้า!DR184</f>
        <v>45835</v>
      </c>
      <c r="AM175" s="3">
        <f>[2]หน้าผ้า!DS184</f>
        <v>45843</v>
      </c>
      <c r="AN175" s="3">
        <f>[2]หน้าผ้า!DT184</f>
        <v>45844</v>
      </c>
      <c r="AO175" s="3">
        <f>[2]หน้าผ้า!DU184</f>
        <v>45845</v>
      </c>
      <c r="AP175" s="3">
        <f>[2]หน้าผ้า!DP184</f>
        <v>45841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WRWT25850/WRWT25850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45832</v>
      </c>
      <c r="B176" s="14" t="str">
        <f>[2]หน้าผ้า!B185</f>
        <v>MK68-000816</v>
      </c>
      <c r="C176" s="9" t="str">
        <f>[2]หน้าผ้า!E185</f>
        <v>บจก.ที.ซี.ยูเนี่ยน อโกรเทค</v>
      </c>
      <c r="D176" s="13" t="str">
        <f>[2]หน้าผ้า!F185</f>
        <v>ไม่พิมพ์</v>
      </c>
      <c r="E176" s="9">
        <f>[2]หน้าผ้า!G185</f>
        <v>26</v>
      </c>
      <c r="F176" s="9">
        <f>[2]หน้าผ้า!H185</f>
        <v>43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150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45847</v>
      </c>
      <c r="U176" s="11">
        <f>[2]หน้าผ้า!AA185</f>
        <v>15000</v>
      </c>
      <c r="V176" s="10">
        <f>[2]หน้าผ้า!AJ185</f>
        <v>0</v>
      </c>
      <c r="W176" s="10">
        <f>[2]หน้าผ้า!AL185</f>
        <v>15000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WSWT2625850SM</v>
      </c>
      <c r="AA176" s="8">
        <f>[2]หน้าผ้า!AQ185</f>
        <v>18649.949999999997</v>
      </c>
      <c r="AB176" s="8">
        <f>[2]หน้าผ้า!AR185</f>
        <v>9788</v>
      </c>
      <c r="AC176" s="8">
        <f>[2]หน้าผ้า!AS185</f>
        <v>8861.9499999999971</v>
      </c>
      <c r="AD176" s="8">
        <f>[2]หน้าผ้า!AT185</f>
        <v>0</v>
      </c>
      <c r="AE176" s="8">
        <f>[2]หน้าผ้า!AU185</f>
        <v>18649.949999999997</v>
      </c>
      <c r="AF176" s="8" t="str">
        <f>[2]หน้าผ้า!AI185</f>
        <v>ห้ามขาด-เกินได้5%</v>
      </c>
      <c r="AG176" s="1" t="str">
        <f>[3]หน้าผ้า!DC188</f>
        <v>ยังไม่ได้พิมพ์</v>
      </c>
      <c r="AH176" s="1" t="str">
        <f>[2]หน้าผ้า!DL185</f>
        <v>P11</v>
      </c>
      <c r="AI176" s="1">
        <f>[2]หน้าผ้า!DM185</f>
        <v>2</v>
      </c>
      <c r="AJ176" s="3">
        <f>[2]หน้าผ้า!DN185</f>
        <v>45847</v>
      </c>
      <c r="AK176" s="3">
        <f>[2]หน้าผ้า!DQ185</f>
        <v>45845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45846</v>
      </c>
      <c r="AP176" s="3">
        <f>[2]หน้าผ้า!DP185</f>
        <v>45842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งานเคลือบ+ตัด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WRWT25850/WRWT25850</v>
      </c>
      <c r="BD176" s="56">
        <f>[2]หน้าผ้า!CA185</f>
        <v>913.96244333333311</v>
      </c>
    </row>
    <row r="177" spans="1:56" ht="27.75" customHeight="1" x14ac:dyDescent="0.45">
      <c r="A177" s="3">
        <f>[2]หน้าผ้า!C186</f>
        <v>45832</v>
      </c>
      <c r="B177" s="14" t="str">
        <f>[2]หน้าผ้า!B186</f>
        <v>MK68-000817</v>
      </c>
      <c r="C177" s="9" t="str">
        <f>[2]หน้าผ้า!E186</f>
        <v>บจก.ที.ซี.ยูเนี่ยน อโกรเทค</v>
      </c>
      <c r="D177" s="13" t="str">
        <f>[2]หน้าผ้า!F186</f>
        <v>Zhejiang UN</v>
      </c>
      <c r="E177" s="9">
        <f>[2]หน้าผ้า!G186</f>
        <v>26</v>
      </c>
      <c r="F177" s="9">
        <f>[2]หน้าผ้า!H186</f>
        <v>43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150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45852</v>
      </c>
      <c r="U177" s="11">
        <f>[2]หน้าผ้า!AA186</f>
        <v>1500</v>
      </c>
      <c r="V177" s="10">
        <f>[2]หน้าผ้า!AJ186</f>
        <v>0</v>
      </c>
      <c r="W177" s="10">
        <f>[2]หน้าผ้า!AL186</f>
        <v>1500</v>
      </c>
      <c r="X177" s="10">
        <f>[2]หน้าผ้า!AM186</f>
        <v>0</v>
      </c>
      <c r="Y177" s="10">
        <f>[2]หน้าผ้า!AN186</f>
        <v>1575</v>
      </c>
      <c r="Z177" s="9" t="str">
        <f>[2]หน้าผ้า!AO186</f>
        <v>WSWT2625850SM</v>
      </c>
      <c r="AA177" s="8">
        <f>[2]หน้าผ้า!AQ186</f>
        <v>1864.9949999999999</v>
      </c>
      <c r="AB177" s="8">
        <f>[2]หน้าผ้า!AR186</f>
        <v>0</v>
      </c>
      <c r="AC177" s="8">
        <f>[2]หน้าผ้า!AS186</f>
        <v>1864.9949999999999</v>
      </c>
      <c r="AD177" s="8">
        <f>[2]หน้าผ้า!AT186</f>
        <v>0</v>
      </c>
      <c r="AE177" s="8">
        <f>[2]หน้าผ้า!AU186</f>
        <v>1864.9949999999999</v>
      </c>
      <c r="AF177" s="8">
        <f>[2]หน้าผ้า!AI186</f>
        <v>0</v>
      </c>
      <c r="AG177" s="1" t="str">
        <f>[3]หน้าผ้า!DC189</f>
        <v>รอแบบ</v>
      </c>
      <c r="AH177" s="1" t="str">
        <f>[2]หน้าผ้า!DL186</f>
        <v>P6</v>
      </c>
      <c r="AI177" s="1">
        <f>[2]หน้าผ้า!DM186</f>
        <v>4</v>
      </c>
      <c r="AJ177" s="3">
        <f>[2]หน้าผ้า!DN186</f>
        <v>45852</v>
      </c>
      <c r="AK177" s="3">
        <f>[2]หน้าผ้า!DQ186</f>
        <v>45848</v>
      </c>
      <c r="AL177" s="3">
        <f>[2]หน้าผ้า!DR186</f>
        <v>45841</v>
      </c>
      <c r="AM177" s="3">
        <f>[2]หน้าผ้า!DS186</f>
        <v>45849</v>
      </c>
      <c r="AN177" s="3">
        <f>[2]หน้าผ้า!DT186</f>
        <v>45850</v>
      </c>
      <c r="AO177" s="3">
        <f>[2]หน้าผ้า!DU186</f>
        <v>45851</v>
      </c>
      <c r="AP177" s="3">
        <f>[2]หน้าผ้า!DP186</f>
        <v>45847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WRWT25850/WRWT25850</v>
      </c>
      <c r="BD177" s="56">
        <f>[2]หน้าผ้า!CA186</f>
        <v>192.34315100000001</v>
      </c>
    </row>
    <row r="178" spans="1:56" ht="27.75" customHeight="1" x14ac:dyDescent="0.45">
      <c r="A178" s="3">
        <f>[2]หน้าผ้า!C187</f>
        <v>45832</v>
      </c>
      <c r="B178" s="14" t="str">
        <f>[2]หน้าผ้า!B187</f>
        <v>MK68-000818</v>
      </c>
      <c r="C178" s="9" t="str">
        <f>[2]หน้าผ้า!E187</f>
        <v>บจก.ที.ซี.ยูเนี่ยน อโกรเทค</v>
      </c>
      <c r="D178" s="13" t="str">
        <f>[2]หน้าผ้า!F187</f>
        <v>Zhejiang UN</v>
      </c>
      <c r="E178" s="9">
        <f>[2]หน้าผ้า!G187</f>
        <v>26</v>
      </c>
      <c r="F178" s="9">
        <f>[2]หน้าผ้า!H187</f>
        <v>43</v>
      </c>
      <c r="G178" s="9" t="str">
        <f>[2]หน้าผ้า!I187</f>
        <v>ขาว</v>
      </c>
      <c r="H178" s="9" t="str">
        <f>[2]หน้าผ้า!J187</f>
        <v>ใส</v>
      </c>
      <c r="I178" s="9">
        <f>[2]หน้าผ้า!L187</f>
        <v>150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45852</v>
      </c>
      <c r="U178" s="11">
        <f>[2]หน้าผ้า!AA187</f>
        <v>30000</v>
      </c>
      <c r="V178" s="10">
        <f>[2]หน้าผ้า!AJ187</f>
        <v>0</v>
      </c>
      <c r="W178" s="10">
        <f>[2]หน้าผ้า!AL187</f>
        <v>30000</v>
      </c>
      <c r="X178" s="10">
        <f>[2]หน้าผ้า!AM187</f>
        <v>0</v>
      </c>
      <c r="Y178" s="10">
        <f>[2]หน้าผ้า!AN187</f>
        <v>31500</v>
      </c>
      <c r="Z178" s="9" t="str">
        <f>[2]หน้าผ้า!AO187</f>
        <v>WSWT2625850SM</v>
      </c>
      <c r="AA178" s="8">
        <f>[2]หน้าผ้า!AQ187</f>
        <v>37299.899999999994</v>
      </c>
      <c r="AB178" s="8">
        <f>[2]หน้าผ้า!AR187</f>
        <v>0</v>
      </c>
      <c r="AC178" s="8">
        <f>[2]หน้าผ้า!AS187</f>
        <v>37299.899999999994</v>
      </c>
      <c r="AD178" s="8">
        <f>[2]หน้าผ้า!AT187</f>
        <v>0</v>
      </c>
      <c r="AE178" s="8">
        <f>[2]หน้าผ้า!AU187</f>
        <v>37299.899999999994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P6</v>
      </c>
      <c r="AI178" s="1">
        <f>[2]หน้าผ้า!DM187</f>
        <v>4</v>
      </c>
      <c r="AJ178" s="3">
        <f>[2]หน้าผ้า!DN187</f>
        <v>45852</v>
      </c>
      <c r="AK178" s="3">
        <f>[2]หน้าผ้า!DQ187</f>
        <v>45848</v>
      </c>
      <c r="AL178" s="3">
        <f>[2]หน้าผ้า!DR187</f>
        <v>45841</v>
      </c>
      <c r="AM178" s="3">
        <f>[2]หน้าผ้า!DS187</f>
        <v>45849</v>
      </c>
      <c r="AN178" s="3">
        <f>[2]หน้าผ้า!DT187</f>
        <v>45850</v>
      </c>
      <c r="AO178" s="3">
        <f>[2]หน้าผ้า!DU187</f>
        <v>45851</v>
      </c>
      <c r="AP178" s="3">
        <f>[2]หน้าผ้า!DP187</f>
        <v>45847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งานเคลือบ+พิมพ์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WRWT25850/WRWT25850</v>
      </c>
      <c r="BD178" s="56">
        <f>[2]หน้าผ้า!CA187</f>
        <v>3846.8630200000002</v>
      </c>
    </row>
    <row r="179" spans="1:56" ht="27.75" customHeight="1" x14ac:dyDescent="0.45">
      <c r="A179" s="3">
        <f>[2]หน้าผ้า!C188</f>
        <v>45832</v>
      </c>
      <c r="B179" s="14" t="str">
        <f>[2]หน้าผ้า!B188</f>
        <v>MK68-000819</v>
      </c>
      <c r="C179" s="9" t="str">
        <f>[2]หน้าผ้า!E188</f>
        <v>บจก.ที.ซี.ยูเนี่ยน อโกรเทค</v>
      </c>
      <c r="D179" s="13" t="str">
        <f>[2]หน้าผ้า!F188</f>
        <v>Zhejiang UN</v>
      </c>
      <c r="E179" s="9">
        <f>[2]หน้าผ้า!G188</f>
        <v>26</v>
      </c>
      <c r="F179" s="9">
        <f>[2]หน้าผ้า!H188</f>
        <v>43</v>
      </c>
      <c r="G179" s="9" t="str">
        <f>[2]หน้าผ้า!I188</f>
        <v>ขาว</v>
      </c>
      <c r="H179" s="9" t="str">
        <f>[2]หน้าผ้า!J188</f>
        <v>ใส</v>
      </c>
      <c r="I179" s="9">
        <f>[2]หน้าผ้า!L188</f>
        <v>150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45863</v>
      </c>
      <c r="U179" s="11">
        <f>[2]หน้าผ้า!AA188</f>
        <v>30000</v>
      </c>
      <c r="V179" s="10">
        <f>[2]หน้าผ้า!AJ188</f>
        <v>0</v>
      </c>
      <c r="W179" s="10">
        <f>[2]หน้าผ้า!AL188</f>
        <v>30000</v>
      </c>
      <c r="X179" s="10">
        <f>[2]หน้าผ้า!AM188</f>
        <v>0</v>
      </c>
      <c r="Y179" s="10">
        <f>[2]หน้าผ้า!AN188</f>
        <v>31500</v>
      </c>
      <c r="Z179" s="9" t="str">
        <f>[2]หน้าผ้า!AO188</f>
        <v>WSWT2625850SM</v>
      </c>
      <c r="AA179" s="8">
        <f>[2]หน้าผ้า!AQ188</f>
        <v>37299.899999999994</v>
      </c>
      <c r="AB179" s="8">
        <f>[2]หน้าผ้า!AR188</f>
        <v>0</v>
      </c>
      <c r="AC179" s="8">
        <f>[2]หน้าผ้า!AS188</f>
        <v>37299.899999999994</v>
      </c>
      <c r="AD179" s="8">
        <f>[2]หน้าผ้า!AT188</f>
        <v>0</v>
      </c>
      <c r="AE179" s="8">
        <f>[2]หน้าผ้า!AU188</f>
        <v>37299.899999999994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P6</v>
      </c>
      <c r="AI179" s="1">
        <f>[2]หน้าผ้า!DM188</f>
        <v>4</v>
      </c>
      <c r="AJ179" s="3">
        <f>[2]หน้าผ้า!DN188</f>
        <v>45863</v>
      </c>
      <c r="AK179" s="3">
        <f>[2]หน้าผ้า!DQ188</f>
        <v>45859</v>
      </c>
      <c r="AL179" s="3">
        <f>[2]หน้าผ้า!DR188</f>
        <v>45852</v>
      </c>
      <c r="AM179" s="3">
        <f>[2]หน้าผ้า!DS188</f>
        <v>45860</v>
      </c>
      <c r="AN179" s="3">
        <f>[2]หน้าผ้า!DT188</f>
        <v>45861</v>
      </c>
      <c r="AO179" s="3">
        <f>[2]หน้าผ้า!DU188</f>
        <v>45862</v>
      </c>
      <c r="AP179" s="3">
        <f>[2]หน้าผ้า!DP188</f>
        <v>45858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งานเคลือบ+พิมพ์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WRWT25850/WRWT25850</v>
      </c>
      <c r="BD179" s="56">
        <f>[2]หน้าผ้า!CA188</f>
        <v>3846.8630200000002</v>
      </c>
    </row>
    <row r="180" spans="1:56" ht="27.75" customHeight="1" x14ac:dyDescent="0.45">
      <c r="A180" s="3" t="str">
        <f>[2]หน้าผ้า!C189</f>
        <v>ประมาณการ</v>
      </c>
      <c r="B180" s="14" t="str">
        <f>[2]หน้าผ้า!B189</f>
        <v>ประมาณการ</v>
      </c>
      <c r="C180" s="9" t="str">
        <f>[2]หน้าผ้า!E189</f>
        <v>บจก.ที.ซี.ยูเนี่ยน อโกรเทค</v>
      </c>
      <c r="D180" s="13" t="str">
        <f>[2]หน้าผ้า!F189</f>
        <v>รอแบบ</v>
      </c>
      <c r="E180" s="9">
        <f>[2]หน้าผ้า!G189</f>
        <v>26</v>
      </c>
      <c r="F180" s="9">
        <f>[2]หน้าผ้า!H189</f>
        <v>43</v>
      </c>
      <c r="G180" s="9" t="str">
        <f>[2]หน้าผ้า!I189</f>
        <v>ขาว</v>
      </c>
      <c r="H180" s="9" t="str">
        <f>[2]หน้าผ้า!J189</f>
        <v>ใส</v>
      </c>
      <c r="I180" s="9">
        <f>[2]หน้าผ้า!L189</f>
        <v>150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45868</v>
      </c>
      <c r="U180" s="11">
        <f>[2]หน้าผ้า!AA189</f>
        <v>20000</v>
      </c>
      <c r="V180" s="10">
        <f>[2]หน้าผ้า!AJ189</f>
        <v>0</v>
      </c>
      <c r="W180" s="10">
        <f>[2]หน้าผ้า!AL189</f>
        <v>20000</v>
      </c>
      <c r="X180" s="10">
        <f>[2]หน้าผ้า!AM189</f>
        <v>0</v>
      </c>
      <c r="Y180" s="10">
        <f>[2]หน้าผ้า!AN189</f>
        <v>21000</v>
      </c>
      <c r="Z180" s="9" t="str">
        <f>[2]หน้าผ้า!AO189</f>
        <v>WSWT2625850SM</v>
      </c>
      <c r="AA180" s="8">
        <f>[2]หน้าผ้า!AQ189</f>
        <v>24866.6</v>
      </c>
      <c r="AB180" s="8">
        <f>[2]หน้าผ้า!AR189</f>
        <v>0</v>
      </c>
      <c r="AC180" s="8">
        <f>[2]หน้าผ้า!AS189</f>
        <v>24866.6</v>
      </c>
      <c r="AD180" s="8">
        <f>[2]หน้าผ้า!AT189</f>
        <v>0</v>
      </c>
      <c r="AE180" s="8">
        <f>[2]หน้าผ้า!AU189</f>
        <v>24866.6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P6</v>
      </c>
      <c r="AI180" s="1">
        <f>[2]หน้าผ้า!DM189</f>
        <v>4</v>
      </c>
      <c r="AJ180" s="3">
        <f>[2]หน้าผ้า!DN189</f>
        <v>45868</v>
      </c>
      <c r="AK180" s="3">
        <f>[2]หน้าผ้า!DQ189</f>
        <v>45864</v>
      </c>
      <c r="AL180" s="3">
        <f>[2]หน้าผ้า!DR189</f>
        <v>45857</v>
      </c>
      <c r="AM180" s="3">
        <f>[2]หน้าผ้า!DS189</f>
        <v>45865</v>
      </c>
      <c r="AN180" s="3">
        <f>[2]หน้าผ้า!DT189</f>
        <v>45866</v>
      </c>
      <c r="AO180" s="3">
        <f>[2]หน้าผ้า!DU189</f>
        <v>45867</v>
      </c>
      <c r="AP180" s="3">
        <f>[2]หน้าผ้า!DP189</f>
        <v>45863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งานเคลือบ+พิมพ์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WRWT25850/WRWT25850</v>
      </c>
      <c r="BD180" s="56">
        <f>[2]หน้าผ้า!CA189</f>
        <v>2564.5753466666665</v>
      </c>
    </row>
    <row r="181" spans="1:56" ht="27.75" customHeight="1" x14ac:dyDescent="0.45">
      <c r="A181" s="3">
        <f>[2]หน้าผ้า!C190</f>
        <v>45832</v>
      </c>
      <c r="B181" s="14" t="str">
        <f>[2]หน้าผ้า!B190</f>
        <v>MK68-000820</v>
      </c>
      <c r="C181" s="9" t="str">
        <f>[2]หน้าผ้า!E190</f>
        <v>บจก.ที.ซี.ยูเนี่ยน อโกรเทค</v>
      </c>
      <c r="D181" s="13" t="str">
        <f>[2]หน้าผ้า!F190</f>
        <v>Zhejiang UN</v>
      </c>
      <c r="E181" s="9">
        <f>[2]หน้าผ้า!G190</f>
        <v>26</v>
      </c>
      <c r="F181" s="9">
        <f>[2]หน้าผ้า!H190</f>
        <v>43</v>
      </c>
      <c r="G181" s="9" t="str">
        <f>[2]หน้าผ้า!I190</f>
        <v>ขาว</v>
      </c>
      <c r="H181" s="9" t="str">
        <f>[2]หน้าผ้า!J190</f>
        <v>ใส</v>
      </c>
      <c r="I181" s="9">
        <f>[2]หน้าผ้า!L190</f>
        <v>150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45883</v>
      </c>
      <c r="U181" s="11">
        <f>[2]หน้าผ้า!AA190</f>
        <v>20000</v>
      </c>
      <c r="V181" s="10">
        <f>[2]หน้าผ้า!AJ190</f>
        <v>0</v>
      </c>
      <c r="W181" s="10">
        <f>[2]หน้าผ้า!AL190</f>
        <v>20000</v>
      </c>
      <c r="X181" s="10">
        <f>[2]หน้าผ้า!AM190</f>
        <v>0</v>
      </c>
      <c r="Y181" s="10">
        <f>[2]หน้าผ้า!AN190</f>
        <v>21000</v>
      </c>
      <c r="Z181" s="9" t="str">
        <f>[2]หน้าผ้า!AO190</f>
        <v>WSWT2625850SM</v>
      </c>
      <c r="AA181" s="8">
        <f>[2]หน้าผ้า!AQ190</f>
        <v>24866.6</v>
      </c>
      <c r="AB181" s="8">
        <f>[2]หน้าผ้า!AR190</f>
        <v>0</v>
      </c>
      <c r="AC181" s="8">
        <f>[2]หน้าผ้า!AS190</f>
        <v>24866.6</v>
      </c>
      <c r="AD181" s="8">
        <f>[2]หน้าผ้า!AT190</f>
        <v>0</v>
      </c>
      <c r="AE181" s="8">
        <f>[2]หน้าผ้า!AU190</f>
        <v>24866.6</v>
      </c>
      <c r="AF181" s="8">
        <f>[2]หน้าผ้า!AI190</f>
        <v>0</v>
      </c>
      <c r="AG181" s="1" t="str">
        <f>[3]หน้าผ้า!DC193</f>
        <v>ผ้าขาว</v>
      </c>
      <c r="AH181" s="1" t="str">
        <f>[2]หน้าผ้า!DL190</f>
        <v>P6</v>
      </c>
      <c r="AI181" s="1">
        <f>[2]หน้าผ้า!DM190</f>
        <v>4</v>
      </c>
      <c r="AJ181" s="3">
        <f>[2]หน้าผ้า!DN190</f>
        <v>45883</v>
      </c>
      <c r="AK181" s="3">
        <f>[2]หน้าผ้า!DQ190</f>
        <v>45879</v>
      </c>
      <c r="AL181" s="3">
        <f>[2]หน้าผ้า!DR190</f>
        <v>45872</v>
      </c>
      <c r="AM181" s="3">
        <f>[2]หน้าผ้า!DS190</f>
        <v>45880</v>
      </c>
      <c r="AN181" s="3">
        <f>[2]หน้าผ้า!DT190</f>
        <v>45881</v>
      </c>
      <c r="AO181" s="3">
        <f>[2]หน้าผ้า!DU190</f>
        <v>45882</v>
      </c>
      <c r="AP181" s="3">
        <f>[2]หน้าผ้า!DP190</f>
        <v>45878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งานเคลือบ+พิมพ์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WRWT25850/WRWT25850</v>
      </c>
      <c r="BD181" s="56">
        <f>[2]หน้าผ้า!CA190</f>
        <v>2564.5753466666665</v>
      </c>
    </row>
    <row r="182" spans="1:56" ht="27.75" customHeight="1" x14ac:dyDescent="0.45">
      <c r="A182" s="3">
        <f>[2]หน้าผ้า!C191</f>
        <v>0</v>
      </c>
      <c r="B182" s="14">
        <f>[2]หน้าผ้า!B191</f>
        <v>0</v>
      </c>
      <c r="C182" s="9">
        <f>[2]หน้าผ้า!E191</f>
        <v>0</v>
      </c>
      <c r="D182" s="13">
        <f>[2]หน้าผ้า!F191</f>
        <v>0</v>
      </c>
      <c r="E182" s="9">
        <f>[2]หน้าผ้า!G191</f>
        <v>26</v>
      </c>
      <c r="F182" s="9">
        <f>[2]หน้าผ้า!H191</f>
        <v>43</v>
      </c>
      <c r="G182" s="9">
        <f>[2]หน้าผ้า!I191</f>
        <v>0</v>
      </c>
      <c r="H182" s="9">
        <f>[2]หน้าผ้า!J191</f>
        <v>0</v>
      </c>
      <c r="I182" s="9">
        <f>[2]หน้าผ้า!L191</f>
        <v>120</v>
      </c>
      <c r="J182" s="9" t="str">
        <f>[2]หน้าผ้า!M191</f>
        <v>±</v>
      </c>
      <c r="K182" s="9">
        <f>[2]หน้าผ้า!N191</f>
        <v>5</v>
      </c>
      <c r="L182" s="9">
        <f>[2]หน้าผ้า!R191</f>
        <v>0</v>
      </c>
      <c r="M182" s="10">
        <f>[2]หน้าผ้า!T191</f>
        <v>0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>
        <f>[2]หน้าผ้า!Z191</f>
        <v>0</v>
      </c>
      <c r="T182" s="12">
        <f>[2]หน้าผ้า!X191</f>
        <v>0</v>
      </c>
      <c r="U182" s="11">
        <f>[2]หน้าผ้า!AA191</f>
        <v>0</v>
      </c>
      <c r="V182" s="10">
        <f>[2]หน้าผ้า!AJ191</f>
        <v>0</v>
      </c>
      <c r="W182" s="10">
        <f>[2]หน้าผ้า!AL191</f>
        <v>0</v>
      </c>
      <c r="X182" s="10">
        <f>[2]หน้าผ้า!AM191</f>
        <v>0</v>
      </c>
      <c r="Y182" s="10">
        <f>[2]หน้าผ้า!AN191</f>
        <v>0</v>
      </c>
      <c r="Z182" s="9" t="str">
        <f>[2]หน้าผ้า!AO191</f>
        <v>WSWT2625850SM</v>
      </c>
      <c r="AA182" s="8">
        <f>[2]หน้าผ้า!AQ191</f>
        <v>144847.94499999998</v>
      </c>
      <c r="AB182" s="8">
        <f>[2]หน้าผ้า!AR191</f>
        <v>9788</v>
      </c>
      <c r="AC182" s="8">
        <f>[2]หน้าผ้า!AS191</f>
        <v>135059.94499999998</v>
      </c>
      <c r="AD182" s="8">
        <f>[2]หน้าผ้า!AT191</f>
        <v>0</v>
      </c>
      <c r="AE182" s="8">
        <f>[2]หน้าผ้า!AU191</f>
        <v>144847.94499999998</v>
      </c>
      <c r="AF182" s="8" t="str">
        <f>[2]หน้าผ้า!AI191</f>
        <v>ระบุในSD</v>
      </c>
      <c r="AG182" s="1" t="str">
        <f>[3]หน้าผ้า!DC194</f>
        <v>ยังไม่ได้พิมพ์</v>
      </c>
      <c r="AH182" s="1">
        <f>[2]หน้าผ้า!DL191</f>
        <v>0</v>
      </c>
      <c r="AI182" s="1" t="str">
        <f>[2]หน้าผ้า!DM191</f>
        <v>Lead time</v>
      </c>
      <c r="AJ182" s="3">
        <f>[2]หน้าผ้า!DN191</f>
        <v>0</v>
      </c>
      <c r="AK182" s="3">
        <f>[2]หน้าผ้า!DQ191</f>
        <v>0</v>
      </c>
      <c r="AL182" s="3">
        <f>[2]หน้าผ้า!DR191</f>
        <v>0</v>
      </c>
      <c r="AM182" s="3">
        <f>[2]หน้าผ้า!DS191</f>
        <v>0</v>
      </c>
      <c r="AN182" s="3">
        <f>[2]หน้าผ้า!DT191</f>
        <v>0</v>
      </c>
      <c r="AO182" s="3">
        <f>[2]หน้าผ้า!DU191</f>
        <v>0</v>
      </c>
      <c r="AP182" s="3">
        <f>[2]หน้าผ้า!DP191</f>
        <v>0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>
        <f>[2]หน้าผ้า!EC191</f>
        <v>0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WRWT260850/WRWT25850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0</v>
      </c>
      <c r="B183" s="14">
        <f>[2]หน้าผ้า!B192</f>
        <v>0</v>
      </c>
      <c r="C183" s="9">
        <f>[2]หน้าผ้า!E192</f>
        <v>0</v>
      </c>
      <c r="D183" s="13">
        <f>[2]หน้าผ้า!F192</f>
        <v>0</v>
      </c>
      <c r="E183" s="9">
        <f>[2]หน้าผ้า!G192</f>
        <v>28</v>
      </c>
      <c r="F183" s="9">
        <f>[2]หน้าผ้า!H192</f>
        <v>41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122</v>
      </c>
      <c r="J183" s="9" t="str">
        <f>[2]หน้าผ้า!M192</f>
        <v>+</v>
      </c>
      <c r="K183" s="9">
        <f>[2]หน้าผ้า!N192</f>
        <v>3</v>
      </c>
      <c r="L183" s="9">
        <f>[2]หน้าผ้า!R192</f>
        <v>0</v>
      </c>
      <c r="M183" s="10">
        <f>[2]หน้าผ้า!T192</f>
        <v>0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>
        <f>[2]หน้าผ้า!Z192</f>
        <v>0</v>
      </c>
      <c r="T183" s="12">
        <f>[2]หน้าผ้า!X192</f>
        <v>0</v>
      </c>
      <c r="U183" s="11">
        <f>[2]หน้าผ้า!AA192</f>
        <v>0</v>
      </c>
      <c r="V183" s="10">
        <f>[2]หน้าผ้า!AJ192</f>
        <v>0</v>
      </c>
      <c r="W183" s="10">
        <f>[2]หน้าผ้า!AL192</f>
        <v>0</v>
      </c>
      <c r="X183" s="10">
        <f>[2]หน้าผ้า!AM192</f>
        <v>0</v>
      </c>
      <c r="Y183" s="10">
        <f>[2]หน้าผ้า!AN192</f>
        <v>0</v>
      </c>
      <c r="Z183" s="9" t="str">
        <f>[2]หน้าผ้า!AO192</f>
        <v>WSWT2825800</v>
      </c>
      <c r="AA183" s="8" t="e">
        <f>[2]หน้าผ้า!AQ192</f>
        <v>#REF!</v>
      </c>
      <c r="AB183" s="8" t="e">
        <f>[2]หน้าผ้า!AR192</f>
        <v>#REF!</v>
      </c>
      <c r="AC183" s="8" t="e">
        <f>[2]หน้าผ้า!AS192</f>
        <v>#REF!</v>
      </c>
      <c r="AD183" s="8" t="e">
        <f>[2]หน้าผ้า!AT192</f>
        <v>#REF!</v>
      </c>
      <c r="AE183" s="8" t="e">
        <f>[2]หน้าผ้า!AU192</f>
        <v>#REF!</v>
      </c>
      <c r="AF183" s="8" t="str">
        <f>[2]หน้าผ้า!AI192</f>
        <v>ระบุในSD</v>
      </c>
      <c r="AG183" s="1" t="str">
        <f>[3]หน้าผ้า!DC195</f>
        <v>พร้อมส่ง</v>
      </c>
      <c r="AH183" s="1">
        <f>[2]หน้าผ้า!DL192</f>
        <v>0</v>
      </c>
      <c r="AI183" s="1" t="str">
        <f>[2]หน้าผ้า!DM192</f>
        <v>Lead time</v>
      </c>
      <c r="AJ183" s="3">
        <f>[2]หน้าผ้า!DN192</f>
        <v>0</v>
      </c>
      <c r="AK183" s="3">
        <f>[2]หน้าผ้า!DQ192</f>
        <v>0</v>
      </c>
      <c r="AL183" s="3">
        <f>[2]หน้าผ้า!DR192</f>
        <v>0</v>
      </c>
      <c r="AM183" s="3">
        <f>[2]หน้าผ้า!DS192</f>
        <v>0</v>
      </c>
      <c r="AN183" s="3">
        <f>[2]หน้าผ้า!DT192</f>
        <v>0</v>
      </c>
      <c r="AO183" s="3">
        <f>[2]หน้าผ้า!DU192</f>
        <v>0</v>
      </c>
      <c r="AP183" s="3">
        <f>[2]หน้าผ้า!DP192</f>
        <v>0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>
        <f>[2]หน้าผ้า!EC192</f>
        <v>0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7.75" customHeight="1" x14ac:dyDescent="0.45">
      <c r="A184" s="3" t="str">
        <f>[2]หน้าผ้า!C193</f>
        <v>ประมาณการ</v>
      </c>
      <c r="B184" s="14" t="str">
        <f>[2]หน้าผ้า!B193</f>
        <v>ประมาณการ</v>
      </c>
      <c r="C184" s="9" t="str">
        <f>[2]หน้าผ้า!E193</f>
        <v>บจก.ที.ซี.ยูเนี่ยน อโกรเทค</v>
      </c>
      <c r="D184" s="13" t="str">
        <f>[2]หน้าผ้า!F193</f>
        <v>ไม่พิมพ์</v>
      </c>
      <c r="E184" s="9">
        <f>[2]หน้าผ้า!G193</f>
        <v>28</v>
      </c>
      <c r="F184" s="9">
        <f>[2]หน้าผ้า!H193</f>
        <v>47</v>
      </c>
      <c r="G184" s="9" t="str">
        <f>[2]หน้าผ้า!I193</f>
        <v>ขาว</v>
      </c>
      <c r="H184" s="9" t="str">
        <f>[2]หน้าผ้า!J193</f>
        <v>ใส</v>
      </c>
      <c r="I184" s="9">
        <f>[2]หน้าผ้า!L193</f>
        <v>180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45868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WSWT2825850</v>
      </c>
      <c r="AA184" s="8">
        <f>[2]หน้าผ้า!AQ193</f>
        <v>6775.4500000000007</v>
      </c>
      <c r="AB184" s="8">
        <f>[2]หน้าผ้า!AR193</f>
        <v>6775.4500000000007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6775.4500000000007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P11</v>
      </c>
      <c r="AI184" s="1">
        <f>[2]หน้าผ้า!DM193</f>
        <v>2</v>
      </c>
      <c r="AJ184" s="3">
        <f>[2]หน้าผ้า!DN193</f>
        <v>45868</v>
      </c>
      <c r="AK184" s="3">
        <f>[2]หน้าผ้า!DQ193</f>
        <v>45866</v>
      </c>
      <c r="AL184" s="3">
        <f>[2]หน้าผ้า!DR193</f>
        <v>0</v>
      </c>
      <c r="AM184" s="3">
        <f>[2]หน้าผ้า!DS193</f>
        <v>0</v>
      </c>
      <c r="AN184" s="3">
        <f>[2]หน้าผ้า!DT193</f>
        <v>0</v>
      </c>
      <c r="AO184" s="3">
        <f>[2]หน้าผ้า!DU193</f>
        <v>45867</v>
      </c>
      <c r="AP184" s="3">
        <f>[2]หน้าผ้า!DP193</f>
        <v>45863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งานเคลือบ+ตัด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WRWT25850/WRWT25850</v>
      </c>
      <c r="BD184" s="56">
        <f>[2]หน้าผ้า!CA193</f>
        <v>0</v>
      </c>
    </row>
    <row r="185" spans="1:56" ht="27.75" customHeight="1" x14ac:dyDescent="0.45">
      <c r="A185" s="3" t="str">
        <f>[2]หน้าผ้า!C194</f>
        <v>ประมาณการ</v>
      </c>
      <c r="B185" s="14" t="str">
        <f>[2]หน้าผ้า!B194</f>
        <v>ประมาณการ</v>
      </c>
      <c r="C185" s="9" t="str">
        <f>[2]หน้าผ้า!E194</f>
        <v>บจก.ไทยร่วมใจน้ำมันพืช</v>
      </c>
      <c r="D185" s="13" t="str">
        <f>[2]หน้าผ้า!F194</f>
        <v>TRJ</v>
      </c>
      <c r="E185" s="9">
        <f>[2]หน้าผ้า!G194</f>
        <v>28</v>
      </c>
      <c r="F185" s="9">
        <f>[2]หน้าผ้า!H194</f>
        <v>41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120</v>
      </c>
      <c r="J185" s="9" t="str">
        <f>[2]หน้าผ้า!M194</f>
        <v>+</v>
      </c>
      <c r="K185" s="9">
        <f>[2]หน้าผ้า!N194</f>
        <v>3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>500กระสอบ</v>
      </c>
      <c r="T185" s="12">
        <f>[2]หน้าผ้า!X194</f>
        <v>45868</v>
      </c>
      <c r="U185" s="11">
        <f>[2]หน้าผ้า!AA194</f>
        <v>50000</v>
      </c>
      <c r="V185" s="10">
        <f>[2]หน้าผ้า!AJ194</f>
        <v>0</v>
      </c>
      <c r="W185" s="10">
        <f>[2]หน้าผ้า!AL194</f>
        <v>50000</v>
      </c>
      <c r="X185" s="10">
        <f>[2]หน้าผ้า!AM194</f>
        <v>0</v>
      </c>
      <c r="Y185" s="10">
        <f>[2]หน้าผ้า!AN194</f>
        <v>52500</v>
      </c>
      <c r="Z185" s="9" t="str">
        <f>[2]หน้าผ้า!AO194</f>
        <v>WSWT2825850</v>
      </c>
      <c r="AA185" s="8">
        <f>[2]หน้าผ้า!AQ194</f>
        <v>59372.5</v>
      </c>
      <c r="AB185" s="8">
        <f>[2]หน้าผ้า!AR194</f>
        <v>4500</v>
      </c>
      <c r="AC185" s="8">
        <f>[2]หน้าผ้า!AS194</f>
        <v>54872.5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>
        <f>[3]หน้าผ้า!DC197</f>
        <v>0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45868</v>
      </c>
      <c r="AK185" s="3">
        <f>[2]หน้าผ้า!DQ194</f>
        <v>0</v>
      </c>
      <c r="AL185" s="3">
        <f>[2]หน้าผ้า!DR194</f>
        <v>45859</v>
      </c>
      <c r="AM185" s="3">
        <f>[2]หน้าผ้า!DS194</f>
        <v>45866</v>
      </c>
      <c r="AN185" s="3">
        <f>[2]หน้าผ้า!DT194</f>
        <v>45867</v>
      </c>
      <c r="AO185" s="3">
        <f>[2]หน้าผ้า!DU194</f>
        <v>45867</v>
      </c>
      <c r="AP185" s="3">
        <f>[2]หน้าผ้า!DP194</f>
        <v>45863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WRWT25850/WRWT25850</v>
      </c>
      <c r="BD185" s="56">
        <f>[2]หน้าผ้า!CA194</f>
        <v>6167.0593055555564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28</v>
      </c>
      <c r="F186" s="9">
        <f>[2]หน้าผ้า!H195</f>
        <v>43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130</v>
      </c>
      <c r="J186" s="9" t="str">
        <f>[2]หน้าผ้า!M195</f>
        <v>±</v>
      </c>
      <c r="K186" s="9">
        <f>[2]หน้าผ้า!N195</f>
        <v>3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WSWT2825850</v>
      </c>
      <c r="AA186" s="8">
        <f>[2]หน้าผ้า!AQ195</f>
        <v>66147.95</v>
      </c>
      <c r="AB186" s="8">
        <f>[2]หน้าผ้า!AR195</f>
        <v>11275.45</v>
      </c>
      <c r="AC186" s="8">
        <f>[2]หน้าผ้า!AS195</f>
        <v>54872.5</v>
      </c>
      <c r="AD186" s="8">
        <f>[2]หน้าผ้า!AT195</f>
        <v>0</v>
      </c>
      <c r="AE186" s="8">
        <f>[2]หน้าผ้า!AU195</f>
        <v>6775.4500000000007</v>
      </c>
      <c r="AF186" s="8" t="str">
        <f>[2]หน้าผ้า!AI195</f>
        <v>ระบุในSD</v>
      </c>
      <c r="AG186" s="1">
        <f>[3]หน้าผ้า!DC198</f>
        <v>0</v>
      </c>
      <c r="AH186" s="1">
        <f>[2]หน้าผ้า!DL195</f>
        <v>0</v>
      </c>
      <c r="AI186" s="1">
        <f>[2]หน้าผ้า!DM195</f>
        <v>0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WRWT280850/WRWT25850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30</v>
      </c>
      <c r="F187" s="9">
        <f>[2]หน้าผ้า!H196</f>
        <v>41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122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WSWT3025800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>
        <f>[3]หน้าผ้า!DC199</f>
        <v>0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WRWT25800/WRWT28750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0</v>
      </c>
      <c r="F188" s="9">
        <f>[2]หน้าผ้า!H197</f>
        <v>0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0</v>
      </c>
      <c r="J188" s="9">
        <f>[2]หน้าผ้า!M197</f>
        <v>0</v>
      </c>
      <c r="K188" s="9">
        <f>[2]หน้าผ้า!N197</f>
        <v>0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 t="str">
        <f>[2]หน้าผ้า!X197</f>
        <v>ค้างส่งทั้งหมด</v>
      </c>
      <c r="U188" s="11">
        <f>[2]หน้าผ้า!AA197</f>
        <v>3444456</v>
      </c>
      <c r="V188" s="10">
        <f>[2]หน้าผ้า!AJ197</f>
        <v>464419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>
        <f>[2]หน้าผ้า!AO197</f>
        <v>0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 xml:space="preserve"> 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-5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>
        <f>[2]หน้าผ้า!BZ197</f>
        <v>0</v>
      </c>
      <c r="BD188" s="56">
        <f>[2]หน้าผ้า!CA197</f>
        <v>213207.98739760806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0</v>
      </c>
      <c r="F189" s="9">
        <f>[2]หน้าผ้า!H198</f>
        <v>0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0</v>
      </c>
      <c r="J189" s="9">
        <f>[2]หน้าผ้า!M198</f>
        <v>0</v>
      </c>
      <c r="K189" s="9">
        <f>[2]หน้าผ้า!N198</f>
        <v>0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140000</v>
      </c>
      <c r="T189" s="12">
        <f>[2]หน้าผ้า!X198</f>
        <v>0</v>
      </c>
      <c r="U189" s="11">
        <f>[2]หน้าผ้า!AA198</f>
        <v>24.603257142857142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>
        <f>[2]หน้าผ้า!AO198</f>
        <v>0</v>
      </c>
      <c r="AA189" s="8" t="e">
        <f>[2]หน้าผ้า!AQ198</f>
        <v>#REF!</v>
      </c>
      <c r="AB189" s="8">
        <f>[2]หน้าผ้า!AR198</f>
        <v>0</v>
      </c>
      <c r="AC189" s="8" t="e">
        <f>[2]หน้าผ้า!AS198</f>
        <v>#REF!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>
        <f>[3]หน้าผ้า!DC201</f>
        <v>0</v>
      </c>
      <c r="AH189" s="1" t="str">
        <f>[2]หน้าผ้า!DL198</f>
        <v>P1</v>
      </c>
      <c r="AI189" s="1">
        <f>[2]หน้าผ้า!DM198</f>
        <v>2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-9</v>
      </c>
      <c r="AM189" s="3">
        <f>[2]หน้าผ้า!DS198</f>
        <v>-2</v>
      </c>
      <c r="AN189" s="3">
        <f>[2]หน้าผ้า!DT198</f>
        <v>0</v>
      </c>
      <c r="AO189" s="3">
        <f>[2]หน้าผ้า!DU198</f>
        <v>-1</v>
      </c>
      <c r="AP189" s="3">
        <f>[2]หน้าผ้า!DP198</f>
        <v>-5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>รอART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>
        <f>[2]หน้าผ้า!BZ198</f>
        <v>0</v>
      </c>
      <c r="BD189" s="56" t="str">
        <f>[2]หน้าผ้า!CA198</f>
        <v>ห้ามลบ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0</v>
      </c>
      <c r="F190" s="9">
        <f>[2]หน้าผ้า!H199</f>
        <v>0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0</v>
      </c>
      <c r="J190" s="9">
        <f>[2]หน้าผ้า!M199</f>
        <v>0</v>
      </c>
      <c r="K190" s="9">
        <f>[2]หน้าผ้า!N199</f>
        <v>0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 t="str">
        <f>[2]หน้าผ้า!X199</f>
        <v>ประมาณการ</v>
      </c>
      <c r="U190" s="11">
        <f>[2]หน้าผ้า!AA199</f>
        <v>1665000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>
        <f>[2]หน้าผ้า!AO199</f>
        <v>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>
        <f>[3]หน้าผ้า!DC202</f>
        <v>0</v>
      </c>
      <c r="AH190" s="1" t="str">
        <f>[2]หน้าผ้า!DL199</f>
        <v>P3</v>
      </c>
      <c r="AI190" s="1">
        <f>[2]หน้าผ้า!DM199</f>
        <v>1</v>
      </c>
      <c r="AJ190" s="3" t="str">
        <f>[2]หน้าผ้า!DN199</f>
        <v>ประมาณการ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 t="e">
        <f>[2]หน้าผ้า!DU199</f>
        <v>#VALUE!</v>
      </c>
      <c r="AP190" s="3" t="e">
        <f>[2]หน้าผ้า!DP199</f>
        <v>#VALUE!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ตัด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>
        <f>[2]หน้าผ้า!BZ199</f>
        <v>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0</v>
      </c>
      <c r="F191" s="9">
        <f>[2]หน้าผ้า!H200</f>
        <v>0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0</v>
      </c>
      <c r="J191" s="9">
        <f>[2]หน้าผ้า!M200</f>
        <v>0</v>
      </c>
      <c r="K191" s="9">
        <f>[2]หน้าผ้า!N200</f>
        <v>0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 t="str">
        <f>[2]หน้าผ้า!X200</f>
        <v>รอแจ้ง</v>
      </c>
      <c r="U191" s="11">
        <f>[2]หน้าผ้า!AA200</f>
        <v>545622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>
        <f>[2]หน้าผ้า!AO200</f>
        <v>0</v>
      </c>
      <c r="AA191" s="8">
        <f>[2]หน้าผ้า!AQ200</f>
        <v>0</v>
      </c>
      <c r="AB191" s="8">
        <f>[2]หน้าผ้า!AR200</f>
        <v>0</v>
      </c>
      <c r="AC191" s="8">
        <f>[2]หน้าผ้า!AS200</f>
        <v>551764.79182000004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>
        <f>[3]หน้าผ้า!DC203</f>
        <v>0</v>
      </c>
      <c r="AH191" s="1" t="str">
        <f>[2]หน้าผ้า!DL200</f>
        <v>P2</v>
      </c>
      <c r="AI191" s="1">
        <f>[2]หน้าผ้า!DM200</f>
        <v>3</v>
      </c>
      <c r="AJ191" s="3" t="str">
        <f>[2]หน้าผ้า!DN200</f>
        <v>รอแจ้ง</v>
      </c>
      <c r="AK191" s="3" t="e">
        <f>[2]หน้าผ้า!DQ200</f>
        <v>#VALUE!</v>
      </c>
      <c r="AL191" s="3" t="e">
        <f>[2]หน้าผ้า!DR200</f>
        <v>#VALUE!</v>
      </c>
      <c r="AM191" s="3" t="e">
        <f>[2]หน้าผ้า!DS200</f>
        <v>#VALUE!</v>
      </c>
      <c r="AN191" s="3">
        <f>[2]หน้าผ้า!DT200</f>
        <v>0</v>
      </c>
      <c r="AO191" s="3" t="e">
        <f>[2]หน้าผ้า!DU200</f>
        <v>#VALUE!</v>
      </c>
      <c r="AP191" s="3" t="e">
        <f>[2]หน้าผ้า!DP200</f>
        <v>#VALUE!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งานเคลือบ+พิมพ์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>
        <f>[2]หน้าผ้า!BZ200</f>
        <v>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0</v>
      </c>
      <c r="F192" s="9">
        <f>[2]หน้าผ้า!H201</f>
        <v>0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0</v>
      </c>
      <c r="J192" s="9">
        <f>[2]หน้าผ้า!M201</f>
        <v>0</v>
      </c>
      <c r="K192" s="9">
        <f>[2]หน้าผ้า!N201</f>
        <v>0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 t="str">
        <f>[2]หน้าผ้า!X201</f>
        <v>รอส่ง</v>
      </c>
      <c r="U192" s="11">
        <f>[2]หน้าผ้า!AA201</f>
        <v>269700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>
        <f>[2]หน้าผ้า!AO201</f>
        <v>0</v>
      </c>
      <c r="AA192" s="8">
        <f>[2]หน้าผ้า!AQ201</f>
        <v>0</v>
      </c>
      <c r="AB192" s="8">
        <f>[2]หน้าผ้า!AR201</f>
        <v>0</v>
      </c>
      <c r="AC192" s="8">
        <f>[2]หน้าผ้า!AS201</f>
        <v>0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>
        <f>[3]หน้าผ้า!DC204</f>
        <v>0</v>
      </c>
      <c r="AH192" s="1" t="str">
        <f>[2]หน้าผ้า!DL201</f>
        <v>P6</v>
      </c>
      <c r="AI192" s="1">
        <f>[2]หน้าผ้า!DM201</f>
        <v>4</v>
      </c>
      <c r="AJ192" s="3" t="str">
        <f>[2]หน้าผ้า!DN201</f>
        <v>รอส่ง</v>
      </c>
      <c r="AK192" s="3" t="e">
        <f>[2]หน้าผ้า!DQ201</f>
        <v>#VALUE!</v>
      </c>
      <c r="AL192" s="3" t="e">
        <f>[2]หน้าผ้า!DR201</f>
        <v>#VALUE!</v>
      </c>
      <c r="AM192" s="3" t="e">
        <f>[2]หน้าผ้า!DS201</f>
        <v>#VALUE!</v>
      </c>
      <c r="AN192" s="3" t="e">
        <f>[2]หน้าผ้า!DT201</f>
        <v>#VALUE!</v>
      </c>
      <c r="AO192" s="3" t="e">
        <f>[2]หน้าผ้า!DU201</f>
        <v>#VALUE!</v>
      </c>
      <c r="AP192" s="3" t="e">
        <f>[2]หน้าผ้า!DP201</f>
        <v>#VALUE!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งานเคลือบ+พิมพ์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>
        <f>[2]หน้าผ้า!BZ201</f>
        <v>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0</v>
      </c>
      <c r="F193" s="9">
        <f>[2]หน้าผ้า!H202</f>
        <v>0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0</v>
      </c>
      <c r="J193" s="9">
        <f>[2]หน้าผ้า!M202</f>
        <v>0</v>
      </c>
      <c r="K193" s="9">
        <f>[2]หน้าผ้า!N202</f>
        <v>0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 t="str">
        <f>[2]หน้าผ้า!X202</f>
        <v>มีกำหนดส่ง</v>
      </c>
      <c r="U193" s="11">
        <f>[2]หน้าผ้า!AA202</f>
        <v>964134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>
        <f>[2]หน้าผ้า!AO202</f>
        <v>0</v>
      </c>
      <c r="AA193" s="8">
        <f>[2]หน้าผ้า!AQ202</f>
        <v>0</v>
      </c>
      <c r="AB193" s="8">
        <f>[2]หน้าผ้า!AR202</f>
        <v>0</v>
      </c>
      <c r="AC193" s="8" t="e">
        <f>[2]หน้าผ้า!AS202</f>
        <v>#REF!</v>
      </c>
      <c r="AD193" s="8" t="e">
        <f>[2]หน้าผ้า!AT202</f>
        <v>#REF!</v>
      </c>
      <c r="AE193" s="8">
        <f>[2]หน้าผ้า!AU202</f>
        <v>0</v>
      </c>
      <c r="AF193" s="8">
        <f>[2]หน้าผ้า!AI202</f>
        <v>0</v>
      </c>
      <c r="AG193" s="1">
        <f>[3]หน้าผ้า!DC205</f>
        <v>0</v>
      </c>
      <c r="AH193" s="1" t="str">
        <f>[2]หน้าผ้า!DL202</f>
        <v>P11</v>
      </c>
      <c r="AI193" s="1">
        <f>[2]หน้าผ้า!DM202</f>
        <v>2</v>
      </c>
      <c r="AJ193" s="3" t="str">
        <f>[2]หน้าผ้า!DN202</f>
        <v>มีกำหนดส่ง</v>
      </c>
      <c r="AK193" s="3" t="e">
        <f>[2]หน้าผ้า!DQ202</f>
        <v>#VALUE!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 t="e">
        <f>[2]หน้าผ้า!DU202</f>
        <v>#VALUE!</v>
      </c>
      <c r="AP193" s="3" t="e">
        <f>[2]หน้าผ้า!DP202</f>
        <v>#VALUE!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งานเคลือบ+ตัด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>
        <f>[2]หน้าผ้า!BZ202</f>
        <v>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 t="str">
        <f>[2]หน้าผ้า!E203</f>
        <v>ผู้สั่งผลิต..................................................</v>
      </c>
      <c r="D194" s="13">
        <f>[2]หน้าผ้า!F203</f>
        <v>0</v>
      </c>
      <c r="E194" s="9">
        <f>[2]หน้าผ้า!G203</f>
        <v>0</v>
      </c>
      <c r="F194" s="9">
        <f>[2]หน้าผ้า!H203</f>
        <v>0</v>
      </c>
      <c r="G194" s="9" t="str">
        <f>[2]หน้าผ้า!I203</f>
        <v xml:space="preserve"> </v>
      </c>
      <c r="H194" s="9">
        <f>[2]หน้าผ้า!J203</f>
        <v>0</v>
      </c>
      <c r="I194" s="9">
        <f>[2]หน้าผ้า!L203</f>
        <v>0</v>
      </c>
      <c r="J194" s="9" t="str">
        <f>[2]หน้าผ้า!M203</f>
        <v xml:space="preserve"> </v>
      </c>
      <c r="K194" s="9">
        <f>[2]หน้าผ้า!N203</f>
        <v>0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>
        <f>[2]หน้าผ้า!AO203</f>
        <v>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>
        <f>[3]หน้าผ้า!DC206</f>
        <v>0</v>
      </c>
      <c r="AH194" s="1" t="str">
        <f>[2]หน้าผ้า!DL203</f>
        <v>P9</v>
      </c>
      <c r="AI194" s="1">
        <f>[2]หน้าผ้า!DM203</f>
        <v>3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-10</v>
      </c>
      <c r="AM194" s="3">
        <f>[2]หน้าผ้า!DS203</f>
        <v>-3</v>
      </c>
      <c r="AN194" s="3">
        <f>[2]หน้าผ้า!DT203</f>
        <v>-2</v>
      </c>
      <c r="AO194" s="3">
        <f>[2]หน้าผ้า!DU203</f>
        <v>-1</v>
      </c>
      <c r="AP194" s="3">
        <f>[2]หน้าผ้า!DP203</f>
        <v>-5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>
        <f>[2]หน้าผ้า!BZ203</f>
        <v>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 t="str">
        <f>[2]หน้าผ้า!E204</f>
        <v>เจ้าหน้าที่วางแผนการผลิต</v>
      </c>
      <c r="D195" s="13">
        <f>[2]หน้าผ้า!F204</f>
        <v>0</v>
      </c>
      <c r="E195" s="9">
        <f>[2]หน้าผ้า!G204</f>
        <v>0</v>
      </c>
      <c r="F195" s="9">
        <f>[2]หน้าผ้า!H204</f>
        <v>0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0</v>
      </c>
      <c r="J195" s="9" t="str">
        <f>[2]หน้าผ้า!M204</f>
        <v>ผู้อนุมัติ..................................................</v>
      </c>
      <c r="K195" s="9">
        <f>[2]หน้าผ้า!N204</f>
        <v>0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>
        <f>[2]หน้าผ้า!AO204</f>
        <v>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 t="str">
        <f>[2]หน้าผ้า!AT204</f>
        <v xml:space="preserve"> </v>
      </c>
      <c r="AE195" s="8">
        <f>[2]หน้าผ้า!AU204</f>
        <v>0</v>
      </c>
      <c r="AF195" s="8">
        <f>[2]หน้าผ้า!AI204</f>
        <v>0</v>
      </c>
      <c r="AG195" s="1">
        <f>[3]หน้าผ้า!DC207</f>
        <v>0</v>
      </c>
      <c r="AH195" s="1" t="str">
        <f>[2]หน้าผ้า!DL204</f>
        <v>P4</v>
      </c>
      <c r="AI195" s="1">
        <f>[2]หน้าผ้า!DM204</f>
        <v>3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-10</v>
      </c>
      <c r="AM195" s="3">
        <f>[2]หน้าผ้า!DS204</f>
        <v>-3</v>
      </c>
      <c r="AN195" s="3">
        <f>[2]หน้าผ้า!DT204</f>
        <v>0</v>
      </c>
      <c r="AO195" s="3">
        <f>[2]หน้าผ้า!DU204</f>
        <v>-2</v>
      </c>
      <c r="AP195" s="3">
        <f>[2]หน้าผ้า!DP204</f>
        <v>-5</v>
      </c>
      <c r="AQ195" s="3">
        <f>[2]หน้าผ้า!DW204</f>
        <v>-1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>
        <f>[2]หน้าผ้า!BZ204</f>
        <v>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 t="str">
        <f>[2]หน้าผ้า!E205</f>
        <v xml:space="preserve">        /         /        .</v>
      </c>
      <c r="D196" s="13">
        <f>[2]หน้าผ้า!F205</f>
        <v>0</v>
      </c>
      <c r="E196" s="9">
        <f>[2]หน้าผ้า!G205</f>
        <v>0</v>
      </c>
      <c r="F196" s="9">
        <f>[2]หน้าผ้า!H205</f>
        <v>0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0</v>
      </c>
      <c r="J196" s="9" t="str">
        <f>[2]หน้าผ้า!M205</f>
        <v>ผู้จัดการฝ่ายผลิต</v>
      </c>
      <c r="K196" s="9">
        <f>[2]หน้าผ้า!N205</f>
        <v>0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 t="str">
        <f>[2]หน้าผ้า!V205</f>
        <v xml:space="preserve"> 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>
        <f>[2]หน้าผ้า!AO205</f>
        <v>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>
        <f>[3]หน้าผ้า!DC208</f>
        <v>0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-9</v>
      </c>
      <c r="AM196" s="3">
        <f>[2]หน้าผ้า!DS205</f>
        <v>-2</v>
      </c>
      <c r="AN196" s="3">
        <f>[2]หน้าผ้า!DT205</f>
        <v>-1</v>
      </c>
      <c r="AO196" s="3">
        <f>[2]หน้าผ้า!DU205</f>
        <v>-1</v>
      </c>
      <c r="AP196" s="3">
        <f>[2]หน้าผ้า!DP205</f>
        <v>-5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>
        <f>[2]หน้าผ้า!BZ205</f>
        <v>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0</v>
      </c>
      <c r="F197" s="9">
        <f>[2]หน้าผ้า!H206</f>
        <v>0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0</v>
      </c>
      <c r="J197" s="9" t="str">
        <f>[2]หน้าผ้า!M206</f>
        <v xml:space="preserve">        /         /        .</v>
      </c>
      <c r="K197" s="9">
        <f>[2]หน้าผ้า!N206</f>
        <v>0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>
        <f>[2]หน้าผ้า!AO206</f>
        <v>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>
        <f>[3]หน้าผ้า!DC209</f>
        <v>0</v>
      </c>
      <c r="AH197" s="1" t="str">
        <f>[2]หน้าผ้า!DL206</f>
        <v>P8</v>
      </c>
      <c r="AI197" s="1">
        <f>[2]หน้าผ้า!DM206</f>
        <v>4</v>
      </c>
      <c r="AJ197" s="3">
        <f>[2]หน้าผ้า!DN206</f>
        <v>0</v>
      </c>
      <c r="AK197" s="3">
        <f>[2]หน้าผ้า!DQ206</f>
        <v>-4</v>
      </c>
      <c r="AL197" s="3">
        <f>[2]หน้าผ้า!DR206</f>
        <v>-10</v>
      </c>
      <c r="AM197" s="3">
        <f>[2]หน้าผ้า!DS206</f>
        <v>-3</v>
      </c>
      <c r="AN197" s="3">
        <f>[2]หน้าผ้า!DT206</f>
        <v>-2</v>
      </c>
      <c r="AO197" s="3">
        <f>[2]หน้าผ้า!DU206</f>
        <v>-2</v>
      </c>
      <c r="AP197" s="3">
        <f>[2]หน้าผ้า!DP206</f>
        <v>-5</v>
      </c>
      <c r="AQ197" s="3">
        <f>[2]หน้าผ้า!DW206</f>
        <v>-1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งานเคลือบ+พิมพ์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>
        <f>[2]หน้าผ้า!BZ206</f>
        <v>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 t="str">
        <f>[2]หน้าผ้า!F207</f>
        <v xml:space="preserve"> </v>
      </c>
      <c r="E198" s="9" t="str">
        <f>[2]หน้าผ้า!G207</f>
        <v xml:space="preserve"> </v>
      </c>
      <c r="F198" s="9">
        <f>[2]หน้าผ้า!H207</f>
        <v>0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0</v>
      </c>
      <c r="J198" s="9">
        <f>[2]หน้าผ้า!M207</f>
        <v>0</v>
      </c>
      <c r="K198" s="9">
        <f>[2]หน้าผ้า!N207</f>
        <v>0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>
        <f>[2]หน้าผ้า!AO207</f>
        <v>0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>
        <f>[3]หน้าผ้า!DC210</f>
        <v>0</v>
      </c>
      <c r="AH198" s="1" t="str">
        <f>[2]หน้าผ้า!DL207</f>
        <v>P13</v>
      </c>
      <c r="AI198" s="1">
        <f>[2]หน้าผ้า!DM207</f>
        <v>2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-2</v>
      </c>
      <c r="AP198" s="3">
        <f>[2]หน้าผ้า!DP207</f>
        <v>-5</v>
      </c>
      <c r="AQ198" s="3">
        <f>[2]หน้าผ้า!DW207</f>
        <v>-1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ตัด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>
        <f>[2]หน้าผ้า!BZ207</f>
        <v>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0</v>
      </c>
      <c r="F199" s="9">
        <f>[2]หน้าผ้า!H208</f>
        <v>0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0</v>
      </c>
      <c r="J199" s="9">
        <f>[2]หน้าผ้า!M208</f>
        <v>0</v>
      </c>
      <c r="K199" s="9">
        <f>[2]หน้าผ้า!N208</f>
        <v>0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 t="str">
        <f>[2]หน้าผ้า!V208</f>
        <v xml:space="preserve"> 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>
        <f>[2]หน้าผ้า!AO208</f>
        <v>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>
        <f>[3]หน้าผ้า!DC211</f>
        <v>0</v>
      </c>
      <c r="AH199" s="1" t="str">
        <f>[2]หน้าผ้า!DL208</f>
        <v>P10</v>
      </c>
      <c r="AI199" s="1">
        <f>[2]หน้าผ้า!DM208</f>
        <v>3</v>
      </c>
      <c r="AJ199" s="3">
        <f>[2]หน้าผ้า!DN208</f>
        <v>0</v>
      </c>
      <c r="AK199" s="3">
        <f>[2]หน้าผ้า!DQ208</f>
        <v>-3</v>
      </c>
      <c r="AL199" s="3">
        <f>[2]หน้าผ้า!DR208</f>
        <v>-9</v>
      </c>
      <c r="AM199" s="3">
        <f>[2]หน้าผ้า!DS208</f>
        <v>-2</v>
      </c>
      <c r="AN199" s="3">
        <f>[2]หน้าผ้า!DT208</f>
        <v>0</v>
      </c>
      <c r="AO199" s="3">
        <f>[2]หน้าผ้า!DU208</f>
        <v>-1</v>
      </c>
      <c r="AP199" s="3">
        <f>[2]หน้าผ้า!DP208</f>
        <v>-5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งานเคลือบ+พิมพ์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>
        <f>[2]หน้าผ้า!BZ208</f>
        <v>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0</v>
      </c>
      <c r="F200" s="9">
        <f>[2]หน้าผ้า!H209</f>
        <v>0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0</v>
      </c>
      <c r="J200" s="9">
        <f>[2]หน้าผ้า!M209</f>
        <v>0</v>
      </c>
      <c r="K200" s="9">
        <f>[2]หน้าผ้า!N209</f>
        <v>0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 t="str">
        <f>[2]หน้าผ้า!AA209</f>
        <v xml:space="preserve"> </v>
      </c>
      <c r="V200" s="10" t="str">
        <f>[2]หน้าผ้า!AJ209</f>
        <v>.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>
        <f>[2]หน้าผ้า!AO209</f>
        <v>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>
        <f>[3]หน้าผ้า!DC212</f>
        <v>0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-5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>
        <f>[2]หน้าผ้า!BZ209</f>
        <v>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0</v>
      </c>
      <c r="F201" s="9">
        <f>[2]หน้าผ้า!H210</f>
        <v>0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0</v>
      </c>
      <c r="J201" s="9">
        <f>[2]หน้าผ้า!M210</f>
        <v>0</v>
      </c>
      <c r="K201" s="9">
        <f>[2]หน้าผ้า!N210</f>
        <v>0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>
        <f>[2]หน้าผ้า!AO210</f>
        <v>0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>
        <f>[3]หน้าผ้า!DC213</f>
        <v>0</v>
      </c>
      <c r="AH201" s="1" t="str">
        <f>[2]หน้าผ้า!DL210</f>
        <v>P5.2</v>
      </c>
      <c r="AI201" s="1">
        <f>[2]หน้าผ้า!DM210</f>
        <v>4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-11</v>
      </c>
      <c r="AM201" s="3">
        <f>[2]หน้าผ้า!DS210</f>
        <v>-4</v>
      </c>
      <c r="AN201" s="3">
        <f>[2]หน้าผ้า!DT210</f>
        <v>-3</v>
      </c>
      <c r="AO201" s="3">
        <f>[2]หน้าผ้า!DU210</f>
        <v>-3</v>
      </c>
      <c r="AP201" s="3">
        <f>[2]หน้าผ้า!DP210</f>
        <v>-15</v>
      </c>
      <c r="AQ201" s="3">
        <f>[2]หน้าผ้า!DW210</f>
        <v>-2</v>
      </c>
      <c r="AR201" s="3">
        <f>[2]หน้าผ้า!DX210</f>
        <v>-1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>
        <f>[2]หน้าผ้า!BZ210</f>
        <v>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0</v>
      </c>
      <c r="F202" s="9">
        <f>[2]หน้าผ้า!H211</f>
        <v>0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0</v>
      </c>
      <c r="J202" s="9">
        <f>[2]หน้าผ้า!M211</f>
        <v>0</v>
      </c>
      <c r="K202" s="9">
        <f>[2]หน้าผ้า!N211</f>
        <v>0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>
        <f>[2]หน้าผ้า!AO211</f>
        <v>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>
        <f>[3]หน้าผ้า!DC214</f>
        <v>0</v>
      </c>
      <c r="AH202" s="1" t="str">
        <f>[2]หน้าผ้า!DL211</f>
        <v>P5.3</v>
      </c>
      <c r="AI202" s="1">
        <f>[2]หน้าผ้า!DM211</f>
        <v>6</v>
      </c>
      <c r="AJ202" s="3">
        <f>[2]หน้าผ้า!DN211</f>
        <v>0</v>
      </c>
      <c r="AK202" s="3">
        <f>[2]หน้าผ้า!DQ211</f>
        <v>-6</v>
      </c>
      <c r="AL202" s="3">
        <f>[2]หน้าผ้า!DR211</f>
        <v>-12</v>
      </c>
      <c r="AM202" s="3">
        <f>[2]หน้าผ้า!DS211</f>
        <v>-5</v>
      </c>
      <c r="AN202" s="3">
        <f>[2]หน้าผ้า!DT211</f>
        <v>-4</v>
      </c>
      <c r="AO202" s="3">
        <f>[2]หน้าผ้า!DU211</f>
        <v>-3</v>
      </c>
      <c r="AP202" s="3">
        <f>[2]หน้าผ้า!DP211</f>
        <v>-15</v>
      </c>
      <c r="AQ202" s="3">
        <f>[2]หน้าผ้า!DW211</f>
        <v>-2</v>
      </c>
      <c r="AR202" s="3">
        <f>[2]หน้าผ้า!DX211</f>
        <v>-1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>
        <f>[2]หน้าผ้า!BZ211</f>
        <v>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0</v>
      </c>
      <c r="F203" s="9">
        <f>[2]หน้าผ้า!H212</f>
        <v>0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0</v>
      </c>
      <c r="J203" s="9">
        <f>[2]หน้าผ้า!M212</f>
        <v>0</v>
      </c>
      <c r="K203" s="9">
        <f>[2]หน้าผ้า!N212</f>
        <v>0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>
        <f>[2]หน้าผ้า!AO212</f>
        <v>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>
        <f>[3]หน้าผ้า!DC215</f>
        <v>0</v>
      </c>
      <c r="AH203" s="1">
        <f>[2]หน้าผ้า!DL212</f>
        <v>0</v>
      </c>
      <c r="AI203" s="1">
        <f>[2]หน้าผ้า!DM212</f>
        <v>0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>
        <f>[2]หน้าผ้า!BZ212</f>
        <v>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0</v>
      </c>
      <c r="F204" s="9">
        <f>[2]หน้าผ้า!H213</f>
        <v>0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0</v>
      </c>
      <c r="J204" s="9">
        <f>[2]หน้าผ้า!M213</f>
        <v>0</v>
      </c>
      <c r="K204" s="9">
        <f>[2]หน้าผ้า!N213</f>
        <v>0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>
        <f>[2]หน้าผ้า!AO213</f>
        <v>0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>
        <f>[3]หน้าผ้า!DC216</f>
        <v>0</v>
      </c>
      <c r="AH204" s="1">
        <f>[2]หน้าผ้า!DL213</f>
        <v>0</v>
      </c>
      <c r="AI204" s="1">
        <f>[2]หน้าผ้า!DM213</f>
        <v>0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>
        <f>[2]หน้าผ้า!BZ213</f>
        <v>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0</v>
      </c>
      <c r="F205" s="9">
        <f>[2]หน้าผ้า!H214</f>
        <v>0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0</v>
      </c>
      <c r="J205" s="9">
        <f>[2]หน้าผ้า!M214</f>
        <v>0</v>
      </c>
      <c r="K205" s="9">
        <f>[2]หน้าผ้า!N214</f>
        <v>0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>
        <f>[2]หน้าผ้า!AO214</f>
        <v>0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>
        <f>[3]หน้าผ้า!DC217</f>
        <v>0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>
        <f>[2]หน้าผ้า!BZ214</f>
        <v>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0</v>
      </c>
      <c r="F206" s="9">
        <f>[2]หน้าผ้า!H215</f>
        <v>0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0</v>
      </c>
      <c r="J206" s="9">
        <f>[2]หน้าผ้า!M215</f>
        <v>0</v>
      </c>
      <c r="K206" s="9">
        <f>[2]หน้าผ้า!N215</f>
        <v>0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>
        <f>[2]หน้าผ้า!AO215</f>
        <v>0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>
        <f>[3]หน้าผ้า!DC218</f>
        <v>0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>
        <f>[2]หน้าผ้า!BZ215</f>
        <v>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0</v>
      </c>
      <c r="F207" s="9">
        <f>[2]หน้าผ้า!H216</f>
        <v>0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0</v>
      </c>
      <c r="J207" s="9">
        <f>[2]หน้าผ้า!M216</f>
        <v>0</v>
      </c>
      <c r="K207" s="9">
        <f>[2]หน้าผ้า!N216</f>
        <v>0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>
        <f>[2]หน้าผ้า!AO216</f>
        <v>0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>
        <f>[3]หน้าผ้า!DC219</f>
        <v>0</v>
      </c>
      <c r="AH207" s="1">
        <f>[2]หน้าผ้า!DL216</f>
        <v>0</v>
      </c>
      <c r="AI207" s="1">
        <f>[2]หน้าผ้า!DM216</f>
        <v>0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>
        <f>[2]หน้าผ้า!BZ216</f>
        <v>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0</v>
      </c>
      <c r="F208" s="9">
        <f>[2]หน้าผ้า!H217</f>
        <v>0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0</v>
      </c>
      <c r="J208" s="9">
        <f>[2]หน้าผ้า!M217</f>
        <v>0</v>
      </c>
      <c r="K208" s="9">
        <f>[2]หน้าผ้า!N217</f>
        <v>0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>
        <f>[2]หน้าผ้า!AO217</f>
        <v>0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>
        <f>[2]หน้าผ้า!AI217</f>
        <v>0</v>
      </c>
      <c r="AG208" s="1">
        <f>[3]หน้าผ้า!DC220</f>
        <v>0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>
        <f>[2]หน้าผ้า!BZ217</f>
        <v>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0</v>
      </c>
      <c r="F209" s="9">
        <f>[2]หน้าผ้า!H218</f>
        <v>0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0</v>
      </c>
      <c r="J209" s="9">
        <f>[2]หน้าผ้า!M218</f>
        <v>0</v>
      </c>
      <c r="K209" s="9">
        <f>[2]หน้าผ้า!N218</f>
        <v>0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>
        <f>[2]หน้าผ้า!AO218</f>
        <v>0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>
        <f>[3]หน้าผ้า!DC221</f>
        <v>0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>
        <f>[2]หน้าผ้า!BZ218</f>
        <v>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0</v>
      </c>
      <c r="F210" s="9">
        <f>[2]หน้าผ้า!H219</f>
        <v>0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0</v>
      </c>
      <c r="J210" s="9">
        <f>[2]หน้าผ้า!M219</f>
        <v>0</v>
      </c>
      <c r="K210" s="9">
        <f>[2]หน้าผ้า!N219</f>
        <v>0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>
        <f>[2]หน้าผ้า!AO219</f>
        <v>0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>
        <f>[3]หน้าผ้า!DC222</f>
        <v>0</v>
      </c>
      <c r="AH210" s="1">
        <f>[2]หน้าผ้า!DL219</f>
        <v>0</v>
      </c>
      <c r="AI210" s="1">
        <f>[2]หน้าผ้า!DM219</f>
        <v>0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>
        <f>[2]หน้าผ้า!BZ219</f>
        <v>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0</v>
      </c>
      <c r="F211" s="9">
        <f>[2]หน้าผ้า!H220</f>
        <v>0</v>
      </c>
      <c r="G211" s="9">
        <f>[2]หน้าผ้า!I220</f>
        <v>0</v>
      </c>
      <c r="H211" s="9">
        <f>[2]หน้าผ้า!J220</f>
        <v>0</v>
      </c>
      <c r="I211" s="9">
        <f>[2]หน้าผ้า!L220</f>
        <v>0</v>
      </c>
      <c r="J211" s="9">
        <f>[2]หน้าผ้า!M220</f>
        <v>0</v>
      </c>
      <c r="K211" s="9">
        <f>[2]หน้าผ้า!N220</f>
        <v>0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>
        <f>[2]หน้าผ้า!AO220</f>
        <v>0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>
        <f>[3]หน้าผ้า!DC223</f>
        <v>0</v>
      </c>
      <c r="AH211" s="1">
        <f>[2]หน้าผ้า!DL220</f>
        <v>0</v>
      </c>
      <c r="AI211" s="1">
        <f>[2]หน้าผ้า!DM220</f>
        <v>0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>
        <f>[2]หน้าผ้า!BZ220</f>
        <v>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0</v>
      </c>
      <c r="F212" s="9">
        <f>[2]หน้าผ้า!H221</f>
        <v>0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0</v>
      </c>
      <c r="J212" s="9">
        <f>[2]หน้าผ้า!M221</f>
        <v>0</v>
      </c>
      <c r="K212" s="9">
        <f>[2]หน้าผ้า!N221</f>
        <v>0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>
        <f>[2]หน้าผ้า!AO221</f>
        <v>0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>
        <f>[3]หน้าผ้า!DC224</f>
        <v>0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>
        <f>[2]หน้าผ้า!BZ221</f>
        <v>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0</v>
      </c>
      <c r="F213" s="9">
        <f>[2]หน้าผ้า!H222</f>
        <v>0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0</v>
      </c>
      <c r="J213" s="9">
        <f>[2]หน้าผ้า!M222</f>
        <v>0</v>
      </c>
      <c r="K213" s="9">
        <f>[2]หน้าผ้า!N222</f>
        <v>0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>
        <f>[2]หน้าผ้า!AO222</f>
        <v>0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>
        <f>[3]หน้าผ้า!DC225</f>
        <v>0</v>
      </c>
      <c r="AH213" s="1">
        <f>[2]หน้าผ้า!DL222</f>
        <v>0</v>
      </c>
      <c r="AI213" s="1">
        <f>[2]หน้าผ้า!DM222</f>
        <v>0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>
        <f>[2]หน้าผ้า!BZ222</f>
        <v>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0</v>
      </c>
      <c r="F214" s="9">
        <f>[2]หน้าผ้า!H223</f>
        <v>0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0</v>
      </c>
      <c r="J214" s="9">
        <f>[2]หน้าผ้า!M223</f>
        <v>0</v>
      </c>
      <c r="K214" s="9">
        <f>[2]หน้าผ้า!N223</f>
        <v>0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>
        <f>[2]หน้าผ้า!AO223</f>
        <v>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>
        <f>[3]หน้าผ้า!DC226</f>
        <v>0</v>
      </c>
      <c r="AH214" s="1">
        <f>[2]หน้าผ้า!DL223</f>
        <v>0</v>
      </c>
      <c r="AI214" s="1">
        <f>[2]หน้าผ้า!DM223</f>
        <v>0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>
        <f>[2]หน้าผ้า!BZ223</f>
        <v>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0</v>
      </c>
      <c r="F215" s="9">
        <f>[2]หน้าผ้า!H224</f>
        <v>0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0</v>
      </c>
      <c r="J215" s="9">
        <f>[2]หน้าผ้า!M224</f>
        <v>0</v>
      </c>
      <c r="K215" s="9">
        <f>[2]หน้าผ้า!N224</f>
        <v>0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>
        <f>[2]หน้าผ้า!AO224</f>
        <v>0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>
        <f>[3]หน้าผ้า!DC227</f>
        <v>0</v>
      </c>
      <c r="AH215" s="1">
        <f>[2]หน้าผ้า!DL224</f>
        <v>0</v>
      </c>
      <c r="AI215" s="1">
        <f>[2]หน้าผ้า!DM224</f>
        <v>0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>
        <f>[2]หน้าผ้า!BZ224</f>
        <v>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0</v>
      </c>
      <c r="B216" s="14">
        <f>[2]หน้าผ้า!B225</f>
        <v>0</v>
      </c>
      <c r="C216" s="9">
        <f>[2]หน้าผ้า!E225</f>
        <v>0</v>
      </c>
      <c r="D216" s="13">
        <f>[2]หน้าผ้า!F225</f>
        <v>0</v>
      </c>
      <c r="E216" s="9">
        <f>[2]หน้าผ้า!G225</f>
        <v>0</v>
      </c>
      <c r="F216" s="9">
        <f>[2]หน้าผ้า!H225</f>
        <v>0</v>
      </c>
      <c r="G216" s="9">
        <f>[2]หน้าผ้า!I225</f>
        <v>0</v>
      </c>
      <c r="H216" s="9">
        <f>[2]หน้าผ้า!J225</f>
        <v>0</v>
      </c>
      <c r="I216" s="9">
        <f>[2]หน้าผ้า!L225</f>
        <v>0</v>
      </c>
      <c r="J216" s="9">
        <f>[2]หน้าผ้า!M225</f>
        <v>0</v>
      </c>
      <c r="K216" s="9">
        <f>[2]หน้าผ้า!N225</f>
        <v>0</v>
      </c>
      <c r="L216" s="9">
        <f>[2]หน้าผ้า!R225</f>
        <v>0</v>
      </c>
      <c r="M216" s="10">
        <f>[2]หน้าผ้า!T225</f>
        <v>0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>
        <f>[2]หน้าผ้า!Z225</f>
        <v>0</v>
      </c>
      <c r="T216" s="12">
        <f>[2]หน้าผ้า!X225</f>
        <v>0</v>
      </c>
      <c r="U216" s="11">
        <f>[2]หน้าผ้า!AA225</f>
        <v>0</v>
      </c>
      <c r="V216" s="10">
        <f>[2]หน้าผ้า!AJ225</f>
        <v>0</v>
      </c>
      <c r="W216" s="10">
        <f>[2]หน้าผ้า!AL225</f>
        <v>0</v>
      </c>
      <c r="X216" s="10">
        <f>[2]หน้าผ้า!AM225</f>
        <v>0</v>
      </c>
      <c r="Y216" s="10">
        <f>[2]หน้าผ้า!AN225</f>
        <v>0</v>
      </c>
      <c r="Z216" s="9">
        <f>[2]หน้าผ้า!AO225</f>
        <v>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>
        <f>[3]หน้าผ้า!DC228</f>
        <v>0</v>
      </c>
      <c r="AH216" s="1">
        <f>[2]หน้าผ้า!DL225</f>
        <v>0</v>
      </c>
      <c r="AI216" s="1">
        <f>[2]หน้าผ้า!DM225</f>
        <v>0</v>
      </c>
      <c r="AJ216" s="3">
        <f>[2]หน้าผ้า!DN225</f>
        <v>0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0</v>
      </c>
      <c r="AP216" s="3">
        <f>[2]หน้าผ้า!DP225</f>
        <v>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>
        <f>[2]หน้าผ้า!EC225</f>
        <v>0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>
        <f>[2]หน้าผ้า!BZ225</f>
        <v>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0</v>
      </c>
      <c r="F217" s="9">
        <f>[2]หน้าผ้า!H226</f>
        <v>0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0</v>
      </c>
      <c r="J217" s="9">
        <f>[2]หน้าผ้า!M226</f>
        <v>0</v>
      </c>
      <c r="K217" s="9">
        <f>[2]หน้าผ้า!N226</f>
        <v>0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>
        <f>[2]หน้าผ้า!AO226</f>
        <v>0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>
        <f>[2]หน้าผ้า!BZ226</f>
        <v>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0</v>
      </c>
      <c r="F218" s="9">
        <f>[2]หน้าผ้า!H227</f>
        <v>0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0</v>
      </c>
      <c r="J218" s="9">
        <f>[2]หน้าผ้า!M227</f>
        <v>0</v>
      </c>
      <c r="K218" s="9">
        <f>[2]หน้าผ้า!N227</f>
        <v>0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>
        <f>[2]หน้าผ้า!AO227</f>
        <v>0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>
        <f>[2]หน้าผ้า!AI227</f>
        <v>0</v>
      </c>
      <c r="AG218" s="1">
        <f>[3]หน้าผ้า!DC230</f>
        <v>0</v>
      </c>
      <c r="AH218" s="1">
        <f>[2]หน้าผ้า!DL227</f>
        <v>0</v>
      </c>
      <c r="AI218" s="1">
        <f>[2]หน้าผ้า!DM227</f>
        <v>0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>
        <f>[2]หน้าผ้า!BZ227</f>
        <v>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 t="str">
        <f>[2]หน้าผ้า!H228</f>
        <v xml:space="preserve"> 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>
        <f>[2]หน้าผ้า!AQ228</f>
        <v>0</v>
      </c>
      <c r="AB219" s="8">
        <f>[2]หน้าผ้า!AR228</f>
        <v>0</v>
      </c>
      <c r="AC219" s="8">
        <f>[2]หน้าผ้า!AS228</f>
        <v>0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>
        <f>[3]หน้าผ้า!DC231</f>
        <v>0</v>
      </c>
      <c r="AH219" s="1">
        <f>[2]หน้าผ้า!DL228</f>
        <v>0</v>
      </c>
      <c r="AI219" s="1">
        <f>[2]หน้าผ้า!DM228</f>
        <v>0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>
        <f>[2]หน้าผ้า!AQ229</f>
        <v>0</v>
      </c>
      <c r="AB220" s="8">
        <f>[2]หน้าผ้า!AR229</f>
        <v>0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>
        <f>[2]หน้าผ้า!DL229</f>
        <v>0</v>
      </c>
      <c r="AI220" s="1">
        <f>[2]หน้าผ้า!DM229</f>
        <v>0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>
        <f>[2]หน้าผ้า!DL230</f>
        <v>0</v>
      </c>
      <c r="AI221" s="1">
        <f>[2]หน้าผ้า!DM230</f>
        <v>0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>
        <f>[2]หน้าผ้า!DL231</f>
        <v>0</v>
      </c>
      <c r="AI222" s="1">
        <f>[2]หน้าผ้า!DM231</f>
        <v>0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>
        <f>[2]หน้าผ้า!X232</f>
        <v>0</v>
      </c>
      <c r="U223" s="11">
        <f>[2]หน้าผ้า!AA232</f>
        <v>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>
        <f>[2]หน้าผ้า!DL232</f>
        <v>0</v>
      </c>
      <c r="AI223" s="1">
        <f>[2]หน้าผ้า!DM232</f>
        <v>0</v>
      </c>
      <c r="AJ223" s="3">
        <f>[2]หน้าผ้า!DN232</f>
        <v>0</v>
      </c>
      <c r="AK223" s="3">
        <f>[2]หน้าผ้า!DQ232</f>
        <v>0</v>
      </c>
      <c r="AL223" s="3">
        <f>[2]หน้าผ้า!DR232</f>
        <v>0</v>
      </c>
      <c r="AM223" s="3">
        <f>[2]หน้าผ้า!DS232</f>
        <v>0</v>
      </c>
      <c r="AN223" s="3">
        <f>[2]หน้าผ้า!DT232</f>
        <v>0</v>
      </c>
      <c r="AO223" s="3">
        <f>[2]หน้าผ้า!DU232</f>
        <v>0</v>
      </c>
      <c r="AP223" s="3">
        <f>[2]หน้าผ้า!DP232</f>
        <v>0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>
        <f>[2]หน้าผ้า!EC232</f>
        <v>0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>
        <f>[2]หน้าผ้า!AS233</f>
        <v>0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>
        <f>[2]หน้าผ้า!DL233</f>
        <v>0</v>
      </c>
      <c r="AI224" s="1">
        <f>[2]หน้าผ้า!DM233</f>
        <v>0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>
        <f>[2]หน้าผ้า!E234</f>
        <v>0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>
        <f>[2]หน้าผ้า!I234</f>
        <v>0</v>
      </c>
      <c r="H225" s="9">
        <f>[2]หน้าผ้า!J234</f>
        <v>0</v>
      </c>
      <c r="I225" s="9">
        <f>[2]หน้าผ้า!L234</f>
        <v>0</v>
      </c>
      <c r="J225" s="9">
        <f>[2]หน้าผ้า!M234</f>
        <v>0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>
        <f>[2]หน้าผ้า!DL234</f>
        <v>0</v>
      </c>
      <c r="AI225" s="1">
        <f>[2]หน้าผ้า!DM234</f>
        <v>0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0</v>
      </c>
      <c r="AP225" s="3">
        <f>[2]หน้าผ้า!DP234</f>
        <v>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>
        <f>[2]หน้าผ้า!EC234</f>
        <v>0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>
        <f>[2]หน้าผ้า!M235</f>
        <v>0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>
        <f>[2]หน้าผ้า!M236</f>
        <v>0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>
        <f>[2]หน้าผ้า!DL236</f>
        <v>0</v>
      </c>
      <c r="AI227" s="1">
        <f>[2]หน้าผ้า!DM236</f>
        <v>0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>
        <f>[2]หน้าผ้า!DL237</f>
        <v>0</v>
      </c>
      <c r="AI228" s="1">
        <f>[2]หน้าผ้า!DM237</f>
        <v>0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>
        <f>[2]หน้าผ้า!DL238</f>
        <v>0</v>
      </c>
      <c r="AI229" s="1">
        <f>[2]หน้าผ้า!DM238</f>
        <v>0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0</v>
      </c>
      <c r="AP229" s="3">
        <f>[2]หน้าผ้า!DP238</f>
        <v>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>
        <f>[2]หน้าผ้า!EC238</f>
        <v>0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>
        <f>[2]หน้าผ้า!DL239</f>
        <v>0</v>
      </c>
      <c r="AI230" s="1">
        <f>[2]หน้าผ้า!DM239</f>
        <v>0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>
        <f>[2]หน้าผ้า!DM240</f>
        <v>0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>
        <f>[2]หน้าผ้า!DL241</f>
        <v>0</v>
      </c>
      <c r="AI232" s="1">
        <f>[2]หน้าผ้า!DM241</f>
        <v>0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0</v>
      </c>
      <c r="AM232" s="3">
        <f>[2]หน้าผ้า!DS241</f>
        <v>0</v>
      </c>
      <c r="AN232" s="3">
        <f>[2]หน้าผ้า!DT241</f>
        <v>0</v>
      </c>
      <c r="AO232" s="3">
        <f>[2]หน้าผ้า!DU241</f>
        <v>0</v>
      </c>
      <c r="AP232" s="3">
        <f>[2]หน้าผ้า!DP241</f>
        <v>0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>
        <f>[2]หน้าผ้า!DL242</f>
        <v>0</v>
      </c>
      <c r="AI233" s="1">
        <f>[2]หน้าผ้า!DM242</f>
        <v>0</v>
      </c>
      <c r="AJ233" s="3">
        <f>[2]หน้าผ้า!DN242</f>
        <v>0</v>
      </c>
      <c r="AK233" s="3">
        <f>[2]หน้าผ้า!DQ242</f>
        <v>0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>
        <f>[2]หน้าผ้า!DU242</f>
        <v>0</v>
      </c>
      <c r="AP233" s="3">
        <f>[2]หน้าผ้า!DP242</f>
        <v>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0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159</v>
      </c>
    </row>
    <row r="3" spans="1:13" x14ac:dyDescent="0.2">
      <c r="A3" s="57" t="s">
        <v>29</v>
      </c>
      <c r="B3" t="s">
        <v>159</v>
      </c>
    </row>
    <row r="4" spans="1:13" x14ac:dyDescent="0.2">
      <c r="A4" s="57" t="s">
        <v>42</v>
      </c>
      <c r="B4" t="s">
        <v>177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3" ht="20.25" customHeight="1" x14ac:dyDescent="0.2">
      <c r="A7" t="s">
        <v>268</v>
      </c>
      <c r="B7" s="59">
        <v>5000</v>
      </c>
      <c r="C7" s="59">
        <v>5250</v>
      </c>
      <c r="D7" s="59">
        <v>5000</v>
      </c>
      <c r="E7" s="93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137</v>
      </c>
      <c r="B8" s="59">
        <v>15000</v>
      </c>
      <c r="C8" s="59">
        <v>15750</v>
      </c>
      <c r="D8" s="59">
        <v>15000</v>
      </c>
      <c r="E8" s="93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141</v>
      </c>
      <c r="B9" s="59">
        <v>5000</v>
      </c>
      <c r="C9" s="59">
        <v>0</v>
      </c>
      <c r="D9" s="59">
        <v>5000</v>
      </c>
      <c r="E9" s="93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180</v>
      </c>
      <c r="B10" s="59">
        <v>660000</v>
      </c>
      <c r="C10" s="59">
        <v>642600</v>
      </c>
      <c r="D10" s="59">
        <v>652206</v>
      </c>
      <c r="E10" s="93">
        <v>608030.28</v>
      </c>
      <c r="F10" s="59">
        <v>67964.049999999988</v>
      </c>
      <c r="G10" s="93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176</v>
      </c>
      <c r="B11" s="59">
        <v>190000</v>
      </c>
      <c r="C11" s="59">
        <v>156905.70000000001</v>
      </c>
      <c r="D11" s="59">
        <v>187450</v>
      </c>
      <c r="E11" s="93">
        <v>130578.41562699999</v>
      </c>
      <c r="F11" s="59">
        <v>32419.415626999998</v>
      </c>
      <c r="G11" s="93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144</v>
      </c>
      <c r="B12" s="59">
        <v>30000</v>
      </c>
      <c r="C12" s="59">
        <v>10500</v>
      </c>
      <c r="D12" s="59">
        <v>30000</v>
      </c>
      <c r="E12" s="93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93">
        <v>288507.63323250005</v>
      </c>
      <c r="F13" s="59">
        <v>76716.989249999999</v>
      </c>
      <c r="G13" s="93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93">
        <v>292238.43000000005</v>
      </c>
      <c r="F14" s="59">
        <v>17378.68</v>
      </c>
      <c r="G14" s="93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123</v>
      </c>
      <c r="B15" s="59">
        <v>359000</v>
      </c>
      <c r="C15" s="59">
        <v>367500</v>
      </c>
      <c r="D15" s="59">
        <v>353179</v>
      </c>
      <c r="E15" s="93">
        <v>376491.50000000006</v>
      </c>
      <c r="F15" s="59">
        <v>80270.700000000012</v>
      </c>
      <c r="G15" s="93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134</v>
      </c>
      <c r="B16" s="59">
        <v>50000</v>
      </c>
      <c r="C16" s="59">
        <v>10500</v>
      </c>
      <c r="D16" s="59">
        <v>49900</v>
      </c>
      <c r="E16" s="93">
        <v>53953.536999999997</v>
      </c>
      <c r="F16" s="59">
        <v>18812.7</v>
      </c>
      <c r="G16" s="93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100</v>
      </c>
      <c r="B17" s="59">
        <v>96600</v>
      </c>
      <c r="C17" s="59">
        <v>44967.3</v>
      </c>
      <c r="D17" s="59">
        <v>46311</v>
      </c>
      <c r="E17" s="93">
        <v>46067.499940000009</v>
      </c>
      <c r="F17" s="59">
        <v>46067.499940000009</v>
      </c>
      <c r="G17" s="93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259</v>
      </c>
      <c r="B18" s="59">
        <v>100000</v>
      </c>
      <c r="C18" s="59">
        <v>0</v>
      </c>
      <c r="D18" s="59">
        <v>0</v>
      </c>
      <c r="E18" s="93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232</v>
      </c>
      <c r="B19" s="59">
        <v>15000</v>
      </c>
      <c r="C19" s="59">
        <v>15750</v>
      </c>
      <c r="D19" s="59">
        <v>15000</v>
      </c>
      <c r="E19" s="93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93">
        <v>69430.900000000009</v>
      </c>
      <c r="F20" s="59">
        <v>29756.100000000002</v>
      </c>
      <c r="G20" s="93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93">
        <v>9499.6</v>
      </c>
      <c r="F21" s="59">
        <v>0</v>
      </c>
      <c r="G21" s="93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93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212</v>
      </c>
      <c r="B23" s="59">
        <v>10000</v>
      </c>
      <c r="C23" s="59">
        <v>0</v>
      </c>
      <c r="D23" s="59">
        <v>10000</v>
      </c>
      <c r="E23" s="93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93">
        <v>119981.34499999999</v>
      </c>
      <c r="F24" s="59">
        <v>9788</v>
      </c>
      <c r="G24" s="93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131</v>
      </c>
      <c r="B25" s="59">
        <v>55000</v>
      </c>
      <c r="C25" s="59">
        <v>52500</v>
      </c>
      <c r="D25" s="59">
        <v>55000</v>
      </c>
      <c r="E25" s="93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93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264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M135"/>
  <sheetViews>
    <sheetView tabSelected="1" zoomScale="80" zoomScaleNormal="80" workbookViewId="0">
      <selection activeCell="I34" sqref="I34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159</v>
      </c>
    </row>
    <row r="3" spans="1:11" x14ac:dyDescent="0.2">
      <c r="A3" s="57" t="s">
        <v>29</v>
      </c>
      <c r="B3" t="s">
        <v>159</v>
      </c>
    </row>
    <row r="4" spans="1:11" x14ac:dyDescent="0.2">
      <c r="A4" s="57" t="s">
        <v>42</v>
      </c>
      <c r="B4" t="s">
        <v>177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1" ht="16.5" customHeight="1" x14ac:dyDescent="0.2">
      <c r="A7" t="s">
        <v>310</v>
      </c>
      <c r="B7" s="59">
        <v>6000</v>
      </c>
      <c r="C7" s="59">
        <v>0</v>
      </c>
      <c r="D7" s="59">
        <v>6000</v>
      </c>
      <c r="E7" s="59">
        <v>3604.2600000000007</v>
      </c>
      <c r="F7" s="59">
        <v>3604.2600000000007</v>
      </c>
      <c r="G7" s="59">
        <v>0</v>
      </c>
      <c r="I7" s="59">
        <f>+K7-J7</f>
        <v>0</v>
      </c>
      <c r="K7" s="59">
        <f>G7</f>
        <v>0</v>
      </c>
    </row>
    <row r="8" spans="1:11" ht="16.5" customHeight="1" x14ac:dyDescent="0.2">
      <c r="A8" t="s">
        <v>268</v>
      </c>
      <c r="B8" s="59">
        <v>5000</v>
      </c>
      <c r="C8" s="59">
        <v>5250</v>
      </c>
      <c r="D8" s="59">
        <v>5000</v>
      </c>
      <c r="E8" s="59">
        <v>4121.1500000000005</v>
      </c>
      <c r="F8" s="59">
        <v>3175</v>
      </c>
      <c r="G8" s="59">
        <v>946.15000000000055</v>
      </c>
      <c r="I8" s="59">
        <f t="shared" ref="I8:I25" si="0">+K8-J8</f>
        <v>946.15000000000055</v>
      </c>
      <c r="K8" s="59">
        <f t="shared" ref="K8:K25" si="1">G8</f>
        <v>946.15000000000055</v>
      </c>
    </row>
    <row r="9" spans="1:11" ht="16.5" customHeight="1" x14ac:dyDescent="0.2">
      <c r="A9" t="s">
        <v>141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I9" s="59">
        <f t="shared" si="0"/>
        <v>0</v>
      </c>
      <c r="K9" s="59">
        <f t="shared" si="1"/>
        <v>0</v>
      </c>
    </row>
    <row r="10" spans="1:11" ht="16.5" customHeight="1" x14ac:dyDescent="0.2">
      <c r="A10" t="s">
        <v>180</v>
      </c>
      <c r="B10" s="59">
        <v>88000</v>
      </c>
      <c r="C10" s="59">
        <v>42000</v>
      </c>
      <c r="D10" s="59">
        <v>80206</v>
      </c>
      <c r="E10" s="59">
        <v>72643.999999999985</v>
      </c>
      <c r="F10" s="59">
        <v>67964.049999999988</v>
      </c>
      <c r="G10" s="59">
        <v>4679.9500000000007</v>
      </c>
      <c r="I10" s="59">
        <f t="shared" si="0"/>
        <v>4679.9500000000007</v>
      </c>
      <c r="K10" s="59">
        <f t="shared" si="1"/>
        <v>4679.9500000000007</v>
      </c>
    </row>
    <row r="11" spans="1:11" ht="16.5" customHeight="1" x14ac:dyDescent="0.2">
      <c r="A11" t="s">
        <v>176</v>
      </c>
      <c r="B11" s="59">
        <v>70000</v>
      </c>
      <c r="C11" s="59">
        <v>30905.7</v>
      </c>
      <c r="D11" s="93">
        <v>67450</v>
      </c>
      <c r="E11" s="59">
        <v>27200.415626999998</v>
      </c>
      <c r="F11" s="59">
        <v>27200.415626999998</v>
      </c>
      <c r="G11" s="59">
        <v>0</v>
      </c>
      <c r="I11" s="59">
        <f t="shared" si="0"/>
        <v>0</v>
      </c>
      <c r="K11" s="59">
        <f t="shared" si="1"/>
        <v>0</v>
      </c>
    </row>
    <row r="12" spans="1:11" ht="16.5" customHeight="1" x14ac:dyDescent="0.2">
      <c r="A12" t="s">
        <v>144</v>
      </c>
      <c r="B12" s="59">
        <v>10000</v>
      </c>
      <c r="C12" s="59">
        <v>10500</v>
      </c>
      <c r="D12" s="59">
        <v>10000</v>
      </c>
      <c r="E12" s="59">
        <v>10756.900000000001</v>
      </c>
      <c r="F12" s="59">
        <v>0</v>
      </c>
      <c r="G12" s="59">
        <v>10756.900000000001</v>
      </c>
      <c r="I12" s="59">
        <f t="shared" si="0"/>
        <v>10756.900000000001</v>
      </c>
      <c r="K12" s="59">
        <f t="shared" si="1"/>
        <v>10756.900000000001</v>
      </c>
    </row>
    <row r="13" spans="1:11" ht="16.5" customHeight="1" x14ac:dyDescent="0.2">
      <c r="A13" t="s">
        <v>81</v>
      </c>
      <c r="B13" s="59">
        <v>303907</v>
      </c>
      <c r="C13" s="59">
        <v>225342.6</v>
      </c>
      <c r="D13" s="93">
        <v>298907</v>
      </c>
      <c r="E13" s="59">
        <v>230881.38323250003</v>
      </c>
      <c r="F13" s="59">
        <v>76716.989249999999</v>
      </c>
      <c r="G13" s="59">
        <v>154164.39398250001</v>
      </c>
      <c r="I13" s="59">
        <f t="shared" si="0"/>
        <v>154164.39398250001</v>
      </c>
      <c r="K13" s="59">
        <f t="shared" si="1"/>
        <v>154164.39398250001</v>
      </c>
    </row>
    <row r="14" spans="1:11" ht="16.5" customHeight="1" x14ac:dyDescent="0.2">
      <c r="A14" t="s">
        <v>80</v>
      </c>
      <c r="B14" s="59">
        <v>56127</v>
      </c>
      <c r="C14" s="59">
        <v>32550</v>
      </c>
      <c r="D14" s="93">
        <v>52809</v>
      </c>
      <c r="E14" s="59">
        <v>33514.03</v>
      </c>
      <c r="F14" s="59">
        <v>17378.68</v>
      </c>
      <c r="G14" s="59">
        <v>16135.350000000002</v>
      </c>
      <c r="I14" s="59">
        <f t="shared" si="0"/>
        <v>16135.350000000002</v>
      </c>
      <c r="K14" s="59">
        <f t="shared" si="1"/>
        <v>16135.350000000002</v>
      </c>
    </row>
    <row r="15" spans="1:11" ht="16.5" customHeight="1" x14ac:dyDescent="0.2">
      <c r="A15" t="s">
        <v>123</v>
      </c>
      <c r="B15" s="59">
        <v>29000</v>
      </c>
      <c r="C15" s="59">
        <v>21000</v>
      </c>
      <c r="D15" s="93">
        <v>23179</v>
      </c>
      <c r="E15" s="59">
        <v>21513.800000000003</v>
      </c>
      <c r="F15" s="59">
        <v>21513.800000000003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134</v>
      </c>
      <c r="B16" s="59">
        <v>35000</v>
      </c>
      <c r="C16" s="59">
        <v>10500</v>
      </c>
      <c r="D16" s="59">
        <v>34900</v>
      </c>
      <c r="E16" s="59">
        <v>37399.087</v>
      </c>
      <c r="F16" s="59">
        <v>18812.7</v>
      </c>
      <c r="G16" s="59">
        <v>18586.386999999999</v>
      </c>
      <c r="I16" s="59">
        <f t="shared" si="0"/>
        <v>18586.386999999999</v>
      </c>
      <c r="K16" s="59">
        <f t="shared" si="1"/>
        <v>18586.386999999999</v>
      </c>
    </row>
    <row r="17" spans="1:13" ht="16.5" customHeight="1" x14ac:dyDescent="0.2">
      <c r="A17" t="s">
        <v>443</v>
      </c>
      <c r="B17" s="59">
        <v>6000</v>
      </c>
      <c r="C17" s="59">
        <v>6300</v>
      </c>
      <c r="D17" s="59">
        <v>6000</v>
      </c>
      <c r="E17" s="59">
        <v>5951.22</v>
      </c>
      <c r="F17" s="59">
        <v>5951.22</v>
      </c>
      <c r="G17" s="59">
        <v>0</v>
      </c>
      <c r="I17" s="59">
        <v>0</v>
      </c>
      <c r="J17" s="59">
        <v>54000</v>
      </c>
      <c r="K17" s="59">
        <f t="shared" si="1"/>
        <v>0</v>
      </c>
    </row>
    <row r="18" spans="1:13" ht="16.5" customHeight="1" x14ac:dyDescent="0.2">
      <c r="A18" t="s">
        <v>100</v>
      </c>
      <c r="B18" s="59">
        <v>96600</v>
      </c>
      <c r="C18" s="59">
        <v>44967.3</v>
      </c>
      <c r="D18" s="93">
        <v>46311</v>
      </c>
      <c r="E18" s="59">
        <v>46067.499940000009</v>
      </c>
      <c r="F18" s="59">
        <v>46067.499940000009</v>
      </c>
      <c r="G18" s="59">
        <v>0</v>
      </c>
      <c r="I18" s="59">
        <f t="shared" si="0"/>
        <v>0</v>
      </c>
      <c r="K18" s="59">
        <f t="shared" si="1"/>
        <v>0</v>
      </c>
    </row>
    <row r="19" spans="1:13" ht="16.5" customHeight="1" x14ac:dyDescent="0.2">
      <c r="A19" t="s">
        <v>259</v>
      </c>
      <c r="B19" s="59">
        <v>100000</v>
      </c>
      <c r="C19" s="59">
        <v>0</v>
      </c>
      <c r="D19" s="93">
        <v>0</v>
      </c>
      <c r="E19" s="59">
        <v>0</v>
      </c>
      <c r="F19" s="59">
        <v>0</v>
      </c>
      <c r="G19" s="59">
        <v>0</v>
      </c>
      <c r="I19" s="59">
        <f t="shared" si="0"/>
        <v>0</v>
      </c>
      <c r="K19" s="59">
        <f t="shared" si="1"/>
        <v>0</v>
      </c>
    </row>
    <row r="20" spans="1:13" ht="16.5" customHeight="1" x14ac:dyDescent="0.2">
      <c r="A20" t="s">
        <v>232</v>
      </c>
      <c r="B20" s="59">
        <v>15000</v>
      </c>
      <c r="C20" s="59">
        <v>15750</v>
      </c>
      <c r="D20" s="71">
        <v>15000</v>
      </c>
      <c r="E20" s="59">
        <v>16135.350000000002</v>
      </c>
      <c r="F20" s="59">
        <v>7327</v>
      </c>
      <c r="G20" s="59">
        <v>8808.3500000000022</v>
      </c>
      <c r="I20" s="59">
        <f t="shared" si="0"/>
        <v>8808.3500000000022</v>
      </c>
      <c r="K20" s="59">
        <f t="shared" si="1"/>
        <v>8808.3500000000022</v>
      </c>
    </row>
    <row r="21" spans="1:13" ht="16.5" customHeight="1" x14ac:dyDescent="0.2">
      <c r="A21" t="s">
        <v>83</v>
      </c>
      <c r="B21" s="59">
        <v>20000</v>
      </c>
      <c r="C21" s="59">
        <v>0</v>
      </c>
      <c r="D21" s="93">
        <v>7754</v>
      </c>
      <c r="E21" s="59">
        <v>0</v>
      </c>
      <c r="F21" s="59">
        <v>0</v>
      </c>
      <c r="G21" s="59">
        <v>0</v>
      </c>
      <c r="I21" s="59">
        <f t="shared" si="0"/>
        <v>0</v>
      </c>
      <c r="K21" s="59">
        <f t="shared" si="1"/>
        <v>0</v>
      </c>
    </row>
    <row r="22" spans="1:13" ht="16.5" customHeight="1" x14ac:dyDescent="0.2">
      <c r="A22" t="s">
        <v>154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I22" s="59">
        <f t="shared" si="0"/>
        <v>5315.7000000000007</v>
      </c>
      <c r="K22" s="59">
        <f t="shared" si="1"/>
        <v>5315.7000000000007</v>
      </c>
    </row>
    <row r="23" spans="1:13" ht="16.5" customHeight="1" x14ac:dyDescent="0.2">
      <c r="A23" t="s">
        <v>88</v>
      </c>
      <c r="B23" s="59">
        <v>86500</v>
      </c>
      <c r="C23" s="59">
        <v>64575</v>
      </c>
      <c r="D23" s="71">
        <v>79114</v>
      </c>
      <c r="E23" s="59">
        <v>95114.744999999981</v>
      </c>
      <c r="F23" s="59">
        <v>9788</v>
      </c>
      <c r="G23" s="59">
        <v>85326.744999999981</v>
      </c>
      <c r="I23" s="59">
        <f t="shared" si="0"/>
        <v>85326.744999999981</v>
      </c>
      <c r="K23" s="59">
        <f t="shared" si="1"/>
        <v>85326.744999999981</v>
      </c>
    </row>
    <row r="24" spans="1:13" ht="16.5" customHeight="1" x14ac:dyDescent="0.2">
      <c r="A24" t="s">
        <v>96</v>
      </c>
      <c r="B24" s="59">
        <v>942134</v>
      </c>
      <c r="C24" s="59">
        <v>509640.6</v>
      </c>
      <c r="D24" s="59">
        <v>747630</v>
      </c>
      <c r="E24" s="59">
        <v>616219.54079949996</v>
      </c>
      <c r="F24" s="59">
        <v>311499.61481699999</v>
      </c>
      <c r="G24" s="59">
        <v>304719.92598250002</v>
      </c>
      <c r="I24" s="59">
        <f t="shared" si="0"/>
        <v>304719.92598250002</v>
      </c>
      <c r="K24" s="59">
        <f t="shared" si="1"/>
        <v>304719.92598250002</v>
      </c>
    </row>
    <row r="25" spans="1:13" ht="16.5" customHeight="1" x14ac:dyDescent="0.2">
      <c r="C25"/>
      <c r="I25" s="59">
        <f t="shared" si="0"/>
        <v>0</v>
      </c>
      <c r="K25" s="59">
        <f t="shared" si="1"/>
        <v>0</v>
      </c>
    </row>
    <row r="26" spans="1:13" ht="16.5" customHeight="1" x14ac:dyDescent="0.2">
      <c r="C26"/>
      <c r="I26" s="59">
        <f>SUM(I7:I25)</f>
        <v>609439.85196500004</v>
      </c>
      <c r="J26" s="59">
        <f t="shared" ref="J26:K26" si="2">SUM(J7:J25)</f>
        <v>54000</v>
      </c>
      <c r="K26" s="59">
        <f t="shared" si="2"/>
        <v>609439.85196500004</v>
      </c>
    </row>
    <row r="27" spans="1:13" ht="16.5" customHeight="1" x14ac:dyDescent="0.2">
      <c r="C27"/>
      <c r="J27" s="58"/>
    </row>
    <row r="28" spans="1:13" ht="16.5" customHeight="1" x14ac:dyDescent="0.2">
      <c r="C28"/>
    </row>
    <row r="29" spans="1:13" ht="16.5" customHeight="1" x14ac:dyDescent="0.2">
      <c r="C29"/>
    </row>
    <row r="30" spans="1:13" ht="16.5" customHeight="1" x14ac:dyDescent="0.2">
      <c r="C30"/>
      <c r="K30" s="58">
        <v>3000000</v>
      </c>
      <c r="L30">
        <v>25</v>
      </c>
      <c r="M30">
        <v>10</v>
      </c>
    </row>
    <row r="31" spans="1:13" ht="16.5" customHeight="1" x14ac:dyDescent="0.2">
      <c r="C31"/>
    </row>
    <row r="32" spans="1:13" ht="16.5" customHeight="1" x14ac:dyDescent="0.2">
      <c r="C32"/>
      <c r="K32">
        <f>+L32*M30</f>
        <v>1200000</v>
      </c>
      <c r="L32" s="58">
        <f>+K30/L30</f>
        <v>120000</v>
      </c>
    </row>
    <row r="33" spans="1:11" ht="16.5" customHeight="1" x14ac:dyDescent="0.2">
      <c r="C33"/>
    </row>
    <row r="34" spans="1:11" ht="16.5" customHeight="1" x14ac:dyDescent="0.2">
      <c r="C34"/>
      <c r="D34" s="59">
        <f>D18</f>
        <v>46311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15000</v>
      </c>
      <c r="E36" s="59"/>
      <c r="F36" s="59"/>
      <c r="G36" s="59"/>
    </row>
    <row r="37" spans="1:11" ht="20.25" customHeight="1" x14ac:dyDescent="0.2">
      <c r="A37" t="s">
        <v>282</v>
      </c>
      <c r="B37" s="58">
        <v>887615</v>
      </c>
      <c r="C37"/>
    </row>
    <row r="38" spans="1:11" ht="20.25" customHeight="1" x14ac:dyDescent="0.2">
      <c r="A38" t="s">
        <v>186</v>
      </c>
      <c r="B38" s="65">
        <f>++B25+B37</f>
        <v>887615</v>
      </c>
      <c r="C38"/>
    </row>
    <row r="39" spans="1:11" ht="20.25" customHeight="1" x14ac:dyDescent="0.2">
      <c r="A39" t="s">
        <v>139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191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80</v>
      </c>
      <c r="B7" t="s">
        <v>145</v>
      </c>
      <c r="C7" s="59">
        <v>1685</v>
      </c>
      <c r="D7" s="59">
        <v>0</v>
      </c>
      <c r="E7" s="59">
        <v>1618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79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161</v>
      </c>
      <c r="B9" s="61"/>
      <c r="C9" s="62">
        <v>4685</v>
      </c>
      <c r="D9" s="62">
        <v>3150</v>
      </c>
      <c r="E9" s="62">
        <v>4618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123</v>
      </c>
      <c r="B10" t="s">
        <v>112</v>
      </c>
      <c r="C10" s="59">
        <v>40000</v>
      </c>
      <c r="D10" s="59">
        <v>42000</v>
      </c>
      <c r="E10" s="59">
        <v>40000</v>
      </c>
      <c r="F10" s="59">
        <v>43027.600000000006</v>
      </c>
      <c r="G10" s="59">
        <v>0</v>
      </c>
      <c r="H10" s="59">
        <f t="shared" si="0"/>
        <v>0</v>
      </c>
    </row>
    <row r="11" spans="1:11" ht="20.25" customHeight="1" x14ac:dyDescent="0.2">
      <c r="B11" t="s">
        <v>79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197</v>
      </c>
      <c r="B12" s="61"/>
      <c r="C12" s="62">
        <v>45000</v>
      </c>
      <c r="D12" s="62">
        <v>47250</v>
      </c>
      <c r="E12" s="62">
        <v>45000</v>
      </c>
      <c r="F12" s="62">
        <v>43027.600000000006</v>
      </c>
      <c r="G12" s="62">
        <v>5518.15</v>
      </c>
      <c r="H12" s="59">
        <f t="shared" si="0"/>
        <v>5518.15</v>
      </c>
      <c r="I12" s="66"/>
    </row>
    <row r="13" spans="1:11" ht="20.25" customHeight="1" x14ac:dyDescent="0.2">
      <c r="A13" t="s">
        <v>100</v>
      </c>
      <c r="B13" t="s">
        <v>93</v>
      </c>
      <c r="C13" s="59">
        <v>436278</v>
      </c>
      <c r="D13" s="59">
        <v>458091.9</v>
      </c>
      <c r="E13" s="59">
        <v>436278</v>
      </c>
      <c r="F13" s="59">
        <v>0</v>
      </c>
      <c r="G13" s="59">
        <v>469299.88182000007</v>
      </c>
      <c r="H13" s="59">
        <f t="shared" si="0"/>
        <v>469299.88182000007</v>
      </c>
    </row>
    <row r="14" spans="1:11" ht="20.25" customHeight="1" x14ac:dyDescent="0.2">
      <c r="A14" s="61" t="s">
        <v>279</v>
      </c>
      <c r="B14" s="61"/>
      <c r="C14" s="62">
        <v>436278</v>
      </c>
      <c r="D14" s="62">
        <v>458091.9</v>
      </c>
      <c r="E14" s="62">
        <v>436278</v>
      </c>
      <c r="F14" s="62">
        <v>0</v>
      </c>
      <c r="G14" s="62">
        <v>469299.88182000007</v>
      </c>
      <c r="H14" s="59">
        <f t="shared" si="0"/>
        <v>469299.88182000007</v>
      </c>
    </row>
    <row r="15" spans="1:11" ht="20.25" customHeight="1" x14ac:dyDescent="0.2">
      <c r="A15" t="s">
        <v>232</v>
      </c>
      <c r="B15" t="s">
        <v>114</v>
      </c>
      <c r="C15" s="59">
        <v>1000</v>
      </c>
      <c r="D15" s="59">
        <v>0</v>
      </c>
      <c r="E15" s="59">
        <v>1000</v>
      </c>
      <c r="F15" s="59">
        <v>1159.5100000000002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265</v>
      </c>
      <c r="B16" s="61"/>
      <c r="C16" s="62">
        <v>1000</v>
      </c>
      <c r="D16" s="62">
        <v>0</v>
      </c>
      <c r="E16" s="62">
        <v>1000</v>
      </c>
      <c r="F16" s="62">
        <v>1159.5100000000002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96</v>
      </c>
      <c r="C17" s="59">
        <v>491963</v>
      </c>
      <c r="D17" s="59">
        <v>508491.9</v>
      </c>
      <c r="E17" s="59">
        <v>491896</v>
      </c>
      <c r="F17" s="59">
        <v>44187.110000000008</v>
      </c>
      <c r="G17" s="59">
        <v>478296.56182000006</v>
      </c>
      <c r="H17" s="59">
        <f t="shared" si="0"/>
        <v>478296.56182000006</v>
      </c>
    </row>
    <row r="18" spans="1:8" ht="20.25" customHeight="1" x14ac:dyDescent="0.2">
      <c r="C18"/>
      <c r="H18" s="59">
        <f t="shared" si="0"/>
        <v>0</v>
      </c>
    </row>
    <row r="19" spans="1:8" ht="20.25" customHeight="1" x14ac:dyDescent="0.2">
      <c r="C19"/>
      <c r="H19" s="59">
        <f t="shared" si="0"/>
        <v>0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1434889.6854600003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159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178</v>
      </c>
      <c r="G4" t="s">
        <v>162</v>
      </c>
      <c r="H4" t="s">
        <v>147</v>
      </c>
    </row>
    <row r="5" spans="1:11" ht="20.25" customHeight="1" x14ac:dyDescent="0.2">
      <c r="A5" t="s">
        <v>268</v>
      </c>
      <c r="B5" t="s">
        <v>266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137</v>
      </c>
      <c r="B7" t="s">
        <v>230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288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180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254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176</v>
      </c>
      <c r="B11" t="s">
        <v>221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271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418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255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235</v>
      </c>
      <c r="B15" t="s">
        <v>419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285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144</v>
      </c>
      <c r="B17" s="72" t="s">
        <v>179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286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145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256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145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356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161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357</v>
      </c>
      <c r="B26" t="s">
        <v>356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431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123</v>
      </c>
      <c r="B28" t="s">
        <v>112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114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424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197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134</v>
      </c>
      <c r="B32" s="72" t="s">
        <v>179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221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287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237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244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257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190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204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212</v>
      </c>
      <c r="B40" t="s">
        <v>112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216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112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198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131</v>
      </c>
      <c r="B44" t="s">
        <v>112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155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258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185</v>
      </c>
      <c r="B47" s="72" t="s">
        <v>237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324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D65" sqref="D6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159</v>
      </c>
    </row>
    <row r="2" spans="1:17" x14ac:dyDescent="0.2">
      <c r="A2" s="57" t="s">
        <v>29</v>
      </c>
      <c r="B2" t="s">
        <v>63</v>
      </c>
      <c r="D2">
        <v>12</v>
      </c>
      <c r="I2" t="s">
        <v>224</v>
      </c>
      <c r="J2" t="s">
        <v>231</v>
      </c>
      <c r="K2" t="s">
        <v>223</v>
      </c>
      <c r="P2" t="s">
        <v>225</v>
      </c>
    </row>
    <row r="4" spans="1:17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7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>
        <f>H5</f>
        <v>946.15000000000055</v>
      </c>
    </row>
    <row r="6" spans="1:17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  <c r="I6" s="59"/>
    </row>
    <row r="7" spans="1:17" ht="20.25" customHeight="1" x14ac:dyDescent="0.2">
      <c r="A7" t="s">
        <v>180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254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115</v>
      </c>
      <c r="B9" t="s">
        <v>145</v>
      </c>
      <c r="C9" s="59">
        <v>503</v>
      </c>
      <c r="D9" s="59">
        <v>0</v>
      </c>
      <c r="E9" s="59">
        <v>503</v>
      </c>
      <c r="F9" s="59">
        <v>0</v>
      </c>
      <c r="G9" s="59">
        <v>0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432</v>
      </c>
      <c r="B10" s="61"/>
      <c r="C10" s="62">
        <v>503</v>
      </c>
      <c r="D10" s="62">
        <v>0</v>
      </c>
      <c r="E10" s="62">
        <v>503</v>
      </c>
      <c r="F10" s="62">
        <v>0</v>
      </c>
      <c r="G10" s="62">
        <v>0</v>
      </c>
      <c r="H10" s="62">
        <v>0</v>
      </c>
      <c r="I10" s="59">
        <f t="shared" si="0"/>
        <v>0</v>
      </c>
    </row>
    <row r="11" spans="1:17" ht="20.25" customHeight="1" x14ac:dyDescent="0.2">
      <c r="A11" t="s">
        <v>80</v>
      </c>
      <c r="B11" t="s">
        <v>145</v>
      </c>
      <c r="C11" s="59">
        <v>12392</v>
      </c>
      <c r="D11" s="59">
        <v>0</v>
      </c>
      <c r="E11" s="59">
        <v>12325</v>
      </c>
      <c r="F11" s="59">
        <v>0</v>
      </c>
      <c r="G11" s="59">
        <v>0</v>
      </c>
      <c r="H11" s="59">
        <v>0</v>
      </c>
      <c r="I11" s="59"/>
    </row>
    <row r="12" spans="1:17" ht="20.25" customHeight="1" x14ac:dyDescent="0.2">
      <c r="B12" t="s">
        <v>110</v>
      </c>
      <c r="C12" s="59">
        <v>5000</v>
      </c>
      <c r="D12" s="59">
        <v>5250</v>
      </c>
      <c r="E12" s="59">
        <v>5000</v>
      </c>
      <c r="F12" s="59">
        <v>0</v>
      </c>
      <c r="G12" s="59">
        <v>5518.15</v>
      </c>
      <c r="H12" s="59">
        <v>5518.15</v>
      </c>
      <c r="I12" s="59">
        <f t="shared" si="0"/>
        <v>5518.15</v>
      </c>
    </row>
    <row r="13" spans="1:17" ht="20.25" customHeight="1" x14ac:dyDescent="0.2">
      <c r="B13" t="s">
        <v>79</v>
      </c>
      <c r="C13" s="59">
        <v>18000</v>
      </c>
      <c r="D13" s="59">
        <v>18900</v>
      </c>
      <c r="E13" s="59">
        <v>18000</v>
      </c>
      <c r="F13" s="59">
        <v>0</v>
      </c>
      <c r="G13" s="59">
        <v>20032.980000000003</v>
      </c>
      <c r="H13" s="59">
        <v>20032.980000000003</v>
      </c>
      <c r="I13" s="59"/>
    </row>
    <row r="14" spans="1:17" ht="20.25" customHeight="1" x14ac:dyDescent="0.2">
      <c r="A14" s="61" t="s">
        <v>161</v>
      </c>
      <c r="B14" s="61"/>
      <c r="C14" s="62">
        <v>35392</v>
      </c>
      <c r="D14" s="62">
        <v>24150</v>
      </c>
      <c r="E14" s="62">
        <v>35325</v>
      </c>
      <c r="F14" s="62">
        <v>0</v>
      </c>
      <c r="G14" s="62">
        <v>25551.130000000005</v>
      </c>
      <c r="H14" s="62">
        <v>25551.130000000005</v>
      </c>
      <c r="I14" s="59">
        <f t="shared" si="0"/>
        <v>25551.130000000005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t="s">
        <v>123</v>
      </c>
      <c r="B15" t="s">
        <v>112</v>
      </c>
      <c r="C15" s="59">
        <v>40000</v>
      </c>
      <c r="D15" s="59">
        <v>42000</v>
      </c>
      <c r="E15" s="59">
        <v>40000</v>
      </c>
      <c r="F15" s="59">
        <v>43027.600000000006</v>
      </c>
      <c r="G15" s="59">
        <v>43027.600000000006</v>
      </c>
      <c r="H15" s="59">
        <v>0</v>
      </c>
      <c r="I15" s="59"/>
    </row>
    <row r="16" spans="1:17" ht="20.25" customHeight="1" x14ac:dyDescent="0.2">
      <c r="B16" t="s">
        <v>110</v>
      </c>
      <c r="C16" s="59">
        <v>10000</v>
      </c>
      <c r="D16" s="59">
        <v>10500</v>
      </c>
      <c r="E16" s="59">
        <v>10000</v>
      </c>
      <c r="F16" s="59">
        <v>0</v>
      </c>
      <c r="G16" s="59">
        <v>11595.1</v>
      </c>
      <c r="H16" s="59">
        <v>11595.1</v>
      </c>
      <c r="I16" s="59">
        <f t="shared" si="0"/>
        <v>11595.1</v>
      </c>
    </row>
    <row r="17" spans="1:17" ht="20.25" customHeight="1" x14ac:dyDescent="0.2">
      <c r="B17" t="s">
        <v>79</v>
      </c>
      <c r="C17" s="59">
        <v>5000</v>
      </c>
      <c r="D17" s="59">
        <v>5250</v>
      </c>
      <c r="E17" s="59">
        <v>5000</v>
      </c>
      <c r="F17" s="59">
        <v>0</v>
      </c>
      <c r="G17" s="59">
        <v>5518.15</v>
      </c>
      <c r="H17" s="59">
        <v>5518.15</v>
      </c>
      <c r="I17" s="59">
        <f t="shared" si="0"/>
        <v>5518.15</v>
      </c>
    </row>
    <row r="18" spans="1:17" ht="20.25" customHeight="1" x14ac:dyDescent="0.2">
      <c r="A18" s="61" t="s">
        <v>197</v>
      </c>
      <c r="B18" s="61"/>
      <c r="C18" s="62">
        <v>55000</v>
      </c>
      <c r="D18" s="62">
        <v>57750</v>
      </c>
      <c r="E18" s="62">
        <v>55000</v>
      </c>
      <c r="F18" s="62">
        <v>43027.600000000006</v>
      </c>
      <c r="G18" s="62">
        <v>60140.850000000006</v>
      </c>
      <c r="H18" s="62">
        <v>17113.25</v>
      </c>
      <c r="I18" s="59">
        <f t="shared" si="0"/>
        <v>17113.25</v>
      </c>
      <c r="K18" s="59"/>
      <c r="L18" s="59"/>
      <c r="M18" s="59"/>
    </row>
    <row r="19" spans="1:17" ht="20.25" customHeight="1" x14ac:dyDescent="0.2">
      <c r="A19" t="s">
        <v>100</v>
      </c>
      <c r="B19" t="s">
        <v>93</v>
      </c>
      <c r="C19" s="59">
        <v>436278</v>
      </c>
      <c r="D19" s="59">
        <v>458091.9</v>
      </c>
      <c r="E19" s="59">
        <v>436278</v>
      </c>
      <c r="F19" s="59">
        <v>0</v>
      </c>
      <c r="G19" s="59">
        <v>469299.88182000007</v>
      </c>
      <c r="H19" s="59">
        <v>469299.88182000007</v>
      </c>
      <c r="I19" s="59">
        <f t="shared" si="0"/>
        <v>469299.88182000007</v>
      </c>
      <c r="K19" s="59"/>
      <c r="L19" s="59"/>
      <c r="M19" s="59"/>
    </row>
    <row r="20" spans="1:17" ht="20.25" customHeight="1" x14ac:dyDescent="0.2">
      <c r="A20" s="61" t="s">
        <v>279</v>
      </c>
      <c r="B20" s="61"/>
      <c r="C20" s="62">
        <v>436278</v>
      </c>
      <c r="D20" s="62">
        <v>458091.9</v>
      </c>
      <c r="E20" s="62">
        <v>436278</v>
      </c>
      <c r="F20" s="62">
        <v>0</v>
      </c>
      <c r="G20" s="62">
        <v>469299.88182000007</v>
      </c>
      <c r="H20" s="62">
        <v>469299.88182000007</v>
      </c>
      <c r="I20" s="59">
        <f t="shared" si="0"/>
        <v>469299.88182000007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232</v>
      </c>
      <c r="B21" t="s">
        <v>114</v>
      </c>
      <c r="C21" s="59">
        <v>1000</v>
      </c>
      <c r="D21" s="59">
        <v>0</v>
      </c>
      <c r="E21" s="59">
        <v>1000</v>
      </c>
      <c r="F21" s="59">
        <v>1159.5100000000002</v>
      </c>
      <c r="G21" s="59">
        <v>1159.5100000000002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265</v>
      </c>
      <c r="B22" s="61"/>
      <c r="C22" s="62">
        <v>1000</v>
      </c>
      <c r="D22" s="62">
        <v>0</v>
      </c>
      <c r="E22" s="62">
        <v>1000</v>
      </c>
      <c r="F22" s="62">
        <v>1159.5100000000002</v>
      </c>
      <c r="G22" s="62">
        <v>1159.5100000000002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96</v>
      </c>
      <c r="C23" s="59">
        <v>538173</v>
      </c>
      <c r="D23" s="59">
        <v>545241.9</v>
      </c>
      <c r="E23" s="59">
        <v>538106</v>
      </c>
      <c r="F23" s="59">
        <v>47362.110000000008</v>
      </c>
      <c r="G23" s="59">
        <v>560272.52182000014</v>
      </c>
      <c r="H23" s="59">
        <v>512910.4118200001</v>
      </c>
      <c r="I23" s="59"/>
      <c r="J23" s="63"/>
      <c r="K23" s="68"/>
      <c r="L23" s="68"/>
      <c r="M23" s="68"/>
      <c r="P23" s="60"/>
    </row>
    <row r="24" spans="1:17" ht="20.25" customHeight="1" x14ac:dyDescent="0.2">
      <c r="C24"/>
      <c r="I24" s="59">
        <f t="shared" si="0"/>
        <v>0</v>
      </c>
    </row>
    <row r="25" spans="1:17" ht="20.25" customHeight="1" x14ac:dyDescent="0.2">
      <c r="C25"/>
      <c r="I25" s="59"/>
    </row>
    <row r="26" spans="1:17" ht="20.25" customHeight="1" x14ac:dyDescent="0.2">
      <c r="C26"/>
      <c r="I26" s="59">
        <f t="shared" si="0"/>
        <v>0</v>
      </c>
    </row>
    <row r="27" spans="1:17" ht="20.25" customHeight="1" x14ac:dyDescent="0.2">
      <c r="C27"/>
      <c r="I27" s="59"/>
    </row>
    <row r="28" spans="1:17" ht="20.25" customHeight="1" x14ac:dyDescent="0.2">
      <c r="C28"/>
      <c r="I28" s="59">
        <f t="shared" si="0"/>
        <v>0</v>
      </c>
    </row>
    <row r="29" spans="1:17" ht="20.25" customHeight="1" x14ac:dyDescent="0.2">
      <c r="C29"/>
      <c r="I29" s="59">
        <f t="shared" si="0"/>
        <v>0</v>
      </c>
    </row>
    <row r="30" spans="1:17" ht="20.25" customHeight="1" x14ac:dyDescent="0.2">
      <c r="C30"/>
      <c r="I30" s="59">
        <f t="shared" si="0"/>
        <v>0</v>
      </c>
    </row>
    <row r="31" spans="1:17" ht="20.25" customHeight="1" x14ac:dyDescent="0.2">
      <c r="C31"/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C32"/>
      <c r="I32" s="59">
        <f t="shared" si="0"/>
        <v>0</v>
      </c>
      <c r="K32" s="68"/>
      <c r="L32" s="68"/>
      <c r="M32" s="68"/>
    </row>
    <row r="33" spans="3:16" ht="20.25" customHeight="1" x14ac:dyDescent="0.2">
      <c r="C33"/>
      <c r="I33" s="59">
        <f t="shared" si="0"/>
        <v>0</v>
      </c>
      <c r="K33" s="68"/>
      <c r="L33" s="68"/>
      <c r="M33" s="68"/>
    </row>
    <row r="34" spans="3:16" ht="20.25" customHeight="1" x14ac:dyDescent="0.2">
      <c r="C34"/>
      <c r="I34" s="59">
        <f t="shared" si="0"/>
        <v>0</v>
      </c>
      <c r="J34" s="63"/>
      <c r="K34" s="68"/>
      <c r="L34" s="68"/>
      <c r="M34" s="68"/>
      <c r="P34" s="60"/>
    </row>
    <row r="35" spans="3:16" ht="20.25" customHeight="1" x14ac:dyDescent="0.2">
      <c r="C35"/>
      <c r="I35" s="59">
        <f t="shared" si="0"/>
        <v>0</v>
      </c>
    </row>
    <row r="36" spans="3:16" ht="20.25" customHeight="1" x14ac:dyDescent="0.2">
      <c r="C36"/>
      <c r="I36" s="59">
        <f t="shared" si="0"/>
        <v>0</v>
      </c>
    </row>
    <row r="37" spans="3:16" ht="20.25" customHeight="1" x14ac:dyDescent="0.2">
      <c r="C37"/>
      <c r="I37" s="59">
        <f t="shared" si="0"/>
        <v>0</v>
      </c>
    </row>
    <row r="38" spans="3:16" ht="20.25" customHeight="1" x14ac:dyDescent="0.2">
      <c r="C38"/>
      <c r="I38" s="59">
        <f t="shared" si="0"/>
        <v>0</v>
      </c>
    </row>
    <row r="39" spans="3:16" ht="20.25" customHeight="1" x14ac:dyDescent="0.2">
      <c r="C39"/>
      <c r="I39" s="59">
        <f t="shared" si="0"/>
        <v>0</v>
      </c>
      <c r="J39" s="59"/>
    </row>
    <row r="40" spans="3:16" ht="20.25" customHeight="1" x14ac:dyDescent="0.2">
      <c r="C40"/>
      <c r="I40" s="59">
        <f t="shared" si="0"/>
        <v>0</v>
      </c>
    </row>
    <row r="41" spans="3:16" ht="20.25" customHeight="1" x14ac:dyDescent="0.2">
      <c r="C41"/>
      <c r="I41" s="59"/>
    </row>
    <row r="42" spans="3:16" ht="20.25" customHeight="1" x14ac:dyDescent="0.2">
      <c r="C42"/>
      <c r="I42" s="59">
        <f t="shared" si="0"/>
        <v>0</v>
      </c>
    </row>
    <row r="43" spans="3:16" ht="20.25" customHeight="1" x14ac:dyDescent="0.2">
      <c r="C43"/>
      <c r="I43" s="59"/>
    </row>
    <row r="44" spans="3:16" ht="20.25" customHeight="1" x14ac:dyDescent="0.2">
      <c r="C44"/>
      <c r="I44" s="59">
        <f t="shared" si="0"/>
        <v>0</v>
      </c>
    </row>
    <row r="45" spans="3:16" ht="20.25" customHeight="1" x14ac:dyDescent="0.2">
      <c r="C45"/>
      <c r="I45" s="59">
        <f t="shared" si="0"/>
        <v>0</v>
      </c>
    </row>
    <row r="46" spans="3:16" ht="20.25" customHeight="1" x14ac:dyDescent="0.2">
      <c r="C46"/>
      <c r="I46" s="69"/>
      <c r="J46" s="69">
        <v>74000</v>
      </c>
    </row>
    <row r="47" spans="3:16" ht="20.25" customHeight="1" x14ac:dyDescent="0.2">
      <c r="C47"/>
      <c r="I47" s="59">
        <f t="shared" si="0"/>
        <v>0</v>
      </c>
    </row>
    <row r="48" spans="3:16" ht="20.25" customHeight="1" x14ac:dyDescent="0.2">
      <c r="C48"/>
      <c r="I48" s="59">
        <f t="shared" si="0"/>
        <v>0</v>
      </c>
    </row>
    <row r="49" spans="3:16" ht="20.25" customHeight="1" x14ac:dyDescent="0.2">
      <c r="C49"/>
      <c r="I49" s="69"/>
      <c r="J49" s="70"/>
    </row>
    <row r="50" spans="3:16" ht="20.25" customHeight="1" x14ac:dyDescent="0.2">
      <c r="C50"/>
      <c r="I50" s="59"/>
    </row>
    <row r="51" spans="3:16" ht="20.25" customHeight="1" x14ac:dyDescent="0.2">
      <c r="C51"/>
      <c r="I51" s="59">
        <f t="shared" si="0"/>
        <v>0</v>
      </c>
      <c r="J51" s="59"/>
    </row>
    <row r="52" spans="3:16" ht="20.25" customHeight="1" x14ac:dyDescent="0.2">
      <c r="C52"/>
      <c r="I52" s="59">
        <f t="shared" si="0"/>
        <v>0</v>
      </c>
    </row>
    <row r="53" spans="3:16" ht="20.25" customHeight="1" x14ac:dyDescent="0.2">
      <c r="C53"/>
      <c r="I53" s="59"/>
    </row>
    <row r="54" spans="3:16" ht="20.25" customHeight="1" x14ac:dyDescent="0.2">
      <c r="C54"/>
      <c r="I54" s="59">
        <f t="shared" si="0"/>
        <v>0</v>
      </c>
    </row>
    <row r="55" spans="3:16" ht="20.25" customHeight="1" x14ac:dyDescent="0.2">
      <c r="C55"/>
      <c r="I55" s="59">
        <f t="shared" si="0"/>
        <v>0</v>
      </c>
      <c r="J55" s="59"/>
      <c r="K55" s="68"/>
      <c r="L55" s="68"/>
      <c r="M55" s="68"/>
    </row>
    <row r="56" spans="3:16" ht="20.25" customHeight="1" x14ac:dyDescent="0.2">
      <c r="C56"/>
      <c r="I56" s="69">
        <f>H56-J56</f>
        <v>-166000</v>
      </c>
      <c r="J56" s="69">
        <v>166000</v>
      </c>
    </row>
    <row r="57" spans="3:16" ht="20.25" customHeight="1" x14ac:dyDescent="0.2">
      <c r="C57"/>
      <c r="I57" s="59"/>
      <c r="J57" s="59"/>
      <c r="K57" s="68"/>
      <c r="L57" s="68"/>
      <c r="M57" s="68"/>
      <c r="P57" s="60"/>
    </row>
    <row r="58" spans="3:16" ht="20.25" customHeight="1" x14ac:dyDescent="0.2">
      <c r="C58"/>
      <c r="I58" s="59">
        <f t="shared" si="0"/>
        <v>0</v>
      </c>
    </row>
    <row r="59" spans="3:16" ht="20.25" customHeight="1" x14ac:dyDescent="0.2">
      <c r="C59"/>
      <c r="I59" s="59">
        <f t="shared" si="0"/>
        <v>0</v>
      </c>
      <c r="J59" s="59"/>
    </row>
    <row r="60" spans="3:16" ht="20.25" customHeight="1" x14ac:dyDescent="0.2">
      <c r="C60"/>
      <c r="I60" s="59">
        <f t="shared" si="0"/>
        <v>0</v>
      </c>
    </row>
    <row r="61" spans="3:16" ht="20.25" customHeight="1" x14ac:dyDescent="0.2">
      <c r="C61"/>
      <c r="I61" s="59">
        <f t="shared" si="0"/>
        <v>0</v>
      </c>
    </row>
    <row r="62" spans="3:16" ht="20.25" customHeight="1" x14ac:dyDescent="0.2">
      <c r="C62"/>
      <c r="I62" s="59">
        <f t="shared" si="0"/>
        <v>0</v>
      </c>
    </row>
    <row r="63" spans="3:16" ht="20.25" customHeight="1" x14ac:dyDescent="0.2">
      <c r="C63"/>
      <c r="I63" s="59"/>
    </row>
    <row r="64" spans="3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838841.69364000019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838841.69364000019</v>
      </c>
      <c r="J79">
        <v>16</v>
      </c>
      <c r="K79" s="58">
        <f>+I79*0.9779</f>
        <v>820303.29221055622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52427.605852500012</v>
      </c>
      <c r="K81" s="58">
        <f>+K79*85</f>
        <v>69725779.837897286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69725.77983789728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9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172</v>
      </c>
      <c r="B122">
        <v>20700</v>
      </c>
      <c r="C122" s="58">
        <v>424374</v>
      </c>
    </row>
    <row r="123" spans="1:9" x14ac:dyDescent="0.2">
      <c r="A123" s="64" t="s">
        <v>172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9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9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E15" sqref="E15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159</v>
      </c>
    </row>
    <row r="3" spans="1:12" x14ac:dyDescent="0.2">
      <c r="A3" s="57" t="s">
        <v>29</v>
      </c>
      <c r="B3" t="s">
        <v>63</v>
      </c>
    </row>
    <row r="4" spans="1:12" x14ac:dyDescent="0.2">
      <c r="A4" s="57" t="s">
        <v>42</v>
      </c>
      <c r="B4" t="s">
        <v>177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158</v>
      </c>
      <c r="C6" t="s">
        <v>167</v>
      </c>
      <c r="D6" t="s">
        <v>160</v>
      </c>
      <c r="E6" t="s">
        <v>178</v>
      </c>
      <c r="F6" t="s">
        <v>162</v>
      </c>
      <c r="G6" t="s">
        <v>147</v>
      </c>
    </row>
    <row r="7" spans="1:12" ht="20.25" customHeight="1" x14ac:dyDescent="0.2">
      <c r="A7" t="s">
        <v>180</v>
      </c>
      <c r="B7" s="59">
        <v>5000</v>
      </c>
      <c r="C7" s="59">
        <v>0</v>
      </c>
      <c r="D7" s="59">
        <v>5000</v>
      </c>
      <c r="E7" s="59">
        <v>0</v>
      </c>
      <c r="F7" s="59">
        <v>0</v>
      </c>
      <c r="G7" s="59">
        <v>0</v>
      </c>
    </row>
    <row r="8" spans="1:12" ht="20.25" customHeight="1" x14ac:dyDescent="0.2">
      <c r="A8" t="s">
        <v>115</v>
      </c>
      <c r="B8" s="59">
        <v>503</v>
      </c>
      <c r="C8" s="59">
        <v>0</v>
      </c>
      <c r="D8" s="59">
        <v>503</v>
      </c>
      <c r="E8" s="59">
        <v>0</v>
      </c>
      <c r="F8" s="59">
        <v>0</v>
      </c>
      <c r="G8" s="59">
        <v>0</v>
      </c>
    </row>
    <row r="9" spans="1:12" ht="20.25" customHeight="1" x14ac:dyDescent="0.2">
      <c r="A9" t="s">
        <v>80</v>
      </c>
      <c r="B9" s="59">
        <v>41286</v>
      </c>
      <c r="C9" s="59">
        <v>29400</v>
      </c>
      <c r="D9" s="59">
        <v>41219</v>
      </c>
      <c r="E9" s="59">
        <v>31069.279999999999</v>
      </c>
      <c r="F9" s="59">
        <v>0</v>
      </c>
      <c r="G9" s="59">
        <v>31069.279999999999</v>
      </c>
    </row>
    <row r="10" spans="1:12" ht="20.25" customHeight="1" x14ac:dyDescent="0.2">
      <c r="A10" t="s">
        <v>123</v>
      </c>
      <c r="B10" s="59">
        <v>52000</v>
      </c>
      <c r="C10" s="59">
        <v>54600</v>
      </c>
      <c r="D10" s="59">
        <v>52000</v>
      </c>
      <c r="E10" s="59">
        <v>56271.16</v>
      </c>
      <c r="F10" s="59">
        <v>50753.010000000009</v>
      </c>
      <c r="G10" s="59">
        <v>5518.15</v>
      </c>
    </row>
    <row r="11" spans="1:12" ht="20.25" customHeight="1" x14ac:dyDescent="0.2">
      <c r="A11" t="s">
        <v>100</v>
      </c>
      <c r="B11" s="59">
        <v>436278</v>
      </c>
      <c r="C11" s="59">
        <v>458091.9</v>
      </c>
      <c r="D11" s="59">
        <v>436278</v>
      </c>
      <c r="E11" s="59">
        <v>469299.88182000007</v>
      </c>
      <c r="F11" s="59">
        <v>0</v>
      </c>
      <c r="G11" s="59">
        <v>469299.88182000007</v>
      </c>
      <c r="L11">
        <f>76*2500</f>
        <v>190000</v>
      </c>
    </row>
    <row r="12" spans="1:12" ht="20.25" customHeight="1" x14ac:dyDescent="0.2">
      <c r="A12" t="s">
        <v>232</v>
      </c>
      <c r="B12" s="59">
        <v>1000</v>
      </c>
      <c r="C12" s="59">
        <v>0</v>
      </c>
      <c r="D12" s="59">
        <v>1000</v>
      </c>
      <c r="E12" s="59">
        <v>1159.5100000000002</v>
      </c>
      <c r="F12" s="59">
        <v>1159.5100000000002</v>
      </c>
      <c r="G12" s="59">
        <v>0</v>
      </c>
    </row>
    <row r="13" spans="1:12" ht="20.25" customHeight="1" x14ac:dyDescent="0.2">
      <c r="A13" t="s">
        <v>96</v>
      </c>
      <c r="B13" s="59">
        <v>536067</v>
      </c>
      <c r="C13" s="59">
        <v>542091.9</v>
      </c>
      <c r="D13" s="59">
        <v>536000</v>
      </c>
      <c r="E13" s="59">
        <v>557799.83182000008</v>
      </c>
      <c r="F13" s="59">
        <v>51912.520000000011</v>
      </c>
      <c r="G13" s="59">
        <v>505887.31182000006</v>
      </c>
    </row>
    <row r="14" spans="1:12" ht="20.25" customHeight="1" x14ac:dyDescent="0.2">
      <c r="C14"/>
    </row>
    <row r="15" spans="1:12" ht="20.25" customHeight="1" x14ac:dyDescent="0.2">
      <c r="C15"/>
    </row>
    <row r="16" spans="1:12" ht="20.25" customHeight="1" x14ac:dyDescent="0.2">
      <c r="C16"/>
    </row>
    <row r="17" spans="3:3" ht="20.25" customHeight="1" x14ac:dyDescent="0.2">
      <c r="C17"/>
    </row>
    <row r="18" spans="3:3" ht="20.25" customHeight="1" x14ac:dyDescent="0.2">
      <c r="C18"/>
    </row>
    <row r="19" spans="3:3" ht="20.25" customHeight="1" x14ac:dyDescent="0.2">
      <c r="C19"/>
    </row>
    <row r="20" spans="3:3" ht="20.25" customHeight="1" x14ac:dyDescent="0.2">
      <c r="C20"/>
    </row>
    <row r="21" spans="3:3" ht="20.25" customHeight="1" x14ac:dyDescent="0.2">
      <c r="C21"/>
    </row>
    <row r="22" spans="3:3" ht="20.25" customHeight="1" x14ac:dyDescent="0.2">
      <c r="C22"/>
    </row>
    <row r="23" spans="3:3" ht="20.25" customHeight="1" x14ac:dyDescent="0.2">
      <c r="C23"/>
    </row>
    <row r="24" spans="3:3" ht="20.25" customHeight="1" x14ac:dyDescent="0.2">
      <c r="C24"/>
    </row>
    <row r="25" spans="3:3" ht="20.25" customHeight="1" x14ac:dyDescent="0.2">
      <c r="C25"/>
    </row>
    <row r="26" spans="3:3" ht="20.25" customHeight="1" x14ac:dyDescent="0.2">
      <c r="C26"/>
    </row>
    <row r="27" spans="3:3" ht="20.25" customHeight="1" x14ac:dyDescent="0.2">
      <c r="C27"/>
    </row>
    <row r="28" spans="3:3" ht="20.25" customHeight="1" x14ac:dyDescent="0.2">
      <c r="C28"/>
    </row>
    <row r="29" spans="3:3" ht="15.75" customHeight="1" x14ac:dyDescent="0.2">
      <c r="C29"/>
    </row>
    <row r="30" spans="3:3" ht="15.75" customHeight="1" x14ac:dyDescent="0.2">
      <c r="C30"/>
    </row>
    <row r="31" spans="3:3" ht="15.75" customHeight="1" x14ac:dyDescent="0.2">
      <c r="C31"/>
    </row>
    <row r="32" spans="3:3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246</v>
      </c>
      <c r="B37" s="58">
        <v>1287052</v>
      </c>
      <c r="C37"/>
      <c r="G37" s="59"/>
    </row>
    <row r="38" spans="1:9" ht="20.25" customHeight="1" x14ac:dyDescent="0.2">
      <c r="A38" t="s">
        <v>186</v>
      </c>
      <c r="B38" s="65">
        <f>++B22+B37</f>
        <v>1287052</v>
      </c>
      <c r="C38"/>
      <c r="G38" s="59"/>
    </row>
    <row r="39" spans="1:9" ht="20.25" customHeight="1" x14ac:dyDescent="0.2">
      <c r="A39" t="s">
        <v>139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191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159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147</v>
      </c>
      <c r="I4" t="s">
        <v>231</v>
      </c>
    </row>
    <row r="5" spans="1:11" ht="20.25" customHeight="1" x14ac:dyDescent="0.2">
      <c r="A5" t="s">
        <v>180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254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115</v>
      </c>
      <c r="B7" t="s">
        <v>145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432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145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110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161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123</v>
      </c>
      <c r="B13" t="s">
        <v>112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110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197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100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279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232</v>
      </c>
      <c r="B19" t="s">
        <v>114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265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168</v>
      </c>
      <c r="E119" t="s">
        <v>169</v>
      </c>
      <c r="F119" t="s">
        <v>165</v>
      </c>
      <c r="G119" t="s">
        <v>170</v>
      </c>
      <c r="I119" t="s">
        <v>174</v>
      </c>
    </row>
    <row r="120" spans="1:10" x14ac:dyDescent="0.2">
      <c r="B120" s="64" t="s">
        <v>164</v>
      </c>
      <c r="C120" t="s">
        <v>163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5" sqref="D5"/>
    </sheetView>
  </sheetViews>
  <sheetFormatPr defaultRowHeight="14.25" x14ac:dyDescent="0.2"/>
  <cols>
    <col min="1" max="1" width="35.375" customWidth="1"/>
    <col min="2" max="2" width="16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139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158</v>
      </c>
      <c r="D4" t="s">
        <v>167</v>
      </c>
      <c r="E4" t="s">
        <v>160</v>
      </c>
      <c r="F4" t="s">
        <v>162</v>
      </c>
      <c r="G4" t="s">
        <v>178</v>
      </c>
      <c r="H4" t="s">
        <v>147</v>
      </c>
    </row>
    <row r="5" spans="1:11" ht="20.25" customHeight="1" x14ac:dyDescent="0.2">
      <c r="A5" t="s">
        <v>268</v>
      </c>
      <c r="B5" t="s">
        <v>416</v>
      </c>
      <c r="C5" s="59">
        <v>5000</v>
      </c>
      <c r="D5" s="59">
        <v>5250</v>
      </c>
      <c r="E5" s="59">
        <v>5000</v>
      </c>
      <c r="F5" s="59">
        <v>3175</v>
      </c>
      <c r="G5" s="59">
        <v>4121.1500000000005</v>
      </c>
      <c r="H5" s="59">
        <v>946.15000000000055</v>
      </c>
      <c r="I5" s="59"/>
    </row>
    <row r="6" spans="1:11" ht="20.25" customHeight="1" x14ac:dyDescent="0.2">
      <c r="A6" s="61" t="s">
        <v>430</v>
      </c>
      <c r="B6" s="61"/>
      <c r="C6" s="62">
        <v>5000</v>
      </c>
      <c r="D6" s="62">
        <v>5250</v>
      </c>
      <c r="E6" s="62">
        <v>5000</v>
      </c>
      <c r="F6" s="62">
        <v>3175</v>
      </c>
      <c r="G6" s="62">
        <v>4121.1500000000005</v>
      </c>
      <c r="H6" s="62">
        <v>946.15000000000055</v>
      </c>
    </row>
    <row r="7" spans="1:11" ht="20.25" customHeight="1" x14ac:dyDescent="0.2">
      <c r="A7" t="s">
        <v>123</v>
      </c>
      <c r="B7" t="s">
        <v>110</v>
      </c>
      <c r="C7" s="59">
        <v>10000</v>
      </c>
      <c r="D7" s="59">
        <v>10500</v>
      </c>
      <c r="E7" s="59">
        <v>10000</v>
      </c>
      <c r="F7" s="59">
        <v>0</v>
      </c>
      <c r="G7" s="59">
        <v>11595.1</v>
      </c>
      <c r="H7" s="59">
        <v>11595.1</v>
      </c>
      <c r="I7" s="59"/>
      <c r="J7" s="59"/>
      <c r="K7" s="59"/>
    </row>
    <row r="8" spans="1:11" ht="20.25" customHeight="1" x14ac:dyDescent="0.2">
      <c r="A8" s="61" t="s">
        <v>197</v>
      </c>
      <c r="B8" s="61"/>
      <c r="C8" s="62">
        <v>10000</v>
      </c>
      <c r="D8" s="62">
        <v>10500</v>
      </c>
      <c r="E8" s="62">
        <v>10000</v>
      </c>
      <c r="F8" s="62">
        <v>0</v>
      </c>
      <c r="G8" s="62">
        <v>11595.1</v>
      </c>
      <c r="H8" s="62">
        <v>11595.1</v>
      </c>
      <c r="J8" s="59"/>
      <c r="K8" s="59"/>
    </row>
    <row r="9" spans="1:11" ht="20.25" customHeight="1" x14ac:dyDescent="0.2">
      <c r="A9" t="s">
        <v>96</v>
      </c>
      <c r="C9" s="59">
        <v>15000</v>
      </c>
      <c r="D9" s="59">
        <v>15750</v>
      </c>
      <c r="E9" s="59">
        <v>15000</v>
      </c>
      <c r="F9" s="59">
        <v>3175</v>
      </c>
      <c r="G9" s="59">
        <v>15716.25</v>
      </c>
      <c r="H9" s="59">
        <v>12541.25</v>
      </c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309119.53442500002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174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172</v>
      </c>
      <c r="B122">
        <v>20700</v>
      </c>
      <c r="C122" s="58">
        <v>424374</v>
      </c>
    </row>
    <row r="123" spans="1:10" x14ac:dyDescent="0.2">
      <c r="A123" s="64" t="s">
        <v>172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171</v>
      </c>
      <c r="D126" t="s">
        <v>175</v>
      </c>
      <c r="E126" t="s">
        <v>175</v>
      </c>
      <c r="F126" t="s">
        <v>173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166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26FB-D1D8-4CA6-97DA-8635BAC6534C}">
  <sheetPr>
    <tabColor rgb="FF92D050"/>
  </sheetPr>
  <dimension ref="A3:P40"/>
  <sheetViews>
    <sheetView workbookViewId="0">
      <selection activeCell="I38" sqref="I38"/>
    </sheetView>
  </sheetViews>
  <sheetFormatPr defaultRowHeight="12.75" x14ac:dyDescent="0.2"/>
  <cols>
    <col min="1" max="1" width="19.5" style="74" bestFit="1" customWidth="1"/>
    <col min="2" max="2" width="10.625" style="74" bestFit="1" customWidth="1"/>
    <col min="3" max="3" width="10.25" style="74" bestFit="1" customWidth="1"/>
    <col min="4" max="4" width="5.625" style="74" bestFit="1" customWidth="1"/>
    <col min="5" max="5" width="7.875" style="74" bestFit="1" customWidth="1"/>
    <col min="6" max="7" width="7" style="74" bestFit="1" customWidth="1"/>
    <col min="8" max="8" width="6.5" style="74" bestFit="1" customWidth="1"/>
    <col min="9" max="15" width="7" style="74" bestFit="1" customWidth="1"/>
    <col min="16" max="16" width="10.25" style="74" bestFit="1" customWidth="1"/>
    <col min="17" max="17" width="9.625" style="74" bestFit="1" customWidth="1"/>
    <col min="18" max="18" width="13.375" style="74" bestFit="1" customWidth="1"/>
    <col min="19" max="19" width="9.625" style="74" bestFit="1" customWidth="1"/>
    <col min="20" max="20" width="13.375" style="74" bestFit="1" customWidth="1"/>
    <col min="21" max="16384" width="9" style="74"/>
  </cols>
  <sheetData>
    <row r="3" spans="1:16" x14ac:dyDescent="0.2">
      <c r="A3" s="73" t="s">
        <v>147</v>
      </c>
      <c r="B3" s="73" t="s">
        <v>450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s="76" customFormat="1" x14ac:dyDescent="0.2">
      <c r="A4" s="75" t="s">
        <v>449</v>
      </c>
      <c r="B4" s="75">
        <v>45842</v>
      </c>
      <c r="C4" s="75">
        <v>45843</v>
      </c>
      <c r="D4" s="75">
        <v>45844</v>
      </c>
      <c r="E4" s="75">
        <v>45847</v>
      </c>
      <c r="F4" s="75">
        <v>45850</v>
      </c>
      <c r="G4" s="75">
        <v>45854</v>
      </c>
      <c r="H4" s="75">
        <v>45855</v>
      </c>
      <c r="I4" s="75">
        <v>45856</v>
      </c>
      <c r="J4" s="75">
        <v>45857</v>
      </c>
      <c r="K4" s="75">
        <v>45858</v>
      </c>
      <c r="L4" s="75">
        <v>45863</v>
      </c>
      <c r="M4" s="75">
        <v>45870</v>
      </c>
      <c r="N4" s="75">
        <v>45878</v>
      </c>
      <c r="O4" s="75">
        <v>45892</v>
      </c>
      <c r="P4" s="75" t="s">
        <v>96</v>
      </c>
    </row>
    <row r="5" spans="1:16" x14ac:dyDescent="0.2">
      <c r="A5" s="73" t="s">
        <v>310</v>
      </c>
      <c r="B5" s="77"/>
      <c r="C5" s="77">
        <v>0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>
        <f>SUM(B5:O5)</f>
        <v>0</v>
      </c>
    </row>
    <row r="6" spans="1:16" x14ac:dyDescent="0.2">
      <c r="A6" s="73" t="s">
        <v>176</v>
      </c>
      <c r="B6" s="77">
        <v>2993.5740399999995</v>
      </c>
      <c r="C6" s="77"/>
      <c r="D6" s="77"/>
      <c r="E6" s="77"/>
      <c r="F6" s="77">
        <v>17325.84546</v>
      </c>
      <c r="G6" s="77"/>
      <c r="H6" s="77"/>
      <c r="I6" s="77"/>
      <c r="J6" s="77"/>
      <c r="K6" s="77"/>
      <c r="L6" s="77"/>
      <c r="M6" s="77"/>
      <c r="N6" s="77"/>
      <c r="O6" s="77"/>
      <c r="P6" s="77">
        <f t="shared" ref="P6:P17" si="0">SUM(B6:O6)</f>
        <v>20319.4195</v>
      </c>
    </row>
    <row r="7" spans="1:16" x14ac:dyDescent="0.2">
      <c r="A7" s="73" t="s">
        <v>144</v>
      </c>
      <c r="B7" s="77">
        <v>10756.900000000001</v>
      </c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>
        <f t="shared" si="0"/>
        <v>10756.900000000001</v>
      </c>
    </row>
    <row r="8" spans="1:16" x14ac:dyDescent="0.2">
      <c r="A8" s="73" t="s">
        <v>81</v>
      </c>
      <c r="B8" s="77">
        <v>0</v>
      </c>
      <c r="C8" s="77">
        <v>0</v>
      </c>
      <c r="D8" s="77">
        <v>0</v>
      </c>
      <c r="E8" s="77">
        <v>59540.248267499999</v>
      </c>
      <c r="F8" s="77"/>
      <c r="G8" s="77">
        <v>86055.200000000012</v>
      </c>
      <c r="H8" s="77"/>
      <c r="I8" s="77"/>
      <c r="J8" s="77">
        <v>48406.05</v>
      </c>
      <c r="K8" s="77"/>
      <c r="L8" s="77"/>
      <c r="M8" s="77">
        <v>13983.970000000001</v>
      </c>
      <c r="N8" s="77"/>
      <c r="O8" s="77">
        <v>10756.900000000001</v>
      </c>
      <c r="P8" s="77">
        <f t="shared" si="0"/>
        <v>218742.36826750002</v>
      </c>
    </row>
    <row r="9" spans="1:16" x14ac:dyDescent="0.2">
      <c r="A9" s="73" t="s">
        <v>80</v>
      </c>
      <c r="B9" s="77">
        <v>7593.8000000000029</v>
      </c>
      <c r="C9" s="77"/>
      <c r="D9" s="77"/>
      <c r="E9" s="77">
        <v>16135.350000000002</v>
      </c>
      <c r="F9" s="77"/>
      <c r="G9" s="77"/>
      <c r="H9" s="77"/>
      <c r="I9" s="77">
        <v>10756.900000000001</v>
      </c>
      <c r="J9" s="77"/>
      <c r="K9" s="77"/>
      <c r="L9" s="77">
        <v>0</v>
      </c>
      <c r="M9" s="77"/>
      <c r="N9" s="77"/>
      <c r="O9" s="77"/>
      <c r="P9" s="77">
        <f t="shared" si="0"/>
        <v>34486.050000000003</v>
      </c>
    </row>
    <row r="10" spans="1:16" x14ac:dyDescent="0.2">
      <c r="A10" s="73" t="s">
        <v>123</v>
      </c>
      <c r="B10" s="77">
        <v>10756.900000000001</v>
      </c>
      <c r="C10" s="77">
        <v>0</v>
      </c>
      <c r="D10" s="77"/>
      <c r="E10" s="77"/>
      <c r="F10" s="77"/>
      <c r="G10" s="77"/>
      <c r="H10" s="77"/>
      <c r="I10" s="77"/>
      <c r="J10" s="77"/>
      <c r="K10" s="77"/>
      <c r="L10" s="77">
        <v>0</v>
      </c>
      <c r="M10" s="77"/>
      <c r="N10" s="77"/>
      <c r="O10" s="77"/>
      <c r="P10" s="77">
        <f t="shared" si="0"/>
        <v>10756.900000000001</v>
      </c>
    </row>
    <row r="11" spans="1:16" x14ac:dyDescent="0.2">
      <c r="A11" s="73" t="s">
        <v>134</v>
      </c>
      <c r="B11" s="77"/>
      <c r="C11" s="77"/>
      <c r="D11" s="77"/>
      <c r="E11" s="77">
        <v>23696.75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>
        <f t="shared" si="0"/>
        <v>23696.75</v>
      </c>
    </row>
    <row r="12" spans="1:16" x14ac:dyDescent="0.2">
      <c r="A12" s="73" t="s">
        <v>443</v>
      </c>
      <c r="B12" s="77">
        <v>0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>
        <f t="shared" si="0"/>
        <v>0</v>
      </c>
    </row>
    <row r="13" spans="1:16" x14ac:dyDescent="0.2">
      <c r="A13" s="73" t="s">
        <v>100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>
        <v>13443.499940000009</v>
      </c>
      <c r="M13" s="77"/>
      <c r="N13" s="77"/>
      <c r="O13" s="77"/>
      <c r="P13" s="77">
        <f t="shared" si="0"/>
        <v>13443.499940000009</v>
      </c>
    </row>
    <row r="14" spans="1:16" x14ac:dyDescent="0.2">
      <c r="A14" s="73" t="s">
        <v>259</v>
      </c>
      <c r="B14" s="77"/>
      <c r="C14" s="77"/>
      <c r="D14" s="77"/>
      <c r="E14" s="77">
        <v>0</v>
      </c>
      <c r="F14" s="77"/>
      <c r="G14" s="77"/>
      <c r="H14" s="77">
        <v>0</v>
      </c>
      <c r="I14" s="77"/>
      <c r="J14" s="77"/>
      <c r="K14" s="77"/>
      <c r="L14" s="77"/>
      <c r="M14" s="77"/>
      <c r="N14" s="77"/>
      <c r="O14" s="77"/>
      <c r="P14" s="77">
        <f t="shared" si="0"/>
        <v>0</v>
      </c>
    </row>
    <row r="15" spans="1:16" x14ac:dyDescent="0.2">
      <c r="A15" s="73" t="s">
        <v>232</v>
      </c>
      <c r="B15" s="77"/>
      <c r="C15" s="77"/>
      <c r="D15" s="77"/>
      <c r="E15" s="77">
        <v>8808.3500000000022</v>
      </c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>
        <f t="shared" si="0"/>
        <v>8808.3500000000022</v>
      </c>
    </row>
    <row r="16" spans="1:16" x14ac:dyDescent="0.2">
      <c r="A16" s="73" t="s">
        <v>154</v>
      </c>
      <c r="B16" s="77">
        <v>8315.7000000000007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>
        <f t="shared" si="0"/>
        <v>8315.7000000000007</v>
      </c>
    </row>
    <row r="17" spans="1:16" x14ac:dyDescent="0.2">
      <c r="A17" s="73" t="s">
        <v>88</v>
      </c>
      <c r="B17" s="77">
        <v>14861.949999999997</v>
      </c>
      <c r="C17" s="77"/>
      <c r="D17" s="77"/>
      <c r="E17" s="77">
        <v>37299.899999999994</v>
      </c>
      <c r="F17" s="77"/>
      <c r="G17" s="77"/>
      <c r="H17" s="77"/>
      <c r="I17" s="77"/>
      <c r="J17" s="77"/>
      <c r="K17" s="77">
        <v>37299.899999999994</v>
      </c>
      <c r="L17" s="77"/>
      <c r="M17" s="77"/>
      <c r="N17" s="77">
        <v>24866.6</v>
      </c>
      <c r="O17" s="77"/>
      <c r="P17" s="77">
        <f t="shared" si="0"/>
        <v>114328.34999999998</v>
      </c>
    </row>
    <row r="18" spans="1:16" x14ac:dyDescent="0.2">
      <c r="A18" s="73" t="s">
        <v>96</v>
      </c>
      <c r="B18" s="77">
        <f>SUM(B5:B17)</f>
        <v>55278.824040000007</v>
      </c>
      <c r="C18" s="77">
        <f t="shared" ref="C18:P18" si="1">SUM(C5:C17)</f>
        <v>0</v>
      </c>
      <c r="D18" s="77">
        <f t="shared" si="1"/>
        <v>0</v>
      </c>
      <c r="E18" s="77">
        <f t="shared" si="1"/>
        <v>145480.5982675</v>
      </c>
      <c r="F18" s="77">
        <f t="shared" si="1"/>
        <v>17325.84546</v>
      </c>
      <c r="G18" s="77">
        <f t="shared" si="1"/>
        <v>86055.200000000012</v>
      </c>
      <c r="H18" s="77">
        <f t="shared" si="1"/>
        <v>0</v>
      </c>
      <c r="I18" s="77">
        <f t="shared" si="1"/>
        <v>10756.900000000001</v>
      </c>
      <c r="J18" s="77">
        <f t="shared" si="1"/>
        <v>48406.05</v>
      </c>
      <c r="K18" s="77">
        <f t="shared" si="1"/>
        <v>37299.899999999994</v>
      </c>
      <c r="L18" s="77">
        <f t="shared" si="1"/>
        <v>13443.499940000009</v>
      </c>
      <c r="M18" s="77">
        <f t="shared" si="1"/>
        <v>13983.970000000001</v>
      </c>
      <c r="N18" s="77">
        <f t="shared" si="1"/>
        <v>24866.6</v>
      </c>
      <c r="O18" s="77">
        <f t="shared" si="1"/>
        <v>10756.900000000001</v>
      </c>
      <c r="P18" s="77">
        <f t="shared" si="1"/>
        <v>463654.28770750004</v>
      </c>
    </row>
    <row r="23" spans="1:16" x14ac:dyDescent="0.2">
      <c r="A23" s="75" t="s">
        <v>449</v>
      </c>
      <c r="B23" s="75">
        <v>45863</v>
      </c>
    </row>
    <row r="24" spans="1:16" x14ac:dyDescent="0.2">
      <c r="A24" s="73" t="s">
        <v>137</v>
      </c>
      <c r="B24" s="77">
        <v>6900.65</v>
      </c>
    </row>
    <row r="25" spans="1:16" x14ac:dyDescent="0.2">
      <c r="A25" s="73" t="s">
        <v>180</v>
      </c>
      <c r="B25" s="77">
        <v>470322.92</v>
      </c>
    </row>
    <row r="26" spans="1:16" x14ac:dyDescent="0.2">
      <c r="A26" s="73" t="s">
        <v>176</v>
      </c>
      <c r="B26" s="77">
        <v>103378.00000000001</v>
      </c>
    </row>
    <row r="27" spans="1:16" x14ac:dyDescent="0.2">
      <c r="A27" s="73" t="s">
        <v>235</v>
      </c>
      <c r="B27" s="77">
        <v>0</v>
      </c>
    </row>
    <row r="28" spans="1:16" x14ac:dyDescent="0.2">
      <c r="A28" s="73" t="s">
        <v>144</v>
      </c>
      <c r="B28" s="77">
        <v>17602.2</v>
      </c>
    </row>
    <row r="29" spans="1:16" x14ac:dyDescent="0.2">
      <c r="A29" s="73" t="s">
        <v>81</v>
      </c>
      <c r="B29" s="77">
        <v>57626.250000000007</v>
      </c>
    </row>
    <row r="30" spans="1:16" x14ac:dyDescent="0.2">
      <c r="A30" s="73" t="s">
        <v>80</v>
      </c>
      <c r="B30" s="77">
        <v>258724.40000000002</v>
      </c>
    </row>
    <row r="31" spans="1:16" x14ac:dyDescent="0.2">
      <c r="A31" s="73" t="s">
        <v>357</v>
      </c>
      <c r="B31" s="77">
        <v>113157.00000000001</v>
      </c>
    </row>
    <row r="32" spans="1:16" x14ac:dyDescent="0.2">
      <c r="A32" s="73" t="s">
        <v>123</v>
      </c>
      <c r="B32" s="77">
        <v>334220.79999999999</v>
      </c>
    </row>
    <row r="33" spans="1:2" x14ac:dyDescent="0.2">
      <c r="A33" s="73" t="s">
        <v>134</v>
      </c>
      <c r="B33" s="77">
        <v>16554.45</v>
      </c>
    </row>
    <row r="34" spans="1:2" x14ac:dyDescent="0.2">
      <c r="A34" s="73" t="s">
        <v>83</v>
      </c>
      <c r="B34" s="77">
        <v>39674.800000000003</v>
      </c>
    </row>
    <row r="35" spans="1:2" x14ac:dyDescent="0.2">
      <c r="A35" s="73" t="s">
        <v>84</v>
      </c>
      <c r="B35" s="77">
        <v>9499.6</v>
      </c>
    </row>
    <row r="36" spans="1:2" x14ac:dyDescent="0.2">
      <c r="A36" s="73" t="s">
        <v>212</v>
      </c>
      <c r="B36" s="77">
        <v>0</v>
      </c>
    </row>
    <row r="37" spans="1:2" x14ac:dyDescent="0.2">
      <c r="A37" s="73" t="s">
        <v>88</v>
      </c>
      <c r="B37" s="77">
        <v>24866.6</v>
      </c>
    </row>
    <row r="38" spans="1:2" x14ac:dyDescent="0.2">
      <c r="A38" s="73" t="s">
        <v>131</v>
      </c>
      <c r="B38" s="77">
        <v>57872.5</v>
      </c>
    </row>
    <row r="39" spans="1:2" x14ac:dyDescent="0.2">
      <c r="A39" s="73" t="s">
        <v>185</v>
      </c>
      <c r="B39" s="77">
        <v>9918.7000000000007</v>
      </c>
    </row>
    <row r="40" spans="1:2" x14ac:dyDescent="0.2">
      <c r="A40" s="73" t="s">
        <v>96</v>
      </c>
      <c r="B40" s="77">
        <f>SUM(B24:B39)</f>
        <v>1520318.87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55A2-A895-42B7-91FF-4F27E71AF590}">
  <sheetPr>
    <tabColor rgb="FFFFFF00"/>
  </sheetPr>
  <dimension ref="A1:BD158"/>
  <sheetViews>
    <sheetView topLeftCell="A5" zoomScale="80" zoomScaleNormal="80" workbookViewId="0">
      <selection activeCell="L11" sqref="L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45843</v>
      </c>
      <c r="E3" s="80" t="s">
        <v>52</v>
      </c>
      <c r="F3" s="80"/>
      <c r="G3" s="81">
        <v>11.24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9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9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>
        <v>45842</v>
      </c>
      <c r="B8" s="14" t="s">
        <v>132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176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5219</v>
      </c>
      <c r="AC17" s="8">
        <v>44234.8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3212.4294755555566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130578.41562699999</v>
      </c>
      <c r="AB20" s="8">
        <v>32419.415626999998</v>
      </c>
      <c r="AC20" s="8">
        <v>98159.000000000015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2794</v>
      </c>
      <c r="W21" s="10">
        <v>206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451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453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454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453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45843</v>
      </c>
      <c r="B25" s="14" t="s">
        <v>458</v>
      </c>
      <c r="C25" s="9" t="s">
        <v>73</v>
      </c>
      <c r="D25" s="13" t="s">
        <v>459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460</v>
      </c>
      <c r="AG25" s="1" t="s">
        <v>119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45843</v>
      </c>
      <c r="B26" s="14" t="s">
        <v>458</v>
      </c>
      <c r="C26" s="9" t="s">
        <v>73</v>
      </c>
      <c r="D26" s="13" t="s">
        <v>461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180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460</v>
      </c>
      <c r="AG26" s="1" t="s">
        <v>119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45843</v>
      </c>
      <c r="B27" s="14" t="s">
        <v>458</v>
      </c>
      <c r="C27" s="9" t="s">
        <v>73</v>
      </c>
      <c r="D27" s="13" t="s">
        <v>462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180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460</v>
      </c>
      <c r="AG27" s="1" t="s">
        <v>119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45843</v>
      </c>
      <c r="B28" s="14" t="s">
        <v>458</v>
      </c>
      <c r="C28" s="9" t="s">
        <v>73</v>
      </c>
      <c r="D28" s="13" t="s">
        <v>463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45864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180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460</v>
      </c>
      <c r="AG28" s="1" t="s">
        <v>119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45843</v>
      </c>
      <c r="B29" s="14" t="s">
        <v>458</v>
      </c>
      <c r="C29" s="9" t="s">
        <v>73</v>
      </c>
      <c r="D29" s="13" t="s">
        <v>464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180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460</v>
      </c>
      <c r="AG29" s="1" t="s">
        <v>119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45843</v>
      </c>
      <c r="B30" s="14" t="s">
        <v>458</v>
      </c>
      <c r="C30" s="9" t="s">
        <v>73</v>
      </c>
      <c r="D30" s="13" t="s">
        <v>329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180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465</v>
      </c>
      <c r="AG30" s="1" t="s">
        <v>61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>
        <v>45843</v>
      </c>
      <c r="B31" s="14" t="s">
        <v>458</v>
      </c>
      <c r="C31" s="9" t="s">
        <v>73</v>
      </c>
      <c r="D31" s="13" t="s">
        <v>289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180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465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0</v>
      </c>
    </row>
    <row r="32" spans="1:56" ht="27.75" customHeight="1" x14ac:dyDescent="0.45">
      <c r="A32" s="3">
        <v>45843</v>
      </c>
      <c r="B32" s="14" t="s">
        <v>458</v>
      </c>
      <c r="C32" s="9" t="s">
        <v>73</v>
      </c>
      <c r="D32" s="13" t="s">
        <v>466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148</v>
      </c>
      <c r="T32" s="12">
        <v>45867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180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465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181</v>
      </c>
      <c r="BD32" s="56">
        <v>352.51463377777782</v>
      </c>
    </row>
    <row r="33" spans="1:56" ht="27.75" customHeight="1" x14ac:dyDescent="0.45">
      <c r="A33" s="3" t="s">
        <v>139</v>
      </c>
      <c r="B33" s="14" t="s">
        <v>139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148</v>
      </c>
      <c r="T33" s="12">
        <v>45868</v>
      </c>
      <c r="U33" s="11">
        <v>572000</v>
      </c>
      <c r="V33" s="10">
        <v>0</v>
      </c>
      <c r="W33" s="10">
        <v>572000</v>
      </c>
      <c r="X33" s="10">
        <v>0</v>
      </c>
      <c r="Y33" s="10">
        <v>600600</v>
      </c>
      <c r="Z33" s="9" t="s">
        <v>180</v>
      </c>
      <c r="AA33" s="8">
        <v>535386.28</v>
      </c>
      <c r="AB33" s="8">
        <v>0</v>
      </c>
      <c r="AC33" s="8">
        <v>535386.28</v>
      </c>
      <c r="AD33" s="8">
        <v>0</v>
      </c>
      <c r="AE33" s="8">
        <v>0</v>
      </c>
      <c r="AF33" s="8">
        <v>0</v>
      </c>
      <c r="AG33" s="1" t="s">
        <v>118</v>
      </c>
      <c r="AH33" s="1" t="s">
        <v>74</v>
      </c>
      <c r="AI33" s="1">
        <v>2</v>
      </c>
      <c r="AJ33" s="3">
        <v>45868</v>
      </c>
      <c r="AK33" s="3">
        <v>0</v>
      </c>
      <c r="AL33" s="3">
        <v>45859</v>
      </c>
      <c r="AM33" s="3">
        <v>45866</v>
      </c>
      <c r="AN33" s="3">
        <v>45867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181</v>
      </c>
      <c r="BD33" s="56">
        <v>40327.674104177771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180</v>
      </c>
      <c r="AA34" s="8">
        <v>608030.28</v>
      </c>
      <c r="AB34" s="8">
        <v>67964.049999999988</v>
      </c>
      <c r="AC34" s="8">
        <v>540066.23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182</v>
      </c>
      <c r="BD34" s="56">
        <v>0</v>
      </c>
    </row>
    <row r="35" spans="1:56" ht="27.75" customHeight="1" x14ac:dyDescent="0.45">
      <c r="A35" s="3" t="s">
        <v>139</v>
      </c>
      <c r="B35" s="14" t="s">
        <v>139</v>
      </c>
      <c r="C35" s="9" t="s">
        <v>419</v>
      </c>
      <c r="D35" s="13" t="s">
        <v>420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92</v>
      </c>
      <c r="M35" s="10">
        <v>20</v>
      </c>
      <c r="N35" s="9">
        <v>28</v>
      </c>
      <c r="O35" s="9">
        <v>50</v>
      </c>
      <c r="P35" s="10">
        <v>259.04464319999994</v>
      </c>
      <c r="Q35" s="10">
        <v>0</v>
      </c>
      <c r="R35" s="10">
        <v>259.04464319999994</v>
      </c>
      <c r="S35" s="9" t="s">
        <v>127</v>
      </c>
      <c r="T35" s="12">
        <v>45868</v>
      </c>
      <c r="U35" s="11">
        <v>15000</v>
      </c>
      <c r="V35" s="10">
        <v>0</v>
      </c>
      <c r="W35" s="10">
        <v>15000</v>
      </c>
      <c r="X35" s="10">
        <v>0</v>
      </c>
      <c r="Y35" s="10">
        <v>15750</v>
      </c>
      <c r="Z35" s="9" t="s">
        <v>235</v>
      </c>
      <c r="AA35" s="8">
        <v>11525.250000000002</v>
      </c>
      <c r="AB35" s="8">
        <v>11525.250000000002</v>
      </c>
      <c r="AC35" s="8">
        <v>0</v>
      </c>
      <c r="AD35" s="8">
        <v>0</v>
      </c>
      <c r="AE35" s="8">
        <v>11525.250000000002</v>
      </c>
      <c r="AF35" s="8">
        <v>0</v>
      </c>
      <c r="AG35" s="1" t="s">
        <v>118</v>
      </c>
      <c r="AH35" s="1" t="s">
        <v>68</v>
      </c>
      <c r="AI35" s="1">
        <v>4</v>
      </c>
      <c r="AJ35" s="3">
        <v>45868</v>
      </c>
      <c r="AK35" s="3">
        <v>45864</v>
      </c>
      <c r="AL35" s="3">
        <v>45858</v>
      </c>
      <c r="AM35" s="3">
        <v>45865</v>
      </c>
      <c r="AN35" s="3">
        <v>45866</v>
      </c>
      <c r="AO35" s="3">
        <v>45866</v>
      </c>
      <c r="AP35" s="3">
        <v>45863</v>
      </c>
      <c r="AQ35" s="3">
        <v>45867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7.7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95</v>
      </c>
      <c r="W36" s="10">
        <v>0</v>
      </c>
      <c r="X36" s="10">
        <v>0</v>
      </c>
      <c r="Y36" s="10">
        <v>0</v>
      </c>
      <c r="Z36" s="9" t="s">
        <v>235</v>
      </c>
      <c r="AA36" s="8">
        <v>11525.250000000002</v>
      </c>
      <c r="AB36" s="8">
        <v>11525.250000000002</v>
      </c>
      <c r="AC36" s="8">
        <v>0</v>
      </c>
      <c r="AD36" s="8">
        <v>0</v>
      </c>
      <c r="AE36" s="8">
        <v>11525.250000000002</v>
      </c>
      <c r="AF36" s="8" t="s">
        <v>58</v>
      </c>
      <c r="AG36" s="1" t="s">
        <v>121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236</v>
      </c>
      <c r="BD36" s="56">
        <v>0</v>
      </c>
    </row>
    <row r="37" spans="1:56" ht="27.75" customHeight="1" x14ac:dyDescent="0.45">
      <c r="A37" s="3">
        <v>45796</v>
      </c>
      <c r="B37" s="14" t="s">
        <v>303</v>
      </c>
      <c r="C37" s="9" t="s">
        <v>145</v>
      </c>
      <c r="D37" s="13" t="s">
        <v>298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205</v>
      </c>
      <c r="BD37" s="56">
        <v>0</v>
      </c>
    </row>
    <row r="38" spans="1:56" ht="27.7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</v>
      </c>
      <c r="AG38" s="1" t="s">
        <v>118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206</v>
      </c>
      <c r="BD38" s="56">
        <v>0</v>
      </c>
    </row>
    <row r="39" spans="1:56" ht="27.75" customHeight="1" x14ac:dyDescent="0.45">
      <c r="A39" s="3" t="s">
        <v>139</v>
      </c>
      <c r="B39" s="14" t="s">
        <v>139</v>
      </c>
      <c r="C39" s="9" t="s">
        <v>179</v>
      </c>
      <c r="D39" s="13" t="s">
        <v>59</v>
      </c>
      <c r="E39" s="9">
        <v>20</v>
      </c>
      <c r="F39" s="9">
        <v>30</v>
      </c>
      <c r="G39" s="9" t="s">
        <v>60</v>
      </c>
      <c r="H39" s="9">
        <v>0</v>
      </c>
      <c r="I39" s="9">
        <v>53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144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118</v>
      </c>
      <c r="AH39" s="1" t="s">
        <v>77</v>
      </c>
      <c r="AI39" s="1">
        <v>1</v>
      </c>
      <c r="AJ39" s="3">
        <v>45868</v>
      </c>
      <c r="AK39" s="3">
        <v>0</v>
      </c>
      <c r="AL39" s="3">
        <v>0</v>
      </c>
      <c r="AM39" s="3">
        <v>0</v>
      </c>
      <c r="AN39" s="3">
        <v>0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1080.5795000000001</v>
      </c>
    </row>
    <row r="40" spans="1:56" ht="27.75" customHeight="1" x14ac:dyDescent="0.45">
      <c r="A40" s="3">
        <v>45839</v>
      </c>
      <c r="B40" s="14" t="s">
        <v>433</v>
      </c>
      <c r="C40" s="9" t="s">
        <v>421</v>
      </c>
      <c r="D40" s="13" t="s">
        <v>422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45847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144</v>
      </c>
      <c r="AA40" s="8">
        <v>10756.900000000001</v>
      </c>
      <c r="AB40" s="8">
        <v>0</v>
      </c>
      <c r="AC40" s="8">
        <v>10756.900000000001</v>
      </c>
      <c r="AD40" s="8">
        <v>0</v>
      </c>
      <c r="AE40" s="8">
        <v>0</v>
      </c>
      <c r="AF40" s="8">
        <v>0</v>
      </c>
      <c r="AG40" s="1" t="s">
        <v>118</v>
      </c>
      <c r="AH40" s="1" t="s">
        <v>74</v>
      </c>
      <c r="AI40" s="1">
        <v>2</v>
      </c>
      <c r="AJ40" s="3">
        <v>45847</v>
      </c>
      <c r="AK40" s="3">
        <v>0</v>
      </c>
      <c r="AL40" s="3">
        <v>45838</v>
      </c>
      <c r="AM40" s="3">
        <v>45845</v>
      </c>
      <c r="AN40" s="3">
        <v>45846</v>
      </c>
      <c r="AO40" s="3">
        <v>45846</v>
      </c>
      <c r="AP40" s="3">
        <v>45842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660.35413888888888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65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144</v>
      </c>
      <c r="AA41" s="8">
        <v>28359.100000000002</v>
      </c>
      <c r="AB41" s="8">
        <v>0</v>
      </c>
      <c r="AC41" s="8">
        <v>28359.100000000002</v>
      </c>
      <c r="AD41" s="8">
        <v>0</v>
      </c>
      <c r="AE41" s="8">
        <v>0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45825</v>
      </c>
      <c r="B42" s="14" t="s">
        <v>354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211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45843</v>
      </c>
      <c r="U42" s="11">
        <v>127</v>
      </c>
      <c r="V42" s="10">
        <v>0</v>
      </c>
      <c r="W42" s="10">
        <v>127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>
        <v>45843</v>
      </c>
      <c r="AK42" s="3">
        <v>45839</v>
      </c>
      <c r="AL42" s="3">
        <v>45832</v>
      </c>
      <c r="AM42" s="3">
        <v>45840</v>
      </c>
      <c r="AN42" s="3">
        <v>45841</v>
      </c>
      <c r="AO42" s="3">
        <v>45842</v>
      </c>
      <c r="AP42" s="3">
        <v>45838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45782</v>
      </c>
      <c r="B43" s="14" t="s">
        <v>297</v>
      </c>
      <c r="C43" s="9" t="s">
        <v>79</v>
      </c>
      <c r="D43" s="13" t="s">
        <v>280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45846</v>
      </c>
      <c r="U43" s="11">
        <v>5000</v>
      </c>
      <c r="V43" s="10">
        <v>3318</v>
      </c>
      <c r="W43" s="10">
        <v>1682</v>
      </c>
      <c r="X43" s="10">
        <v>5538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45846</v>
      </c>
      <c r="AK43" s="3">
        <v>45842</v>
      </c>
      <c r="AL43" s="3">
        <v>45835</v>
      </c>
      <c r="AM43" s="3">
        <v>45843</v>
      </c>
      <c r="AN43" s="3">
        <v>45844</v>
      </c>
      <c r="AO43" s="3">
        <v>45845</v>
      </c>
      <c r="AP43" s="3">
        <v>45841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45810</v>
      </c>
      <c r="B44" s="14" t="s">
        <v>326</v>
      </c>
      <c r="C44" s="9" t="s">
        <v>79</v>
      </c>
      <c r="D44" s="13" t="s">
        <v>327</v>
      </c>
      <c r="E44" s="9">
        <v>20</v>
      </c>
      <c r="F44" s="9">
        <v>38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45846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80</v>
      </c>
      <c r="AA44" s="8">
        <v>3310.89</v>
      </c>
      <c r="AB44" s="8">
        <v>3310.89</v>
      </c>
      <c r="AC44" s="8">
        <v>0</v>
      </c>
      <c r="AD44" s="8">
        <v>3310.89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45846</v>
      </c>
      <c r="AK44" s="3">
        <v>45842</v>
      </c>
      <c r="AL44" s="3">
        <v>45835</v>
      </c>
      <c r="AM44" s="3">
        <v>45843</v>
      </c>
      <c r="AN44" s="3">
        <v>45844</v>
      </c>
      <c r="AO44" s="3">
        <v>45845</v>
      </c>
      <c r="AP44" s="3">
        <v>45841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45839</v>
      </c>
      <c r="B45" s="14" t="s">
        <v>434</v>
      </c>
      <c r="C45" s="9" t="s">
        <v>332</v>
      </c>
      <c r="D45" s="13" t="s">
        <v>404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45847</v>
      </c>
      <c r="U45" s="11">
        <v>20000</v>
      </c>
      <c r="V45" s="10">
        <v>0</v>
      </c>
      <c r="W45" s="10">
        <v>20000</v>
      </c>
      <c r="X45" s="10">
        <v>20200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75</v>
      </c>
      <c r="AI45" s="1">
        <v>4</v>
      </c>
      <c r="AJ45" s="3">
        <v>45847</v>
      </c>
      <c r="AK45" s="3">
        <v>45843</v>
      </c>
      <c r="AL45" s="3">
        <v>45836</v>
      </c>
      <c r="AM45" s="3">
        <v>45844</v>
      </c>
      <c r="AN45" s="3">
        <v>45845</v>
      </c>
      <c r="AO45" s="3">
        <v>45846</v>
      </c>
      <c r="AP45" s="3">
        <v>45842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10756.900000000001</v>
      </c>
      <c r="AC46" s="8">
        <v>0</v>
      </c>
      <c r="AD46" s="8">
        <v>0</v>
      </c>
      <c r="AE46" s="8">
        <v>10756.900000000001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45839</v>
      </c>
      <c r="B47" s="14" t="s">
        <v>435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45852</v>
      </c>
      <c r="AK47" s="3">
        <v>45848</v>
      </c>
      <c r="AL47" s="3">
        <v>45841</v>
      </c>
      <c r="AM47" s="3">
        <v>45849</v>
      </c>
      <c r="AN47" s="3">
        <v>45850</v>
      </c>
      <c r="AO47" s="3">
        <v>45851</v>
      </c>
      <c r="AP47" s="3">
        <v>45847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>
        <v>45826</v>
      </c>
      <c r="B48" s="14" t="s">
        <v>364</v>
      </c>
      <c r="C48" s="9" t="s">
        <v>110</v>
      </c>
      <c r="D48" s="13" t="s">
        <v>365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45856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80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45856</v>
      </c>
      <c r="AK48" s="3">
        <v>45852</v>
      </c>
      <c r="AL48" s="3">
        <v>45845</v>
      </c>
      <c r="AM48" s="3">
        <v>45853</v>
      </c>
      <c r="AN48" s="3">
        <v>45854</v>
      </c>
      <c r="AO48" s="3">
        <v>45855</v>
      </c>
      <c r="AP48" s="3">
        <v>45851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45839</v>
      </c>
      <c r="B49" s="14" t="s">
        <v>435</v>
      </c>
      <c r="C49" s="9" t="s">
        <v>332</v>
      </c>
      <c r="D49" s="13" t="s">
        <v>405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45861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0</v>
      </c>
      <c r="AC49" s="8">
        <v>10756.900000000001</v>
      </c>
      <c r="AD49" s="8">
        <v>0</v>
      </c>
      <c r="AE49" s="8">
        <v>10756.900000000001</v>
      </c>
      <c r="AF49" s="8">
        <v>0</v>
      </c>
      <c r="AG49" s="1" t="s">
        <v>61</v>
      </c>
      <c r="AH49" s="1" t="s">
        <v>75</v>
      </c>
      <c r="AI49" s="1">
        <v>4</v>
      </c>
      <c r="AJ49" s="3">
        <v>45861</v>
      </c>
      <c r="AK49" s="3">
        <v>45857</v>
      </c>
      <c r="AL49" s="3">
        <v>45850</v>
      </c>
      <c r="AM49" s="3">
        <v>45858</v>
      </c>
      <c r="AN49" s="3">
        <v>45859</v>
      </c>
      <c r="AO49" s="3">
        <v>45860</v>
      </c>
      <c r="AP49" s="3">
        <v>45856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812.74355555555564</v>
      </c>
    </row>
    <row r="50" spans="1:56" ht="27.75" customHeight="1" x14ac:dyDescent="0.45">
      <c r="A50" s="3" t="s">
        <v>139</v>
      </c>
      <c r="B50" s="14" t="s">
        <v>139</v>
      </c>
      <c r="C50" s="9" t="s">
        <v>145</v>
      </c>
      <c r="D50" s="13" t="s">
        <v>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104775.00000000001</v>
      </c>
      <c r="AB50" s="8">
        <v>0</v>
      </c>
      <c r="AC50" s="8">
        <v>104775.00000000001</v>
      </c>
      <c r="AD50" s="8">
        <v>0</v>
      </c>
      <c r="AE50" s="8">
        <v>104775.00000000001</v>
      </c>
      <c r="AF50" s="8">
        <v>0</v>
      </c>
      <c r="AG50" s="1" t="s">
        <v>61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7916.333333333333</v>
      </c>
    </row>
    <row r="51" spans="1:56" ht="27.75" customHeight="1" x14ac:dyDescent="0.45">
      <c r="A51" s="3" t="s">
        <v>139</v>
      </c>
      <c r="B51" s="14" t="s">
        <v>139</v>
      </c>
      <c r="C51" s="9" t="s">
        <v>79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45868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22072.6</v>
      </c>
      <c r="AB51" s="8">
        <v>0</v>
      </c>
      <c r="AC51" s="8">
        <v>22072.6</v>
      </c>
      <c r="AD51" s="8">
        <v>0</v>
      </c>
      <c r="AE51" s="8">
        <v>22072.6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1667.7075555555555</v>
      </c>
    </row>
    <row r="52" spans="1:56" ht="27.75" customHeight="1" x14ac:dyDescent="0.45">
      <c r="A52" s="3" t="s">
        <v>139</v>
      </c>
      <c r="B52" s="14" t="s">
        <v>139</v>
      </c>
      <c r="C52" s="9" t="s">
        <v>97</v>
      </c>
      <c r="D52" s="13" t="s">
        <v>61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45868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0</v>
      </c>
      <c r="AC52" s="8">
        <v>21513.800000000003</v>
      </c>
      <c r="AD52" s="8">
        <v>0</v>
      </c>
      <c r="AE52" s="8">
        <v>21513.800000000003</v>
      </c>
      <c r="AF52" s="8">
        <v>0</v>
      </c>
      <c r="AG52" s="1" t="s">
        <v>118</v>
      </c>
      <c r="AH52" s="1" t="s">
        <v>75</v>
      </c>
      <c r="AI52" s="1">
        <v>4</v>
      </c>
      <c r="AJ52" s="3">
        <v>45868</v>
      </c>
      <c r="AK52" s="3">
        <v>45864</v>
      </c>
      <c r="AL52" s="3">
        <v>45857</v>
      </c>
      <c r="AM52" s="3">
        <v>45865</v>
      </c>
      <c r="AN52" s="3">
        <v>45866</v>
      </c>
      <c r="AO52" s="3">
        <v>45867</v>
      </c>
      <c r="AP52" s="3">
        <v>45863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1625.4871111111113</v>
      </c>
    </row>
    <row r="53" spans="1:56" ht="27.75" customHeight="1" x14ac:dyDescent="0.45">
      <c r="A53" s="3" t="s">
        <v>139</v>
      </c>
      <c r="B53" s="14" t="s">
        <v>139</v>
      </c>
      <c r="C53" s="9" t="s">
        <v>356</v>
      </c>
      <c r="D53" s="13" t="s">
        <v>61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113</v>
      </c>
      <c r="T53" s="12">
        <v>45868</v>
      </c>
      <c r="U53" s="11">
        <v>100000</v>
      </c>
      <c r="V53" s="10">
        <v>0</v>
      </c>
      <c r="W53" s="10">
        <v>100000</v>
      </c>
      <c r="X53" s="10">
        <v>0</v>
      </c>
      <c r="Y53" s="10">
        <v>105000</v>
      </c>
      <c r="Z53" s="9" t="s">
        <v>80</v>
      </c>
      <c r="AA53" s="8">
        <v>110363</v>
      </c>
      <c r="AB53" s="8">
        <v>0</v>
      </c>
      <c r="AC53" s="8">
        <v>110363</v>
      </c>
      <c r="AD53" s="8">
        <v>0</v>
      </c>
      <c r="AE53" s="8">
        <v>110363</v>
      </c>
      <c r="AF53" s="8">
        <v>0</v>
      </c>
      <c r="AG53" s="1" t="s">
        <v>120</v>
      </c>
      <c r="AH53" s="1" t="s">
        <v>75</v>
      </c>
      <c r="AI53" s="1">
        <v>4</v>
      </c>
      <c r="AJ53" s="3">
        <v>45868</v>
      </c>
      <c r="AK53" s="3">
        <v>45864</v>
      </c>
      <c r="AL53" s="3">
        <v>45857</v>
      </c>
      <c r="AM53" s="3">
        <v>45865</v>
      </c>
      <c r="AN53" s="3">
        <v>45866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8338.5377777777776</v>
      </c>
    </row>
    <row r="54" spans="1:56" ht="27.75" customHeight="1" x14ac:dyDescent="0.45">
      <c r="A54" s="3">
        <v>45825</v>
      </c>
      <c r="B54" s="14" t="s">
        <v>355</v>
      </c>
      <c r="C54" s="9" t="s">
        <v>145</v>
      </c>
      <c r="D54" s="13" t="s">
        <v>273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894</v>
      </c>
      <c r="V54" s="10">
        <v>0</v>
      </c>
      <c r="W54" s="10">
        <v>894</v>
      </c>
      <c r="X54" s="10">
        <v>6000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138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45827</v>
      </c>
      <c r="B55" s="14" t="s">
        <v>394</v>
      </c>
      <c r="C55" s="9" t="s">
        <v>145</v>
      </c>
      <c r="D55" s="13" t="s">
        <v>192</v>
      </c>
      <c r="E55" s="9">
        <v>20</v>
      </c>
      <c r="F55" s="9">
        <v>35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211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455</v>
      </c>
      <c r="V55" s="10">
        <v>0</v>
      </c>
      <c r="W55" s="10">
        <v>455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45782</v>
      </c>
      <c r="B56" s="14" t="s">
        <v>297</v>
      </c>
      <c r="C56" s="9" t="s">
        <v>79</v>
      </c>
      <c r="D56" s="13" t="s">
        <v>280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5250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138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45799</v>
      </c>
      <c r="B57" s="14" t="s">
        <v>322</v>
      </c>
      <c r="C57" s="9" t="s">
        <v>312</v>
      </c>
      <c r="D57" s="13" t="s">
        <v>314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136</v>
      </c>
      <c r="U57" s="11">
        <v>8000</v>
      </c>
      <c r="V57" s="10">
        <v>7840</v>
      </c>
      <c r="W57" s="10">
        <v>160</v>
      </c>
      <c r="X57" s="10">
        <v>8450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228</v>
      </c>
      <c r="AG57" s="1" t="s">
        <v>118</v>
      </c>
      <c r="AH57" s="1" t="s">
        <v>75</v>
      </c>
      <c r="AI57" s="1">
        <v>4</v>
      </c>
      <c r="AJ57" s="3" t="s">
        <v>136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305</v>
      </c>
      <c r="C58" s="9" t="s">
        <v>145</v>
      </c>
      <c r="D58" s="13" t="s">
        <v>247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3853</v>
      </c>
      <c r="V58" s="10">
        <v>0</v>
      </c>
      <c r="W58" s="10">
        <v>3853</v>
      </c>
      <c r="X58" s="10">
        <v>15401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45796</v>
      </c>
      <c r="B59" s="14" t="s">
        <v>308</v>
      </c>
      <c r="C59" s="9" t="s">
        <v>145</v>
      </c>
      <c r="D59" s="13" t="s">
        <v>152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3360</v>
      </c>
      <c r="V59" s="10">
        <v>0</v>
      </c>
      <c r="W59" s="10">
        <v>3360</v>
      </c>
      <c r="X59" s="10">
        <v>35200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302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309</v>
      </c>
      <c r="C60" s="9" t="s">
        <v>145</v>
      </c>
      <c r="D60" s="13" t="s">
        <v>249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614</v>
      </c>
      <c r="V60" s="10">
        <v>0</v>
      </c>
      <c r="W60" s="10">
        <v>614</v>
      </c>
      <c r="X60" s="10">
        <v>12101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304</v>
      </c>
      <c r="C61" s="9" t="s">
        <v>145</v>
      </c>
      <c r="D61" s="13" t="s">
        <v>299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120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306</v>
      </c>
      <c r="C62" s="9" t="s">
        <v>145</v>
      </c>
      <c r="D62" s="13" t="s">
        <v>272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179</v>
      </c>
      <c r="V62" s="10">
        <v>0</v>
      </c>
      <c r="W62" s="10">
        <v>179</v>
      </c>
      <c r="X62" s="10">
        <v>11000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306</v>
      </c>
      <c r="C63" s="9" t="s">
        <v>145</v>
      </c>
      <c r="D63" s="13" t="s">
        <v>301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302</v>
      </c>
      <c r="V63" s="10">
        <v>0</v>
      </c>
      <c r="W63" s="10">
        <v>302</v>
      </c>
      <c r="X63" s="10">
        <v>5300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307</v>
      </c>
      <c r="C64" s="9" t="s">
        <v>145</v>
      </c>
      <c r="D64" s="13" t="s">
        <v>135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1200</v>
      </c>
      <c r="V64" s="10">
        <v>0</v>
      </c>
      <c r="W64" s="10">
        <v>1200</v>
      </c>
      <c r="X64" s="10">
        <v>10700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45798</v>
      </c>
      <c r="B65" s="14" t="s">
        <v>318</v>
      </c>
      <c r="C65" s="9" t="s">
        <v>110</v>
      </c>
      <c r="D65" s="13" t="s">
        <v>315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138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416.92688888888887</v>
      </c>
    </row>
    <row r="66" spans="1:56" ht="27.75" customHeight="1" x14ac:dyDescent="0.45">
      <c r="A66" s="3">
        <v>45782</v>
      </c>
      <c r="B66" s="14" t="s">
        <v>297</v>
      </c>
      <c r="C66" s="9" t="s">
        <v>79</v>
      </c>
      <c r="D66" s="13" t="s">
        <v>280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11036.3</v>
      </c>
      <c r="AB66" s="8">
        <v>0</v>
      </c>
      <c r="AC66" s="8">
        <v>11036.3</v>
      </c>
      <c r="AD66" s="8">
        <v>0</v>
      </c>
      <c r="AE66" s="8">
        <v>11036.3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138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833.85377777777774</v>
      </c>
    </row>
    <row r="67" spans="1:56" ht="27.75" customHeight="1" x14ac:dyDescent="0.45">
      <c r="A67" s="3">
        <v>45810</v>
      </c>
      <c r="B67" s="14" t="s">
        <v>325</v>
      </c>
      <c r="C67" s="9" t="s">
        <v>79</v>
      </c>
      <c r="D67" s="13" t="s">
        <v>243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45681</v>
      </c>
      <c r="B68" s="14" t="s">
        <v>253</v>
      </c>
      <c r="C68" s="9" t="s">
        <v>79</v>
      </c>
      <c r="D68" s="13" t="s">
        <v>252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3478.5300000000007</v>
      </c>
      <c r="AB68" s="8">
        <v>0</v>
      </c>
      <c r="AC68" s="8">
        <v>3478.5300000000007</v>
      </c>
      <c r="AD68" s="8">
        <v>0</v>
      </c>
      <c r="AE68" s="8">
        <v>3478.5300000000007</v>
      </c>
      <c r="AF68" s="8">
        <v>0</v>
      </c>
      <c r="AG68" s="1" t="s">
        <v>120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262.82226666666674</v>
      </c>
    </row>
    <row r="69" spans="1:56" ht="27.75" customHeight="1" x14ac:dyDescent="0.45">
      <c r="A69" s="3">
        <v>45674</v>
      </c>
      <c r="B69" s="14" t="s">
        <v>251</v>
      </c>
      <c r="C69" s="9" t="s">
        <v>145</v>
      </c>
      <c r="D69" s="13" t="s">
        <v>250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211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152</v>
      </c>
      <c r="V69" s="10">
        <v>0</v>
      </c>
      <c r="W69" s="10">
        <v>152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5987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269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45611</v>
      </c>
      <c r="B70" s="14" t="s">
        <v>209</v>
      </c>
      <c r="C70" s="9" t="s">
        <v>145</v>
      </c>
      <c r="D70" s="13" t="s">
        <v>208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117</v>
      </c>
      <c r="V70" s="10">
        <v>0</v>
      </c>
      <c r="W70" s="10">
        <v>117</v>
      </c>
      <c r="X70" s="10">
        <v>10065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45523</v>
      </c>
      <c r="B71" s="14" t="s">
        <v>189</v>
      </c>
      <c r="C71" s="9" t="s">
        <v>145</v>
      </c>
      <c r="D71" s="13" t="s">
        <v>187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1260</v>
      </c>
      <c r="V71" s="10">
        <v>0</v>
      </c>
      <c r="W71" s="10">
        <v>1260</v>
      </c>
      <c r="X71" s="10">
        <v>11095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45523</v>
      </c>
      <c r="B72" s="14" t="s">
        <v>189</v>
      </c>
      <c r="C72" s="9" t="s">
        <v>145</v>
      </c>
      <c r="D72" s="13" t="s">
        <v>188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89</v>
      </c>
      <c r="V72" s="10">
        <v>0</v>
      </c>
      <c r="W72" s="10">
        <v>89</v>
      </c>
      <c r="X72" s="10">
        <v>11180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45741</v>
      </c>
      <c r="B73" s="14" t="s">
        <v>277</v>
      </c>
      <c r="C73" s="9" t="s">
        <v>110</v>
      </c>
      <c r="D73" s="13" t="s">
        <v>276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281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45720</v>
      </c>
      <c r="B74" s="14" t="s">
        <v>132</v>
      </c>
      <c r="C74" s="9" t="s">
        <v>110</v>
      </c>
      <c r="D74" s="13" t="s">
        <v>226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136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136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45720</v>
      </c>
      <c r="B75" s="14" t="s">
        <v>132</v>
      </c>
      <c r="C75" s="9" t="s">
        <v>110</v>
      </c>
      <c r="D75" s="13" t="s">
        <v>242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136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136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45541</v>
      </c>
      <c r="B76" s="14" t="s">
        <v>193</v>
      </c>
      <c r="C76" s="9" t="s">
        <v>110</v>
      </c>
      <c r="D76" s="13" t="s">
        <v>194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195</v>
      </c>
      <c r="AG76" s="1" t="s">
        <v>61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245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45581</v>
      </c>
      <c r="B77" s="14" t="s">
        <v>199</v>
      </c>
      <c r="C77" s="9" t="s">
        <v>110</v>
      </c>
      <c r="D77" s="13" t="s">
        <v>200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3000</v>
      </c>
      <c r="V77" s="10">
        <v>3194</v>
      </c>
      <c r="W77" s="10">
        <v>0</v>
      </c>
      <c r="X77" s="10">
        <v>5632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84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80</v>
      </c>
      <c r="AA78" s="8">
        <v>317789.56000000011</v>
      </c>
      <c r="AB78" s="8">
        <v>17378.68</v>
      </c>
      <c r="AC78" s="8">
        <v>300410.88000000006</v>
      </c>
      <c r="AD78" s="8">
        <v>6621.78</v>
      </c>
      <c r="AE78" s="8">
        <v>311167.78000000009</v>
      </c>
      <c r="AF78" s="8" t="s">
        <v>58</v>
      </c>
      <c r="AG78" s="1" t="s">
        <v>118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 t="s">
        <v>139</v>
      </c>
      <c r="B79" s="14" t="s">
        <v>139</v>
      </c>
      <c r="C79" s="9" t="s">
        <v>356</v>
      </c>
      <c r="D79" s="13" t="s">
        <v>61</v>
      </c>
      <c r="E79" s="9">
        <v>20</v>
      </c>
      <c r="F79" s="9">
        <v>39</v>
      </c>
      <c r="G79" s="9" t="s">
        <v>60</v>
      </c>
      <c r="H79" s="9">
        <v>0</v>
      </c>
      <c r="I79" s="9">
        <v>84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113</v>
      </c>
      <c r="T79" s="12">
        <v>45868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357</v>
      </c>
      <c r="AA79" s="8">
        <v>113157.00000000001</v>
      </c>
      <c r="AB79" s="8">
        <v>7720</v>
      </c>
      <c r="AC79" s="8">
        <v>105437.00000000001</v>
      </c>
      <c r="AD79" s="8">
        <v>0</v>
      </c>
      <c r="AE79" s="8">
        <v>0</v>
      </c>
      <c r="AF79" s="8">
        <v>0</v>
      </c>
      <c r="AG79" s="1" t="s">
        <v>120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358</v>
      </c>
      <c r="BD79" s="56">
        <v>8306.0925555555586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38</v>
      </c>
      <c r="G80" s="9">
        <v>0</v>
      </c>
      <c r="H80" s="9">
        <v>0</v>
      </c>
      <c r="I80" s="9">
        <v>82</v>
      </c>
      <c r="J80" s="9" t="s">
        <v>78</v>
      </c>
      <c r="K80" s="9">
        <v>2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357</v>
      </c>
      <c r="AA80" s="8">
        <v>113157.00000000001</v>
      </c>
      <c r="AB80" s="8">
        <v>7720</v>
      </c>
      <c r="AC80" s="8">
        <v>105437.00000000001</v>
      </c>
      <c r="AD80" s="8">
        <v>0</v>
      </c>
      <c r="AE80" s="8">
        <v>0</v>
      </c>
      <c r="AF80" s="8" t="s">
        <v>58</v>
      </c>
      <c r="AG80" s="1" t="s">
        <v>119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359</v>
      </c>
      <c r="BD80" s="56">
        <v>0</v>
      </c>
    </row>
    <row r="81" spans="1:56" ht="27.75" customHeight="1" x14ac:dyDescent="0.45">
      <c r="A81" s="3">
        <v>45825</v>
      </c>
      <c r="B81" s="14" t="s">
        <v>360</v>
      </c>
      <c r="C81" s="9" t="s">
        <v>145</v>
      </c>
      <c r="D81" s="13" t="s">
        <v>350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211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45845</v>
      </c>
      <c r="U81" s="11">
        <v>2080</v>
      </c>
      <c r="V81" s="10">
        <v>0</v>
      </c>
      <c r="W81" s="10">
        <v>2080</v>
      </c>
      <c r="X81" s="10">
        <v>52080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228</v>
      </c>
      <c r="AG81" s="1" t="s">
        <v>120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45825</v>
      </c>
      <c r="B82" s="14" t="s">
        <v>360</v>
      </c>
      <c r="C82" s="9" t="s">
        <v>145</v>
      </c>
      <c r="D82" s="13" t="s">
        <v>350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211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45845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41910</v>
      </c>
      <c r="AB82" s="8">
        <v>41910</v>
      </c>
      <c r="AC82" s="8">
        <v>0</v>
      </c>
      <c r="AD82" s="8">
        <v>0</v>
      </c>
      <c r="AE82" s="8">
        <v>0</v>
      </c>
      <c r="AF82" s="8" t="s">
        <v>228</v>
      </c>
      <c r="AG82" s="1" t="s">
        <v>120</v>
      </c>
      <c r="AH82" s="1" t="s">
        <v>74</v>
      </c>
      <c r="AI82" s="1">
        <v>2</v>
      </c>
      <c r="AJ82" s="3">
        <v>45845</v>
      </c>
      <c r="AK82" s="3">
        <v>0</v>
      </c>
      <c r="AL82" s="3">
        <v>45836</v>
      </c>
      <c r="AM82" s="3">
        <v>45843</v>
      </c>
      <c r="AN82" s="3">
        <v>45844</v>
      </c>
      <c r="AO82" s="3">
        <v>45844</v>
      </c>
      <c r="AP82" s="3">
        <v>45840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 t="s">
        <v>362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45825</v>
      </c>
      <c r="B83" s="14" t="s">
        <v>361</v>
      </c>
      <c r="C83" s="9" t="s">
        <v>145</v>
      </c>
      <c r="D83" s="13" t="s">
        <v>351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211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45845</v>
      </c>
      <c r="U83" s="11">
        <v>6827</v>
      </c>
      <c r="V83" s="10">
        <v>0</v>
      </c>
      <c r="W83" s="10">
        <v>6827</v>
      </c>
      <c r="X83" s="10">
        <v>0</v>
      </c>
      <c r="Y83" s="10">
        <v>7168.35</v>
      </c>
      <c r="Z83" s="9" t="s">
        <v>81</v>
      </c>
      <c r="AA83" s="8">
        <v>7152.9892500000005</v>
      </c>
      <c r="AB83" s="8">
        <v>7152.9892500000005</v>
      </c>
      <c r="AC83" s="8">
        <v>0</v>
      </c>
      <c r="AD83" s="8">
        <v>0</v>
      </c>
      <c r="AE83" s="8">
        <v>0</v>
      </c>
      <c r="AF83" s="8" t="s">
        <v>228</v>
      </c>
      <c r="AG83" s="1" t="s">
        <v>120</v>
      </c>
      <c r="AH83" s="1" t="s">
        <v>74</v>
      </c>
      <c r="AI83" s="1">
        <v>2</v>
      </c>
      <c r="AJ83" s="3">
        <v>45845</v>
      </c>
      <c r="AK83" s="3">
        <v>0</v>
      </c>
      <c r="AL83" s="3">
        <v>45836</v>
      </c>
      <c r="AM83" s="3">
        <v>45843</v>
      </c>
      <c r="AN83" s="3">
        <v>45844</v>
      </c>
      <c r="AO83" s="3">
        <v>45844</v>
      </c>
      <c r="AP83" s="3">
        <v>45840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 t="s">
        <v>363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45847</v>
      </c>
      <c r="U84" s="11">
        <v>30000</v>
      </c>
      <c r="V84" s="10">
        <v>0</v>
      </c>
      <c r="W84" s="10">
        <v>30000</v>
      </c>
      <c r="X84" s="10">
        <v>31500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335</v>
      </c>
      <c r="AG84" s="1" t="s">
        <v>118</v>
      </c>
      <c r="AH84" s="1" t="s">
        <v>74</v>
      </c>
      <c r="AI84" s="1">
        <v>2</v>
      </c>
      <c r="AJ84" s="3">
        <v>45847</v>
      </c>
      <c r="AK84" s="3">
        <v>0</v>
      </c>
      <c r="AL84" s="3">
        <v>45838</v>
      </c>
      <c r="AM84" s="3">
        <v>45845</v>
      </c>
      <c r="AN84" s="3">
        <v>45846</v>
      </c>
      <c r="AO84" s="3">
        <v>45846</v>
      </c>
      <c r="AP84" s="3">
        <v>45842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45821</v>
      </c>
      <c r="B85" s="14" t="s">
        <v>346</v>
      </c>
      <c r="C85" s="9" t="s">
        <v>85</v>
      </c>
      <c r="D85" s="13" t="s">
        <v>347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45848</v>
      </c>
      <c r="U85" s="11">
        <v>5000</v>
      </c>
      <c r="V85" s="10">
        <v>0</v>
      </c>
      <c r="W85" s="10">
        <v>5000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291</v>
      </c>
      <c r="AG85" s="1" t="s">
        <v>122</v>
      </c>
      <c r="AH85" s="1" t="s">
        <v>74</v>
      </c>
      <c r="AI85" s="1">
        <v>2</v>
      </c>
      <c r="AJ85" s="3">
        <v>45848</v>
      </c>
      <c r="AK85" s="3">
        <v>0</v>
      </c>
      <c r="AL85" s="3">
        <v>45839</v>
      </c>
      <c r="AM85" s="3">
        <v>45846</v>
      </c>
      <c r="AN85" s="3">
        <v>45847</v>
      </c>
      <c r="AO85" s="3">
        <v>45847</v>
      </c>
      <c r="AP85" s="3">
        <v>45843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7.75" customHeight="1" x14ac:dyDescent="0.45">
      <c r="A86" s="3">
        <v>45821</v>
      </c>
      <c r="B86" s="14" t="s">
        <v>346</v>
      </c>
      <c r="C86" s="9" t="s">
        <v>85</v>
      </c>
      <c r="D86" s="13" t="s">
        <v>348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45848</v>
      </c>
      <c r="U86" s="11">
        <v>5000</v>
      </c>
      <c r="V86" s="10">
        <v>0</v>
      </c>
      <c r="W86" s="10">
        <v>5000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45848</v>
      </c>
      <c r="AK86" s="3">
        <v>0</v>
      </c>
      <c r="AL86" s="3">
        <v>45839</v>
      </c>
      <c r="AM86" s="3">
        <v>45846</v>
      </c>
      <c r="AN86" s="3">
        <v>45847</v>
      </c>
      <c r="AO86" s="3">
        <v>45847</v>
      </c>
      <c r="AP86" s="3">
        <v>45843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339</v>
      </c>
      <c r="C87" s="9" t="s">
        <v>85</v>
      </c>
      <c r="D87" s="13" t="s">
        <v>337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45849</v>
      </c>
      <c r="U87" s="11">
        <v>5000</v>
      </c>
      <c r="V87" s="10">
        <v>5072</v>
      </c>
      <c r="W87" s="10">
        <v>0</v>
      </c>
      <c r="X87" s="10">
        <v>5435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334</v>
      </c>
      <c r="AG87" s="1" t="s">
        <v>119</v>
      </c>
      <c r="AH87" s="1" t="s">
        <v>74</v>
      </c>
      <c r="AI87" s="1">
        <v>2</v>
      </c>
      <c r="AJ87" s="3">
        <v>45849</v>
      </c>
      <c r="AK87" s="3">
        <v>0</v>
      </c>
      <c r="AL87" s="3">
        <v>45840</v>
      </c>
      <c r="AM87" s="3">
        <v>45847</v>
      </c>
      <c r="AN87" s="3">
        <v>45848</v>
      </c>
      <c r="AO87" s="3">
        <v>45848</v>
      </c>
      <c r="AP87" s="3">
        <v>45844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345</v>
      </c>
      <c r="C88" s="9" t="s">
        <v>85</v>
      </c>
      <c r="D88" s="13" t="s">
        <v>290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45852</v>
      </c>
      <c r="U88" s="11">
        <v>80000</v>
      </c>
      <c r="V88" s="10">
        <v>0</v>
      </c>
      <c r="W88" s="10">
        <v>80000</v>
      </c>
      <c r="X88" s="10">
        <v>42215</v>
      </c>
      <c r="Y88" s="10">
        <v>39674.25</v>
      </c>
      <c r="Z88" s="9" t="s">
        <v>81</v>
      </c>
      <c r="AA88" s="8">
        <v>42677.193982500001</v>
      </c>
      <c r="AB88" s="8">
        <v>27654</v>
      </c>
      <c r="AC88" s="8">
        <v>15023.193982500001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45852</v>
      </c>
      <c r="AK88" s="3">
        <v>0</v>
      </c>
      <c r="AL88" s="3">
        <v>45843</v>
      </c>
      <c r="AM88" s="3">
        <v>45850</v>
      </c>
      <c r="AN88" s="3">
        <v>45851</v>
      </c>
      <c r="AO88" s="3">
        <v>45851</v>
      </c>
      <c r="AP88" s="3">
        <v>45847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1148.4397177733333</v>
      </c>
    </row>
    <row r="89" spans="1:56" ht="27.75" customHeight="1" x14ac:dyDescent="0.45">
      <c r="A89" s="3">
        <v>45818</v>
      </c>
      <c r="B89" s="14" t="s">
        <v>340</v>
      </c>
      <c r="C89" s="9" t="s">
        <v>85</v>
      </c>
      <c r="D89" s="13" t="s">
        <v>290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45859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0</v>
      </c>
      <c r="AF89" s="8" t="s">
        <v>335</v>
      </c>
      <c r="AG89" s="1" t="s">
        <v>119</v>
      </c>
      <c r="AH89" s="1" t="s">
        <v>74</v>
      </c>
      <c r="AI89" s="1">
        <v>2</v>
      </c>
      <c r="AJ89" s="3">
        <v>45859</v>
      </c>
      <c r="AK89" s="3">
        <v>0</v>
      </c>
      <c r="AL89" s="3">
        <v>45850</v>
      </c>
      <c r="AM89" s="3">
        <v>45857</v>
      </c>
      <c r="AN89" s="3">
        <v>45858</v>
      </c>
      <c r="AO89" s="3">
        <v>45858</v>
      </c>
      <c r="AP89" s="3">
        <v>45854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4111.5262222222227</v>
      </c>
    </row>
    <row r="90" spans="1:56" ht="27.75" customHeight="1" x14ac:dyDescent="0.45">
      <c r="A90" s="3">
        <v>45818</v>
      </c>
      <c r="B90" s="14" t="s">
        <v>341</v>
      </c>
      <c r="C90" s="9" t="s">
        <v>85</v>
      </c>
      <c r="D90" s="13" t="s">
        <v>336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45859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81</v>
      </c>
      <c r="AA90" s="8">
        <v>32270.700000000004</v>
      </c>
      <c r="AB90" s="8">
        <v>0</v>
      </c>
      <c r="AC90" s="8">
        <v>32270.700000000004</v>
      </c>
      <c r="AD90" s="8">
        <v>0</v>
      </c>
      <c r="AE90" s="8">
        <v>0</v>
      </c>
      <c r="AF90" s="8" t="s">
        <v>335</v>
      </c>
      <c r="AG90" s="1" t="s">
        <v>119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2466.9157333333337</v>
      </c>
    </row>
    <row r="91" spans="1:56" ht="27.75" customHeight="1" x14ac:dyDescent="0.45">
      <c r="A91" s="3">
        <v>45831</v>
      </c>
      <c r="B91" s="14" t="s">
        <v>395</v>
      </c>
      <c r="C91" s="9" t="s">
        <v>85</v>
      </c>
      <c r="D91" s="13" t="s">
        <v>381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45862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45862</v>
      </c>
      <c r="AK91" s="3">
        <v>0</v>
      </c>
      <c r="AL91" s="3">
        <v>45853</v>
      </c>
      <c r="AM91" s="3">
        <v>45860</v>
      </c>
      <c r="AN91" s="3">
        <v>45861</v>
      </c>
      <c r="AO91" s="3">
        <v>45861</v>
      </c>
      <c r="AP91" s="3">
        <v>45857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411.15262222222225</v>
      </c>
    </row>
    <row r="92" spans="1:56" ht="27.75" customHeight="1" x14ac:dyDescent="0.45">
      <c r="A92" s="3">
        <v>45831</v>
      </c>
      <c r="B92" s="14" t="s">
        <v>395</v>
      </c>
      <c r="C92" s="9" t="s">
        <v>85</v>
      </c>
      <c r="D92" s="13" t="s">
        <v>261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45862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0</v>
      </c>
      <c r="AF92" s="8" t="s">
        <v>291</v>
      </c>
      <c r="AG92" s="1" t="s">
        <v>119</v>
      </c>
      <c r="AH92" s="1" t="s">
        <v>74</v>
      </c>
      <c r="AI92" s="1">
        <v>2</v>
      </c>
      <c r="AJ92" s="3">
        <v>45862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3289.220977777778</v>
      </c>
    </row>
    <row r="93" spans="1:56" ht="27.75" customHeight="1" x14ac:dyDescent="0.45">
      <c r="A93" s="3">
        <v>45842</v>
      </c>
      <c r="B93" s="14" t="s">
        <v>467</v>
      </c>
      <c r="C93" s="9" t="s">
        <v>73</v>
      </c>
      <c r="D93" s="13" t="s">
        <v>468</v>
      </c>
      <c r="E93" s="9">
        <v>20</v>
      </c>
      <c r="F93" s="9">
        <v>32</v>
      </c>
      <c r="G93" s="9" t="s">
        <v>60</v>
      </c>
      <c r="H93" s="9">
        <v>0</v>
      </c>
      <c r="I93" s="9">
        <v>72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148</v>
      </c>
      <c r="T93" s="12">
        <v>45867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119</v>
      </c>
      <c r="AH93" s="1" t="s">
        <v>74</v>
      </c>
      <c r="AI93" s="1">
        <v>2</v>
      </c>
      <c r="AJ93" s="3">
        <v>45867</v>
      </c>
      <c r="AK93" s="3">
        <v>0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357.75617777777779</v>
      </c>
    </row>
    <row r="94" spans="1:56" ht="27.75" customHeight="1" x14ac:dyDescent="0.45">
      <c r="A94" s="3">
        <v>45840</v>
      </c>
      <c r="B94" s="14" t="s">
        <v>438</v>
      </c>
      <c r="C94" s="9" t="s">
        <v>85</v>
      </c>
      <c r="D94" s="13" t="s">
        <v>439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45875</v>
      </c>
      <c r="U94" s="11">
        <v>13000</v>
      </c>
      <c r="V94" s="10">
        <v>0</v>
      </c>
      <c r="W94" s="10">
        <v>13000</v>
      </c>
      <c r="X94" s="10">
        <v>0</v>
      </c>
      <c r="Y94" s="10">
        <v>13650</v>
      </c>
      <c r="Z94" s="9" t="s">
        <v>81</v>
      </c>
      <c r="AA94" s="8">
        <v>13983.970000000001</v>
      </c>
      <c r="AB94" s="8">
        <v>0</v>
      </c>
      <c r="AC94" s="8">
        <v>13983.970000000001</v>
      </c>
      <c r="AD94" s="8">
        <v>0</v>
      </c>
      <c r="AE94" s="8">
        <v>0</v>
      </c>
      <c r="AF94" s="8" t="s">
        <v>440</v>
      </c>
      <c r="AG94" s="1" t="s">
        <v>61</v>
      </c>
      <c r="AH94" s="1" t="s">
        <v>74</v>
      </c>
      <c r="AI94" s="1">
        <v>2</v>
      </c>
      <c r="AJ94" s="3">
        <v>45875</v>
      </c>
      <c r="AK94" s="3">
        <v>0</v>
      </c>
      <c r="AL94" s="3">
        <v>45866</v>
      </c>
      <c r="AM94" s="3">
        <v>45873</v>
      </c>
      <c r="AN94" s="3">
        <v>45874</v>
      </c>
      <c r="AO94" s="3">
        <v>45874</v>
      </c>
      <c r="AP94" s="3">
        <v>45870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1068.996817777778</v>
      </c>
    </row>
    <row r="95" spans="1:56" ht="27.75" customHeight="1" x14ac:dyDescent="0.45">
      <c r="A95" s="3">
        <v>45834</v>
      </c>
      <c r="B95" s="14" t="s">
        <v>413</v>
      </c>
      <c r="C95" s="9" t="s">
        <v>85</v>
      </c>
      <c r="D95" s="13" t="s">
        <v>331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238</v>
      </c>
      <c r="T95" s="12">
        <v>45897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0</v>
      </c>
      <c r="AF95" s="8" t="s">
        <v>227</v>
      </c>
      <c r="AG95" s="1" t="s">
        <v>118</v>
      </c>
      <c r="AH95" s="1" t="s">
        <v>74</v>
      </c>
      <c r="AI95" s="1">
        <v>2</v>
      </c>
      <c r="AJ95" s="3">
        <v>45897</v>
      </c>
      <c r="AK95" s="3">
        <v>0</v>
      </c>
      <c r="AL95" s="3">
        <v>45888</v>
      </c>
      <c r="AM95" s="3">
        <v>45895</v>
      </c>
      <c r="AN95" s="3">
        <v>45896</v>
      </c>
      <c r="AO95" s="3">
        <v>45896</v>
      </c>
      <c r="AP95" s="3">
        <v>45892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411.15262222222225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408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 t="s">
        <v>139</v>
      </c>
      <c r="B97" s="14" t="s">
        <v>139</v>
      </c>
      <c r="C97" s="9" t="s">
        <v>145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211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45868</v>
      </c>
      <c r="U97" s="11">
        <v>55000</v>
      </c>
      <c r="V97" s="10">
        <v>0</v>
      </c>
      <c r="W97" s="10">
        <v>55000</v>
      </c>
      <c r="X97" s="10">
        <v>0</v>
      </c>
      <c r="Y97" s="10">
        <v>57750</v>
      </c>
      <c r="Z97" s="9" t="s">
        <v>81</v>
      </c>
      <c r="AA97" s="8">
        <v>57626.250000000007</v>
      </c>
      <c r="AB97" s="8">
        <v>0</v>
      </c>
      <c r="AC97" s="8">
        <v>57626.250000000007</v>
      </c>
      <c r="AD97" s="8">
        <v>0</v>
      </c>
      <c r="AE97" s="8">
        <v>0</v>
      </c>
      <c r="AF97" s="8" t="s">
        <v>228</v>
      </c>
      <c r="AG97" s="1" t="s">
        <v>118</v>
      </c>
      <c r="AH97" s="1" t="s">
        <v>74</v>
      </c>
      <c r="AI97" s="1">
        <v>2</v>
      </c>
      <c r="AJ97" s="3">
        <v>45868</v>
      </c>
      <c r="AK97" s="3">
        <v>0</v>
      </c>
      <c r="AL97" s="3">
        <v>45859</v>
      </c>
      <c r="AM97" s="3">
        <v>45866</v>
      </c>
      <c r="AN97" s="3">
        <v>45867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4405.2066666666669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313248.50323250011</v>
      </c>
      <c r="AB98" s="8">
        <v>76716.989249999999</v>
      </c>
      <c r="AC98" s="8">
        <v>236531.51398250004</v>
      </c>
      <c r="AD98" s="8">
        <v>0</v>
      </c>
      <c r="AE98" s="8">
        <v>0</v>
      </c>
      <c r="AF98" s="8" t="s">
        <v>58</v>
      </c>
      <c r="AG98" s="1" t="s">
        <v>118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45841</v>
      </c>
      <c r="B99" s="14" t="s">
        <v>455</v>
      </c>
      <c r="C99" s="9" t="s">
        <v>179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>
        <v>22</v>
      </c>
      <c r="N99" s="9">
        <v>41</v>
      </c>
      <c r="O99" s="9">
        <v>40</v>
      </c>
      <c r="P99" s="10">
        <v>554.10389308031984</v>
      </c>
      <c r="Q99" s="10">
        <v>0</v>
      </c>
      <c r="R99" s="10">
        <v>554.10389308031984</v>
      </c>
      <c r="S99" s="9" t="s">
        <v>71</v>
      </c>
      <c r="T99" s="12">
        <v>45852</v>
      </c>
      <c r="U99" s="11">
        <v>25000</v>
      </c>
      <c r="V99" s="10">
        <v>100</v>
      </c>
      <c r="W99" s="10">
        <v>24900</v>
      </c>
      <c r="X99" s="10">
        <v>0</v>
      </c>
      <c r="Y99" s="10">
        <v>0</v>
      </c>
      <c r="Z99" s="9" t="s">
        <v>134</v>
      </c>
      <c r="AA99" s="8">
        <v>27480.386999999999</v>
      </c>
      <c r="AB99" s="8">
        <v>8894</v>
      </c>
      <c r="AC99" s="8">
        <v>18586.386999999999</v>
      </c>
      <c r="AD99" s="8">
        <v>0</v>
      </c>
      <c r="AE99" s="8">
        <v>0</v>
      </c>
      <c r="AF99" s="8">
        <v>0</v>
      </c>
      <c r="AG99" s="1" t="s">
        <v>118</v>
      </c>
      <c r="AH99" s="1" t="s">
        <v>316</v>
      </c>
      <c r="AI99" s="1">
        <v>2</v>
      </c>
      <c r="AJ99" s="3">
        <v>45852</v>
      </c>
      <c r="AK99" s="3">
        <v>0</v>
      </c>
      <c r="AL99" s="3">
        <v>0</v>
      </c>
      <c r="AM99" s="3">
        <v>0</v>
      </c>
      <c r="AN99" s="3">
        <v>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1268.5209127499998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0</v>
      </c>
      <c r="AC100" s="8">
        <v>16554.45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1129.8412125</v>
      </c>
    </row>
    <row r="101" spans="1:56" ht="27.75" customHeight="1" x14ac:dyDescent="0.45">
      <c r="A101" s="3">
        <v>45842</v>
      </c>
      <c r="B101" s="14" t="s">
        <v>456</v>
      </c>
      <c r="C101" s="9" t="s">
        <v>221</v>
      </c>
      <c r="D101" s="13" t="s">
        <v>321</v>
      </c>
      <c r="E101" s="9">
        <v>21</v>
      </c>
      <c r="F101" s="9">
        <v>34</v>
      </c>
      <c r="G101" s="9" t="s">
        <v>60</v>
      </c>
      <c r="H101" s="9">
        <v>0</v>
      </c>
      <c r="I101" s="9">
        <v>60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36</v>
      </c>
      <c r="O101" s="9">
        <v>40</v>
      </c>
      <c r="P101" s="10">
        <v>195.39367372799995</v>
      </c>
      <c r="Q101" s="10">
        <v>0</v>
      </c>
      <c r="R101" s="10">
        <v>195.39367372799995</v>
      </c>
      <c r="S101" s="9" t="s">
        <v>71</v>
      </c>
      <c r="T101" s="12">
        <v>45852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134</v>
      </c>
      <c r="AA101" s="8">
        <v>9918.7000000000007</v>
      </c>
      <c r="AB101" s="8">
        <v>9918.7000000000007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72</v>
      </c>
      <c r="AI101" s="1">
        <v>3</v>
      </c>
      <c r="AJ101" s="3">
        <v>45852</v>
      </c>
      <c r="AK101" s="3">
        <v>0</v>
      </c>
      <c r="AL101" s="3">
        <v>45842</v>
      </c>
      <c r="AM101" s="3">
        <v>45849</v>
      </c>
      <c r="AN101" s="3">
        <v>45850</v>
      </c>
      <c r="AO101" s="3">
        <v>45850</v>
      </c>
      <c r="AP101" s="3">
        <v>45847</v>
      </c>
      <c r="AQ101" s="3">
        <v>45851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67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134</v>
      </c>
      <c r="AA102" s="8">
        <v>53953.536999999997</v>
      </c>
      <c r="AB102" s="8">
        <v>18812.7</v>
      </c>
      <c r="AC102" s="8">
        <v>35140.837</v>
      </c>
      <c r="AD102" s="8">
        <v>0</v>
      </c>
      <c r="AE102" s="8">
        <v>0</v>
      </c>
      <c r="AF102" s="8" t="s">
        <v>58</v>
      </c>
      <c r="AG102" s="1" t="s">
        <v>118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45841</v>
      </c>
      <c r="B103" s="14" t="s">
        <v>457</v>
      </c>
      <c r="C103" s="9" t="s">
        <v>441</v>
      </c>
      <c r="D103" s="13" t="s">
        <v>442</v>
      </c>
      <c r="E103" s="9">
        <v>21</v>
      </c>
      <c r="F103" s="9">
        <v>34</v>
      </c>
      <c r="G103" s="9" t="s">
        <v>60</v>
      </c>
      <c r="H103" s="9">
        <v>0</v>
      </c>
      <c r="I103" s="9">
        <v>76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45847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443</v>
      </c>
      <c r="AA103" s="8">
        <v>5951.22</v>
      </c>
      <c r="AB103" s="8">
        <v>5951.22</v>
      </c>
      <c r="AC103" s="8">
        <v>0</v>
      </c>
      <c r="AD103" s="8">
        <v>0</v>
      </c>
      <c r="AE103" s="8">
        <v>0</v>
      </c>
      <c r="AF103" s="8">
        <v>0</v>
      </c>
      <c r="AG103" s="1" t="s">
        <v>120</v>
      </c>
      <c r="AH103" s="1" t="s">
        <v>74</v>
      </c>
      <c r="AI103" s="1">
        <v>2</v>
      </c>
      <c r="AJ103" s="3">
        <v>45847</v>
      </c>
      <c r="AK103" s="3">
        <v>0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83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443</v>
      </c>
      <c r="AA104" s="8">
        <v>5951.22</v>
      </c>
      <c r="AB104" s="8">
        <v>5951.22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118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444</v>
      </c>
      <c r="BD104" s="56">
        <v>0</v>
      </c>
    </row>
    <row r="105" spans="1:56" ht="27.75" customHeight="1" x14ac:dyDescent="0.45">
      <c r="A105" s="3">
        <v>45839</v>
      </c>
      <c r="B105" s="14" t="s">
        <v>436</v>
      </c>
      <c r="C105" s="9" t="s">
        <v>110</v>
      </c>
      <c r="D105" s="13" t="s">
        <v>423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0.260524898304</v>
      </c>
      <c r="Q105" s="10">
        <v>0</v>
      </c>
      <c r="R105" s="10">
        <v>0.260524898304</v>
      </c>
      <c r="S105" s="9" t="s">
        <v>67</v>
      </c>
      <c r="T105" s="12">
        <v>45845</v>
      </c>
      <c r="U105" s="11">
        <v>5000</v>
      </c>
      <c r="V105" s="10">
        <v>4988</v>
      </c>
      <c r="W105" s="10">
        <v>12</v>
      </c>
      <c r="X105" s="10">
        <v>5400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45845</v>
      </c>
      <c r="AK105" s="3">
        <v>45841</v>
      </c>
      <c r="AL105" s="3">
        <v>45835</v>
      </c>
      <c r="AM105" s="3">
        <v>45842</v>
      </c>
      <c r="AN105" s="3">
        <v>45843</v>
      </c>
      <c r="AO105" s="3">
        <v>45843</v>
      </c>
      <c r="AP105" s="3">
        <v>45840</v>
      </c>
      <c r="AQ105" s="3">
        <v>45844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45826</v>
      </c>
      <c r="B106" s="14" t="s">
        <v>367</v>
      </c>
      <c r="C106" s="9" t="s">
        <v>110</v>
      </c>
      <c r="D106" s="13" t="s">
        <v>368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57.250346402303983</v>
      </c>
      <c r="Q106" s="10">
        <v>0</v>
      </c>
      <c r="R106" s="10">
        <v>57.250346402303983</v>
      </c>
      <c r="S106" s="9" t="s">
        <v>67</v>
      </c>
      <c r="T106" s="12">
        <v>45845</v>
      </c>
      <c r="U106" s="11">
        <v>3000</v>
      </c>
      <c r="V106" s="10">
        <v>363</v>
      </c>
      <c r="W106" s="10">
        <v>2637</v>
      </c>
      <c r="X106" s="10">
        <v>3500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45845</v>
      </c>
      <c r="AK106" s="3">
        <v>45841</v>
      </c>
      <c r="AL106" s="3">
        <v>45835</v>
      </c>
      <c r="AM106" s="3">
        <v>45842</v>
      </c>
      <c r="AN106" s="3">
        <v>45843</v>
      </c>
      <c r="AO106" s="3">
        <v>45843</v>
      </c>
      <c r="AP106" s="3">
        <v>45840</v>
      </c>
      <c r="AQ106" s="3">
        <v>45844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469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11.506516341759998</v>
      </c>
      <c r="Q107" s="10">
        <v>0</v>
      </c>
      <c r="R107" s="10">
        <v>11.506516341759998</v>
      </c>
      <c r="S107" s="9" t="s">
        <v>67</v>
      </c>
      <c r="T107" s="12">
        <v>45847</v>
      </c>
      <c r="U107" s="11">
        <v>1000</v>
      </c>
      <c r="V107" s="10">
        <v>470</v>
      </c>
      <c r="W107" s="10">
        <v>530</v>
      </c>
      <c r="X107" s="10">
        <v>8250</v>
      </c>
      <c r="Y107" s="10">
        <v>0</v>
      </c>
      <c r="Z107" s="9" t="s">
        <v>123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45847</v>
      </c>
      <c r="AK107" s="3">
        <v>45843</v>
      </c>
      <c r="AL107" s="3">
        <v>45837</v>
      </c>
      <c r="AM107" s="3">
        <v>45844</v>
      </c>
      <c r="AN107" s="3">
        <v>45845</v>
      </c>
      <c r="AO107" s="3">
        <v>45845</v>
      </c>
      <c r="AP107" s="3">
        <v>45842</v>
      </c>
      <c r="AQ107" s="3">
        <v>45846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45833</v>
      </c>
      <c r="B108" s="14" t="s">
        <v>411</v>
      </c>
      <c r="C108" s="9" t="s">
        <v>179</v>
      </c>
      <c r="D108" s="13" t="s">
        <v>338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45850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123</v>
      </c>
      <c r="AA108" s="8">
        <v>10756.900000000001</v>
      </c>
      <c r="AB108" s="8">
        <v>10756.900000000001</v>
      </c>
      <c r="AC108" s="8">
        <v>0</v>
      </c>
      <c r="AD108" s="8">
        <v>10756.900000000001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45850</v>
      </c>
      <c r="AK108" s="3">
        <v>45846</v>
      </c>
      <c r="AL108" s="3">
        <v>45840</v>
      </c>
      <c r="AM108" s="3">
        <v>45847</v>
      </c>
      <c r="AN108" s="3">
        <v>45848</v>
      </c>
      <c r="AO108" s="3">
        <v>45848</v>
      </c>
      <c r="AP108" s="3">
        <v>45845</v>
      </c>
      <c r="AQ108" s="3">
        <v>45849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447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97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45850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5378.4500000000007</v>
      </c>
      <c r="AC109" s="8">
        <v>0</v>
      </c>
      <c r="AD109" s="8">
        <v>0</v>
      </c>
      <c r="AE109" s="8">
        <v>5378.4500000000007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45850</v>
      </c>
      <c r="AK109" s="3">
        <v>45846</v>
      </c>
      <c r="AL109" s="3">
        <v>45840</v>
      </c>
      <c r="AM109" s="3">
        <v>45847</v>
      </c>
      <c r="AN109" s="3">
        <v>45848</v>
      </c>
      <c r="AO109" s="3">
        <v>45848</v>
      </c>
      <c r="AP109" s="3">
        <v>45845</v>
      </c>
      <c r="AQ109" s="3">
        <v>45849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45841</v>
      </c>
      <c r="B110" s="14" t="s">
        <v>445</v>
      </c>
      <c r="C110" s="9" t="s">
        <v>446</v>
      </c>
      <c r="D110" s="13" t="s">
        <v>448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97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45850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123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5378.4500000000007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45850</v>
      </c>
      <c r="AK110" s="3">
        <v>45846</v>
      </c>
      <c r="AL110" s="3">
        <v>45840</v>
      </c>
      <c r="AM110" s="3">
        <v>45847</v>
      </c>
      <c r="AN110" s="3">
        <v>45848</v>
      </c>
      <c r="AO110" s="3">
        <v>45848</v>
      </c>
      <c r="AP110" s="3">
        <v>45845</v>
      </c>
      <c r="AQ110" s="3">
        <v>45849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300000</v>
      </c>
      <c r="V111" s="10">
        <v>0</v>
      </c>
      <c r="W111" s="10">
        <v>300000</v>
      </c>
      <c r="X111" s="10">
        <v>0</v>
      </c>
      <c r="Y111" s="10">
        <v>315000</v>
      </c>
      <c r="Z111" s="9" t="s">
        <v>123</v>
      </c>
      <c r="AA111" s="8">
        <v>322707</v>
      </c>
      <c r="AB111" s="8">
        <v>48000</v>
      </c>
      <c r="AC111" s="8">
        <v>274707</v>
      </c>
      <c r="AD111" s="8">
        <v>0</v>
      </c>
      <c r="AE111" s="8">
        <v>322707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19755.096059999996</v>
      </c>
    </row>
    <row r="112" spans="1:56" ht="27.75" customHeight="1" x14ac:dyDescent="0.45">
      <c r="A112" s="3" t="s">
        <v>139</v>
      </c>
      <c r="B112" s="14" t="s">
        <v>139</v>
      </c>
      <c r="C112" s="9" t="s">
        <v>424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434.20816383999994</v>
      </c>
      <c r="Q112" s="10">
        <v>0</v>
      </c>
      <c r="R112" s="10">
        <v>434.20816383999994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123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45867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1547.1290706666666</v>
      </c>
    </row>
    <row r="113" spans="1:56" ht="27.75" customHeight="1" x14ac:dyDescent="0.45">
      <c r="A113" s="3" t="s">
        <v>139</v>
      </c>
      <c r="B113" s="14" t="s">
        <v>139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123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10756.900000000001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45826</v>
      </c>
      <c r="B114" s="14" t="s">
        <v>366</v>
      </c>
      <c r="C114" s="9" t="s">
        <v>110</v>
      </c>
      <c r="D114" s="13" t="s">
        <v>317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151.97285734399995</v>
      </c>
      <c r="Q114" s="10">
        <v>0</v>
      </c>
      <c r="R114" s="10">
        <v>151.97285734399995</v>
      </c>
      <c r="S114" s="9" t="s">
        <v>67</v>
      </c>
      <c r="T114" s="12" t="s">
        <v>63</v>
      </c>
      <c r="U114" s="11">
        <v>7000</v>
      </c>
      <c r="V114" s="10">
        <v>0</v>
      </c>
      <c r="W114" s="10">
        <v>7000</v>
      </c>
      <c r="X114" s="10">
        <v>0</v>
      </c>
      <c r="Y114" s="10">
        <v>7350</v>
      </c>
      <c r="Z114" s="9" t="s">
        <v>123</v>
      </c>
      <c r="AA114" s="8">
        <v>7725.41</v>
      </c>
      <c r="AB114" s="8">
        <v>7725.41</v>
      </c>
      <c r="AC114" s="8">
        <v>0</v>
      </c>
      <c r="AD114" s="8">
        <v>0</v>
      </c>
      <c r="AE114" s="8">
        <v>7725.41</v>
      </c>
      <c r="AF114" s="8">
        <v>0</v>
      </c>
      <c r="AG114" s="1" t="s">
        <v>119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45628</v>
      </c>
      <c r="B115" s="14" t="s">
        <v>215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8000</v>
      </c>
      <c r="V115" s="10">
        <v>0</v>
      </c>
      <c r="W115" s="10">
        <v>8000</v>
      </c>
      <c r="X115" s="10">
        <v>0</v>
      </c>
      <c r="Y115" s="10">
        <v>8400</v>
      </c>
      <c r="Z115" s="9" t="s">
        <v>123</v>
      </c>
      <c r="AA115" s="8">
        <v>8605.52</v>
      </c>
      <c r="AB115" s="8">
        <v>8605.52</v>
      </c>
      <c r="AC115" s="8">
        <v>0</v>
      </c>
      <c r="AD115" s="8">
        <v>0</v>
      </c>
      <c r="AE115" s="8">
        <v>8605.52</v>
      </c>
      <c r="AF115" s="8">
        <v>0</v>
      </c>
      <c r="AG115" s="1" t="s">
        <v>61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239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218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0</v>
      </c>
      <c r="AC116" s="8">
        <v>17211.04</v>
      </c>
      <c r="AD116" s="8">
        <v>0</v>
      </c>
      <c r="AE116" s="8">
        <v>17211.04</v>
      </c>
      <c r="AF116" s="8">
        <v>0</v>
      </c>
      <c r="AG116" s="1" t="s">
        <v>119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240</v>
      </c>
      <c r="AZ116" s="2">
        <v>0</v>
      </c>
      <c r="BA116" s="2">
        <v>0</v>
      </c>
      <c r="BB116" s="2">
        <v>0</v>
      </c>
      <c r="BC116" s="1" t="s">
        <v>124</v>
      </c>
      <c r="BD116" s="56">
        <v>1237.7032565333332</v>
      </c>
    </row>
    <row r="117" spans="1:56" ht="27.75" customHeight="1" x14ac:dyDescent="0.45">
      <c r="A117" s="3">
        <v>45631</v>
      </c>
      <c r="B117" s="14" t="s">
        <v>219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0</v>
      </c>
      <c r="AC117" s="8">
        <v>17211.04</v>
      </c>
      <c r="AD117" s="8">
        <v>0</v>
      </c>
      <c r="AE117" s="8">
        <v>17211.04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241</v>
      </c>
      <c r="AZ117" s="2">
        <v>0</v>
      </c>
      <c r="BA117" s="2">
        <v>0</v>
      </c>
      <c r="BB117" s="2">
        <v>0</v>
      </c>
      <c r="BC117" s="1" t="s">
        <v>124</v>
      </c>
      <c r="BD117" s="56">
        <v>1237.7032565333332</v>
      </c>
    </row>
    <row r="118" spans="1:56" ht="27.75" customHeight="1" x14ac:dyDescent="0.45">
      <c r="A118" s="3" t="s">
        <v>139</v>
      </c>
      <c r="B118" s="14" t="s">
        <v>139</v>
      </c>
      <c r="C118" s="9" t="s">
        <v>110</v>
      </c>
      <c r="D118" s="13" t="s">
        <v>61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42</v>
      </c>
      <c r="O118" s="9">
        <v>40</v>
      </c>
      <c r="P118" s="10">
        <v>227.95928601599996</v>
      </c>
      <c r="Q118" s="10">
        <v>0</v>
      </c>
      <c r="R118" s="10">
        <v>227.95928601599996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123</v>
      </c>
      <c r="AA118" s="8">
        <v>11595.1</v>
      </c>
      <c r="AB118" s="8">
        <v>0</v>
      </c>
      <c r="AC118" s="8">
        <v>11595.1</v>
      </c>
      <c r="AD118" s="8">
        <v>0</v>
      </c>
      <c r="AE118" s="8">
        <v>11595.1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833.84229133333326</v>
      </c>
    </row>
    <row r="119" spans="1:56" ht="27.75" customHeight="1" x14ac:dyDescent="0.45">
      <c r="A119" s="3">
        <v>45066</v>
      </c>
      <c r="B119" s="14" t="s">
        <v>130</v>
      </c>
      <c r="C119" s="9" t="s">
        <v>79</v>
      </c>
      <c r="D119" s="13" t="s">
        <v>129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123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396.82856033333326</v>
      </c>
    </row>
    <row r="120" spans="1:56" ht="27.75" customHeight="1" x14ac:dyDescent="0.45">
      <c r="A120" s="3">
        <v>45800</v>
      </c>
      <c r="B120" s="14" t="s">
        <v>319</v>
      </c>
      <c r="C120" s="9" t="s">
        <v>79</v>
      </c>
      <c r="D120" s="13" t="s">
        <v>320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5.2886554355711999</v>
      </c>
      <c r="Q120" s="10">
        <v>0</v>
      </c>
      <c r="R120" s="10">
        <v>5.2886554355711999</v>
      </c>
      <c r="S120" s="9" t="s">
        <v>67</v>
      </c>
      <c r="T120" s="12" t="s">
        <v>136</v>
      </c>
      <c r="U120" s="11">
        <v>5000</v>
      </c>
      <c r="V120" s="10">
        <v>4768</v>
      </c>
      <c r="W120" s="10">
        <v>232</v>
      </c>
      <c r="X120" s="10">
        <v>10420</v>
      </c>
      <c r="Y120" s="10">
        <v>0</v>
      </c>
      <c r="Z120" s="9" t="s">
        <v>123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 t="s">
        <v>136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123</v>
      </c>
      <c r="AA121" s="8">
        <v>444357.75999999995</v>
      </c>
      <c r="AB121" s="8">
        <v>96601.630000000019</v>
      </c>
      <c r="AC121" s="8">
        <v>347756.12999999995</v>
      </c>
      <c r="AD121" s="8">
        <v>10756.900000000001</v>
      </c>
      <c r="AE121" s="8">
        <v>433600.86</v>
      </c>
      <c r="AF121" s="8" t="s">
        <v>58</v>
      </c>
      <c r="AG121" s="1" t="s">
        <v>118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118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8.2154158272000011</v>
      </c>
      <c r="Q124" s="10">
        <v>0</v>
      </c>
      <c r="R124" s="10">
        <v>8.2154158272000011</v>
      </c>
      <c r="S124" s="9" t="s">
        <v>127</v>
      </c>
      <c r="T124" s="12">
        <v>45847</v>
      </c>
      <c r="U124" s="11">
        <v>6500</v>
      </c>
      <c r="V124" s="10">
        <v>6200</v>
      </c>
      <c r="W124" s="10">
        <v>300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45847</v>
      </c>
      <c r="AK124" s="3">
        <v>0</v>
      </c>
      <c r="AL124" s="3">
        <v>45837</v>
      </c>
      <c r="AM124" s="3">
        <v>45844</v>
      </c>
      <c r="AN124" s="3">
        <v>45845</v>
      </c>
      <c r="AO124" s="3">
        <v>45845</v>
      </c>
      <c r="AP124" s="3">
        <v>45842</v>
      </c>
      <c r="AQ124" s="3">
        <v>45846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12.432662618496</v>
      </c>
      <c r="Q125" s="10">
        <v>0</v>
      </c>
      <c r="R125" s="10">
        <v>12.432662618496</v>
      </c>
      <c r="S125" s="9" t="s">
        <v>127</v>
      </c>
      <c r="T125" s="12">
        <v>45847</v>
      </c>
      <c r="U125" s="11">
        <v>6500</v>
      </c>
      <c r="V125" s="10">
        <v>6046</v>
      </c>
      <c r="W125" s="10">
        <v>454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45847</v>
      </c>
      <c r="AK125" s="3">
        <v>0</v>
      </c>
      <c r="AL125" s="3">
        <v>45837</v>
      </c>
      <c r="AM125" s="3">
        <v>45844</v>
      </c>
      <c r="AN125" s="3">
        <v>45845</v>
      </c>
      <c r="AO125" s="3">
        <v>45845</v>
      </c>
      <c r="AP125" s="3">
        <v>45842</v>
      </c>
      <c r="AQ125" s="3">
        <v>45846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45847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45847</v>
      </c>
      <c r="AK126" s="3">
        <v>45843</v>
      </c>
      <c r="AL126" s="3">
        <v>45837</v>
      </c>
      <c r="AM126" s="3">
        <v>45844</v>
      </c>
      <c r="AN126" s="3">
        <v>45845</v>
      </c>
      <c r="AO126" s="3">
        <v>45845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55560</v>
      </c>
      <c r="Y136" s="10">
        <v>0</v>
      </c>
      <c r="Z136" s="9" t="s">
        <v>100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45852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45852</v>
      </c>
      <c r="AK137" s="3">
        <v>0</v>
      </c>
      <c r="AL137" s="3">
        <v>45842</v>
      </c>
      <c r="AM137" s="3">
        <v>45849</v>
      </c>
      <c r="AN137" s="3">
        <v>45850</v>
      </c>
      <c r="AO137" s="3">
        <v>45850</v>
      </c>
      <c r="AP137" s="3">
        <v>45847</v>
      </c>
      <c r="AQ137" s="3">
        <v>45851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45860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118</v>
      </c>
      <c r="AH138" s="1" t="s">
        <v>72</v>
      </c>
      <c r="AI138" s="1">
        <v>3</v>
      </c>
      <c r="AJ138" s="3">
        <v>45860</v>
      </c>
      <c r="AK138" s="3">
        <v>0</v>
      </c>
      <c r="AL138" s="3">
        <v>45850</v>
      </c>
      <c r="AM138" s="3">
        <v>45857</v>
      </c>
      <c r="AN138" s="3">
        <v>45858</v>
      </c>
      <c r="AO138" s="3">
        <v>45858</v>
      </c>
      <c r="AP138" s="3">
        <v>45855</v>
      </c>
      <c r="AQ138" s="3">
        <v>45859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45858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1394.6549118458877</v>
      </c>
      <c r="Q139" s="10">
        <v>0</v>
      </c>
      <c r="R139" s="10">
        <v>1394.6549118458877</v>
      </c>
      <c r="S139" s="9" t="s">
        <v>99</v>
      </c>
      <c r="T139" s="12">
        <v>45868</v>
      </c>
      <c r="U139" s="11">
        <v>45000</v>
      </c>
      <c r="V139" s="10">
        <v>2174</v>
      </c>
      <c r="W139" s="10">
        <v>42826</v>
      </c>
      <c r="X139" s="10">
        <v>0</v>
      </c>
      <c r="Y139" s="10">
        <v>44967.3</v>
      </c>
      <c r="Z139" s="9" t="s">
        <v>100</v>
      </c>
      <c r="AA139" s="8">
        <v>46067.499940000009</v>
      </c>
      <c r="AB139" s="8">
        <v>46067.499940000009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45868</v>
      </c>
      <c r="AK139" s="3">
        <v>0</v>
      </c>
      <c r="AL139" s="3">
        <v>45858</v>
      </c>
      <c r="AM139" s="3">
        <v>45865</v>
      </c>
      <c r="AN139" s="3">
        <v>45866</v>
      </c>
      <c r="AO139" s="3">
        <v>45866</v>
      </c>
      <c r="AP139" s="3">
        <v>45863</v>
      </c>
      <c r="AQ139" s="3">
        <v>45867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14370.488259224063</v>
      </c>
      <c r="Q140" s="10">
        <v>0</v>
      </c>
      <c r="R140" s="10">
        <v>14370.488259224063</v>
      </c>
      <c r="S140" s="9" t="s">
        <v>99</v>
      </c>
      <c r="T140" s="12" t="s">
        <v>63</v>
      </c>
      <c r="U140" s="11">
        <v>441278</v>
      </c>
      <c r="V140" s="10">
        <v>0</v>
      </c>
      <c r="W140" s="10">
        <v>441278</v>
      </c>
      <c r="X140" s="10">
        <v>0</v>
      </c>
      <c r="Y140" s="10">
        <v>463341.9</v>
      </c>
      <c r="Z140" s="9" t="s">
        <v>100</v>
      </c>
      <c r="AA140" s="8">
        <v>474678.33182000002</v>
      </c>
      <c r="AB140" s="8">
        <v>0</v>
      </c>
      <c r="AC140" s="8">
        <v>474678.33182000002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60808.008422340245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37</v>
      </c>
      <c r="G141" s="9">
        <v>0</v>
      </c>
      <c r="H141" s="9">
        <v>0</v>
      </c>
      <c r="I141" s="9">
        <v>128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100</v>
      </c>
      <c r="AA141" s="8">
        <v>520745.83176000003</v>
      </c>
      <c r="AB141" s="8">
        <v>46067.499940000009</v>
      </c>
      <c r="AC141" s="8">
        <v>474678.33182000002</v>
      </c>
      <c r="AD141" s="8">
        <v>0</v>
      </c>
      <c r="AE141" s="8">
        <v>0</v>
      </c>
      <c r="AF141" s="8" t="s">
        <v>58</v>
      </c>
      <c r="AG141" s="1" t="s">
        <v>118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190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196</v>
      </c>
      <c r="T142" s="12">
        <v>45868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767.03992444444452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0</v>
      </c>
    </row>
    <row r="144" spans="1:56" ht="27.75" customHeight="1" x14ac:dyDescent="0.45">
      <c r="A144" s="3">
        <v>45839</v>
      </c>
      <c r="B144" s="14" t="s">
        <v>132</v>
      </c>
      <c r="C144" s="9" t="s">
        <v>143</v>
      </c>
      <c r="D144" s="13" t="s">
        <v>59</v>
      </c>
      <c r="E144" s="9">
        <v>26</v>
      </c>
      <c r="F144" s="9">
        <v>39</v>
      </c>
      <c r="G144" s="9" t="s">
        <v>60</v>
      </c>
      <c r="H144" s="9">
        <v>0</v>
      </c>
      <c r="I144" s="9">
        <v>93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127</v>
      </c>
      <c r="T144" s="12">
        <v>45847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154</v>
      </c>
      <c r="AA144" s="8">
        <v>11315.7</v>
      </c>
      <c r="AB144" s="8">
        <v>6000</v>
      </c>
      <c r="AC144" s="8">
        <v>5315.7000000000007</v>
      </c>
      <c r="AD144" s="8">
        <v>0</v>
      </c>
      <c r="AE144" s="8">
        <v>0</v>
      </c>
      <c r="AF144" s="8">
        <v>0</v>
      </c>
      <c r="AG144" s="1" t="s">
        <v>118</v>
      </c>
      <c r="AH144" s="1" t="s">
        <v>77</v>
      </c>
      <c r="AI144" s="1">
        <v>1</v>
      </c>
      <c r="AJ144" s="3">
        <v>45847</v>
      </c>
      <c r="AK144" s="3">
        <v>0</v>
      </c>
      <c r="AL144" s="3">
        <v>0</v>
      </c>
      <c r="AM144" s="3">
        <v>0</v>
      </c>
      <c r="AN144" s="3">
        <v>0</v>
      </c>
      <c r="AO144" s="3">
        <v>45846</v>
      </c>
      <c r="AP144" s="3">
        <v>45842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477.5861133333334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100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6000</v>
      </c>
      <c r="AC145" s="8">
        <v>5315.7000000000007</v>
      </c>
      <c r="AD145" s="8">
        <v>0</v>
      </c>
      <c r="AE145" s="8">
        <v>0</v>
      </c>
      <c r="AF145" s="8" t="s">
        <v>58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45">
      <c r="A146" s="3" t="s">
        <v>139</v>
      </c>
      <c r="B146" s="14" t="s">
        <v>139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>
        <v>0</v>
      </c>
      <c r="I146" s="9">
        <v>116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45868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212</v>
      </c>
      <c r="AA146" s="8">
        <v>12433.3</v>
      </c>
      <c r="AB146" s="8">
        <v>12433.3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77</v>
      </c>
      <c r="AI146" s="1">
        <v>1</v>
      </c>
      <c r="AJ146" s="3">
        <v>45868</v>
      </c>
      <c r="AK146" s="3">
        <v>0</v>
      </c>
      <c r="AL146" s="3">
        <v>0</v>
      </c>
      <c r="AM146" s="3">
        <v>0</v>
      </c>
      <c r="AN146" s="3">
        <v>0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116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213</v>
      </c>
      <c r="BD147" s="56">
        <v>0</v>
      </c>
    </row>
    <row r="148" spans="1:56" ht="27.75" customHeight="1" x14ac:dyDescent="0.45">
      <c r="A148" s="3">
        <v>45835</v>
      </c>
      <c r="B148" s="14" t="s">
        <v>414</v>
      </c>
      <c r="C148" s="9" t="s">
        <v>112</v>
      </c>
      <c r="D148" s="13" t="s">
        <v>229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45846</v>
      </c>
      <c r="U148" s="11">
        <v>10000</v>
      </c>
      <c r="V148" s="10">
        <v>7386</v>
      </c>
      <c r="W148" s="10">
        <v>2614</v>
      </c>
      <c r="X148" s="10">
        <v>12414</v>
      </c>
      <c r="Y148" s="10">
        <v>0</v>
      </c>
      <c r="Z148" s="9" t="s">
        <v>88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234</v>
      </c>
      <c r="AG148" s="1" t="s">
        <v>119</v>
      </c>
      <c r="AH148" s="1" t="s">
        <v>75</v>
      </c>
      <c r="AI148" s="1">
        <v>4</v>
      </c>
      <c r="AJ148" s="3">
        <v>45846</v>
      </c>
      <c r="AK148" s="3">
        <v>45842</v>
      </c>
      <c r="AL148" s="3">
        <v>45835</v>
      </c>
      <c r="AM148" s="3">
        <v>45843</v>
      </c>
      <c r="AN148" s="3">
        <v>45844</v>
      </c>
      <c r="AO148" s="3">
        <v>45845</v>
      </c>
      <c r="AP148" s="3">
        <v>45841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45832</v>
      </c>
      <c r="B149" s="14" t="s">
        <v>384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45847</v>
      </c>
      <c r="U149" s="11">
        <v>15000</v>
      </c>
      <c r="V149" s="10">
        <v>0</v>
      </c>
      <c r="W149" s="10">
        <v>15000</v>
      </c>
      <c r="X149" s="10">
        <v>0</v>
      </c>
      <c r="Y149" s="10">
        <v>0</v>
      </c>
      <c r="Z149" s="9" t="s">
        <v>88</v>
      </c>
      <c r="AA149" s="8">
        <v>18649.949999999997</v>
      </c>
      <c r="AB149" s="8">
        <v>9788</v>
      </c>
      <c r="AC149" s="8">
        <v>8861.9499999999971</v>
      </c>
      <c r="AD149" s="8">
        <v>0</v>
      </c>
      <c r="AE149" s="8">
        <v>18649.949999999997</v>
      </c>
      <c r="AF149" s="8" t="s">
        <v>234</v>
      </c>
      <c r="AG149" s="1" t="s">
        <v>119</v>
      </c>
      <c r="AH149" s="1" t="s">
        <v>153</v>
      </c>
      <c r="AI149" s="1">
        <v>2</v>
      </c>
      <c r="AJ149" s="3">
        <v>45847</v>
      </c>
      <c r="AK149" s="3">
        <v>45845</v>
      </c>
      <c r="AL149" s="3">
        <v>0</v>
      </c>
      <c r="AM149" s="3">
        <v>0</v>
      </c>
      <c r="AN149" s="3">
        <v>0</v>
      </c>
      <c r="AO149" s="3">
        <v>45846</v>
      </c>
      <c r="AP149" s="3">
        <v>45842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150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913.96244333333311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45852</v>
      </c>
      <c r="U150" s="11">
        <v>1500</v>
      </c>
      <c r="V150" s="10">
        <v>0</v>
      </c>
      <c r="W150" s="10">
        <v>1500</v>
      </c>
      <c r="X150" s="10">
        <v>0</v>
      </c>
      <c r="Y150" s="10">
        <v>1575</v>
      </c>
      <c r="Z150" s="9" t="s">
        <v>88</v>
      </c>
      <c r="AA150" s="8">
        <v>1864.9949999999999</v>
      </c>
      <c r="AB150" s="8">
        <v>0</v>
      </c>
      <c r="AC150" s="8">
        <v>1864.9949999999999</v>
      </c>
      <c r="AD150" s="8">
        <v>0</v>
      </c>
      <c r="AE150" s="8">
        <v>1864.9949999999999</v>
      </c>
      <c r="AF150" s="8">
        <v>0</v>
      </c>
      <c r="AG150" s="1" t="s">
        <v>61</v>
      </c>
      <c r="AH150" s="1" t="s">
        <v>75</v>
      </c>
      <c r="AI150" s="1">
        <v>4</v>
      </c>
      <c r="AJ150" s="3">
        <v>45852</v>
      </c>
      <c r="AK150" s="3">
        <v>45848</v>
      </c>
      <c r="AL150" s="3">
        <v>45841</v>
      </c>
      <c r="AM150" s="3">
        <v>45849</v>
      </c>
      <c r="AN150" s="3">
        <v>45850</v>
      </c>
      <c r="AO150" s="3">
        <v>45851</v>
      </c>
      <c r="AP150" s="3">
        <v>45847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192.34315100000001</v>
      </c>
    </row>
    <row r="151" spans="1:56" ht="27.75" customHeight="1" x14ac:dyDescent="0.45">
      <c r="A151" s="3">
        <v>45832</v>
      </c>
      <c r="B151" s="14" t="s">
        <v>385</v>
      </c>
      <c r="C151" s="9" t="s">
        <v>112</v>
      </c>
      <c r="D151" s="13" t="s">
        <v>151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45852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88</v>
      </c>
      <c r="AA151" s="8">
        <v>37299.899999999994</v>
      </c>
      <c r="AB151" s="8">
        <v>0</v>
      </c>
      <c r="AC151" s="8">
        <v>37299.899999999994</v>
      </c>
      <c r="AD151" s="8">
        <v>0</v>
      </c>
      <c r="AE151" s="8">
        <v>37299.899999999994</v>
      </c>
      <c r="AF151" s="8">
        <v>0</v>
      </c>
      <c r="AG151" s="1" t="s">
        <v>119</v>
      </c>
      <c r="AH151" s="1" t="s">
        <v>75</v>
      </c>
      <c r="AI151" s="1">
        <v>4</v>
      </c>
      <c r="AJ151" s="3">
        <v>45852</v>
      </c>
      <c r="AK151" s="3">
        <v>45848</v>
      </c>
      <c r="AL151" s="3">
        <v>45841</v>
      </c>
      <c r="AM151" s="3">
        <v>45849</v>
      </c>
      <c r="AN151" s="3">
        <v>45850</v>
      </c>
      <c r="AO151" s="3">
        <v>45851</v>
      </c>
      <c r="AP151" s="3">
        <v>45847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3846.8630200000002</v>
      </c>
    </row>
    <row r="152" spans="1:56" ht="27.75" customHeight="1" x14ac:dyDescent="0.45">
      <c r="A152" s="3">
        <v>45832</v>
      </c>
      <c r="B152" s="14" t="s">
        <v>386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118</v>
      </c>
      <c r="AH152" s="1" t="s">
        <v>75</v>
      </c>
      <c r="AI152" s="1">
        <v>4</v>
      </c>
      <c r="AJ152" s="3">
        <v>45863</v>
      </c>
      <c r="AK152" s="3">
        <v>45859</v>
      </c>
      <c r="AL152" s="3">
        <v>45852</v>
      </c>
      <c r="AM152" s="3">
        <v>45860</v>
      </c>
      <c r="AN152" s="3">
        <v>45861</v>
      </c>
      <c r="AO152" s="3">
        <v>45862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 t="s">
        <v>139</v>
      </c>
      <c r="B153" s="14" t="s">
        <v>139</v>
      </c>
      <c r="C153" s="9" t="s">
        <v>112</v>
      </c>
      <c r="D153" s="13" t="s">
        <v>61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45868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88</v>
      </c>
      <c r="AA153" s="8">
        <v>24866.6</v>
      </c>
      <c r="AB153" s="8">
        <v>0</v>
      </c>
      <c r="AC153" s="8">
        <v>24866.6</v>
      </c>
      <c r="AD153" s="8">
        <v>0</v>
      </c>
      <c r="AE153" s="8">
        <v>24866.6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45868</v>
      </c>
      <c r="AK153" s="3">
        <v>45864</v>
      </c>
      <c r="AL153" s="3">
        <v>45857</v>
      </c>
      <c r="AM153" s="3">
        <v>45865</v>
      </c>
      <c r="AN153" s="3">
        <v>45866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2564.5753466666665</v>
      </c>
    </row>
    <row r="154" spans="1:56" ht="27.75" customHeight="1" x14ac:dyDescent="0.45">
      <c r="A154" s="3">
        <v>45832</v>
      </c>
      <c r="B154" s="14" t="s">
        <v>387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121</v>
      </c>
      <c r="AH154" s="1" t="s">
        <v>75</v>
      </c>
      <c r="AI154" s="1">
        <v>4</v>
      </c>
      <c r="AJ154" s="3">
        <v>45883</v>
      </c>
      <c r="AK154" s="3">
        <v>45879</v>
      </c>
      <c r="AL154" s="3">
        <v>45872</v>
      </c>
      <c r="AM154" s="3">
        <v>45880</v>
      </c>
      <c r="AN154" s="3">
        <v>45881</v>
      </c>
      <c r="AO154" s="3">
        <v>45882</v>
      </c>
      <c r="AP154" s="3">
        <v>45878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120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88</v>
      </c>
      <c r="AA155" s="8">
        <v>144847.94499999998</v>
      </c>
      <c r="AB155" s="8">
        <v>9788</v>
      </c>
      <c r="AC155" s="8">
        <v>135059.94499999998</v>
      </c>
      <c r="AD155" s="8">
        <v>0</v>
      </c>
      <c r="AE155" s="8">
        <v>144847.94499999998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59</v>
      </c>
      <c r="E156" s="9">
        <v>28</v>
      </c>
      <c r="F156" s="9">
        <v>47</v>
      </c>
      <c r="G156" s="9" t="s">
        <v>60</v>
      </c>
      <c r="H156" s="9" t="s">
        <v>66</v>
      </c>
      <c r="I156" s="9">
        <v>180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5000</v>
      </c>
      <c r="V156" s="10">
        <v>0</v>
      </c>
      <c r="W156" s="10">
        <v>5000</v>
      </c>
      <c r="X156" s="10">
        <v>0</v>
      </c>
      <c r="Y156" s="10">
        <v>0</v>
      </c>
      <c r="Z156" s="9" t="s">
        <v>131</v>
      </c>
      <c r="AA156" s="8">
        <v>6775.4500000000007</v>
      </c>
      <c r="AB156" s="8">
        <v>6775.4500000000007</v>
      </c>
      <c r="AC156" s="8">
        <v>0</v>
      </c>
      <c r="AD156" s="8">
        <v>0</v>
      </c>
      <c r="AE156" s="8">
        <v>6775.4500000000007</v>
      </c>
      <c r="AF156" s="8">
        <v>0</v>
      </c>
      <c r="AG156" s="1" t="s">
        <v>118</v>
      </c>
      <c r="AH156" s="1" t="s">
        <v>153</v>
      </c>
      <c r="AI156" s="1">
        <v>2</v>
      </c>
      <c r="AJ156" s="3">
        <v>45868</v>
      </c>
      <c r="AK156" s="3">
        <v>45866</v>
      </c>
      <c r="AL156" s="3">
        <v>0</v>
      </c>
      <c r="AM156" s="3">
        <v>0</v>
      </c>
      <c r="AN156" s="3">
        <v>0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150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0</v>
      </c>
    </row>
    <row r="157" spans="1:56" ht="27.75" customHeight="1" x14ac:dyDescent="0.45">
      <c r="A157" s="3" t="s">
        <v>139</v>
      </c>
      <c r="B157" s="14" t="s">
        <v>139</v>
      </c>
      <c r="C157" s="9" t="s">
        <v>155</v>
      </c>
      <c r="D157" s="13" t="s">
        <v>156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45868</v>
      </c>
      <c r="U157" s="11">
        <v>50000</v>
      </c>
      <c r="V157" s="10">
        <v>0</v>
      </c>
      <c r="W157" s="10">
        <v>50000</v>
      </c>
      <c r="X157" s="10">
        <v>0</v>
      </c>
      <c r="Y157" s="10">
        <v>52500</v>
      </c>
      <c r="Z157" s="9" t="s">
        <v>131</v>
      </c>
      <c r="AA157" s="8">
        <v>59372.5</v>
      </c>
      <c r="AB157" s="8">
        <v>4500</v>
      </c>
      <c r="AC157" s="8">
        <v>54872.5</v>
      </c>
      <c r="AD157" s="8">
        <v>0</v>
      </c>
      <c r="AE157" s="8">
        <v>0</v>
      </c>
      <c r="AF157" s="8">
        <v>0</v>
      </c>
      <c r="AG157" s="1">
        <v>0</v>
      </c>
      <c r="AH157" s="1" t="s">
        <v>74</v>
      </c>
      <c r="AI157" s="1">
        <v>2</v>
      </c>
      <c r="AJ157" s="3">
        <v>45868</v>
      </c>
      <c r="AK157" s="3">
        <v>0</v>
      </c>
      <c r="AL157" s="3">
        <v>45859</v>
      </c>
      <c r="AM157" s="3">
        <v>45866</v>
      </c>
      <c r="AN157" s="3">
        <v>45867</v>
      </c>
      <c r="AO157" s="3">
        <v>45867</v>
      </c>
      <c r="AP157" s="3">
        <v>45863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6167.0593055555564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131</v>
      </c>
      <c r="AA158" s="8">
        <v>66147.95</v>
      </c>
      <c r="AB158" s="8">
        <v>11275.45</v>
      </c>
      <c r="AC158" s="8">
        <v>54872.5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157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10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3473-F672-4B18-8C68-0C23E37E6C52}">
  <sheetPr>
    <tabColor rgb="FFFFFF00"/>
  </sheetPr>
  <dimension ref="A1:BD154"/>
  <sheetViews>
    <sheetView zoomScale="80" zoomScaleNormal="80" workbookViewId="0">
      <selection activeCell="O15" sqref="O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45842</v>
      </c>
      <c r="E3" s="80" t="s">
        <v>52</v>
      </c>
      <c r="F3" s="80"/>
      <c r="G3" s="81">
        <v>11.55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323</v>
      </c>
      <c r="AG13" s="1" t="s">
        <v>122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42037.57404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14810</v>
      </c>
      <c r="Y16" s="10">
        <v>5449.5</v>
      </c>
      <c r="Z16" s="9" t="s">
        <v>176</v>
      </c>
      <c r="AA16" s="8">
        <v>4796.1594450000002</v>
      </c>
      <c r="AB16" s="8">
        <v>4796.1594450000002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4071</v>
      </c>
      <c r="AC17" s="8">
        <v>45382.8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3295.7997866666674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118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150211.73348499998</v>
      </c>
      <c r="AB20" s="8">
        <v>50904.733484999997</v>
      </c>
      <c r="AC20" s="8">
        <v>99307.000000000015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121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45842</v>
      </c>
      <c r="B22" s="14" t="s">
        <v>451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45842</v>
      </c>
      <c r="B23" s="14" t="s">
        <v>452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453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180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45842</v>
      </c>
      <c r="B24" s="14" t="s">
        <v>454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453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180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45868</v>
      </c>
      <c r="U25" s="11">
        <v>572000</v>
      </c>
      <c r="V25" s="10">
        <v>0</v>
      </c>
      <c r="W25" s="10">
        <v>572000</v>
      </c>
      <c r="X25" s="10">
        <v>0</v>
      </c>
      <c r="Y25" s="10">
        <v>600600</v>
      </c>
      <c r="Z25" s="9" t="s">
        <v>180</v>
      </c>
      <c r="AA25" s="8">
        <v>503422.92</v>
      </c>
      <c r="AB25" s="8">
        <v>27895</v>
      </c>
      <c r="AC25" s="8">
        <v>475527.92</v>
      </c>
      <c r="AD25" s="8">
        <v>0</v>
      </c>
      <c r="AE25" s="8">
        <v>0</v>
      </c>
      <c r="AF25" s="8">
        <v>0</v>
      </c>
      <c r="AG25" s="1" t="s">
        <v>118</v>
      </c>
      <c r="AH25" s="1" t="s">
        <v>74</v>
      </c>
      <c r="AI25" s="1">
        <v>2</v>
      </c>
      <c r="AJ25" s="3">
        <v>45868</v>
      </c>
      <c r="AK25" s="3">
        <v>0</v>
      </c>
      <c r="AL25" s="3">
        <v>45859</v>
      </c>
      <c r="AM25" s="3">
        <v>45866</v>
      </c>
      <c r="AN25" s="3">
        <v>45867</v>
      </c>
      <c r="AO25" s="3">
        <v>45867</v>
      </c>
      <c r="AP25" s="3">
        <v>45863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35818.876391822218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63</v>
      </c>
      <c r="J26" s="9" t="s">
        <v>78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180</v>
      </c>
      <c r="AA26" s="8">
        <v>538627.31999999995</v>
      </c>
      <c r="AB26" s="8">
        <v>63099.4</v>
      </c>
      <c r="AC26" s="8">
        <v>475527.92</v>
      </c>
      <c r="AD26" s="8">
        <v>0</v>
      </c>
      <c r="AE26" s="8">
        <v>0</v>
      </c>
      <c r="AF26" s="8" t="s">
        <v>58</v>
      </c>
      <c r="AG26" s="1" t="s">
        <v>119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182</v>
      </c>
      <c r="BD26" s="56">
        <v>0</v>
      </c>
    </row>
    <row r="27" spans="1:56" ht="27.75" customHeight="1" x14ac:dyDescent="0.45">
      <c r="A27" s="3" t="s">
        <v>139</v>
      </c>
      <c r="B27" s="14" t="s">
        <v>139</v>
      </c>
      <c r="C27" s="9" t="s">
        <v>419</v>
      </c>
      <c r="D27" s="13" t="s">
        <v>420</v>
      </c>
      <c r="E27" s="9">
        <v>19</v>
      </c>
      <c r="F27" s="9">
        <v>26</v>
      </c>
      <c r="G27" s="9" t="s">
        <v>60</v>
      </c>
      <c r="H27" s="9" t="s">
        <v>76</v>
      </c>
      <c r="I27" s="9">
        <v>70</v>
      </c>
      <c r="J27" s="9" t="s">
        <v>57</v>
      </c>
      <c r="K27" s="9">
        <v>5</v>
      </c>
      <c r="L27" s="9" t="s">
        <v>92</v>
      </c>
      <c r="M27" s="10">
        <v>20</v>
      </c>
      <c r="N27" s="9">
        <v>28</v>
      </c>
      <c r="O27" s="9">
        <v>50</v>
      </c>
      <c r="P27" s="10">
        <v>259.04464319999994</v>
      </c>
      <c r="Q27" s="10">
        <v>0</v>
      </c>
      <c r="R27" s="10">
        <v>259.04464319999994</v>
      </c>
      <c r="S27" s="9" t="s">
        <v>127</v>
      </c>
      <c r="T27" s="12">
        <v>45868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235</v>
      </c>
      <c r="AA27" s="8">
        <v>11525.250000000002</v>
      </c>
      <c r="AB27" s="8">
        <v>11525.250000000002</v>
      </c>
      <c r="AC27" s="8">
        <v>0</v>
      </c>
      <c r="AD27" s="8">
        <v>0</v>
      </c>
      <c r="AE27" s="8">
        <v>11525.250000000002</v>
      </c>
      <c r="AF27" s="8">
        <v>0</v>
      </c>
      <c r="AG27" s="1" t="s">
        <v>118</v>
      </c>
      <c r="AH27" s="1" t="s">
        <v>68</v>
      </c>
      <c r="AI27" s="1">
        <v>4</v>
      </c>
      <c r="AJ27" s="3">
        <v>45868</v>
      </c>
      <c r="AK27" s="3">
        <v>45864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45863</v>
      </c>
      <c r="AQ27" s="3">
        <v>45867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7.7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56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 t="s">
        <v>95</v>
      </c>
      <c r="W28" s="10">
        <v>0</v>
      </c>
      <c r="X28" s="10">
        <v>0</v>
      </c>
      <c r="Y28" s="10">
        <v>0</v>
      </c>
      <c r="Z28" s="9" t="s">
        <v>235</v>
      </c>
      <c r="AA28" s="8">
        <v>11525.250000000002</v>
      </c>
      <c r="AB28" s="8">
        <v>11525.250000000002</v>
      </c>
      <c r="AC28" s="8">
        <v>0</v>
      </c>
      <c r="AD28" s="8">
        <v>0</v>
      </c>
      <c r="AE28" s="8">
        <v>11525.250000000002</v>
      </c>
      <c r="AF28" s="8" t="s">
        <v>58</v>
      </c>
      <c r="AG28" s="1" t="s">
        <v>118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236</v>
      </c>
      <c r="BD28" s="56">
        <v>0</v>
      </c>
    </row>
    <row r="29" spans="1:56" ht="27.75" customHeight="1" x14ac:dyDescent="0.45">
      <c r="A29" s="3">
        <v>45825</v>
      </c>
      <c r="B29" s="14" t="s">
        <v>352</v>
      </c>
      <c r="C29" s="9" t="s">
        <v>145</v>
      </c>
      <c r="D29" s="13" t="s">
        <v>353</v>
      </c>
      <c r="E29" s="9">
        <v>19</v>
      </c>
      <c r="F29" s="9">
        <v>34</v>
      </c>
      <c r="G29" s="9" t="s">
        <v>60</v>
      </c>
      <c r="H29" s="9" t="s">
        <v>76</v>
      </c>
      <c r="I29" s="9">
        <v>100</v>
      </c>
      <c r="J29" s="9" t="s">
        <v>57</v>
      </c>
      <c r="K29" s="9">
        <v>5</v>
      </c>
      <c r="L29" s="9" t="s">
        <v>211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111</v>
      </c>
      <c r="T29" s="12">
        <v>45843</v>
      </c>
      <c r="U29" s="11">
        <v>5040</v>
      </c>
      <c r="V29" s="10">
        <v>0</v>
      </c>
      <c r="W29" s="10">
        <v>5040</v>
      </c>
      <c r="X29" s="10">
        <v>0</v>
      </c>
      <c r="Y29" s="10">
        <v>5292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>
        <v>0</v>
      </c>
      <c r="AG29" s="1" t="s">
        <v>121</v>
      </c>
      <c r="AH29" s="1" t="s">
        <v>75</v>
      </c>
      <c r="AI29" s="1">
        <v>4</v>
      </c>
      <c r="AJ29" s="3">
        <v>45843</v>
      </c>
      <c r="AK29" s="3">
        <v>45839</v>
      </c>
      <c r="AL29" s="3">
        <v>45832</v>
      </c>
      <c r="AM29" s="3">
        <v>45840</v>
      </c>
      <c r="AN29" s="3">
        <v>45841</v>
      </c>
      <c r="AO29" s="3">
        <v>45842</v>
      </c>
      <c r="AP29" s="3">
        <v>45838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205</v>
      </c>
      <c r="BD29" s="56">
        <v>0</v>
      </c>
    </row>
    <row r="30" spans="1:56" ht="27.75" customHeight="1" x14ac:dyDescent="0.45">
      <c r="A30" s="3">
        <v>45796</v>
      </c>
      <c r="B30" s="14" t="s">
        <v>303</v>
      </c>
      <c r="C30" s="9" t="s">
        <v>145</v>
      </c>
      <c r="D30" s="13" t="s">
        <v>298</v>
      </c>
      <c r="E30" s="9">
        <v>19</v>
      </c>
      <c r="F30" s="9">
        <v>34</v>
      </c>
      <c r="G30" s="9" t="s">
        <v>60</v>
      </c>
      <c r="H30" s="9" t="s">
        <v>76</v>
      </c>
      <c r="I30" s="9">
        <v>100</v>
      </c>
      <c r="J30" s="9" t="s">
        <v>57</v>
      </c>
      <c r="K30" s="9">
        <v>5</v>
      </c>
      <c r="L30" s="9" t="s">
        <v>211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111</v>
      </c>
      <c r="T30" s="12" t="s">
        <v>63</v>
      </c>
      <c r="U30" s="11">
        <v>503</v>
      </c>
      <c r="V30" s="10">
        <v>0</v>
      </c>
      <c r="W30" s="10">
        <v>503</v>
      </c>
      <c r="X30" s="10">
        <v>5250</v>
      </c>
      <c r="Y30" s="10">
        <v>0</v>
      </c>
      <c r="Z30" s="9" t="s">
        <v>115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75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205</v>
      </c>
      <c r="BD30" s="56">
        <v>0</v>
      </c>
    </row>
    <row r="31" spans="1:56" ht="27.7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34</v>
      </c>
      <c r="G31" s="9" t="s">
        <v>60</v>
      </c>
      <c r="H31" s="9">
        <v>0</v>
      </c>
      <c r="I31" s="9">
        <v>80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1971</v>
      </c>
      <c r="AE31" s="8">
        <v>3028.0247999999992</v>
      </c>
      <c r="AF31" s="8" t="s">
        <v>58</v>
      </c>
      <c r="AG31" s="1" t="s">
        <v>118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206</v>
      </c>
      <c r="BD31" s="56">
        <v>0</v>
      </c>
    </row>
    <row r="32" spans="1:56" ht="27.75" customHeight="1" x14ac:dyDescent="0.45">
      <c r="A32" s="3" t="s">
        <v>139</v>
      </c>
      <c r="B32" s="14" t="s">
        <v>139</v>
      </c>
      <c r="C32" s="9" t="s">
        <v>179</v>
      </c>
      <c r="D32" s="13" t="s">
        <v>59</v>
      </c>
      <c r="E32" s="9">
        <v>20</v>
      </c>
      <c r="F32" s="9">
        <v>30</v>
      </c>
      <c r="G32" s="9" t="s">
        <v>60</v>
      </c>
      <c r="H32" s="9">
        <v>0</v>
      </c>
      <c r="I32" s="9">
        <v>53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45868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144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118</v>
      </c>
      <c r="AH32" s="1" t="s">
        <v>77</v>
      </c>
      <c r="AI32" s="1">
        <v>1</v>
      </c>
      <c r="AJ32" s="3">
        <v>45868</v>
      </c>
      <c r="AK32" s="3">
        <v>0</v>
      </c>
      <c r="AL32" s="3">
        <v>0</v>
      </c>
      <c r="AM32" s="3">
        <v>0</v>
      </c>
      <c r="AN32" s="3">
        <v>0</v>
      </c>
      <c r="AO32" s="3">
        <v>45867</v>
      </c>
      <c r="AP32" s="3">
        <v>45863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1080.5795000000001</v>
      </c>
    </row>
    <row r="33" spans="1:56" ht="27.75" customHeight="1" x14ac:dyDescent="0.45">
      <c r="A33" s="3">
        <v>45839</v>
      </c>
      <c r="B33" s="14" t="s">
        <v>433</v>
      </c>
      <c r="C33" s="9" t="s">
        <v>421</v>
      </c>
      <c r="D33" s="13" t="s">
        <v>422</v>
      </c>
      <c r="E33" s="9">
        <v>20</v>
      </c>
      <c r="F33" s="9">
        <v>37</v>
      </c>
      <c r="G33" s="9" t="s">
        <v>60</v>
      </c>
      <c r="H33" s="9">
        <v>0</v>
      </c>
      <c r="I33" s="9">
        <v>65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45847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144</v>
      </c>
      <c r="AA33" s="8">
        <v>10756.900000000001</v>
      </c>
      <c r="AB33" s="8">
        <v>0</v>
      </c>
      <c r="AC33" s="8">
        <v>10756.900000000001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45847</v>
      </c>
      <c r="AK33" s="3">
        <v>0</v>
      </c>
      <c r="AL33" s="3">
        <v>45838</v>
      </c>
      <c r="AM33" s="3">
        <v>45845</v>
      </c>
      <c r="AN33" s="3">
        <v>45846</v>
      </c>
      <c r="AO33" s="3">
        <v>45846</v>
      </c>
      <c r="AP33" s="3">
        <v>45842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104</v>
      </c>
      <c r="BD33" s="56">
        <v>660.35413888888888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144</v>
      </c>
      <c r="AA34" s="8">
        <v>28359.100000000002</v>
      </c>
      <c r="AB34" s="8">
        <v>0</v>
      </c>
      <c r="AC34" s="8">
        <v>28359.100000000002</v>
      </c>
      <c r="AD34" s="8">
        <v>0</v>
      </c>
      <c r="AE34" s="8">
        <v>0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104</v>
      </c>
      <c r="BD34" s="56">
        <v>0</v>
      </c>
    </row>
    <row r="35" spans="1:56" ht="27.75" customHeight="1" x14ac:dyDescent="0.45">
      <c r="A35" s="3">
        <v>45825</v>
      </c>
      <c r="B35" s="14" t="s">
        <v>355</v>
      </c>
      <c r="C35" s="9" t="s">
        <v>145</v>
      </c>
      <c r="D35" s="13" t="s">
        <v>273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283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894</v>
      </c>
      <c r="V35" s="10">
        <v>0</v>
      </c>
      <c r="W35" s="10">
        <v>894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138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127</v>
      </c>
      <c r="V36" s="10">
        <v>0</v>
      </c>
      <c r="W36" s="10">
        <v>127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120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0</v>
      </c>
      <c r="AE37" s="8">
        <v>3993.4991250000003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45827</v>
      </c>
      <c r="B38" s="14" t="s">
        <v>394</v>
      </c>
      <c r="C38" s="9" t="s">
        <v>145</v>
      </c>
      <c r="D38" s="13" t="s">
        <v>192</v>
      </c>
      <c r="E38" s="9">
        <v>20</v>
      </c>
      <c r="F38" s="9">
        <v>35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 t="s">
        <v>63</v>
      </c>
      <c r="U38" s="11">
        <v>455</v>
      </c>
      <c r="V38" s="10">
        <v>0</v>
      </c>
      <c r="W38" s="10">
        <v>455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45782</v>
      </c>
      <c r="B39" s="14" t="s">
        <v>297</v>
      </c>
      <c r="C39" s="9" t="s">
        <v>79</v>
      </c>
      <c r="D39" s="13" t="s">
        <v>280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45846</v>
      </c>
      <c r="U39" s="11">
        <v>5000</v>
      </c>
      <c r="V39" s="10">
        <v>3318</v>
      </c>
      <c r="W39" s="10">
        <v>1682</v>
      </c>
      <c r="X39" s="10">
        <v>4748</v>
      </c>
      <c r="Y39" s="10">
        <v>264.60000000000002</v>
      </c>
      <c r="Z39" s="9" t="s">
        <v>80</v>
      </c>
      <c r="AA39" s="8">
        <v>292.02049800000003</v>
      </c>
      <c r="AB39" s="8">
        <v>292.02049800000003</v>
      </c>
      <c r="AC39" s="8">
        <v>0</v>
      </c>
      <c r="AD39" s="8">
        <v>0</v>
      </c>
      <c r="AE39" s="8">
        <v>292.02049800000003</v>
      </c>
      <c r="AF39" s="8">
        <v>0</v>
      </c>
      <c r="AG39" s="1" t="s">
        <v>122</v>
      </c>
      <c r="AH39" s="1" t="s">
        <v>75</v>
      </c>
      <c r="AI39" s="1">
        <v>4</v>
      </c>
      <c r="AJ39" s="3">
        <v>45846</v>
      </c>
      <c r="AK39" s="3">
        <v>45842</v>
      </c>
      <c r="AL39" s="3">
        <v>45835</v>
      </c>
      <c r="AM39" s="3">
        <v>45843</v>
      </c>
      <c r="AN39" s="3">
        <v>45844</v>
      </c>
      <c r="AO39" s="3">
        <v>45845</v>
      </c>
      <c r="AP39" s="3">
        <v>45841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45810</v>
      </c>
      <c r="B40" s="14" t="s">
        <v>326</v>
      </c>
      <c r="C40" s="9" t="s">
        <v>79</v>
      </c>
      <c r="D40" s="13" t="s">
        <v>327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80</v>
      </c>
      <c r="AA40" s="8">
        <v>3310.89</v>
      </c>
      <c r="AB40" s="8">
        <v>3310.89</v>
      </c>
      <c r="AC40" s="8">
        <v>0</v>
      </c>
      <c r="AD40" s="8">
        <v>0</v>
      </c>
      <c r="AE40" s="8">
        <v>3310.89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45826</v>
      </c>
      <c r="B41" s="14" t="s">
        <v>364</v>
      </c>
      <c r="C41" s="9" t="s">
        <v>110</v>
      </c>
      <c r="D41" s="13" t="s">
        <v>365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45856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45856</v>
      </c>
      <c r="AK41" s="3">
        <v>45852</v>
      </c>
      <c r="AL41" s="3">
        <v>45845</v>
      </c>
      <c r="AM41" s="3">
        <v>45853</v>
      </c>
      <c r="AN41" s="3">
        <v>45854</v>
      </c>
      <c r="AO41" s="3">
        <v>45855</v>
      </c>
      <c r="AP41" s="3">
        <v>45851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45839</v>
      </c>
      <c r="B42" s="14" t="s">
        <v>434</v>
      </c>
      <c r="C42" s="9" t="s">
        <v>332</v>
      </c>
      <c r="D42" s="13" t="s">
        <v>404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45847</v>
      </c>
      <c r="U42" s="11">
        <v>20000</v>
      </c>
      <c r="V42" s="10">
        <v>0</v>
      </c>
      <c r="W42" s="10">
        <v>20000</v>
      </c>
      <c r="X42" s="10">
        <v>1895</v>
      </c>
      <c r="Y42" s="10">
        <v>19010.25</v>
      </c>
      <c r="Z42" s="9" t="s">
        <v>80</v>
      </c>
      <c r="AA42" s="8">
        <v>20449.1358225</v>
      </c>
      <c r="AB42" s="8">
        <v>20449.1358225</v>
      </c>
      <c r="AC42" s="8">
        <v>0</v>
      </c>
      <c r="AD42" s="8">
        <v>20449.1358225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45847</v>
      </c>
      <c r="AK42" s="3">
        <v>45843</v>
      </c>
      <c r="AL42" s="3">
        <v>45836</v>
      </c>
      <c r="AM42" s="3">
        <v>45844</v>
      </c>
      <c r="AN42" s="3">
        <v>45845</v>
      </c>
      <c r="AO42" s="3">
        <v>45846</v>
      </c>
      <c r="AP42" s="3">
        <v>45842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435</v>
      </c>
      <c r="C43" s="9" t="s">
        <v>332</v>
      </c>
      <c r="D43" s="13" t="s">
        <v>405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80</v>
      </c>
      <c r="AA43" s="8">
        <v>10756.900000000001</v>
      </c>
      <c r="AB43" s="8">
        <v>0</v>
      </c>
      <c r="AC43" s="8">
        <v>10756.900000000001</v>
      </c>
      <c r="AD43" s="8">
        <v>0</v>
      </c>
      <c r="AE43" s="8">
        <v>10756.900000000001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45861</v>
      </c>
      <c r="AK43" s="3">
        <v>45857</v>
      </c>
      <c r="AL43" s="3">
        <v>45850</v>
      </c>
      <c r="AM43" s="3">
        <v>45858</v>
      </c>
      <c r="AN43" s="3">
        <v>45859</v>
      </c>
      <c r="AO43" s="3">
        <v>45860</v>
      </c>
      <c r="AP43" s="3">
        <v>45856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812.74355555555564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406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406.37177777777782</v>
      </c>
    </row>
    <row r="46" spans="1:56" ht="27.75" customHeight="1" x14ac:dyDescent="0.45">
      <c r="A46" s="3" t="s">
        <v>139</v>
      </c>
      <c r="B46" s="14" t="s">
        <v>139</v>
      </c>
      <c r="C46" s="9" t="s">
        <v>145</v>
      </c>
      <c r="D46" s="13" t="s">
        <v>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104775.00000000001</v>
      </c>
      <c r="AB46" s="8">
        <v>0</v>
      </c>
      <c r="AC46" s="8">
        <v>104775.00000000001</v>
      </c>
      <c r="AD46" s="8">
        <v>0</v>
      </c>
      <c r="AE46" s="8">
        <v>104775.00000000001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7916.333333333333</v>
      </c>
    </row>
    <row r="47" spans="1:56" ht="27.75" customHeight="1" x14ac:dyDescent="0.45">
      <c r="A47" s="3" t="s">
        <v>139</v>
      </c>
      <c r="B47" s="14" t="s">
        <v>139</v>
      </c>
      <c r="C47" s="9" t="s">
        <v>79</v>
      </c>
      <c r="D47" s="13" t="s">
        <v>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45868</v>
      </c>
      <c r="U47" s="11">
        <v>20000</v>
      </c>
      <c r="V47" s="10">
        <v>0</v>
      </c>
      <c r="W47" s="10">
        <v>20000</v>
      </c>
      <c r="X47" s="10">
        <v>0</v>
      </c>
      <c r="Y47" s="10">
        <v>21000</v>
      </c>
      <c r="Z47" s="9" t="s">
        <v>80</v>
      </c>
      <c r="AA47" s="8">
        <v>22072.6</v>
      </c>
      <c r="AB47" s="8">
        <v>0</v>
      </c>
      <c r="AC47" s="8">
        <v>22072.6</v>
      </c>
      <c r="AD47" s="8">
        <v>0</v>
      </c>
      <c r="AE47" s="8">
        <v>22072.6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1667.7075555555555</v>
      </c>
    </row>
    <row r="48" spans="1:56" ht="27.75" customHeight="1" x14ac:dyDescent="0.45">
      <c r="A48" s="3" t="s">
        <v>139</v>
      </c>
      <c r="B48" s="14" t="s">
        <v>139</v>
      </c>
      <c r="C48" s="9" t="s">
        <v>97</v>
      </c>
      <c r="D48" s="13" t="s">
        <v>61</v>
      </c>
      <c r="E48" s="9">
        <v>20</v>
      </c>
      <c r="F48" s="9">
        <v>37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21513.800000000003</v>
      </c>
      <c r="AB48" s="8">
        <v>0</v>
      </c>
      <c r="AC48" s="8">
        <v>21513.800000000003</v>
      </c>
      <c r="AD48" s="8">
        <v>0</v>
      </c>
      <c r="AE48" s="8">
        <v>21513.800000000003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1625.4871111111113</v>
      </c>
    </row>
    <row r="49" spans="1:56" ht="27.75" customHeight="1" x14ac:dyDescent="0.45">
      <c r="A49" s="3" t="s">
        <v>139</v>
      </c>
      <c r="B49" s="14" t="s">
        <v>139</v>
      </c>
      <c r="C49" s="9" t="s">
        <v>356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113</v>
      </c>
      <c r="T49" s="12">
        <v>45868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80</v>
      </c>
      <c r="AA49" s="8">
        <v>110363</v>
      </c>
      <c r="AB49" s="8">
        <v>0</v>
      </c>
      <c r="AC49" s="8">
        <v>110363</v>
      </c>
      <c r="AD49" s="8">
        <v>0</v>
      </c>
      <c r="AE49" s="8">
        <v>110363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8338.5377777777776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45681</v>
      </c>
      <c r="B62" s="14" t="s">
        <v>253</v>
      </c>
      <c r="C62" s="9" t="s">
        <v>79</v>
      </c>
      <c r="D62" s="13" t="s">
        <v>252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3478.5300000000007</v>
      </c>
      <c r="AB62" s="8">
        <v>0</v>
      </c>
      <c r="AC62" s="8">
        <v>3478.5300000000007</v>
      </c>
      <c r="AD62" s="8">
        <v>0</v>
      </c>
      <c r="AE62" s="8">
        <v>3478.5300000000007</v>
      </c>
      <c r="AF62" s="8">
        <v>0</v>
      </c>
      <c r="AG62" s="1" t="s">
        <v>120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262.82226666666674</v>
      </c>
    </row>
    <row r="63" spans="1:56" ht="27.75" customHeight="1" x14ac:dyDescent="0.45">
      <c r="A63" s="3">
        <v>45674</v>
      </c>
      <c r="B63" s="14" t="s">
        <v>251</v>
      </c>
      <c r="C63" s="9" t="s">
        <v>145</v>
      </c>
      <c r="D63" s="13" t="s">
        <v>250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211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152</v>
      </c>
      <c r="V63" s="10">
        <v>0</v>
      </c>
      <c r="W63" s="10">
        <v>152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5987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269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45611</v>
      </c>
      <c r="B64" s="14" t="s">
        <v>209</v>
      </c>
      <c r="C64" s="9" t="s">
        <v>145</v>
      </c>
      <c r="D64" s="13" t="s">
        <v>208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117</v>
      </c>
      <c r="V64" s="10">
        <v>0</v>
      </c>
      <c r="W64" s="10">
        <v>117</v>
      </c>
      <c r="X64" s="10">
        <v>10065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45523</v>
      </c>
      <c r="B65" s="14" t="s">
        <v>189</v>
      </c>
      <c r="C65" s="9" t="s">
        <v>145</v>
      </c>
      <c r="D65" s="13" t="s">
        <v>187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1260</v>
      </c>
      <c r="V65" s="10">
        <v>0</v>
      </c>
      <c r="W65" s="10">
        <v>1260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89</v>
      </c>
      <c r="V66" s="10">
        <v>0</v>
      </c>
      <c r="W66" s="10">
        <v>89</v>
      </c>
      <c r="X66" s="10">
        <v>11180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45741</v>
      </c>
      <c r="B67" s="14" t="s">
        <v>277</v>
      </c>
      <c r="C67" s="9" t="s">
        <v>110</v>
      </c>
      <c r="D67" s="13" t="s">
        <v>276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136</v>
      </c>
      <c r="U67" s="11">
        <v>4000</v>
      </c>
      <c r="V67" s="10">
        <v>3857</v>
      </c>
      <c r="W67" s="10">
        <v>143</v>
      </c>
      <c r="X67" s="10">
        <v>4200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136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281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45720</v>
      </c>
      <c r="B68" s="14" t="s">
        <v>132</v>
      </c>
      <c r="C68" s="9" t="s">
        <v>110</v>
      </c>
      <c r="D68" s="13" t="s">
        <v>226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242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45541</v>
      </c>
      <c r="B70" s="14" t="s">
        <v>193</v>
      </c>
      <c r="C70" s="9" t="s">
        <v>110</v>
      </c>
      <c r="D70" s="13" t="s">
        <v>194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3318</v>
      </c>
      <c r="W70" s="10">
        <v>0</v>
      </c>
      <c r="X70" s="10">
        <v>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195</v>
      </c>
      <c r="AG70" s="1" t="s">
        <v>61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 t="s">
        <v>245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45581</v>
      </c>
      <c r="B71" s="14" t="s">
        <v>199</v>
      </c>
      <c r="C71" s="9" t="s">
        <v>110</v>
      </c>
      <c r="D71" s="13" t="s">
        <v>200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3194</v>
      </c>
      <c r="W71" s="10">
        <v>0</v>
      </c>
      <c r="X71" s="10">
        <v>5632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84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80</v>
      </c>
      <c r="AA72" s="8">
        <v>348042.36544550012</v>
      </c>
      <c r="AB72" s="8">
        <v>31356.435445499999</v>
      </c>
      <c r="AC72" s="8">
        <v>316685.93000000011</v>
      </c>
      <c r="AD72" s="8">
        <v>20449.1358225</v>
      </c>
      <c r="AE72" s="8">
        <v>327593.22962300014</v>
      </c>
      <c r="AF72" s="8" t="s">
        <v>58</v>
      </c>
      <c r="AG72" s="1" t="s">
        <v>118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 t="s">
        <v>139</v>
      </c>
      <c r="B73" s="14" t="s">
        <v>139</v>
      </c>
      <c r="C73" s="9" t="s">
        <v>356</v>
      </c>
      <c r="D73" s="13" t="s">
        <v>61</v>
      </c>
      <c r="E73" s="9">
        <v>20</v>
      </c>
      <c r="F73" s="9">
        <v>39</v>
      </c>
      <c r="G73" s="9" t="s">
        <v>60</v>
      </c>
      <c r="H73" s="9">
        <v>0</v>
      </c>
      <c r="I73" s="9">
        <v>84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113</v>
      </c>
      <c r="T73" s="12">
        <v>45868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357</v>
      </c>
      <c r="AA73" s="8">
        <v>113157.00000000001</v>
      </c>
      <c r="AB73" s="8">
        <v>7720</v>
      </c>
      <c r="AC73" s="8">
        <v>105437.00000000001</v>
      </c>
      <c r="AD73" s="8">
        <v>0</v>
      </c>
      <c r="AE73" s="8">
        <v>0</v>
      </c>
      <c r="AF73" s="8">
        <v>0</v>
      </c>
      <c r="AG73" s="1" t="s">
        <v>120</v>
      </c>
      <c r="AH73" s="1" t="s">
        <v>74</v>
      </c>
      <c r="AI73" s="1">
        <v>2</v>
      </c>
      <c r="AJ73" s="3">
        <v>45868</v>
      </c>
      <c r="AK73" s="3">
        <v>0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358</v>
      </c>
      <c r="BD73" s="56">
        <v>8306.0925555555586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82</v>
      </c>
      <c r="J74" s="9" t="s">
        <v>78</v>
      </c>
      <c r="K74" s="9">
        <v>2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357</v>
      </c>
      <c r="AA74" s="8">
        <v>113157.00000000001</v>
      </c>
      <c r="AB74" s="8">
        <v>7720</v>
      </c>
      <c r="AC74" s="8">
        <v>105437.00000000001</v>
      </c>
      <c r="AD74" s="8">
        <v>0</v>
      </c>
      <c r="AE74" s="8">
        <v>0</v>
      </c>
      <c r="AF74" s="8" t="s">
        <v>58</v>
      </c>
      <c r="AG74" s="1" t="s">
        <v>119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359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120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41910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55307</v>
      </c>
      <c r="V77" s="10">
        <v>0</v>
      </c>
      <c r="W77" s="10">
        <v>55307</v>
      </c>
      <c r="X77" s="10">
        <v>53873</v>
      </c>
      <c r="Y77" s="10">
        <v>1505.7</v>
      </c>
      <c r="Z77" s="9" t="s">
        <v>81</v>
      </c>
      <c r="AA77" s="8">
        <v>1577.5971750000003</v>
      </c>
      <c r="AB77" s="8">
        <v>1577.5971750000003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31500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291</v>
      </c>
      <c r="AG79" s="1" t="s">
        <v>122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37285</v>
      </c>
      <c r="Y82" s="10">
        <v>44850.75</v>
      </c>
      <c r="Z82" s="9" t="s">
        <v>81</v>
      </c>
      <c r="AA82" s="8">
        <v>48245.503267500004</v>
      </c>
      <c r="AB82" s="8">
        <v>22646</v>
      </c>
      <c r="AC82" s="8">
        <v>25599.503267500004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1956.9398053377781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45840</v>
      </c>
      <c r="B87" s="14" t="s">
        <v>438</v>
      </c>
      <c r="C87" s="9" t="s">
        <v>85</v>
      </c>
      <c r="D87" s="13" t="s">
        <v>439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45875</v>
      </c>
      <c r="U87" s="11">
        <v>13000</v>
      </c>
      <c r="V87" s="10">
        <v>0</v>
      </c>
      <c r="W87" s="10">
        <v>13000</v>
      </c>
      <c r="X87" s="10">
        <v>0</v>
      </c>
      <c r="Y87" s="10">
        <v>13650</v>
      </c>
      <c r="Z87" s="9" t="s">
        <v>81</v>
      </c>
      <c r="AA87" s="8">
        <v>13983.970000000001</v>
      </c>
      <c r="AB87" s="8">
        <v>0</v>
      </c>
      <c r="AC87" s="8">
        <v>13983.970000000001</v>
      </c>
      <c r="AD87" s="8">
        <v>0</v>
      </c>
      <c r="AE87" s="8">
        <v>0</v>
      </c>
      <c r="AF87" s="8" t="s">
        <v>440</v>
      </c>
      <c r="AG87" s="1" t="s">
        <v>61</v>
      </c>
      <c r="AH87" s="1" t="s">
        <v>74</v>
      </c>
      <c r="AI87" s="1">
        <v>2</v>
      </c>
      <c r="AJ87" s="3">
        <v>45875</v>
      </c>
      <c r="AK87" s="3">
        <v>0</v>
      </c>
      <c r="AL87" s="3">
        <v>45866</v>
      </c>
      <c r="AM87" s="3">
        <v>45873</v>
      </c>
      <c r="AN87" s="3">
        <v>45874</v>
      </c>
      <c r="AO87" s="3">
        <v>45874</v>
      </c>
      <c r="AP87" s="3">
        <v>45870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1068.996817777778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308561.47044250008</v>
      </c>
      <c r="AB91" s="8">
        <v>66133.597175000003</v>
      </c>
      <c r="AC91" s="8">
        <v>242427.87326750005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>
        <v>45841</v>
      </c>
      <c r="B92" s="14" t="s">
        <v>455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>
        <v>22</v>
      </c>
      <c r="N92" s="9">
        <v>41</v>
      </c>
      <c r="O92" s="9">
        <v>40</v>
      </c>
      <c r="P92" s="10">
        <v>111.26584198399999</v>
      </c>
      <c r="Q92" s="10">
        <v>0</v>
      </c>
      <c r="R92" s="10">
        <v>111.26584198399999</v>
      </c>
      <c r="S92" s="9" t="s">
        <v>71</v>
      </c>
      <c r="T92" s="12">
        <v>45843</v>
      </c>
      <c r="U92" s="11">
        <v>5000</v>
      </c>
      <c r="V92" s="10">
        <v>0</v>
      </c>
      <c r="W92" s="10">
        <v>5000</v>
      </c>
      <c r="X92" s="10">
        <v>0</v>
      </c>
      <c r="Y92" s="10">
        <v>0</v>
      </c>
      <c r="Z92" s="9" t="s">
        <v>134</v>
      </c>
      <c r="AA92" s="8">
        <v>5518.15</v>
      </c>
      <c r="AB92" s="8">
        <v>5518.15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316</v>
      </c>
      <c r="AI92" s="1">
        <v>2</v>
      </c>
      <c r="AJ92" s="3">
        <v>45843</v>
      </c>
      <c r="AK92" s="3">
        <v>0</v>
      </c>
      <c r="AL92" s="3">
        <v>0</v>
      </c>
      <c r="AM92" s="3">
        <v>0</v>
      </c>
      <c r="AN92" s="3">
        <v>0</v>
      </c>
      <c r="AO92" s="3">
        <v>45841</v>
      </c>
      <c r="AP92" s="3">
        <v>45838</v>
      </c>
      <c r="AQ92" s="3">
        <v>45842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45841</v>
      </c>
      <c r="B93" s="14" t="s">
        <v>455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556.32920991999993</v>
      </c>
      <c r="Q93" s="10">
        <v>0</v>
      </c>
      <c r="R93" s="10">
        <v>556.32920991999993</v>
      </c>
      <c r="S93" s="9" t="s">
        <v>71</v>
      </c>
      <c r="T93" s="12">
        <v>45852</v>
      </c>
      <c r="U93" s="11">
        <v>25000</v>
      </c>
      <c r="V93" s="10">
        <v>0</v>
      </c>
      <c r="W93" s="10">
        <v>25000</v>
      </c>
      <c r="X93" s="10">
        <v>0</v>
      </c>
      <c r="Y93" s="10">
        <v>0</v>
      </c>
      <c r="Z93" s="9" t="s">
        <v>134</v>
      </c>
      <c r="AA93" s="8">
        <v>27590.75</v>
      </c>
      <c r="AB93" s="8">
        <v>6394</v>
      </c>
      <c r="AC93" s="8">
        <v>21196.75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1446.6781874999997</v>
      </c>
    </row>
    <row r="94" spans="1:56" ht="27.75" customHeight="1" x14ac:dyDescent="0.45">
      <c r="A94" s="3" t="s">
        <v>139</v>
      </c>
      <c r="B94" s="14" t="s">
        <v>139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15000</v>
      </c>
      <c r="V94" s="10">
        <v>0</v>
      </c>
      <c r="W94" s="10">
        <v>15000</v>
      </c>
      <c r="X94" s="10">
        <v>0</v>
      </c>
      <c r="Y94" s="10">
        <v>0</v>
      </c>
      <c r="Z94" s="9" t="s">
        <v>134</v>
      </c>
      <c r="AA94" s="8">
        <v>16554.45</v>
      </c>
      <c r="AB94" s="8">
        <v>0</v>
      </c>
      <c r="AC94" s="8">
        <v>16554.45</v>
      </c>
      <c r="AD94" s="8">
        <v>0</v>
      </c>
      <c r="AE94" s="8">
        <v>0</v>
      </c>
      <c r="AF94" s="8">
        <v>0</v>
      </c>
      <c r="AG94" s="1" t="s">
        <v>118</v>
      </c>
      <c r="AH94" s="1" t="s">
        <v>77</v>
      </c>
      <c r="AI94" s="1">
        <v>1</v>
      </c>
      <c r="AJ94" s="3">
        <v>45868</v>
      </c>
      <c r="AK94" s="3">
        <v>0</v>
      </c>
      <c r="AL94" s="3">
        <v>0</v>
      </c>
      <c r="AM94" s="3">
        <v>0</v>
      </c>
      <c r="AN94" s="3">
        <v>0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1129.8412125</v>
      </c>
    </row>
    <row r="95" spans="1:56" ht="27.75" customHeight="1" x14ac:dyDescent="0.45">
      <c r="A95" s="3">
        <v>45842</v>
      </c>
      <c r="B95" s="14" t="s">
        <v>456</v>
      </c>
      <c r="C95" s="9" t="s">
        <v>221</v>
      </c>
      <c r="D95" s="13" t="s">
        <v>321</v>
      </c>
      <c r="E95" s="9">
        <v>21</v>
      </c>
      <c r="F95" s="9">
        <v>34</v>
      </c>
      <c r="G95" s="9" t="s">
        <v>60</v>
      </c>
      <c r="H95" s="9">
        <v>0</v>
      </c>
      <c r="I95" s="9">
        <v>60</v>
      </c>
      <c r="J95" s="9" t="s">
        <v>57</v>
      </c>
      <c r="K95" s="9">
        <v>5</v>
      </c>
      <c r="L95" s="9" t="s">
        <v>92</v>
      </c>
      <c r="M95" s="10">
        <v>22</v>
      </c>
      <c r="N95" s="9">
        <v>36</v>
      </c>
      <c r="O95" s="9">
        <v>40</v>
      </c>
      <c r="P95" s="10">
        <v>195.39367372799995</v>
      </c>
      <c r="Q95" s="10">
        <v>0</v>
      </c>
      <c r="R95" s="10">
        <v>195.39367372799995</v>
      </c>
      <c r="S95" s="9" t="s">
        <v>71</v>
      </c>
      <c r="T95" s="12">
        <v>45852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134</v>
      </c>
      <c r="AA95" s="8">
        <v>9918.7000000000007</v>
      </c>
      <c r="AB95" s="8">
        <v>9918.7000000000007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72</v>
      </c>
      <c r="AI95" s="1">
        <v>3</v>
      </c>
      <c r="AJ95" s="3">
        <v>45852</v>
      </c>
      <c r="AK95" s="3">
        <v>0</v>
      </c>
      <c r="AL95" s="3">
        <v>45842</v>
      </c>
      <c r="AM95" s="3">
        <v>45849</v>
      </c>
      <c r="AN95" s="3">
        <v>45850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134</v>
      </c>
      <c r="AA96" s="8">
        <v>59582.05</v>
      </c>
      <c r="AB96" s="8">
        <v>21830.85</v>
      </c>
      <c r="AC96" s="8">
        <v>37751.199999999997</v>
      </c>
      <c r="AD96" s="8">
        <v>0</v>
      </c>
      <c r="AE96" s="8">
        <v>0</v>
      </c>
      <c r="AF96" s="8" t="s">
        <v>58</v>
      </c>
      <c r="AG96" s="1" t="s">
        <v>118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45841</v>
      </c>
      <c r="B97" s="14" t="s">
        <v>457</v>
      </c>
      <c r="C97" s="9" t="s">
        <v>441</v>
      </c>
      <c r="D97" s="13" t="s">
        <v>442</v>
      </c>
      <c r="E97" s="9">
        <v>21</v>
      </c>
      <c r="F97" s="9">
        <v>34</v>
      </c>
      <c r="G97" s="9" t="s">
        <v>60</v>
      </c>
      <c r="H97" s="9">
        <v>0</v>
      </c>
      <c r="I97" s="9">
        <v>76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45847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443</v>
      </c>
      <c r="AA97" s="8">
        <v>5951.22</v>
      </c>
      <c r="AB97" s="8">
        <v>5951.22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74</v>
      </c>
      <c r="AI97" s="1">
        <v>2</v>
      </c>
      <c r="AJ97" s="3">
        <v>45847</v>
      </c>
      <c r="AK97" s="3">
        <v>0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45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 t="s">
        <v>58</v>
      </c>
      <c r="AG98" s="1" t="s">
        <v>120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444</v>
      </c>
      <c r="BD98" s="56">
        <v>0</v>
      </c>
    </row>
    <row r="99" spans="1:56" ht="27.75" customHeight="1" x14ac:dyDescent="0.45">
      <c r="A99" s="3">
        <v>45831</v>
      </c>
      <c r="B99" s="14" t="s">
        <v>396</v>
      </c>
      <c r="C99" s="9" t="s">
        <v>179</v>
      </c>
      <c r="D99" s="13" t="s">
        <v>382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71</v>
      </c>
      <c r="T99" s="12">
        <v>45842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123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68</v>
      </c>
      <c r="AI99" s="1">
        <v>4</v>
      </c>
      <c r="AJ99" s="3">
        <v>45842</v>
      </c>
      <c r="AK99" s="3">
        <v>45838</v>
      </c>
      <c r="AL99" s="3">
        <v>45832</v>
      </c>
      <c r="AM99" s="3">
        <v>45839</v>
      </c>
      <c r="AN99" s="3">
        <v>45840</v>
      </c>
      <c r="AO99" s="3">
        <v>45840</v>
      </c>
      <c r="AP99" s="3">
        <v>45837</v>
      </c>
      <c r="AQ99" s="3">
        <v>45841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45839</v>
      </c>
      <c r="B100" s="14" t="s">
        <v>436</v>
      </c>
      <c r="C100" s="9" t="s">
        <v>110</v>
      </c>
      <c r="D100" s="13" t="s">
        <v>423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108.55204095999999</v>
      </c>
      <c r="Q100" s="10">
        <v>0</v>
      </c>
      <c r="R100" s="10">
        <v>108.55204095999999</v>
      </c>
      <c r="S100" s="9" t="s">
        <v>67</v>
      </c>
      <c r="T100" s="12">
        <v>45845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45845</v>
      </c>
      <c r="AK100" s="3">
        <v>45841</v>
      </c>
      <c r="AL100" s="3">
        <v>45835</v>
      </c>
      <c r="AM100" s="3">
        <v>45842</v>
      </c>
      <c r="AN100" s="3">
        <v>45843</v>
      </c>
      <c r="AO100" s="3">
        <v>45843</v>
      </c>
      <c r="AP100" s="3">
        <v>45840</v>
      </c>
      <c r="AQ100" s="3">
        <v>45844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45826</v>
      </c>
      <c r="B101" s="14" t="s">
        <v>366</v>
      </c>
      <c r="C101" s="9" t="s">
        <v>110</v>
      </c>
      <c r="D101" s="13" t="s">
        <v>317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21.710408191999996</v>
      </c>
      <c r="Q101" s="10">
        <v>0</v>
      </c>
      <c r="R101" s="10">
        <v>21.710408191999996</v>
      </c>
      <c r="S101" s="9" t="s">
        <v>67</v>
      </c>
      <c r="T101" s="12">
        <v>45847</v>
      </c>
      <c r="U101" s="11">
        <v>1000</v>
      </c>
      <c r="V101" s="10">
        <v>0</v>
      </c>
      <c r="W101" s="10">
        <v>1000</v>
      </c>
      <c r="X101" s="10">
        <v>8250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45847</v>
      </c>
      <c r="AK101" s="3">
        <v>45843</v>
      </c>
      <c r="AL101" s="3">
        <v>45837</v>
      </c>
      <c r="AM101" s="3">
        <v>45844</v>
      </c>
      <c r="AN101" s="3">
        <v>45845</v>
      </c>
      <c r="AO101" s="3">
        <v>45845</v>
      </c>
      <c r="AP101" s="3">
        <v>45842</v>
      </c>
      <c r="AQ101" s="3">
        <v>45846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338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10496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45833</v>
      </c>
      <c r="B103" s="14" t="s">
        <v>411</v>
      </c>
      <c r="C103" s="9" t="s">
        <v>179</v>
      </c>
      <c r="D103" s="13" t="s">
        <v>400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217.10408191999997</v>
      </c>
      <c r="Q103" s="10">
        <v>0</v>
      </c>
      <c r="R103" s="10">
        <v>217.10408191999997</v>
      </c>
      <c r="S103" s="9" t="s">
        <v>71</v>
      </c>
      <c r="T103" s="12">
        <v>45848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10756.900000000001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45848</v>
      </c>
      <c r="AK103" s="3">
        <v>45844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45843</v>
      </c>
      <c r="AQ103" s="3">
        <v>45847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367</v>
      </c>
      <c r="C104" s="9" t="s">
        <v>110</v>
      </c>
      <c r="D104" s="13" t="s">
        <v>368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45856</v>
      </c>
      <c r="U104" s="11">
        <v>3000</v>
      </c>
      <c r="V104" s="10">
        <v>0</v>
      </c>
      <c r="W104" s="10">
        <v>3000</v>
      </c>
      <c r="X104" s="10">
        <v>3500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45856</v>
      </c>
      <c r="AK104" s="3">
        <v>45852</v>
      </c>
      <c r="AL104" s="3">
        <v>45846</v>
      </c>
      <c r="AM104" s="3">
        <v>45853</v>
      </c>
      <c r="AN104" s="3">
        <v>45854</v>
      </c>
      <c r="AO104" s="3">
        <v>45854</v>
      </c>
      <c r="AP104" s="3">
        <v>45851</v>
      </c>
      <c r="AQ104" s="3">
        <v>45855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45841</v>
      </c>
      <c r="B105" s="14" t="s">
        <v>445</v>
      </c>
      <c r="C105" s="9" t="s">
        <v>446</v>
      </c>
      <c r="D105" s="13" t="s">
        <v>447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123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45847</v>
      </c>
      <c r="AK105" s="3">
        <v>45843</v>
      </c>
      <c r="AL105" s="3">
        <v>45837</v>
      </c>
      <c r="AM105" s="3">
        <v>45844</v>
      </c>
      <c r="AN105" s="3">
        <v>45845</v>
      </c>
      <c r="AO105" s="3">
        <v>45845</v>
      </c>
      <c r="AP105" s="3">
        <v>45842</v>
      </c>
      <c r="AQ105" s="3">
        <v>45846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386.78226766666666</v>
      </c>
    </row>
    <row r="106" spans="1:56" ht="27.75" customHeight="1" x14ac:dyDescent="0.45">
      <c r="A106" s="3">
        <v>45841</v>
      </c>
      <c r="B106" s="14" t="s">
        <v>445</v>
      </c>
      <c r="C106" s="9" t="s">
        <v>446</v>
      </c>
      <c r="D106" s="13" t="s">
        <v>448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123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45847</v>
      </c>
      <c r="AK106" s="3">
        <v>45843</v>
      </c>
      <c r="AL106" s="3">
        <v>45837</v>
      </c>
      <c r="AM106" s="3">
        <v>45844</v>
      </c>
      <c r="AN106" s="3">
        <v>45845</v>
      </c>
      <c r="AO106" s="3">
        <v>45845</v>
      </c>
      <c r="AP106" s="3">
        <v>45842</v>
      </c>
      <c r="AQ106" s="3">
        <v>45846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386.78226766666666</v>
      </c>
    </row>
    <row r="107" spans="1:56" ht="27.75" customHeight="1" x14ac:dyDescent="0.45">
      <c r="A107" s="3" t="s">
        <v>139</v>
      </c>
      <c r="B107" s="14" t="s">
        <v>139</v>
      </c>
      <c r="C107" s="9" t="s">
        <v>114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123</v>
      </c>
      <c r="AA107" s="8">
        <v>322707</v>
      </c>
      <c r="AB107" s="8">
        <v>38000</v>
      </c>
      <c r="AC107" s="8">
        <v>284707</v>
      </c>
      <c r="AD107" s="8">
        <v>0</v>
      </c>
      <c r="AE107" s="8">
        <v>322707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20474.229393333331</v>
      </c>
    </row>
    <row r="108" spans="1:56" ht="27.75" customHeight="1" x14ac:dyDescent="0.45">
      <c r="A108" s="3" t="s">
        <v>139</v>
      </c>
      <c r="B108" s="14" t="s">
        <v>139</v>
      </c>
      <c r="C108" s="9" t="s">
        <v>424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123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1547.1290706666666</v>
      </c>
    </row>
    <row r="109" spans="1:56" ht="27.75" customHeight="1" x14ac:dyDescent="0.45">
      <c r="A109" s="3" t="s">
        <v>139</v>
      </c>
      <c r="B109" s="14" t="s">
        <v>139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123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45826</v>
      </c>
      <c r="B110" s="14" t="s">
        <v>366</v>
      </c>
      <c r="C110" s="9" t="s">
        <v>110</v>
      </c>
      <c r="D110" s="13" t="s">
        <v>317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123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119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45628</v>
      </c>
      <c r="B111" s="14" t="s">
        <v>215</v>
      </c>
      <c r="C111" s="9" t="s">
        <v>112</v>
      </c>
      <c r="D111" s="13" t="s">
        <v>151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113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123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239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>
        <v>45631</v>
      </c>
      <c r="B112" s="14" t="s">
        <v>218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123</v>
      </c>
      <c r="AA112" s="8">
        <v>17211.04</v>
      </c>
      <c r="AB112" s="8">
        <v>17211.04</v>
      </c>
      <c r="AC112" s="8">
        <v>0</v>
      </c>
      <c r="AD112" s="8">
        <v>17211.04</v>
      </c>
      <c r="AE112" s="8">
        <v>0</v>
      </c>
      <c r="AF112" s="8">
        <v>0</v>
      </c>
      <c r="AG112" s="1" t="s">
        <v>119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45631</v>
      </c>
      <c r="B113" s="14" t="s">
        <v>219</v>
      </c>
      <c r="C113" s="9" t="s">
        <v>112</v>
      </c>
      <c r="D113" s="13" t="s">
        <v>151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113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123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241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 t="s">
        <v>139</v>
      </c>
      <c r="B114" s="14" t="s">
        <v>139</v>
      </c>
      <c r="C114" s="9" t="s">
        <v>110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833.84229133333326</v>
      </c>
    </row>
    <row r="115" spans="1:56" ht="27.75" customHeight="1" x14ac:dyDescent="0.45">
      <c r="A115" s="3">
        <v>45066</v>
      </c>
      <c r="B115" s="14" t="s">
        <v>130</v>
      </c>
      <c r="C115" s="9" t="s">
        <v>79</v>
      </c>
      <c r="D115" s="13" t="s">
        <v>129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123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396.82856033333326</v>
      </c>
    </row>
    <row r="116" spans="1:56" ht="27.75" customHeight="1" x14ac:dyDescent="0.45">
      <c r="A116" s="3">
        <v>45800</v>
      </c>
      <c r="B116" s="14" t="s">
        <v>319</v>
      </c>
      <c r="C116" s="9" t="s">
        <v>79</v>
      </c>
      <c r="D116" s="13" t="s">
        <v>320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136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123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123</v>
      </c>
      <c r="AA117" s="8">
        <v>444357.75999999995</v>
      </c>
      <c r="AB117" s="8">
        <v>110266.81000000003</v>
      </c>
      <c r="AC117" s="8">
        <v>334090.95</v>
      </c>
      <c r="AD117" s="8">
        <v>17211.04</v>
      </c>
      <c r="AE117" s="8">
        <v>427146.72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0</v>
      </c>
    </row>
    <row r="118" spans="1:56" ht="27.75" customHeight="1" x14ac:dyDescent="0.45">
      <c r="A118" s="3">
        <v>9</v>
      </c>
      <c r="B118" s="14" t="s">
        <v>296</v>
      </c>
      <c r="C118" s="9" t="s">
        <v>292</v>
      </c>
      <c r="D118" s="13" t="s">
        <v>293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294</v>
      </c>
      <c r="T118" s="12" t="s">
        <v>136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262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295</v>
      </c>
      <c r="AG118" s="1" t="s">
        <v>120</v>
      </c>
      <c r="AH118" s="1" t="s">
        <v>68</v>
      </c>
      <c r="AI118" s="1">
        <v>4</v>
      </c>
      <c r="AJ118" s="3" t="s">
        <v>136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263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120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263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342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178.00067625600002</v>
      </c>
      <c r="Q120" s="10">
        <v>0</v>
      </c>
      <c r="R120" s="10">
        <v>178.00067625600002</v>
      </c>
      <c r="S120" s="9" t="s">
        <v>127</v>
      </c>
      <c r="T120" s="12">
        <v>45842</v>
      </c>
      <c r="U120" s="11">
        <v>6500</v>
      </c>
      <c r="V120" s="10">
        <v>0</v>
      </c>
      <c r="W120" s="10">
        <v>6500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45842</v>
      </c>
      <c r="AK120" s="3">
        <v>0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45841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45820</v>
      </c>
      <c r="B121" s="14" t="s">
        <v>349</v>
      </c>
      <c r="C121" s="9" t="s">
        <v>244</v>
      </c>
      <c r="D121" s="13" t="s">
        <v>343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178.00067625600002</v>
      </c>
      <c r="Q121" s="10">
        <v>0</v>
      </c>
      <c r="R121" s="10">
        <v>178.00067625600002</v>
      </c>
      <c r="S121" s="9" t="s">
        <v>127</v>
      </c>
      <c r="T121" s="12">
        <v>45842</v>
      </c>
      <c r="U121" s="11">
        <v>6500</v>
      </c>
      <c r="V121" s="10">
        <v>0</v>
      </c>
      <c r="W121" s="10">
        <v>6500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45842</v>
      </c>
      <c r="AK121" s="3">
        <v>0</v>
      </c>
      <c r="AL121" s="3">
        <v>45832</v>
      </c>
      <c r="AM121" s="3">
        <v>45839</v>
      </c>
      <c r="AN121" s="3">
        <v>45840</v>
      </c>
      <c r="AO121" s="3">
        <v>45840</v>
      </c>
      <c r="AP121" s="3">
        <v>45837</v>
      </c>
      <c r="AQ121" s="3">
        <v>45841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45820</v>
      </c>
      <c r="B122" s="14" t="s">
        <v>349</v>
      </c>
      <c r="C122" s="9" t="s">
        <v>244</v>
      </c>
      <c r="D122" s="13" t="s">
        <v>220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45842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 t="s">
        <v>139</v>
      </c>
      <c r="B123" s="14" t="s">
        <v>139</v>
      </c>
      <c r="C123" s="9" t="s">
        <v>237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2965.6913</v>
      </c>
    </row>
    <row r="124" spans="1:56" ht="27.75" customHeight="1" x14ac:dyDescent="0.45">
      <c r="A124" s="3" t="s">
        <v>139</v>
      </c>
      <c r="B124" s="14" t="s">
        <v>139</v>
      </c>
      <c r="C124" s="9" t="s">
        <v>244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127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237</v>
      </c>
      <c r="D126" s="13" t="s">
        <v>61</v>
      </c>
      <c r="E126" s="9">
        <v>23</v>
      </c>
      <c r="F126" s="9">
        <v>34</v>
      </c>
      <c r="G126" s="9" t="s">
        <v>183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185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184</v>
      </c>
      <c r="BD126" s="56">
        <v>800.41704844444439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183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185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184</v>
      </c>
      <c r="BD127" s="56">
        <v>0</v>
      </c>
    </row>
    <row r="128" spans="1:56" ht="27.75" customHeight="1" x14ac:dyDescent="0.45">
      <c r="A128" s="3">
        <v>45839</v>
      </c>
      <c r="B128" s="14" t="s">
        <v>437</v>
      </c>
      <c r="C128" s="9" t="s">
        <v>426</v>
      </c>
      <c r="D128" s="13" t="s">
        <v>284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232</v>
      </c>
      <c r="AA128" s="8">
        <v>10756.900000000001</v>
      </c>
      <c r="AB128" s="8">
        <v>7327</v>
      </c>
      <c r="AC128" s="8">
        <v>3429.9000000000015</v>
      </c>
      <c r="AD128" s="8">
        <v>0</v>
      </c>
      <c r="AE128" s="8">
        <v>0</v>
      </c>
      <c r="AF128" s="8" t="s">
        <v>427</v>
      </c>
      <c r="AG128" s="1" t="s">
        <v>118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428</v>
      </c>
      <c r="AZ128" s="2">
        <v>0</v>
      </c>
      <c r="BA128" s="2">
        <v>0</v>
      </c>
      <c r="BB128" s="2">
        <v>0</v>
      </c>
      <c r="BC128" s="1" t="s">
        <v>107</v>
      </c>
      <c r="BD128" s="56">
        <v>302.40285000000011</v>
      </c>
    </row>
    <row r="129" spans="1:56" ht="27.75" customHeight="1" x14ac:dyDescent="0.45">
      <c r="A129" s="3">
        <v>45839</v>
      </c>
      <c r="B129" s="14" t="s">
        <v>437</v>
      </c>
      <c r="C129" s="9" t="s">
        <v>426</v>
      </c>
      <c r="D129" s="13" t="s">
        <v>429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>
        <v>0</v>
      </c>
      <c r="AG129" s="1" t="s">
        <v>118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428</v>
      </c>
      <c r="AZ129" s="2">
        <v>0</v>
      </c>
      <c r="BA129" s="2">
        <v>0</v>
      </c>
      <c r="BB129" s="2">
        <v>0</v>
      </c>
      <c r="BC129" s="1" t="s">
        <v>107</v>
      </c>
      <c r="BD129" s="56">
        <v>474.2000083333333</v>
      </c>
    </row>
    <row r="130" spans="1:56" ht="27.75" customHeight="1" x14ac:dyDescent="0.45">
      <c r="A130" s="3">
        <v>45727</v>
      </c>
      <c r="B130" s="14" t="s">
        <v>275</v>
      </c>
      <c r="C130" s="9" t="s">
        <v>114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211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232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234</v>
      </c>
      <c r="AG130" s="1" t="s">
        <v>118</v>
      </c>
      <c r="AH130" s="1" t="s">
        <v>153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150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107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232</v>
      </c>
      <c r="AA131" s="8">
        <v>17294.86</v>
      </c>
      <c r="AB131" s="8">
        <v>8486.51</v>
      </c>
      <c r="AC131" s="8">
        <v>8808.3500000000022</v>
      </c>
      <c r="AD131" s="8">
        <v>1159.5100000000002</v>
      </c>
      <c r="AE131" s="8">
        <v>0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233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109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113.49115882367998</v>
      </c>
      <c r="Q132" s="10">
        <v>0</v>
      </c>
      <c r="R132" s="10">
        <v>113.49115882367998</v>
      </c>
      <c r="S132" s="9" t="s">
        <v>99</v>
      </c>
      <c r="T132" s="12">
        <v>45842</v>
      </c>
      <c r="U132" s="11">
        <v>51600</v>
      </c>
      <c r="V132" s="10">
        <v>48115</v>
      </c>
      <c r="W132" s="10">
        <v>3485</v>
      </c>
      <c r="X132" s="10">
        <v>51520</v>
      </c>
      <c r="Y132" s="10">
        <v>84</v>
      </c>
      <c r="Z132" s="9" t="s">
        <v>100</v>
      </c>
      <c r="AA132" s="8">
        <v>90.357960000000006</v>
      </c>
      <c r="AB132" s="8">
        <v>90.357960000000006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375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119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99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259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0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99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100</v>
      </c>
      <c r="AA135" s="8">
        <v>46067.499940000009</v>
      </c>
      <c r="AB135" s="8">
        <v>44098</v>
      </c>
      <c r="AC135" s="8">
        <v>1969.4999400000088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116</v>
      </c>
      <c r="BD135" s="56">
        <v>252.3000543971178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149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99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100</v>
      </c>
      <c r="AA136" s="8">
        <v>474678.33182000002</v>
      </c>
      <c r="AB136" s="8">
        <v>0</v>
      </c>
      <c r="AC136" s="8">
        <v>474678.33182000002</v>
      </c>
      <c r="AD136" s="8">
        <v>0</v>
      </c>
      <c r="AE136" s="8">
        <v>0</v>
      </c>
      <c r="AF136" s="8" t="s">
        <v>260</v>
      </c>
      <c r="AG136" s="1" t="s">
        <v>118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60808.008422340245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100</v>
      </c>
      <c r="AA137" s="8">
        <v>520836.18972000002</v>
      </c>
      <c r="AB137" s="8">
        <v>44188.357960000001</v>
      </c>
      <c r="AC137" s="8">
        <v>476647.83176000003</v>
      </c>
      <c r="AD137" s="8">
        <v>0</v>
      </c>
      <c r="AE137" s="8">
        <v>0</v>
      </c>
      <c r="AF137" s="8" t="s">
        <v>58</v>
      </c>
      <c r="AG137" s="1" t="s">
        <v>118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117</v>
      </c>
      <c r="BD137" s="56">
        <v>0</v>
      </c>
    </row>
    <row r="138" spans="1:56" ht="27.75" customHeight="1" x14ac:dyDescent="0.45">
      <c r="A138" s="3" t="s">
        <v>139</v>
      </c>
      <c r="B138" s="14" t="s">
        <v>139</v>
      </c>
      <c r="C138" s="9" t="s">
        <v>190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196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767.03992444444452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0</v>
      </c>
    </row>
    <row r="140" spans="1:56" ht="27.75" customHeight="1" x14ac:dyDescent="0.45">
      <c r="A140" s="3">
        <v>45839</v>
      </c>
      <c r="B140" s="14" t="s">
        <v>132</v>
      </c>
      <c r="C140" s="9" t="s">
        <v>143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4500</v>
      </c>
      <c r="AC140" s="8">
        <v>6815.7000000000007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612.35278000000017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154</v>
      </c>
      <c r="AA141" s="8">
        <v>11315.7</v>
      </c>
      <c r="AB141" s="8">
        <v>4500</v>
      </c>
      <c r="AC141" s="8">
        <v>6815.7000000000007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45">
      <c r="A142" s="3" t="s">
        <v>139</v>
      </c>
      <c r="B142" s="14" t="s">
        <v>139</v>
      </c>
      <c r="C142" s="9" t="s">
        <v>112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113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212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121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213</v>
      </c>
      <c r="BD143" s="56">
        <v>0</v>
      </c>
    </row>
    <row r="144" spans="1:56" ht="27.75" customHeight="1" x14ac:dyDescent="0.45">
      <c r="A144" s="3">
        <v>45835</v>
      </c>
      <c r="B144" s="14" t="s">
        <v>414</v>
      </c>
      <c r="C144" s="9" t="s">
        <v>112</v>
      </c>
      <c r="D144" s="13" t="s">
        <v>229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45846</v>
      </c>
      <c r="U144" s="11">
        <v>10000</v>
      </c>
      <c r="V144" s="10">
        <v>0</v>
      </c>
      <c r="W144" s="10">
        <v>10000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234</v>
      </c>
      <c r="AG144" s="1" t="s">
        <v>119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383</v>
      </c>
      <c r="C145" s="9" t="s">
        <v>112</v>
      </c>
      <c r="D145" s="13" t="s">
        <v>151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45852</v>
      </c>
      <c r="U145" s="11">
        <v>1500</v>
      </c>
      <c r="V145" s="10">
        <v>0</v>
      </c>
      <c r="W145" s="10">
        <v>1500</v>
      </c>
      <c r="X145" s="10">
        <v>33755</v>
      </c>
      <c r="Y145" s="10">
        <v>0</v>
      </c>
      <c r="Z145" s="9" t="s">
        <v>88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119</v>
      </c>
      <c r="AH145" s="1" t="s">
        <v>75</v>
      </c>
      <c r="AI145" s="1">
        <v>4</v>
      </c>
      <c r="AJ145" s="3">
        <v>45852</v>
      </c>
      <c r="AK145" s="3">
        <v>45848</v>
      </c>
      <c r="AL145" s="3">
        <v>45841</v>
      </c>
      <c r="AM145" s="3">
        <v>45849</v>
      </c>
      <c r="AN145" s="3">
        <v>45850</v>
      </c>
      <c r="AO145" s="3">
        <v>45851</v>
      </c>
      <c r="AP145" s="3">
        <v>45847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7.75" customHeight="1" x14ac:dyDescent="0.45">
      <c r="A146" s="3">
        <v>45832</v>
      </c>
      <c r="B146" s="14" t="s">
        <v>384</v>
      </c>
      <c r="C146" s="9" t="s">
        <v>112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45847</v>
      </c>
      <c r="U146" s="11">
        <v>15000</v>
      </c>
      <c r="V146" s="10">
        <v>0</v>
      </c>
      <c r="W146" s="10">
        <v>15000</v>
      </c>
      <c r="X146" s="10">
        <v>0</v>
      </c>
      <c r="Y146" s="10">
        <v>0</v>
      </c>
      <c r="Z146" s="9" t="s">
        <v>88</v>
      </c>
      <c r="AA146" s="8">
        <v>18649.949999999997</v>
      </c>
      <c r="AB146" s="8">
        <v>9788</v>
      </c>
      <c r="AC146" s="8">
        <v>8861.9499999999971</v>
      </c>
      <c r="AD146" s="8">
        <v>0</v>
      </c>
      <c r="AE146" s="8">
        <v>18649.949999999997</v>
      </c>
      <c r="AF146" s="8" t="s">
        <v>234</v>
      </c>
      <c r="AG146" s="1" t="s">
        <v>61</v>
      </c>
      <c r="AH146" s="1" t="s">
        <v>153</v>
      </c>
      <c r="AI146" s="1">
        <v>2</v>
      </c>
      <c r="AJ146" s="3">
        <v>45847</v>
      </c>
      <c r="AK146" s="3">
        <v>45845</v>
      </c>
      <c r="AL146" s="3">
        <v>0</v>
      </c>
      <c r="AM146" s="3">
        <v>0</v>
      </c>
      <c r="AN146" s="3">
        <v>0</v>
      </c>
      <c r="AO146" s="3">
        <v>45846</v>
      </c>
      <c r="AP146" s="3">
        <v>45842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150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913.96244333333311</v>
      </c>
    </row>
    <row r="147" spans="1:56" ht="27.75" customHeight="1" x14ac:dyDescent="0.45">
      <c r="A147" s="3">
        <v>45832</v>
      </c>
      <c r="B147" s="14" t="s">
        <v>385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119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>
        <v>45832</v>
      </c>
      <c r="B148" s="14" t="s">
        <v>386</v>
      </c>
      <c r="C148" s="9" t="s">
        <v>112</v>
      </c>
      <c r="D148" s="13" t="s">
        <v>151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3846.8630200000002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118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45832</v>
      </c>
      <c r="B150" s="14" t="s">
        <v>387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121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2564.5753466666665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142982.94999999998</v>
      </c>
      <c r="AB151" s="8">
        <v>9788</v>
      </c>
      <c r="AC151" s="8">
        <v>133194.94999999998</v>
      </c>
      <c r="AD151" s="8">
        <v>0</v>
      </c>
      <c r="AE151" s="8">
        <v>142982.94999999998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3000</v>
      </c>
      <c r="AC153" s="8">
        <v>56372.5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6335.6426388888885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66147.95</v>
      </c>
      <c r="AB154" s="8">
        <v>10020</v>
      </c>
      <c r="AC154" s="8">
        <v>56372.5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10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E081-2068-4F45-B582-05356BA9A38B}">
  <sheetPr>
    <tabColor rgb="FFFFFF00"/>
  </sheetPr>
  <dimension ref="A1:BD160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0" t="s">
        <v>52</v>
      </c>
      <c r="F3" s="80"/>
      <c r="G3" s="81">
        <v>9.57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119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45840</v>
      </c>
      <c r="B88" s="14" t="s">
        <v>438</v>
      </c>
      <c r="C88" s="9" t="s">
        <v>85</v>
      </c>
      <c r="D88" s="13" t="s">
        <v>439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45875</v>
      </c>
      <c r="U88" s="11">
        <v>13000</v>
      </c>
      <c r="V88" s="10">
        <v>0</v>
      </c>
      <c r="W88" s="10">
        <v>13000</v>
      </c>
      <c r="X88" s="10">
        <v>0</v>
      </c>
      <c r="Y88" s="10">
        <v>13650</v>
      </c>
      <c r="Z88" s="9" t="s">
        <v>81</v>
      </c>
      <c r="AA88" s="8">
        <v>13983.970000000001</v>
      </c>
      <c r="AB88" s="8">
        <v>0</v>
      </c>
      <c r="AC88" s="8">
        <v>13983.970000000001</v>
      </c>
      <c r="AD88" s="8">
        <v>0</v>
      </c>
      <c r="AE88" s="8">
        <v>0</v>
      </c>
      <c r="AF88" s="8" t="s">
        <v>440</v>
      </c>
      <c r="AG88" s="1" t="s">
        <v>61</v>
      </c>
      <c r="AH88" s="1" t="s">
        <v>74</v>
      </c>
      <c r="AI88" s="1">
        <v>2</v>
      </c>
      <c r="AJ88" s="3">
        <v>45875</v>
      </c>
      <c r="AK88" s="3">
        <v>0</v>
      </c>
      <c r="AL88" s="3">
        <v>45866</v>
      </c>
      <c r="AM88" s="3">
        <v>45873</v>
      </c>
      <c r="AN88" s="3">
        <v>45874</v>
      </c>
      <c r="AO88" s="3">
        <v>45874</v>
      </c>
      <c r="AP88" s="3">
        <v>45870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1068.996817777778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331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>
        <v>45834</v>
      </c>
      <c r="B90" s="14" t="s">
        <v>413</v>
      </c>
      <c r="C90" s="9" t="s">
        <v>85</v>
      </c>
      <c r="D90" s="13" t="s">
        <v>408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238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227</v>
      </c>
      <c r="AG90" s="1" t="s">
        <v>118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411.15262222222225</v>
      </c>
    </row>
    <row r="91" spans="1:56" ht="27.75" customHeight="1" x14ac:dyDescent="0.45">
      <c r="A91" s="3" t="s">
        <v>139</v>
      </c>
      <c r="B91" s="14" t="s">
        <v>139</v>
      </c>
      <c r="C91" s="9" t="s">
        <v>145</v>
      </c>
      <c r="D91" s="13" t="s">
        <v>61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211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45868</v>
      </c>
      <c r="U91" s="11">
        <v>55000</v>
      </c>
      <c r="V91" s="10">
        <v>0</v>
      </c>
      <c r="W91" s="10">
        <v>55000</v>
      </c>
      <c r="X91" s="10">
        <v>0</v>
      </c>
      <c r="Y91" s="10">
        <v>57750</v>
      </c>
      <c r="Z91" s="9" t="s">
        <v>81</v>
      </c>
      <c r="AA91" s="8">
        <v>57626.250000000007</v>
      </c>
      <c r="AB91" s="8">
        <v>0</v>
      </c>
      <c r="AC91" s="8">
        <v>57626.250000000007</v>
      </c>
      <c r="AD91" s="8">
        <v>0</v>
      </c>
      <c r="AE91" s="8">
        <v>0</v>
      </c>
      <c r="AF91" s="8" t="s">
        <v>228</v>
      </c>
      <c r="AG91" s="1" t="s">
        <v>118</v>
      </c>
      <c r="AH91" s="1" t="s">
        <v>74</v>
      </c>
      <c r="AI91" s="1">
        <v>2</v>
      </c>
      <c r="AJ91" s="3">
        <v>45868</v>
      </c>
      <c r="AK91" s="3">
        <v>0</v>
      </c>
      <c r="AL91" s="3">
        <v>45859</v>
      </c>
      <c r="AM91" s="3">
        <v>45866</v>
      </c>
      <c r="AN91" s="3">
        <v>45867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4405.2066666666669</v>
      </c>
    </row>
    <row r="92" spans="1:56" ht="27.75" customHeight="1" x14ac:dyDescent="0.45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349454.31474250008</v>
      </c>
      <c r="AB92" s="8">
        <v>73085.696475000004</v>
      </c>
      <c r="AC92" s="8">
        <v>276368.61826750007</v>
      </c>
      <c r="AD92" s="8">
        <v>0</v>
      </c>
      <c r="AE92" s="8">
        <v>0</v>
      </c>
      <c r="AF92" s="8" t="s">
        <v>58</v>
      </c>
      <c r="AG92" s="1" t="s">
        <v>118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119</v>
      </c>
      <c r="AH93" s="1" t="s">
        <v>77</v>
      </c>
      <c r="AI93" s="1">
        <v>1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>
        <v>45841</v>
      </c>
      <c r="B94" s="14" t="s">
        <v>132</v>
      </c>
      <c r="C94" s="9" t="s">
        <v>179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>
        <v>22</v>
      </c>
      <c r="N94" s="9">
        <v>41</v>
      </c>
      <c r="O94" s="9">
        <v>40</v>
      </c>
      <c r="P94" s="10">
        <v>111.26584198399999</v>
      </c>
      <c r="Q94" s="10">
        <v>0</v>
      </c>
      <c r="R94" s="10">
        <v>111.26584198399999</v>
      </c>
      <c r="S94" s="9" t="s">
        <v>71</v>
      </c>
      <c r="T94" s="12">
        <v>45843</v>
      </c>
      <c r="U94" s="11">
        <v>5000</v>
      </c>
      <c r="V94" s="10">
        <v>0</v>
      </c>
      <c r="W94" s="10">
        <v>5000</v>
      </c>
      <c r="X94" s="10">
        <v>0</v>
      </c>
      <c r="Y94" s="10">
        <v>0</v>
      </c>
      <c r="Z94" s="9" t="s">
        <v>134</v>
      </c>
      <c r="AA94" s="8">
        <v>5518.15</v>
      </c>
      <c r="AB94" s="8">
        <v>5518.15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316</v>
      </c>
      <c r="AI94" s="1">
        <v>2</v>
      </c>
      <c r="AJ94" s="3">
        <v>45843</v>
      </c>
      <c r="AK94" s="3">
        <v>0</v>
      </c>
      <c r="AL94" s="3">
        <v>0</v>
      </c>
      <c r="AM94" s="3">
        <v>0</v>
      </c>
      <c r="AN94" s="3">
        <v>0</v>
      </c>
      <c r="AO94" s="3">
        <v>45841</v>
      </c>
      <c r="AP94" s="3">
        <v>45838</v>
      </c>
      <c r="AQ94" s="3">
        <v>45842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45841</v>
      </c>
      <c r="B95" s="14" t="s">
        <v>132</v>
      </c>
      <c r="C95" s="9" t="s">
        <v>179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>
        <v>22</v>
      </c>
      <c r="N95" s="9">
        <v>41</v>
      </c>
      <c r="O95" s="9">
        <v>40</v>
      </c>
      <c r="P95" s="10">
        <v>556.32920991999993</v>
      </c>
      <c r="Q95" s="10">
        <v>0</v>
      </c>
      <c r="R95" s="10">
        <v>556.32920991999993</v>
      </c>
      <c r="S95" s="9" t="s">
        <v>71</v>
      </c>
      <c r="T95" s="12">
        <v>45852</v>
      </c>
      <c r="U95" s="11">
        <v>25000</v>
      </c>
      <c r="V95" s="10">
        <v>0</v>
      </c>
      <c r="W95" s="10">
        <v>25000</v>
      </c>
      <c r="X95" s="10">
        <v>0</v>
      </c>
      <c r="Y95" s="10">
        <v>0</v>
      </c>
      <c r="Z95" s="9" t="s">
        <v>134</v>
      </c>
      <c r="AA95" s="8">
        <v>27590.75</v>
      </c>
      <c r="AB95" s="8">
        <v>3894</v>
      </c>
      <c r="AC95" s="8">
        <v>23696.75</v>
      </c>
      <c r="AD95" s="8">
        <v>0</v>
      </c>
      <c r="AE95" s="8">
        <v>0</v>
      </c>
      <c r="AF95" s="8">
        <v>0</v>
      </c>
      <c r="AG95" s="1" t="s">
        <v>118</v>
      </c>
      <c r="AH95" s="1" t="s">
        <v>316</v>
      </c>
      <c r="AI95" s="1">
        <v>2</v>
      </c>
      <c r="AJ95" s="3">
        <v>45852</v>
      </c>
      <c r="AK95" s="3">
        <v>0</v>
      </c>
      <c r="AL95" s="3">
        <v>0</v>
      </c>
      <c r="AM95" s="3">
        <v>0</v>
      </c>
      <c r="AN95" s="3">
        <v>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1617.3031874999997</v>
      </c>
    </row>
    <row r="96" spans="1:56" ht="27.75" customHeight="1" x14ac:dyDescent="0.45">
      <c r="A96" s="3" t="s">
        <v>139</v>
      </c>
      <c r="B96" s="14" t="s">
        <v>139</v>
      </c>
      <c r="C96" s="9" t="s">
        <v>221</v>
      </c>
      <c r="D96" s="13" t="s">
        <v>321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195.39367372799995</v>
      </c>
      <c r="Q96" s="10">
        <v>0</v>
      </c>
      <c r="R96" s="10">
        <v>195.39367372799995</v>
      </c>
      <c r="S96" s="9" t="s">
        <v>71</v>
      </c>
      <c r="T96" s="12">
        <v>45852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134</v>
      </c>
      <c r="AA96" s="8">
        <v>9918.7000000000007</v>
      </c>
      <c r="AB96" s="8">
        <v>9918.7000000000007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134</v>
      </c>
      <c r="AA97" s="8">
        <v>59582.05</v>
      </c>
      <c r="AB97" s="8">
        <v>19330.849999999999</v>
      </c>
      <c r="AC97" s="8">
        <v>40251.199999999997</v>
      </c>
      <c r="AD97" s="8">
        <v>0</v>
      </c>
      <c r="AE97" s="8">
        <v>0</v>
      </c>
      <c r="AF97" s="8" t="s">
        <v>58</v>
      </c>
      <c r="AG97" s="1" t="s">
        <v>118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45841</v>
      </c>
      <c r="B98" s="14" t="s">
        <v>132</v>
      </c>
      <c r="C98" s="9" t="s">
        <v>441</v>
      </c>
      <c r="D98" s="13" t="s">
        <v>442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443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443</v>
      </c>
      <c r="AA99" s="8">
        <v>5951.22</v>
      </c>
      <c r="AB99" s="8">
        <v>5951.22</v>
      </c>
      <c r="AC99" s="8">
        <v>0</v>
      </c>
      <c r="AD99" s="8">
        <v>0</v>
      </c>
      <c r="AE99" s="8">
        <v>0</v>
      </c>
      <c r="AF99" s="8" t="s">
        <v>58</v>
      </c>
      <c r="AG99" s="1" t="s">
        <v>120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444</v>
      </c>
      <c r="BD99" s="56">
        <v>0</v>
      </c>
    </row>
    <row r="100" spans="1:56" ht="27.75" customHeight="1" x14ac:dyDescent="0.45">
      <c r="A100" s="3">
        <v>45833</v>
      </c>
      <c r="B100" s="14" t="s">
        <v>409</v>
      </c>
      <c r="C100" s="9" t="s">
        <v>110</v>
      </c>
      <c r="D100" s="13" t="s">
        <v>398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65.13122457599998</v>
      </c>
      <c r="Q100" s="10">
        <v>0</v>
      </c>
      <c r="R100" s="10">
        <v>65.13122457599998</v>
      </c>
      <c r="S100" s="9" t="s">
        <v>67</v>
      </c>
      <c r="T100" s="12">
        <v>45842</v>
      </c>
      <c r="U100" s="11">
        <v>3000</v>
      </c>
      <c r="V100" s="10">
        <v>0</v>
      </c>
      <c r="W100" s="10">
        <v>3000</v>
      </c>
      <c r="X100" s="10">
        <v>3300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45842</v>
      </c>
      <c r="AK100" s="3">
        <v>45838</v>
      </c>
      <c r="AL100" s="3">
        <v>45832</v>
      </c>
      <c r="AM100" s="3">
        <v>45839</v>
      </c>
      <c r="AN100" s="3">
        <v>45840</v>
      </c>
      <c r="AO100" s="3">
        <v>45840</v>
      </c>
      <c r="AP100" s="3">
        <v>45837</v>
      </c>
      <c r="AQ100" s="3">
        <v>45841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410</v>
      </c>
      <c r="C101" s="9" t="s">
        <v>110</v>
      </c>
      <c r="D101" s="13" t="s">
        <v>399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40</v>
      </c>
      <c r="O101" s="9">
        <v>40</v>
      </c>
      <c r="P101" s="10">
        <v>65.13122457599998</v>
      </c>
      <c r="Q101" s="10">
        <v>0</v>
      </c>
      <c r="R101" s="10">
        <v>65.13122457599998</v>
      </c>
      <c r="S101" s="9" t="s">
        <v>67</v>
      </c>
      <c r="T101" s="12">
        <v>45842</v>
      </c>
      <c r="U101" s="11">
        <v>3000</v>
      </c>
      <c r="V101" s="10">
        <v>0</v>
      </c>
      <c r="W101" s="10">
        <v>3000</v>
      </c>
      <c r="X101" s="10">
        <v>3300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120</v>
      </c>
      <c r="AH101" s="1" t="s">
        <v>68</v>
      </c>
      <c r="AI101" s="1">
        <v>4</v>
      </c>
      <c r="AJ101" s="3">
        <v>45842</v>
      </c>
      <c r="AK101" s="3">
        <v>45838</v>
      </c>
      <c r="AL101" s="3">
        <v>45832</v>
      </c>
      <c r="AM101" s="3">
        <v>45839</v>
      </c>
      <c r="AN101" s="3">
        <v>45840</v>
      </c>
      <c r="AO101" s="3">
        <v>45840</v>
      </c>
      <c r="AP101" s="3">
        <v>45837</v>
      </c>
      <c r="AQ101" s="3">
        <v>45841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45831</v>
      </c>
      <c r="B102" s="14" t="s">
        <v>396</v>
      </c>
      <c r="C102" s="9" t="s">
        <v>179</v>
      </c>
      <c r="D102" s="13" t="s">
        <v>382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45842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123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120</v>
      </c>
      <c r="AH102" s="1" t="s">
        <v>68</v>
      </c>
      <c r="AI102" s="1">
        <v>4</v>
      </c>
      <c r="AJ102" s="3">
        <v>45842</v>
      </c>
      <c r="AK102" s="3">
        <v>45838</v>
      </c>
      <c r="AL102" s="3">
        <v>45832</v>
      </c>
      <c r="AM102" s="3">
        <v>45839</v>
      </c>
      <c r="AN102" s="3">
        <v>45840</v>
      </c>
      <c r="AO102" s="3">
        <v>45840</v>
      </c>
      <c r="AP102" s="3">
        <v>45837</v>
      </c>
      <c r="AQ102" s="3">
        <v>45841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45839</v>
      </c>
      <c r="B103" s="14" t="s">
        <v>436</v>
      </c>
      <c r="C103" s="9" t="s">
        <v>110</v>
      </c>
      <c r="D103" s="13" t="s">
        <v>423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>
        <v>45845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123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45845</v>
      </c>
      <c r="AK103" s="3">
        <v>45841</v>
      </c>
      <c r="AL103" s="3">
        <v>45835</v>
      </c>
      <c r="AM103" s="3">
        <v>45842</v>
      </c>
      <c r="AN103" s="3">
        <v>45843</v>
      </c>
      <c r="AO103" s="3">
        <v>45843</v>
      </c>
      <c r="AP103" s="3">
        <v>45840</v>
      </c>
      <c r="AQ103" s="3">
        <v>45844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>
        <v>45826</v>
      </c>
      <c r="B104" s="14" t="s">
        <v>366</v>
      </c>
      <c r="C104" s="9" t="s">
        <v>110</v>
      </c>
      <c r="D104" s="13" t="s">
        <v>317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173.68326553599996</v>
      </c>
      <c r="Q104" s="10">
        <v>0</v>
      </c>
      <c r="R104" s="10">
        <v>173.68326553599996</v>
      </c>
      <c r="S104" s="9" t="s">
        <v>67</v>
      </c>
      <c r="T104" s="12">
        <v>45847</v>
      </c>
      <c r="U104" s="11">
        <v>8000</v>
      </c>
      <c r="V104" s="10">
        <v>0</v>
      </c>
      <c r="W104" s="10">
        <v>8000</v>
      </c>
      <c r="X104" s="10">
        <v>8250</v>
      </c>
      <c r="Y104" s="10">
        <v>0</v>
      </c>
      <c r="Z104" s="9" t="s">
        <v>123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45847</v>
      </c>
      <c r="AK104" s="3">
        <v>45843</v>
      </c>
      <c r="AL104" s="3">
        <v>45837</v>
      </c>
      <c r="AM104" s="3">
        <v>45844</v>
      </c>
      <c r="AN104" s="3">
        <v>45845</v>
      </c>
      <c r="AO104" s="3">
        <v>45845</v>
      </c>
      <c r="AP104" s="3">
        <v>45842</v>
      </c>
      <c r="AQ104" s="3">
        <v>45846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411</v>
      </c>
      <c r="C105" s="9" t="s">
        <v>179</v>
      </c>
      <c r="D105" s="13" t="s">
        <v>338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217.10408191999997</v>
      </c>
      <c r="Q105" s="10">
        <v>0</v>
      </c>
      <c r="R105" s="10">
        <v>217.10408191999997</v>
      </c>
      <c r="S105" s="9" t="s">
        <v>71</v>
      </c>
      <c r="T105" s="12">
        <v>45848</v>
      </c>
      <c r="U105" s="11">
        <v>10000</v>
      </c>
      <c r="V105" s="10">
        <v>0</v>
      </c>
      <c r="W105" s="10">
        <v>10000</v>
      </c>
      <c r="X105" s="10">
        <v>10496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45848</v>
      </c>
      <c r="AK105" s="3">
        <v>45844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45843</v>
      </c>
      <c r="AQ105" s="3">
        <v>45847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45833</v>
      </c>
      <c r="B106" s="14" t="s">
        <v>411</v>
      </c>
      <c r="C106" s="9" t="s">
        <v>179</v>
      </c>
      <c r="D106" s="13" t="s">
        <v>400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217.10408191999997</v>
      </c>
      <c r="Q106" s="10">
        <v>0</v>
      </c>
      <c r="R106" s="10">
        <v>217.10408191999997</v>
      </c>
      <c r="S106" s="9" t="s">
        <v>71</v>
      </c>
      <c r="T106" s="12">
        <v>45848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45848</v>
      </c>
      <c r="AK106" s="3">
        <v>45844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45843</v>
      </c>
      <c r="AQ106" s="3">
        <v>45847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367</v>
      </c>
      <c r="C107" s="9" t="s">
        <v>110</v>
      </c>
      <c r="D107" s="13" t="s">
        <v>368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45868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123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45841</v>
      </c>
      <c r="B108" s="14" t="s">
        <v>445</v>
      </c>
      <c r="C108" s="9" t="s">
        <v>446</v>
      </c>
      <c r="D108" s="13" t="s">
        <v>447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45847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123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386.78226766666666</v>
      </c>
    </row>
    <row r="109" spans="1:56" ht="27.75" customHeight="1" x14ac:dyDescent="0.45">
      <c r="A109" s="3">
        <v>45841</v>
      </c>
      <c r="B109" s="14" t="s">
        <v>445</v>
      </c>
      <c r="C109" s="9" t="s">
        <v>446</v>
      </c>
      <c r="D109" s="13" t="s">
        <v>448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45847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123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119</v>
      </c>
      <c r="AH109" s="1" t="s">
        <v>68</v>
      </c>
      <c r="AI109" s="1">
        <v>4</v>
      </c>
      <c r="AJ109" s="3">
        <v>45847</v>
      </c>
      <c r="AK109" s="3">
        <v>45843</v>
      </c>
      <c r="AL109" s="3">
        <v>45837</v>
      </c>
      <c r="AM109" s="3">
        <v>45844</v>
      </c>
      <c r="AN109" s="3">
        <v>45845</v>
      </c>
      <c r="AO109" s="3">
        <v>45845</v>
      </c>
      <c r="AP109" s="3">
        <v>45842</v>
      </c>
      <c r="AQ109" s="3">
        <v>45846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386.78226766666666</v>
      </c>
    </row>
    <row r="110" spans="1:56" ht="27.75" customHeight="1" x14ac:dyDescent="0.45">
      <c r="A110" s="3" t="s">
        <v>139</v>
      </c>
      <c r="B110" s="14" t="s">
        <v>139</v>
      </c>
      <c r="C110" s="9" t="s">
        <v>114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300000</v>
      </c>
      <c r="V110" s="10">
        <v>0</v>
      </c>
      <c r="W110" s="10">
        <v>300000</v>
      </c>
      <c r="X110" s="10">
        <v>0</v>
      </c>
      <c r="Y110" s="10">
        <v>315000</v>
      </c>
      <c r="Z110" s="9" t="s">
        <v>123</v>
      </c>
      <c r="AA110" s="8">
        <v>322707</v>
      </c>
      <c r="AB110" s="8">
        <v>10000</v>
      </c>
      <c r="AC110" s="8">
        <v>312707</v>
      </c>
      <c r="AD110" s="8">
        <v>0</v>
      </c>
      <c r="AE110" s="8">
        <v>322707</v>
      </c>
      <c r="AF110" s="8">
        <v>0</v>
      </c>
      <c r="AG110" s="1" t="s">
        <v>119</v>
      </c>
      <c r="AH110" s="1" t="s">
        <v>68</v>
      </c>
      <c r="AI110" s="1">
        <v>4</v>
      </c>
      <c r="AJ110" s="3">
        <v>45868</v>
      </c>
      <c r="AK110" s="3">
        <v>45864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22487.802726666665</v>
      </c>
    </row>
    <row r="111" spans="1:56" ht="27.75" customHeight="1" x14ac:dyDescent="0.45">
      <c r="A111" s="3" t="s">
        <v>139</v>
      </c>
      <c r="B111" s="14" t="s">
        <v>139</v>
      </c>
      <c r="C111" s="9" t="s">
        <v>424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434.20816383999994</v>
      </c>
      <c r="Q111" s="10">
        <v>0</v>
      </c>
      <c r="R111" s="10">
        <v>434.20816383999994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123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1547.1290706666666</v>
      </c>
    </row>
    <row r="112" spans="1:56" ht="27.75" customHeight="1" x14ac:dyDescent="0.45">
      <c r="A112" s="3" t="s">
        <v>139</v>
      </c>
      <c r="B112" s="14" t="s">
        <v>139</v>
      </c>
      <c r="C112" s="9" t="s">
        <v>112</v>
      </c>
      <c r="D112" s="13" t="s">
        <v>151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113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123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0</v>
      </c>
    </row>
    <row r="113" spans="1:56" ht="27.75" customHeight="1" x14ac:dyDescent="0.45">
      <c r="A113" s="3">
        <v>45826</v>
      </c>
      <c r="B113" s="14" t="s">
        <v>366</v>
      </c>
      <c r="C113" s="9" t="s">
        <v>110</v>
      </c>
      <c r="D113" s="13" t="s">
        <v>317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151.97285734399995</v>
      </c>
      <c r="Q113" s="10">
        <v>0</v>
      </c>
      <c r="R113" s="10">
        <v>151.97285734399995</v>
      </c>
      <c r="S113" s="9" t="s">
        <v>67</v>
      </c>
      <c r="T113" s="12" t="s">
        <v>63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123</v>
      </c>
      <c r="AA113" s="8">
        <v>7725.41</v>
      </c>
      <c r="AB113" s="8">
        <v>7725.41</v>
      </c>
      <c r="AC113" s="8">
        <v>0</v>
      </c>
      <c r="AD113" s="8">
        <v>0</v>
      </c>
      <c r="AE113" s="8">
        <v>7725.41</v>
      </c>
      <c r="AF113" s="8">
        <v>0</v>
      </c>
      <c r="AG113" s="1" t="s">
        <v>119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45628</v>
      </c>
      <c r="B114" s="14" t="s">
        <v>215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 t="s">
        <v>63</v>
      </c>
      <c r="U114" s="11">
        <v>8000</v>
      </c>
      <c r="V114" s="10">
        <v>0</v>
      </c>
      <c r="W114" s="10">
        <v>8000</v>
      </c>
      <c r="X114" s="10">
        <v>0</v>
      </c>
      <c r="Y114" s="10">
        <v>8400</v>
      </c>
      <c r="Z114" s="9" t="s">
        <v>123</v>
      </c>
      <c r="AA114" s="8">
        <v>8605.52</v>
      </c>
      <c r="AB114" s="8">
        <v>8605.52</v>
      </c>
      <c r="AC114" s="8">
        <v>0</v>
      </c>
      <c r="AD114" s="8">
        <v>0</v>
      </c>
      <c r="AE114" s="8">
        <v>8605.52</v>
      </c>
      <c r="AF114" s="8">
        <v>0</v>
      </c>
      <c r="AG114" s="1" t="s">
        <v>61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239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45631</v>
      </c>
      <c r="B115" s="14" t="s">
        <v>218</v>
      </c>
      <c r="C115" s="9" t="s">
        <v>112</v>
      </c>
      <c r="D115" s="13" t="s">
        <v>151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113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123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240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45631</v>
      </c>
      <c r="B116" s="14" t="s">
        <v>219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123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241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 t="s">
        <v>139</v>
      </c>
      <c r="B117" s="14" t="s">
        <v>139</v>
      </c>
      <c r="C117" s="9" t="s">
        <v>110</v>
      </c>
      <c r="D117" s="13" t="s">
        <v>61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227.95928601599996</v>
      </c>
      <c r="Q117" s="10">
        <v>0</v>
      </c>
      <c r="R117" s="10">
        <v>227.95928601599996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123</v>
      </c>
      <c r="AA117" s="8">
        <v>11595.1</v>
      </c>
      <c r="AB117" s="8">
        <v>0</v>
      </c>
      <c r="AC117" s="8">
        <v>11595.1</v>
      </c>
      <c r="AD117" s="8">
        <v>0</v>
      </c>
      <c r="AE117" s="8">
        <v>11595.1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833.84229133333326</v>
      </c>
    </row>
    <row r="118" spans="1:56" ht="27.75" customHeight="1" x14ac:dyDescent="0.45">
      <c r="A118" s="3">
        <v>45066</v>
      </c>
      <c r="B118" s="14" t="s">
        <v>130</v>
      </c>
      <c r="C118" s="9" t="s">
        <v>79</v>
      </c>
      <c r="D118" s="13" t="s">
        <v>129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123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121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124</v>
      </c>
      <c r="BD118" s="56">
        <v>396.82856033333326</v>
      </c>
    </row>
    <row r="119" spans="1:56" ht="27.75" customHeight="1" x14ac:dyDescent="0.45">
      <c r="A119" s="3">
        <v>45800</v>
      </c>
      <c r="B119" s="14" t="s">
        <v>319</v>
      </c>
      <c r="C119" s="9" t="s">
        <v>79</v>
      </c>
      <c r="D119" s="13" t="s">
        <v>320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5.2886554355711999</v>
      </c>
      <c r="Q119" s="10">
        <v>0</v>
      </c>
      <c r="R119" s="10">
        <v>5.2886554355711999</v>
      </c>
      <c r="S119" s="9" t="s">
        <v>67</v>
      </c>
      <c r="T119" s="12" t="s">
        <v>136</v>
      </c>
      <c r="U119" s="11">
        <v>5000</v>
      </c>
      <c r="V119" s="10">
        <v>4768</v>
      </c>
      <c r="W119" s="10">
        <v>232</v>
      </c>
      <c r="X119" s="10">
        <v>10420</v>
      </c>
      <c r="Y119" s="10">
        <v>0</v>
      </c>
      <c r="Z119" s="9" t="s">
        <v>123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136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>
        <v>0</v>
      </c>
      <c r="H120" s="9">
        <v>0</v>
      </c>
      <c r="I120" s="9">
        <v>74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 t="s">
        <v>82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123</v>
      </c>
      <c r="AA120" s="8">
        <v>453186.8</v>
      </c>
      <c r="AB120" s="8">
        <v>91095.85</v>
      </c>
      <c r="AC120" s="8">
        <v>362090.95</v>
      </c>
      <c r="AD120" s="8">
        <v>17211.04</v>
      </c>
      <c r="AE120" s="8">
        <v>435975.76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45836</v>
      </c>
      <c r="B121" s="14" t="s">
        <v>425</v>
      </c>
      <c r="C121" s="9" t="s">
        <v>333</v>
      </c>
      <c r="D121" s="13" t="s">
        <v>59</v>
      </c>
      <c r="E121" s="9">
        <v>22</v>
      </c>
      <c r="F121" s="9">
        <v>37</v>
      </c>
      <c r="G121" s="9" t="s">
        <v>60</v>
      </c>
      <c r="H121" s="9" t="s">
        <v>66</v>
      </c>
      <c r="I121" s="9">
        <v>120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45843</v>
      </c>
      <c r="U121" s="11">
        <v>5000</v>
      </c>
      <c r="V121" s="10">
        <v>5000</v>
      </c>
      <c r="W121" s="10">
        <v>0</v>
      </c>
      <c r="X121" s="10">
        <v>0</v>
      </c>
      <c r="Y121" s="10">
        <v>0</v>
      </c>
      <c r="Z121" s="9" t="s">
        <v>262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1</v>
      </c>
      <c r="AJ121" s="3">
        <v>45843</v>
      </c>
      <c r="AK121" s="3">
        <v>0</v>
      </c>
      <c r="AL121" s="3">
        <v>0</v>
      </c>
      <c r="AM121" s="3">
        <v>0</v>
      </c>
      <c r="AN121" s="3">
        <v>0</v>
      </c>
      <c r="AO121" s="3">
        <v>45842</v>
      </c>
      <c r="AP121" s="3">
        <v>45838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263</v>
      </c>
      <c r="BD121" s="56">
        <v>0</v>
      </c>
    </row>
    <row r="122" spans="1:56" ht="27.75" customHeight="1" x14ac:dyDescent="0.45">
      <c r="A122" s="3">
        <v>9</v>
      </c>
      <c r="B122" s="14" t="s">
        <v>296</v>
      </c>
      <c r="C122" s="9" t="s">
        <v>292</v>
      </c>
      <c r="D122" s="13" t="s">
        <v>293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294</v>
      </c>
      <c r="T122" s="12" t="s">
        <v>136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262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295</v>
      </c>
      <c r="AG122" s="1" t="s">
        <v>120</v>
      </c>
      <c r="AH122" s="1" t="s">
        <v>68</v>
      </c>
      <c r="AI122" s="1">
        <v>4</v>
      </c>
      <c r="AJ122" s="3" t="s">
        <v>136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263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45820</v>
      </c>
      <c r="B124" s="14" t="s">
        <v>349</v>
      </c>
      <c r="C124" s="9" t="s">
        <v>244</v>
      </c>
      <c r="D124" s="13" t="s">
        <v>342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178.00067625600002</v>
      </c>
      <c r="Q124" s="10">
        <v>0</v>
      </c>
      <c r="R124" s="10">
        <v>178.00067625600002</v>
      </c>
      <c r="S124" s="9" t="s">
        <v>127</v>
      </c>
      <c r="T124" s="12">
        <v>45842</v>
      </c>
      <c r="U124" s="11">
        <v>6500</v>
      </c>
      <c r="V124" s="10">
        <v>0</v>
      </c>
      <c r="W124" s="10">
        <v>6500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45842</v>
      </c>
      <c r="AK124" s="3">
        <v>0</v>
      </c>
      <c r="AL124" s="3">
        <v>45832</v>
      </c>
      <c r="AM124" s="3">
        <v>45839</v>
      </c>
      <c r="AN124" s="3">
        <v>45840</v>
      </c>
      <c r="AO124" s="3">
        <v>45840</v>
      </c>
      <c r="AP124" s="3">
        <v>45837</v>
      </c>
      <c r="AQ124" s="3">
        <v>45841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45820</v>
      </c>
      <c r="B125" s="14" t="s">
        <v>349</v>
      </c>
      <c r="C125" s="9" t="s">
        <v>244</v>
      </c>
      <c r="D125" s="13" t="s">
        <v>343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178.00067625600002</v>
      </c>
      <c r="Q125" s="10">
        <v>0</v>
      </c>
      <c r="R125" s="10">
        <v>178.00067625600002</v>
      </c>
      <c r="S125" s="9" t="s">
        <v>127</v>
      </c>
      <c r="T125" s="12">
        <v>45842</v>
      </c>
      <c r="U125" s="11">
        <v>6500</v>
      </c>
      <c r="V125" s="10">
        <v>0</v>
      </c>
      <c r="W125" s="10">
        <v>6500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45842</v>
      </c>
      <c r="AK125" s="3">
        <v>0</v>
      </c>
      <c r="AL125" s="3">
        <v>45832</v>
      </c>
      <c r="AM125" s="3">
        <v>45839</v>
      </c>
      <c r="AN125" s="3">
        <v>45840</v>
      </c>
      <c r="AO125" s="3">
        <v>45840</v>
      </c>
      <c r="AP125" s="3">
        <v>45837</v>
      </c>
      <c r="AQ125" s="3">
        <v>45841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220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45842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68</v>
      </c>
      <c r="AI126" s="1">
        <v>4</v>
      </c>
      <c r="AJ126" s="3">
        <v>45842</v>
      </c>
      <c r="AK126" s="3">
        <v>45838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139</v>
      </c>
      <c r="B127" s="14" t="s">
        <v>139</v>
      </c>
      <c r="C127" s="9" t="s">
        <v>237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2965.6913</v>
      </c>
    </row>
    <row r="128" spans="1:56" ht="27.75" customHeight="1" x14ac:dyDescent="0.45">
      <c r="A128" s="3" t="s">
        <v>139</v>
      </c>
      <c r="B128" s="14" t="s">
        <v>139</v>
      </c>
      <c r="C128" s="9" t="s">
        <v>244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127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139</v>
      </c>
      <c r="B130" s="14" t="s">
        <v>139</v>
      </c>
      <c r="C130" s="9" t="s">
        <v>237</v>
      </c>
      <c r="D130" s="13" t="s">
        <v>61</v>
      </c>
      <c r="E130" s="9">
        <v>23</v>
      </c>
      <c r="F130" s="9">
        <v>34</v>
      </c>
      <c r="G130" s="9" t="s">
        <v>183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185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184</v>
      </c>
      <c r="BD130" s="56">
        <v>800.41704844444439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183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185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184</v>
      </c>
      <c r="BD131" s="56">
        <v>0</v>
      </c>
    </row>
    <row r="132" spans="1:56" ht="27.75" customHeight="1" x14ac:dyDescent="0.45">
      <c r="A132" s="3">
        <v>45839</v>
      </c>
      <c r="B132" s="14" t="s">
        <v>437</v>
      </c>
      <c r="C132" s="9" t="s">
        <v>426</v>
      </c>
      <c r="D132" s="13" t="s">
        <v>284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232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427</v>
      </c>
      <c r="AG132" s="1" t="s">
        <v>118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428</v>
      </c>
      <c r="AZ132" s="2">
        <v>0</v>
      </c>
      <c r="BA132" s="2">
        <v>0</v>
      </c>
      <c r="BB132" s="2">
        <v>0</v>
      </c>
      <c r="BC132" s="1" t="s">
        <v>107</v>
      </c>
      <c r="BD132" s="56">
        <v>302.40285000000011</v>
      </c>
    </row>
    <row r="133" spans="1:56" ht="27.75" customHeight="1" x14ac:dyDescent="0.45">
      <c r="A133" s="3">
        <v>45839</v>
      </c>
      <c r="B133" s="14" t="s">
        <v>437</v>
      </c>
      <c r="C133" s="9" t="s">
        <v>426</v>
      </c>
      <c r="D133" s="13" t="s">
        <v>429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118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428</v>
      </c>
      <c r="AZ133" s="2">
        <v>0</v>
      </c>
      <c r="BA133" s="2">
        <v>0</v>
      </c>
      <c r="BB133" s="2">
        <v>0</v>
      </c>
      <c r="BC133" s="1" t="s">
        <v>107</v>
      </c>
      <c r="BD133" s="56">
        <v>474.2000083333333</v>
      </c>
    </row>
    <row r="134" spans="1:56" ht="27.75" customHeight="1" x14ac:dyDescent="0.45">
      <c r="A134" s="3">
        <v>45727</v>
      </c>
      <c r="B134" s="14" t="s">
        <v>275</v>
      </c>
      <c r="C134" s="9" t="s">
        <v>114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211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232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234</v>
      </c>
      <c r="AG134" s="1" t="s">
        <v>118</v>
      </c>
      <c r="AH134" s="1" t="s">
        <v>153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150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232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233</v>
      </c>
      <c r="BD135" s="56">
        <v>0</v>
      </c>
    </row>
    <row r="136" spans="1:56" ht="27.75" customHeight="1" x14ac:dyDescent="0.45">
      <c r="A136" s="3">
        <v>45601</v>
      </c>
      <c r="B136" s="14" t="s">
        <v>207</v>
      </c>
      <c r="C136" s="9" t="s">
        <v>93</v>
      </c>
      <c r="D136" s="13" t="s">
        <v>109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99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51520</v>
      </c>
      <c r="Y136" s="10">
        <v>84</v>
      </c>
      <c r="Z136" s="9" t="s">
        <v>100</v>
      </c>
      <c r="AA136" s="8">
        <v>90.357960000000006</v>
      </c>
      <c r="AB136" s="8">
        <v>90.357960000000006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375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45">
      <c r="A137" s="3">
        <v>45601</v>
      </c>
      <c r="B137" s="14" t="s">
        <v>207</v>
      </c>
      <c r="C137" s="9" t="s">
        <v>93</v>
      </c>
      <c r="D137" s="13" t="s">
        <v>149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99</v>
      </c>
      <c r="T137" s="12">
        <v>45845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259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260</v>
      </c>
      <c r="AG137" s="1" t="s">
        <v>119</v>
      </c>
      <c r="AH137" s="1" t="s">
        <v>72</v>
      </c>
      <c r="AI137" s="1">
        <v>3</v>
      </c>
      <c r="AJ137" s="3">
        <v>45845</v>
      </c>
      <c r="AK137" s="3">
        <v>0</v>
      </c>
      <c r="AL137" s="3">
        <v>45835</v>
      </c>
      <c r="AM137" s="3">
        <v>45842</v>
      </c>
      <c r="AN137" s="3">
        <v>45843</v>
      </c>
      <c r="AO137" s="3">
        <v>45843</v>
      </c>
      <c r="AP137" s="3">
        <v>45840</v>
      </c>
      <c r="AQ137" s="3">
        <v>45844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149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99</v>
      </c>
      <c r="T138" s="12">
        <v>45852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259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260</v>
      </c>
      <c r="AG138" s="1" t="s">
        <v>119</v>
      </c>
      <c r="AH138" s="1" t="s">
        <v>72</v>
      </c>
      <c r="AI138" s="1">
        <v>3</v>
      </c>
      <c r="AJ138" s="3">
        <v>45852</v>
      </c>
      <c r="AK138" s="3">
        <v>0</v>
      </c>
      <c r="AL138" s="3">
        <v>45842</v>
      </c>
      <c r="AM138" s="3">
        <v>45849</v>
      </c>
      <c r="AN138" s="3">
        <v>45850</v>
      </c>
      <c r="AO138" s="3">
        <v>45850</v>
      </c>
      <c r="AP138" s="3">
        <v>45847</v>
      </c>
      <c r="AQ138" s="3">
        <v>45851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99</v>
      </c>
      <c r="T139" s="12">
        <v>45860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118</v>
      </c>
      <c r="AH139" s="1" t="s">
        <v>72</v>
      </c>
      <c r="AI139" s="1">
        <v>3</v>
      </c>
      <c r="AJ139" s="3">
        <v>45860</v>
      </c>
      <c r="AK139" s="3">
        <v>0</v>
      </c>
      <c r="AL139" s="3">
        <v>45850</v>
      </c>
      <c r="AM139" s="3">
        <v>45857</v>
      </c>
      <c r="AN139" s="3">
        <v>45858</v>
      </c>
      <c r="AO139" s="3">
        <v>45858</v>
      </c>
      <c r="AP139" s="3">
        <v>45855</v>
      </c>
      <c r="AQ139" s="3">
        <v>45859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1394.6549118458877</v>
      </c>
      <c r="Q140" s="10">
        <v>0</v>
      </c>
      <c r="R140" s="10">
        <v>1394.6549118458877</v>
      </c>
      <c r="S140" s="9" t="s">
        <v>99</v>
      </c>
      <c r="T140" s="12">
        <v>45868</v>
      </c>
      <c r="U140" s="11">
        <v>45000</v>
      </c>
      <c r="V140" s="10">
        <v>2174</v>
      </c>
      <c r="W140" s="10">
        <v>42826</v>
      </c>
      <c r="X140" s="10">
        <v>0</v>
      </c>
      <c r="Y140" s="10">
        <v>44967.3</v>
      </c>
      <c r="Z140" s="9" t="s">
        <v>100</v>
      </c>
      <c r="AA140" s="8">
        <v>46067.499940000009</v>
      </c>
      <c r="AB140" s="8">
        <v>32624</v>
      </c>
      <c r="AC140" s="8">
        <v>13443.499940000009</v>
      </c>
      <c r="AD140" s="8">
        <v>0</v>
      </c>
      <c r="AE140" s="8">
        <v>0</v>
      </c>
      <c r="AF140" s="8" t="s">
        <v>260</v>
      </c>
      <c r="AG140" s="1" t="s">
        <v>118</v>
      </c>
      <c r="AH140" s="1" t="s">
        <v>72</v>
      </c>
      <c r="AI140" s="1">
        <v>3</v>
      </c>
      <c r="AJ140" s="3">
        <v>45868</v>
      </c>
      <c r="AK140" s="3">
        <v>0</v>
      </c>
      <c r="AL140" s="3">
        <v>45858</v>
      </c>
      <c r="AM140" s="3">
        <v>45865</v>
      </c>
      <c r="AN140" s="3">
        <v>45866</v>
      </c>
      <c r="AO140" s="3">
        <v>45866</v>
      </c>
      <c r="AP140" s="3">
        <v>45863</v>
      </c>
      <c r="AQ140" s="3">
        <v>45867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116</v>
      </c>
      <c r="BD140" s="56">
        <v>1722.1608882860069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14370.488259224063</v>
      </c>
      <c r="Q141" s="10">
        <v>0</v>
      </c>
      <c r="R141" s="10">
        <v>14370.488259224063</v>
      </c>
      <c r="S141" s="9" t="s">
        <v>99</v>
      </c>
      <c r="T141" s="12" t="s">
        <v>63</v>
      </c>
      <c r="U141" s="11">
        <v>441278</v>
      </c>
      <c r="V141" s="10">
        <v>0</v>
      </c>
      <c r="W141" s="10">
        <v>441278</v>
      </c>
      <c r="X141" s="10">
        <v>0</v>
      </c>
      <c r="Y141" s="10">
        <v>463341.9</v>
      </c>
      <c r="Z141" s="9" t="s">
        <v>100</v>
      </c>
      <c r="AA141" s="8">
        <v>474678.33182000002</v>
      </c>
      <c r="AB141" s="8">
        <v>0</v>
      </c>
      <c r="AC141" s="8">
        <v>474678.33182000002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116</v>
      </c>
      <c r="BD141" s="56">
        <v>60808.008422340245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128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100</v>
      </c>
      <c r="AA142" s="8">
        <v>520836.18972000002</v>
      </c>
      <c r="AB142" s="8">
        <v>32714.357960000001</v>
      </c>
      <c r="AC142" s="8">
        <v>488121.83176000003</v>
      </c>
      <c r="AD142" s="8">
        <v>0</v>
      </c>
      <c r="AE142" s="8">
        <v>0</v>
      </c>
      <c r="AF142" s="8" t="s">
        <v>58</v>
      </c>
      <c r="AG142" s="1" t="s">
        <v>118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117</v>
      </c>
      <c r="BD142" s="56">
        <v>0</v>
      </c>
    </row>
    <row r="143" spans="1:56" ht="27.75" customHeight="1" x14ac:dyDescent="0.45">
      <c r="A143" s="3" t="s">
        <v>139</v>
      </c>
      <c r="B143" s="14" t="s">
        <v>139</v>
      </c>
      <c r="C143" s="9" t="s">
        <v>190</v>
      </c>
      <c r="D143" s="13" t="s">
        <v>61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229.14349009919997</v>
      </c>
      <c r="Q143" s="10">
        <v>0</v>
      </c>
      <c r="R143" s="10">
        <v>229.14349009919997</v>
      </c>
      <c r="S143" s="9" t="s">
        <v>196</v>
      </c>
      <c r="T143" s="12">
        <v>45868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>
        <v>0</v>
      </c>
      <c r="AG143" s="1" t="s">
        <v>118</v>
      </c>
      <c r="AH143" s="1" t="s">
        <v>72</v>
      </c>
      <c r="AI143" s="1">
        <v>3</v>
      </c>
      <c r="AJ143" s="3">
        <v>45868</v>
      </c>
      <c r="AK143" s="3">
        <v>0</v>
      </c>
      <c r="AL143" s="3">
        <v>45858</v>
      </c>
      <c r="AM143" s="3">
        <v>45865</v>
      </c>
      <c r="AN143" s="3">
        <v>45866</v>
      </c>
      <c r="AO143" s="3">
        <v>45866</v>
      </c>
      <c r="AP143" s="3">
        <v>45863</v>
      </c>
      <c r="AQ143" s="3">
        <v>45867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767.03992444444452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 t="s">
        <v>60</v>
      </c>
      <c r="H144" s="9">
        <v>0</v>
      </c>
      <c r="I144" s="9">
        <v>102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9499.6</v>
      </c>
      <c r="AB144" s="8">
        <v>0</v>
      </c>
      <c r="AC144" s="8">
        <v>9499.6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0</v>
      </c>
    </row>
    <row r="145" spans="1:56" ht="27.75" customHeight="1" x14ac:dyDescent="0.45">
      <c r="A145" s="3">
        <v>45839</v>
      </c>
      <c r="B145" s="14" t="s">
        <v>132</v>
      </c>
      <c r="C145" s="9" t="s">
        <v>143</v>
      </c>
      <c r="D145" s="13" t="s">
        <v>59</v>
      </c>
      <c r="E145" s="9">
        <v>26</v>
      </c>
      <c r="F145" s="9">
        <v>39</v>
      </c>
      <c r="G145" s="9" t="s">
        <v>60</v>
      </c>
      <c r="H145" s="9">
        <v>0</v>
      </c>
      <c r="I145" s="9">
        <v>93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127</v>
      </c>
      <c r="T145" s="12">
        <v>45847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154</v>
      </c>
      <c r="AA145" s="8">
        <v>11315.7</v>
      </c>
      <c r="AB145" s="8">
        <v>3000</v>
      </c>
      <c r="AC145" s="8">
        <v>8315.7000000000007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77</v>
      </c>
      <c r="AI145" s="1">
        <v>1</v>
      </c>
      <c r="AJ145" s="3">
        <v>45847</v>
      </c>
      <c r="AK145" s="3">
        <v>0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747.11944666666682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100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154</v>
      </c>
      <c r="AA146" s="8">
        <v>11315.7</v>
      </c>
      <c r="AB146" s="8">
        <v>3000</v>
      </c>
      <c r="AC146" s="8">
        <v>8315.7000000000007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45">
      <c r="A147" s="3" t="s">
        <v>139</v>
      </c>
      <c r="B147" s="14" t="s">
        <v>139</v>
      </c>
      <c r="C147" s="9" t="s">
        <v>112</v>
      </c>
      <c r="D147" s="13" t="s">
        <v>59</v>
      </c>
      <c r="E147" s="9">
        <v>26</v>
      </c>
      <c r="F147" s="9">
        <v>43</v>
      </c>
      <c r="G147" s="9" t="s">
        <v>60</v>
      </c>
      <c r="H147" s="9">
        <v>0</v>
      </c>
      <c r="I147" s="9">
        <v>116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45868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212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>
        <v>0</v>
      </c>
      <c r="AG147" s="1" t="s">
        <v>122</v>
      </c>
      <c r="AH147" s="1" t="s">
        <v>77</v>
      </c>
      <c r="AI147" s="1">
        <v>1</v>
      </c>
      <c r="AJ147" s="3">
        <v>45868</v>
      </c>
      <c r="AK147" s="3">
        <v>0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116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212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213</v>
      </c>
      <c r="BD148" s="56">
        <v>0</v>
      </c>
    </row>
    <row r="149" spans="1:56" ht="27.75" customHeight="1" x14ac:dyDescent="0.45">
      <c r="A149" s="3">
        <v>45835</v>
      </c>
      <c r="B149" s="14" t="s">
        <v>414</v>
      </c>
      <c r="C149" s="9" t="s">
        <v>112</v>
      </c>
      <c r="D149" s="13" t="s">
        <v>229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45846</v>
      </c>
      <c r="U149" s="11">
        <v>10000</v>
      </c>
      <c r="V149" s="10">
        <v>0</v>
      </c>
      <c r="W149" s="10">
        <v>10000</v>
      </c>
      <c r="X149" s="10">
        <v>12414</v>
      </c>
      <c r="Y149" s="10">
        <v>0</v>
      </c>
      <c r="Z149" s="9" t="s">
        <v>88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234</v>
      </c>
      <c r="AG149" s="1" t="s">
        <v>119</v>
      </c>
      <c r="AH149" s="1" t="s">
        <v>75</v>
      </c>
      <c r="AI149" s="1">
        <v>4</v>
      </c>
      <c r="AJ149" s="3">
        <v>45846</v>
      </c>
      <c r="AK149" s="3">
        <v>45842</v>
      </c>
      <c r="AL149" s="3">
        <v>45835</v>
      </c>
      <c r="AM149" s="3">
        <v>45843</v>
      </c>
      <c r="AN149" s="3">
        <v>45844</v>
      </c>
      <c r="AO149" s="3">
        <v>45845</v>
      </c>
      <c r="AP149" s="3">
        <v>45841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0</v>
      </c>
    </row>
    <row r="150" spans="1:56" ht="27.75" customHeight="1" x14ac:dyDescent="0.45">
      <c r="A150" s="3">
        <v>45832</v>
      </c>
      <c r="B150" s="14" t="s">
        <v>383</v>
      </c>
      <c r="C150" s="9" t="s">
        <v>112</v>
      </c>
      <c r="D150" s="13" t="s">
        <v>151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113</v>
      </c>
      <c r="T150" s="12">
        <v>45842</v>
      </c>
      <c r="U150" s="11">
        <v>30000</v>
      </c>
      <c r="V150" s="10">
        <v>8100</v>
      </c>
      <c r="W150" s="10">
        <v>21900</v>
      </c>
      <c r="X150" s="10">
        <v>16630</v>
      </c>
      <c r="Y150" s="10">
        <v>14038.5</v>
      </c>
      <c r="Z150" s="9" t="s">
        <v>88</v>
      </c>
      <c r="AA150" s="8">
        <v>17454.488204999998</v>
      </c>
      <c r="AB150" s="8">
        <v>17454.488204999998</v>
      </c>
      <c r="AC150" s="8">
        <v>0</v>
      </c>
      <c r="AD150" s="8">
        <v>17454.488204999998</v>
      </c>
      <c r="AE150" s="8">
        <v>0</v>
      </c>
      <c r="AF150" s="8">
        <v>0</v>
      </c>
      <c r="AG150" s="1" t="s">
        <v>119</v>
      </c>
      <c r="AH150" s="1" t="s">
        <v>75</v>
      </c>
      <c r="AI150" s="1">
        <v>4</v>
      </c>
      <c r="AJ150" s="3">
        <v>45842</v>
      </c>
      <c r="AK150" s="3">
        <v>45838</v>
      </c>
      <c r="AL150" s="3">
        <v>45831</v>
      </c>
      <c r="AM150" s="3">
        <v>45839</v>
      </c>
      <c r="AN150" s="3">
        <v>45840</v>
      </c>
      <c r="AO150" s="3">
        <v>45841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106</v>
      </c>
      <c r="BD150" s="56">
        <v>0</v>
      </c>
    </row>
    <row r="151" spans="1:56" ht="27.75" customHeight="1" x14ac:dyDescent="0.45">
      <c r="A151" s="3">
        <v>45832</v>
      </c>
      <c r="B151" s="14" t="s">
        <v>384</v>
      </c>
      <c r="C151" s="9" t="s">
        <v>112</v>
      </c>
      <c r="D151" s="13" t="s">
        <v>59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45847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88</v>
      </c>
      <c r="AA151" s="8">
        <v>18649.949999999997</v>
      </c>
      <c r="AB151" s="8">
        <v>3788</v>
      </c>
      <c r="AC151" s="8">
        <v>14861.949999999997</v>
      </c>
      <c r="AD151" s="8">
        <v>0</v>
      </c>
      <c r="AE151" s="8">
        <v>18649.949999999997</v>
      </c>
      <c r="AF151" s="8" t="s">
        <v>234</v>
      </c>
      <c r="AG151" s="1" t="s">
        <v>61</v>
      </c>
      <c r="AH151" s="1" t="s">
        <v>153</v>
      </c>
      <c r="AI151" s="1">
        <v>2</v>
      </c>
      <c r="AJ151" s="3">
        <v>45847</v>
      </c>
      <c r="AK151" s="3">
        <v>45845</v>
      </c>
      <c r="AL151" s="3">
        <v>0</v>
      </c>
      <c r="AM151" s="3">
        <v>0</v>
      </c>
      <c r="AN151" s="3">
        <v>0</v>
      </c>
      <c r="AO151" s="3">
        <v>45846</v>
      </c>
      <c r="AP151" s="3">
        <v>45842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1532.7624433333333</v>
      </c>
    </row>
    <row r="152" spans="1:56" ht="27.75" customHeight="1" x14ac:dyDescent="0.45">
      <c r="A152" s="3">
        <v>45832</v>
      </c>
      <c r="B152" s="14" t="s">
        <v>385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45852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45852</v>
      </c>
      <c r="AK152" s="3">
        <v>45848</v>
      </c>
      <c r="AL152" s="3">
        <v>45841</v>
      </c>
      <c r="AM152" s="3">
        <v>45849</v>
      </c>
      <c r="AN152" s="3">
        <v>45850</v>
      </c>
      <c r="AO152" s="3">
        <v>45851</v>
      </c>
      <c r="AP152" s="3">
        <v>45847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3846.8630200000002</v>
      </c>
    </row>
    <row r="153" spans="1:56" ht="27.75" customHeight="1" x14ac:dyDescent="0.45">
      <c r="A153" s="3">
        <v>45832</v>
      </c>
      <c r="B153" s="14" t="s">
        <v>386</v>
      </c>
      <c r="C153" s="9" t="s">
        <v>112</v>
      </c>
      <c r="D153" s="13" t="s">
        <v>151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88</v>
      </c>
      <c r="AA153" s="8">
        <v>37299.899999999994</v>
      </c>
      <c r="AB153" s="8">
        <v>0</v>
      </c>
      <c r="AC153" s="8">
        <v>37299.899999999994</v>
      </c>
      <c r="AD153" s="8">
        <v>0</v>
      </c>
      <c r="AE153" s="8">
        <v>37299.899999999994</v>
      </c>
      <c r="AF153" s="8">
        <v>0</v>
      </c>
      <c r="AG153" s="1" t="s">
        <v>118</v>
      </c>
      <c r="AH153" s="1" t="s">
        <v>75</v>
      </c>
      <c r="AI153" s="1">
        <v>4</v>
      </c>
      <c r="AJ153" s="3">
        <v>45863</v>
      </c>
      <c r="AK153" s="3">
        <v>45859</v>
      </c>
      <c r="AL153" s="3">
        <v>45852</v>
      </c>
      <c r="AM153" s="3">
        <v>45860</v>
      </c>
      <c r="AN153" s="3">
        <v>45861</v>
      </c>
      <c r="AO153" s="3">
        <v>45862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3846.8630200000002</v>
      </c>
    </row>
    <row r="154" spans="1:56" ht="27.75" customHeight="1" x14ac:dyDescent="0.45">
      <c r="A154" s="3" t="s">
        <v>139</v>
      </c>
      <c r="B154" s="14" t="s">
        <v>139</v>
      </c>
      <c r="C154" s="9" t="s">
        <v>112</v>
      </c>
      <c r="D154" s="13" t="s">
        <v>61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45868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118</v>
      </c>
      <c r="AH154" s="1" t="s">
        <v>75</v>
      </c>
      <c r="AI154" s="1">
        <v>4</v>
      </c>
      <c r="AJ154" s="3">
        <v>45868</v>
      </c>
      <c r="AK154" s="3">
        <v>45864</v>
      </c>
      <c r="AL154" s="3">
        <v>45857</v>
      </c>
      <c r="AM154" s="3">
        <v>45865</v>
      </c>
      <c r="AN154" s="3">
        <v>45866</v>
      </c>
      <c r="AO154" s="3">
        <v>45867</v>
      </c>
      <c r="AP154" s="3">
        <v>45863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2564.5753466666665</v>
      </c>
    </row>
    <row r="155" spans="1:56" ht="27.75" customHeight="1" x14ac:dyDescent="0.45">
      <c r="A155" s="3">
        <v>45832</v>
      </c>
      <c r="B155" s="14" t="s">
        <v>387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45883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88</v>
      </c>
      <c r="AA155" s="8">
        <v>24866.6</v>
      </c>
      <c r="AB155" s="8">
        <v>0</v>
      </c>
      <c r="AC155" s="8">
        <v>24866.6</v>
      </c>
      <c r="AD155" s="8">
        <v>0</v>
      </c>
      <c r="AE155" s="8">
        <v>24866.6</v>
      </c>
      <c r="AF155" s="8">
        <v>0</v>
      </c>
      <c r="AG155" s="1" t="s">
        <v>121</v>
      </c>
      <c r="AH155" s="1" t="s">
        <v>75</v>
      </c>
      <c r="AI155" s="1">
        <v>4</v>
      </c>
      <c r="AJ155" s="3">
        <v>45883</v>
      </c>
      <c r="AK155" s="3">
        <v>45879</v>
      </c>
      <c r="AL155" s="3">
        <v>45872</v>
      </c>
      <c r="AM155" s="3">
        <v>45880</v>
      </c>
      <c r="AN155" s="3">
        <v>45881</v>
      </c>
      <c r="AO155" s="3">
        <v>45882</v>
      </c>
      <c r="AP155" s="3">
        <v>45878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2564.5753466666665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160437.43820499998</v>
      </c>
      <c r="AB156" s="8">
        <v>21242.488204999998</v>
      </c>
      <c r="AC156" s="8">
        <v>139194.94999999998</v>
      </c>
      <c r="AD156" s="8">
        <v>17454.488204999998</v>
      </c>
      <c r="AE156" s="8">
        <v>142982.94999999998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7.75" customHeight="1" x14ac:dyDescent="0.45">
      <c r="A157" s="3">
        <v>45831</v>
      </c>
      <c r="B157" s="14" t="s">
        <v>388</v>
      </c>
      <c r="C157" s="9" t="s">
        <v>112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45842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131</v>
      </c>
      <c r="AA157" s="8">
        <v>6775.4500000000007</v>
      </c>
      <c r="AB157" s="8">
        <v>6775.4500000000007</v>
      </c>
      <c r="AC157" s="8">
        <v>0</v>
      </c>
      <c r="AD157" s="8">
        <v>1499</v>
      </c>
      <c r="AE157" s="8">
        <v>5276.4500000000007</v>
      </c>
      <c r="AF157" s="8">
        <v>0</v>
      </c>
      <c r="AG157" s="1" t="s">
        <v>118</v>
      </c>
      <c r="AH157" s="1" t="s">
        <v>153</v>
      </c>
      <c r="AI157" s="1">
        <v>2</v>
      </c>
      <c r="AJ157" s="3">
        <v>45842</v>
      </c>
      <c r="AK157" s="3">
        <v>45840</v>
      </c>
      <c r="AL157" s="3">
        <v>0</v>
      </c>
      <c r="AM157" s="3">
        <v>0</v>
      </c>
      <c r="AN157" s="3">
        <v>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150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7.75" customHeight="1" x14ac:dyDescent="0.45">
      <c r="A158" s="3" t="s">
        <v>139</v>
      </c>
      <c r="B158" s="14" t="s">
        <v>139</v>
      </c>
      <c r="C158" s="9" t="s">
        <v>112</v>
      </c>
      <c r="D158" s="13" t="s">
        <v>59</v>
      </c>
      <c r="E158" s="9">
        <v>28</v>
      </c>
      <c r="F158" s="9">
        <v>47</v>
      </c>
      <c r="G158" s="9" t="s">
        <v>60</v>
      </c>
      <c r="H158" s="9" t="s">
        <v>66</v>
      </c>
      <c r="I158" s="9">
        <v>180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45868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131</v>
      </c>
      <c r="AA158" s="8">
        <v>6775.4500000000007</v>
      </c>
      <c r="AB158" s="8">
        <v>7020</v>
      </c>
      <c r="AC158" s="8">
        <v>0</v>
      </c>
      <c r="AD158" s="8">
        <v>0</v>
      </c>
      <c r="AE158" s="8">
        <v>6775.4500000000007</v>
      </c>
      <c r="AF158" s="8">
        <v>0</v>
      </c>
      <c r="AG158" s="1" t="s">
        <v>118</v>
      </c>
      <c r="AH158" s="1" t="s">
        <v>153</v>
      </c>
      <c r="AI158" s="1">
        <v>2</v>
      </c>
      <c r="AJ158" s="3">
        <v>45868</v>
      </c>
      <c r="AK158" s="3">
        <v>45866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 t="s">
        <v>139</v>
      </c>
      <c r="B159" s="14" t="s">
        <v>139</v>
      </c>
      <c r="C159" s="9" t="s">
        <v>155</v>
      </c>
      <c r="D159" s="13" t="s">
        <v>156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45868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131</v>
      </c>
      <c r="AA159" s="8">
        <v>59372.5</v>
      </c>
      <c r="AB159" s="8">
        <v>1500</v>
      </c>
      <c r="AC159" s="8">
        <v>57872.5</v>
      </c>
      <c r="AD159" s="8">
        <v>0</v>
      </c>
      <c r="AE159" s="8">
        <v>0</v>
      </c>
      <c r="AF159" s="8">
        <v>0</v>
      </c>
      <c r="AG159" s="1">
        <v>0</v>
      </c>
      <c r="AH159" s="1" t="s">
        <v>74</v>
      </c>
      <c r="AI159" s="1">
        <v>2</v>
      </c>
      <c r="AJ159" s="3">
        <v>45868</v>
      </c>
      <c r="AK159" s="3">
        <v>0</v>
      </c>
      <c r="AL159" s="3">
        <v>45859</v>
      </c>
      <c r="AM159" s="3">
        <v>45866</v>
      </c>
      <c r="AN159" s="3">
        <v>45867</v>
      </c>
      <c r="AO159" s="3">
        <v>45867</v>
      </c>
      <c r="AP159" s="3">
        <v>45863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6504.2259722222216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131</v>
      </c>
      <c r="AA160" s="8">
        <v>72923.399999999994</v>
      </c>
      <c r="AB160" s="8">
        <v>15295.45</v>
      </c>
      <c r="AC160" s="8">
        <v>57872.5</v>
      </c>
      <c r="AD160" s="8">
        <v>1499</v>
      </c>
      <c r="AE160" s="8">
        <v>12051.900000000001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157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10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zoomScale="80" zoomScaleNormal="80" workbookViewId="0">
      <selection activeCell="O21" sqref="O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45841</v>
      </c>
      <c r="E3" s="80" t="s">
        <v>52</v>
      </c>
      <c r="F3" s="80"/>
      <c r="G3" s="81">
        <v>9.57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176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370</v>
      </c>
      <c r="AZ15" s="2">
        <v>0</v>
      </c>
      <c r="BA15" s="2">
        <v>0</v>
      </c>
      <c r="BB15" s="2">
        <v>0</v>
      </c>
      <c r="BC15" s="1" t="s">
        <v>103</v>
      </c>
      <c r="BD15" s="56">
        <v>217.39999917155558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176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371</v>
      </c>
      <c r="AZ16" s="2">
        <v>0</v>
      </c>
      <c r="BA16" s="2">
        <v>0</v>
      </c>
      <c r="BB16" s="2">
        <v>0</v>
      </c>
      <c r="BC16" s="1" t="s">
        <v>103</v>
      </c>
      <c r="BD16" s="56">
        <v>1258.2413991840001</v>
      </c>
    </row>
    <row r="17" spans="1:56" ht="27.75" customHeight="1" x14ac:dyDescent="0.45">
      <c r="A17" s="3" t="s">
        <v>139</v>
      </c>
      <c r="B17" s="14" t="s">
        <v>139</v>
      </c>
      <c r="C17" s="9" t="s">
        <v>418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127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176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3591.4448533333339</v>
      </c>
    </row>
    <row r="18" spans="1:56" ht="27.75" customHeight="1" x14ac:dyDescent="0.45">
      <c r="A18" s="3" t="s">
        <v>139</v>
      </c>
      <c r="B18" s="14" t="s">
        <v>139</v>
      </c>
      <c r="C18" s="9" t="s">
        <v>271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2556.6217600000009</v>
      </c>
    </row>
    <row r="19" spans="1:56" ht="27.75" customHeight="1" x14ac:dyDescent="0.45">
      <c r="A19" s="3" t="s">
        <v>139</v>
      </c>
      <c r="B19" s="14" t="s">
        <v>139</v>
      </c>
      <c r="C19" s="9" t="s">
        <v>221</v>
      </c>
      <c r="D19" s="13" t="s">
        <v>222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176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45">
      <c r="A21" s="3">
        <v>45833</v>
      </c>
      <c r="B21" s="14" t="s">
        <v>403</v>
      </c>
      <c r="C21" s="9" t="s">
        <v>73</v>
      </c>
      <c r="D21" s="13" t="s">
        <v>392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148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393</v>
      </c>
      <c r="AG21" s="1" t="s">
        <v>118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181</v>
      </c>
      <c r="BD21" s="56">
        <v>0</v>
      </c>
    </row>
    <row r="22" spans="1:56" ht="27.75" customHeight="1" x14ac:dyDescent="0.45">
      <c r="A22" s="3">
        <v>0</v>
      </c>
      <c r="B22" s="14" t="s">
        <v>132</v>
      </c>
      <c r="C22" s="9" t="s">
        <v>73</v>
      </c>
      <c r="D22" s="13" t="s">
        <v>330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119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 t="s">
        <v>139</v>
      </c>
      <c r="B23" s="14" t="s">
        <v>139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180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118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35426.812658488889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119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182</v>
      </c>
      <c r="BD24" s="56">
        <v>0</v>
      </c>
    </row>
    <row r="25" spans="1:56" ht="27.75" customHeight="1" x14ac:dyDescent="0.45">
      <c r="A25" s="3" t="s">
        <v>139</v>
      </c>
      <c r="B25" s="14" t="s">
        <v>139</v>
      </c>
      <c r="C25" s="9" t="s">
        <v>419</v>
      </c>
      <c r="D25" s="13" t="s">
        <v>420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127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235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118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235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236</v>
      </c>
      <c r="BD26" s="56">
        <v>0</v>
      </c>
    </row>
    <row r="27" spans="1:56" ht="27.75" customHeight="1" x14ac:dyDescent="0.45">
      <c r="A27" s="3">
        <v>45825</v>
      </c>
      <c r="B27" s="14" t="s">
        <v>352</v>
      </c>
      <c r="C27" s="9" t="s">
        <v>145</v>
      </c>
      <c r="D27" s="13" t="s">
        <v>353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211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111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115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121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205</v>
      </c>
      <c r="BD27" s="56">
        <v>0</v>
      </c>
    </row>
    <row r="28" spans="1:56" ht="27.75" customHeight="1" x14ac:dyDescent="0.45">
      <c r="A28" s="3">
        <v>45796</v>
      </c>
      <c r="B28" s="14" t="s">
        <v>303</v>
      </c>
      <c r="C28" s="9" t="s">
        <v>145</v>
      </c>
      <c r="D28" s="13" t="s">
        <v>298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211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111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115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119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205</v>
      </c>
      <c r="BD28" s="56">
        <v>0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115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118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206</v>
      </c>
      <c r="BD29" s="56">
        <v>0</v>
      </c>
    </row>
    <row r="30" spans="1:56" ht="27.75" customHeight="1" x14ac:dyDescent="0.45">
      <c r="A30" s="3" t="s">
        <v>139</v>
      </c>
      <c r="B30" s="14" t="s">
        <v>139</v>
      </c>
      <c r="C30" s="9" t="s">
        <v>179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118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104</v>
      </c>
      <c r="BD30" s="56">
        <v>1080.5795000000001</v>
      </c>
    </row>
    <row r="31" spans="1:56" ht="27.75" customHeight="1" x14ac:dyDescent="0.45">
      <c r="A31" s="3">
        <v>45839</v>
      </c>
      <c r="B31" s="14" t="s">
        <v>433</v>
      </c>
      <c r="C31" s="9" t="s">
        <v>421</v>
      </c>
      <c r="D31" s="13" t="s">
        <v>422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144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104</v>
      </c>
      <c r="BD31" s="56">
        <v>660.35413888888888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104</v>
      </c>
      <c r="BD32" s="56">
        <v>0</v>
      </c>
    </row>
    <row r="33" spans="1:56" ht="27.75" customHeight="1" x14ac:dyDescent="0.45">
      <c r="A33" s="3">
        <v>45825</v>
      </c>
      <c r="B33" s="14" t="s">
        <v>355</v>
      </c>
      <c r="C33" s="9" t="s">
        <v>145</v>
      </c>
      <c r="D33" s="13" t="s">
        <v>273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283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111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122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138</v>
      </c>
      <c r="AY33" s="2">
        <v>0</v>
      </c>
      <c r="AZ33" s="2">
        <v>0</v>
      </c>
      <c r="BA33" s="2">
        <v>0</v>
      </c>
      <c r="BB33" s="2">
        <v>0</v>
      </c>
      <c r="BC33" s="1" t="s">
        <v>106</v>
      </c>
      <c r="BD33" s="56">
        <v>0</v>
      </c>
    </row>
    <row r="34" spans="1:56" ht="27.75" customHeight="1" x14ac:dyDescent="0.45">
      <c r="A34" s="3">
        <v>45796</v>
      </c>
      <c r="B34" s="14" t="s">
        <v>304</v>
      </c>
      <c r="C34" s="9" t="s">
        <v>145</v>
      </c>
      <c r="D34" s="13" t="s">
        <v>300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45825</v>
      </c>
      <c r="B35" s="14" t="s">
        <v>354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201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248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120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45721</v>
      </c>
      <c r="B38" s="14" t="s">
        <v>274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45827</v>
      </c>
      <c r="B39" s="14" t="s">
        <v>394</v>
      </c>
      <c r="C39" s="9" t="s">
        <v>145</v>
      </c>
      <c r="D39" s="13" t="s">
        <v>192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211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45782</v>
      </c>
      <c r="B40" s="14" t="s">
        <v>297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45810</v>
      </c>
      <c r="B41" s="14" t="s">
        <v>326</v>
      </c>
      <c r="C41" s="9" t="s">
        <v>79</v>
      </c>
      <c r="D41" s="13" t="s">
        <v>327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45826</v>
      </c>
      <c r="B42" s="14" t="s">
        <v>364</v>
      </c>
      <c r="C42" s="9" t="s">
        <v>110</v>
      </c>
      <c r="D42" s="13" t="s">
        <v>365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45839</v>
      </c>
      <c r="B43" s="14" t="s">
        <v>434</v>
      </c>
      <c r="C43" s="9" t="s">
        <v>332</v>
      </c>
      <c r="D43" s="13" t="s">
        <v>404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573.75377777777794</v>
      </c>
    </row>
    <row r="44" spans="1:56" ht="27.75" customHeight="1" x14ac:dyDescent="0.45">
      <c r="A44" s="3">
        <v>45839</v>
      </c>
      <c r="B44" s="14" t="s">
        <v>435</v>
      </c>
      <c r="C44" s="9" t="s">
        <v>332</v>
      </c>
      <c r="D44" s="13" t="s">
        <v>405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812.74355555555564</v>
      </c>
    </row>
    <row r="45" spans="1:56" ht="27.75" customHeight="1" x14ac:dyDescent="0.45">
      <c r="A45" s="3">
        <v>45839</v>
      </c>
      <c r="B45" s="14" t="s">
        <v>435</v>
      </c>
      <c r="C45" s="9" t="s">
        <v>332</v>
      </c>
      <c r="D45" s="13" t="s">
        <v>406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>
        <v>45839</v>
      </c>
      <c r="B46" s="14" t="s">
        <v>435</v>
      </c>
      <c r="C46" s="9" t="s">
        <v>332</v>
      </c>
      <c r="D46" s="13" t="s">
        <v>407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406.37177777777782</v>
      </c>
    </row>
    <row r="47" spans="1:56" ht="27.75" customHeight="1" x14ac:dyDescent="0.45">
      <c r="A47" s="3" t="s">
        <v>139</v>
      </c>
      <c r="B47" s="14" t="s">
        <v>139</v>
      </c>
      <c r="C47" s="9" t="s">
        <v>145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7916.333333333333</v>
      </c>
    </row>
    <row r="48" spans="1:56" ht="27.75" customHeight="1" x14ac:dyDescent="0.45">
      <c r="A48" s="3" t="s">
        <v>139</v>
      </c>
      <c r="B48" s="14" t="s">
        <v>139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1667.7075555555555</v>
      </c>
    </row>
    <row r="49" spans="1:56" ht="27.75" customHeight="1" x14ac:dyDescent="0.45">
      <c r="A49" s="3" t="s">
        <v>139</v>
      </c>
      <c r="B49" s="14" t="s">
        <v>139</v>
      </c>
      <c r="C49" s="9" t="s">
        <v>97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120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1625.4871111111113</v>
      </c>
    </row>
    <row r="50" spans="1:56" ht="27.75" customHeight="1" x14ac:dyDescent="0.45">
      <c r="A50" s="3" t="s">
        <v>139</v>
      </c>
      <c r="B50" s="14" t="s">
        <v>139</v>
      </c>
      <c r="C50" s="9" t="s">
        <v>356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113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120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8338.5377777777776</v>
      </c>
    </row>
    <row r="51" spans="1:56" ht="27.75" customHeight="1" x14ac:dyDescent="0.45">
      <c r="A51" s="3">
        <v>45799</v>
      </c>
      <c r="B51" s="14" t="s">
        <v>322</v>
      </c>
      <c r="C51" s="9" t="s">
        <v>312</v>
      </c>
      <c r="D51" s="13" t="s">
        <v>314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136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228</v>
      </c>
      <c r="AG51" s="1" t="s">
        <v>118</v>
      </c>
      <c r="AH51" s="1" t="s">
        <v>75</v>
      </c>
      <c r="AI51" s="1">
        <v>4</v>
      </c>
      <c r="AJ51" s="3" t="s">
        <v>136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305</v>
      </c>
      <c r="C52" s="9" t="s">
        <v>145</v>
      </c>
      <c r="D52" s="13" t="s">
        <v>247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308</v>
      </c>
      <c r="C53" s="9" t="s">
        <v>145</v>
      </c>
      <c r="D53" s="13" t="s">
        <v>152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302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309</v>
      </c>
      <c r="C54" s="9" t="s">
        <v>145</v>
      </c>
      <c r="D54" s="13" t="s">
        <v>249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304</v>
      </c>
      <c r="C55" s="9" t="s">
        <v>145</v>
      </c>
      <c r="D55" s="13" t="s">
        <v>299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272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306</v>
      </c>
      <c r="C57" s="9" t="s">
        <v>145</v>
      </c>
      <c r="D57" s="13" t="s">
        <v>301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45796</v>
      </c>
      <c r="B58" s="14" t="s">
        <v>307</v>
      </c>
      <c r="C58" s="9" t="s">
        <v>145</v>
      </c>
      <c r="D58" s="13" t="s">
        <v>135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7.75" customHeight="1" x14ac:dyDescent="0.45">
      <c r="A59" s="3">
        <v>45798</v>
      </c>
      <c r="B59" s="14" t="s">
        <v>318</v>
      </c>
      <c r="C59" s="9" t="s">
        <v>110</v>
      </c>
      <c r="D59" s="13" t="s">
        <v>315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416.92688888888887</v>
      </c>
    </row>
    <row r="60" spans="1:56" ht="27.75" customHeight="1" x14ac:dyDescent="0.45">
      <c r="A60" s="3">
        <v>45782</v>
      </c>
      <c r="B60" s="14" t="s">
        <v>297</v>
      </c>
      <c r="C60" s="9" t="s">
        <v>79</v>
      </c>
      <c r="D60" s="13" t="s">
        <v>280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138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1250.7806666666668</v>
      </c>
    </row>
    <row r="61" spans="1:56" ht="27.75" customHeight="1" x14ac:dyDescent="0.45">
      <c r="A61" s="3">
        <v>45810</v>
      </c>
      <c r="B61" s="14" t="s">
        <v>325</v>
      </c>
      <c r="C61" s="9" t="s">
        <v>79</v>
      </c>
      <c r="D61" s="13" t="s">
        <v>243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416.92688888888887</v>
      </c>
    </row>
    <row r="62" spans="1:56" ht="27.75" customHeight="1" x14ac:dyDescent="0.45">
      <c r="A62" s="3">
        <v>45611</v>
      </c>
      <c r="B62" s="14" t="s">
        <v>210</v>
      </c>
      <c r="C62" s="9" t="s">
        <v>145</v>
      </c>
      <c r="D62" s="13" t="s">
        <v>126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45681</v>
      </c>
      <c r="B63" s="14" t="s">
        <v>253</v>
      </c>
      <c r="C63" s="9" t="s">
        <v>79</v>
      </c>
      <c r="D63" s="13" t="s">
        <v>252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262.82226666666674</v>
      </c>
    </row>
    <row r="64" spans="1:56" ht="27.75" customHeight="1" x14ac:dyDescent="0.45">
      <c r="A64" s="3">
        <v>45674</v>
      </c>
      <c r="B64" s="14" t="s">
        <v>251</v>
      </c>
      <c r="C64" s="9" t="s">
        <v>145</v>
      </c>
      <c r="D64" s="13" t="s">
        <v>250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211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269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45611</v>
      </c>
      <c r="B65" s="14" t="s">
        <v>209</v>
      </c>
      <c r="C65" s="9" t="s">
        <v>145</v>
      </c>
      <c r="D65" s="13" t="s">
        <v>208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45523</v>
      </c>
      <c r="B66" s="14" t="s">
        <v>189</v>
      </c>
      <c r="C66" s="9" t="s">
        <v>145</v>
      </c>
      <c r="D66" s="13" t="s">
        <v>187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188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45741</v>
      </c>
      <c r="B68" s="14" t="s">
        <v>277</v>
      </c>
      <c r="C68" s="9" t="s">
        <v>110</v>
      </c>
      <c r="D68" s="13" t="s">
        <v>276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136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136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281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45720</v>
      </c>
      <c r="B69" s="14" t="s">
        <v>132</v>
      </c>
      <c r="C69" s="9" t="s">
        <v>110</v>
      </c>
      <c r="D69" s="13" t="s">
        <v>226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45541</v>
      </c>
      <c r="B71" s="14" t="s">
        <v>193</v>
      </c>
      <c r="C71" s="9" t="s">
        <v>110</v>
      </c>
      <c r="D71" s="13" t="s">
        <v>194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195</v>
      </c>
      <c r="AG71" s="1" t="s">
        <v>61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245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45581</v>
      </c>
      <c r="B72" s="14" t="s">
        <v>199</v>
      </c>
      <c r="C72" s="9" t="s">
        <v>110</v>
      </c>
      <c r="D72" s="13" t="s">
        <v>200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118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 t="s">
        <v>139</v>
      </c>
      <c r="B74" s="14" t="s">
        <v>139</v>
      </c>
      <c r="C74" s="9" t="s">
        <v>356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113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357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120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358</v>
      </c>
      <c r="BD74" s="56">
        <v>8914.2570000000014</v>
      </c>
    </row>
    <row r="75" spans="1:56" ht="27.7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357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119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359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228</v>
      </c>
      <c r="AG76" s="1" t="s">
        <v>120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7.75" customHeight="1" x14ac:dyDescent="0.45">
      <c r="A77" s="3">
        <v>45825</v>
      </c>
      <c r="B77" s="14" t="s">
        <v>360</v>
      </c>
      <c r="C77" s="9" t="s">
        <v>145</v>
      </c>
      <c r="D77" s="13" t="s">
        <v>350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228</v>
      </c>
      <c r="AG77" s="1" t="s">
        <v>120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362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45825</v>
      </c>
      <c r="B78" s="14" t="s">
        <v>361</v>
      </c>
      <c r="C78" s="9" t="s">
        <v>145</v>
      </c>
      <c r="D78" s="13" t="s">
        <v>351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211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228</v>
      </c>
      <c r="AG78" s="1" t="s">
        <v>120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363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7.75" customHeight="1" x14ac:dyDescent="0.45">
      <c r="A79" s="3">
        <v>45818</v>
      </c>
      <c r="B79" s="14" t="s">
        <v>340</v>
      </c>
      <c r="C79" s="9" t="s">
        <v>85</v>
      </c>
      <c r="D79" s="13" t="s">
        <v>336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335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347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291</v>
      </c>
      <c r="AG80" s="1" t="s">
        <v>122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7.75" customHeight="1" x14ac:dyDescent="0.45">
      <c r="A81" s="3">
        <v>45821</v>
      </c>
      <c r="B81" s="14" t="s">
        <v>346</v>
      </c>
      <c r="C81" s="9" t="s">
        <v>85</v>
      </c>
      <c r="D81" s="13" t="s">
        <v>348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291</v>
      </c>
      <c r="AG81" s="1" t="s">
        <v>119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45818</v>
      </c>
      <c r="B82" s="14" t="s">
        <v>339</v>
      </c>
      <c r="C82" s="9" t="s">
        <v>85</v>
      </c>
      <c r="D82" s="13" t="s">
        <v>337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334</v>
      </c>
      <c r="AG82" s="1" t="s">
        <v>119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7.75" customHeight="1" x14ac:dyDescent="0.45">
      <c r="A83" s="3">
        <v>45821</v>
      </c>
      <c r="B83" s="14" t="s">
        <v>345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291</v>
      </c>
      <c r="AG83" s="1" t="s">
        <v>119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4551.5212008933331</v>
      </c>
    </row>
    <row r="84" spans="1:56" ht="27.75" customHeight="1" x14ac:dyDescent="0.45">
      <c r="A84" s="3">
        <v>45818</v>
      </c>
      <c r="B84" s="14" t="s">
        <v>340</v>
      </c>
      <c r="C84" s="9" t="s">
        <v>85</v>
      </c>
      <c r="D84" s="13" t="s">
        <v>290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4111.5262222222227</v>
      </c>
    </row>
    <row r="85" spans="1:56" ht="27.75" customHeight="1" x14ac:dyDescent="0.45">
      <c r="A85" s="3">
        <v>45818</v>
      </c>
      <c r="B85" s="14" t="s">
        <v>341</v>
      </c>
      <c r="C85" s="9" t="s">
        <v>85</v>
      </c>
      <c r="D85" s="13" t="s">
        <v>336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335</v>
      </c>
      <c r="AG85" s="1" t="s">
        <v>119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2466.9157333333337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381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291</v>
      </c>
      <c r="AG86" s="1" t="s">
        <v>119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411.15262222222225</v>
      </c>
    </row>
    <row r="87" spans="1:56" ht="27.75" customHeight="1" x14ac:dyDescent="0.45">
      <c r="A87" s="3">
        <v>45831</v>
      </c>
      <c r="B87" s="14" t="s">
        <v>395</v>
      </c>
      <c r="C87" s="9" t="s">
        <v>85</v>
      </c>
      <c r="D87" s="13" t="s">
        <v>261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291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3289.220977777778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331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>
        <v>45834</v>
      </c>
      <c r="B89" s="14" t="s">
        <v>413</v>
      </c>
      <c r="C89" s="9" t="s">
        <v>85</v>
      </c>
      <c r="D89" s="13" t="s">
        <v>408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238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227</v>
      </c>
      <c r="AG89" s="1" t="s">
        <v>118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411.15262222222225</v>
      </c>
    </row>
    <row r="90" spans="1:56" ht="27.75" customHeight="1" x14ac:dyDescent="0.45">
      <c r="A90" s="3" t="s">
        <v>139</v>
      </c>
      <c r="B90" s="14" t="s">
        <v>139</v>
      </c>
      <c r="C90" s="9" t="s">
        <v>145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211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228</v>
      </c>
      <c r="AG90" s="1" t="s">
        <v>118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4405.2066666666669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118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45">
      <c r="A92" s="3" t="s">
        <v>139</v>
      </c>
      <c r="B92" s="14" t="s">
        <v>139</v>
      </c>
      <c r="C92" s="9" t="s">
        <v>179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134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118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501.12221249999999</v>
      </c>
    </row>
    <row r="93" spans="1:56" ht="27.75" customHeight="1" x14ac:dyDescent="0.45">
      <c r="A93" s="3" t="s">
        <v>139</v>
      </c>
      <c r="B93" s="14" t="s">
        <v>139</v>
      </c>
      <c r="C93" s="9" t="s">
        <v>179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134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316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1129.8412125</v>
      </c>
    </row>
    <row r="94" spans="1:56" ht="27.75" customHeight="1" x14ac:dyDescent="0.45">
      <c r="A94" s="3" t="s">
        <v>139</v>
      </c>
      <c r="B94" s="14" t="s">
        <v>139</v>
      </c>
      <c r="C94" s="9" t="s">
        <v>221</v>
      </c>
      <c r="D94" s="13" t="s">
        <v>321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134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134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120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45833</v>
      </c>
      <c r="B96" s="14" t="s">
        <v>409</v>
      </c>
      <c r="C96" s="9" t="s">
        <v>110</v>
      </c>
      <c r="D96" s="13" t="s">
        <v>398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410</v>
      </c>
      <c r="C97" s="9" t="s">
        <v>110</v>
      </c>
      <c r="D97" s="13" t="s">
        <v>399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123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45831</v>
      </c>
      <c r="B98" s="14" t="s">
        <v>396</v>
      </c>
      <c r="C98" s="9" t="s">
        <v>179</v>
      </c>
      <c r="D98" s="13" t="s">
        <v>382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120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45839</v>
      </c>
      <c r="B99" s="14" t="s">
        <v>436</v>
      </c>
      <c r="C99" s="9" t="s">
        <v>110</v>
      </c>
      <c r="D99" s="13" t="s">
        <v>423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123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45826</v>
      </c>
      <c r="B100" s="14" t="s">
        <v>366</v>
      </c>
      <c r="C100" s="9" t="s">
        <v>110</v>
      </c>
      <c r="D100" s="13" t="s">
        <v>317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123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45833</v>
      </c>
      <c r="B101" s="14" t="s">
        <v>411</v>
      </c>
      <c r="C101" s="9" t="s">
        <v>179</v>
      </c>
      <c r="D101" s="13" t="s">
        <v>338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123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>
        <v>45833</v>
      </c>
      <c r="B102" s="14" t="s">
        <v>411</v>
      </c>
      <c r="C102" s="9" t="s">
        <v>179</v>
      </c>
      <c r="D102" s="13" t="s">
        <v>400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0</v>
      </c>
    </row>
    <row r="103" spans="1:56" ht="27.75" customHeight="1" x14ac:dyDescent="0.45">
      <c r="A103" s="3">
        <v>45826</v>
      </c>
      <c r="B103" s="14" t="s">
        <v>367</v>
      </c>
      <c r="C103" s="9" t="s">
        <v>110</v>
      </c>
      <c r="D103" s="13" t="s">
        <v>368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123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119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45">
      <c r="A104" s="3" t="s">
        <v>139</v>
      </c>
      <c r="B104" s="14" t="s">
        <v>139</v>
      </c>
      <c r="C104" s="9" t="s">
        <v>114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123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22487.802726666665</v>
      </c>
    </row>
    <row r="105" spans="1:56" ht="27.75" customHeight="1" x14ac:dyDescent="0.45">
      <c r="A105" s="3" t="s">
        <v>139</v>
      </c>
      <c r="B105" s="14" t="s">
        <v>139</v>
      </c>
      <c r="C105" s="9" t="s">
        <v>424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123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119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1547.1290706666666</v>
      </c>
    </row>
    <row r="106" spans="1:56" ht="27.75" customHeight="1" x14ac:dyDescent="0.45">
      <c r="A106" s="3" t="s">
        <v>139</v>
      </c>
      <c r="B106" s="14" t="s">
        <v>139</v>
      </c>
      <c r="C106" s="9" t="s">
        <v>112</v>
      </c>
      <c r="D106" s="13" t="s">
        <v>151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113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123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45826</v>
      </c>
      <c r="B107" s="14" t="s">
        <v>366</v>
      </c>
      <c r="C107" s="9" t="s">
        <v>110</v>
      </c>
      <c r="D107" s="13" t="s">
        <v>317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123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119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45628</v>
      </c>
      <c r="B108" s="14" t="s">
        <v>215</v>
      </c>
      <c r="C108" s="9" t="s">
        <v>112</v>
      </c>
      <c r="D108" s="13" t="s">
        <v>151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113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123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239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45631</v>
      </c>
      <c r="B109" s="14" t="s">
        <v>218</v>
      </c>
      <c r="C109" s="9" t="s">
        <v>112</v>
      </c>
      <c r="D109" s="13" t="s">
        <v>151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113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123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119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45631</v>
      </c>
      <c r="B110" s="14" t="s">
        <v>219</v>
      </c>
      <c r="C110" s="9" t="s">
        <v>112</v>
      </c>
      <c r="D110" s="13" t="s">
        <v>151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113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123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241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 t="s">
        <v>139</v>
      </c>
      <c r="B111" s="14" t="s">
        <v>139</v>
      </c>
      <c r="C111" s="9" t="s">
        <v>110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123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833.84229133333326</v>
      </c>
    </row>
    <row r="112" spans="1:56" ht="27.75" customHeight="1" x14ac:dyDescent="0.45">
      <c r="A112" s="3">
        <v>45066</v>
      </c>
      <c r="B112" s="14" t="s">
        <v>130</v>
      </c>
      <c r="C112" s="9" t="s">
        <v>79</v>
      </c>
      <c r="D112" s="13" t="s">
        <v>129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123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121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396.82856033333326</v>
      </c>
    </row>
    <row r="113" spans="1:56" ht="27.75" customHeight="1" x14ac:dyDescent="0.45">
      <c r="A113" s="3">
        <v>45800</v>
      </c>
      <c r="B113" s="14" t="s">
        <v>319</v>
      </c>
      <c r="C113" s="9" t="s">
        <v>79</v>
      </c>
      <c r="D113" s="13" t="s">
        <v>320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136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123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136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123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0</v>
      </c>
    </row>
    <row r="115" spans="1:56" ht="27.75" customHeight="1" x14ac:dyDescent="0.45">
      <c r="A115" s="3">
        <v>45836</v>
      </c>
      <c r="B115" s="14" t="s">
        <v>425</v>
      </c>
      <c r="C115" s="9" t="s">
        <v>333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262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120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263</v>
      </c>
      <c r="BD115" s="56">
        <v>0</v>
      </c>
    </row>
    <row r="116" spans="1:56" ht="27.75" customHeight="1" x14ac:dyDescent="0.45">
      <c r="A116" s="3">
        <v>9</v>
      </c>
      <c r="B116" s="14" t="s">
        <v>296</v>
      </c>
      <c r="C116" s="9" t="s">
        <v>292</v>
      </c>
      <c r="D116" s="13" t="s">
        <v>293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294</v>
      </c>
      <c r="T116" s="12" t="s">
        <v>136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262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295</v>
      </c>
      <c r="AG116" s="1" t="s">
        <v>120</v>
      </c>
      <c r="AH116" s="1" t="s">
        <v>68</v>
      </c>
      <c r="AI116" s="1">
        <v>4</v>
      </c>
      <c r="AJ116" s="3" t="s">
        <v>136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263</v>
      </c>
      <c r="BD116" s="56">
        <v>0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262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120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263</v>
      </c>
      <c r="BD117" s="56">
        <v>0</v>
      </c>
    </row>
    <row r="118" spans="1:56" ht="27.75" customHeight="1" x14ac:dyDescent="0.45">
      <c r="A118" s="3">
        <v>45820</v>
      </c>
      <c r="B118" s="14" t="s">
        <v>349</v>
      </c>
      <c r="C118" s="9" t="s">
        <v>244</v>
      </c>
      <c r="D118" s="13" t="s">
        <v>342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127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349</v>
      </c>
      <c r="C119" s="9" t="s">
        <v>244</v>
      </c>
      <c r="D119" s="13" t="s">
        <v>343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127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45820</v>
      </c>
      <c r="B120" s="14" t="s">
        <v>349</v>
      </c>
      <c r="C120" s="9" t="s">
        <v>244</v>
      </c>
      <c r="D120" s="13" t="s">
        <v>220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118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139</v>
      </c>
      <c r="B121" s="14" t="s">
        <v>139</v>
      </c>
      <c r="C121" s="9" t="s">
        <v>237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2965.6913</v>
      </c>
    </row>
    <row r="122" spans="1:56" ht="27.75" customHeight="1" x14ac:dyDescent="0.45">
      <c r="A122" s="3" t="s">
        <v>139</v>
      </c>
      <c r="B122" s="14" t="s">
        <v>139</v>
      </c>
      <c r="C122" s="9" t="s">
        <v>244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127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 t="s">
        <v>139</v>
      </c>
      <c r="B124" s="14" t="s">
        <v>139</v>
      </c>
      <c r="C124" s="9" t="s">
        <v>237</v>
      </c>
      <c r="D124" s="13" t="s">
        <v>61</v>
      </c>
      <c r="E124" s="9">
        <v>23</v>
      </c>
      <c r="F124" s="9">
        <v>34</v>
      </c>
      <c r="G124" s="9" t="s">
        <v>183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185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184</v>
      </c>
      <c r="BD124" s="56">
        <v>800.41704844444439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183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185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184</v>
      </c>
      <c r="BD125" s="56">
        <v>0</v>
      </c>
    </row>
    <row r="126" spans="1:56" ht="27.75" customHeight="1" x14ac:dyDescent="0.45">
      <c r="A126" s="3">
        <v>45839</v>
      </c>
      <c r="B126" s="14" t="s">
        <v>437</v>
      </c>
      <c r="C126" s="9" t="s">
        <v>426</v>
      </c>
      <c r="D126" s="13" t="s">
        <v>284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232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427</v>
      </c>
      <c r="AG126" s="1" t="s">
        <v>118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428</v>
      </c>
      <c r="AZ126" s="2">
        <v>0</v>
      </c>
      <c r="BA126" s="2">
        <v>0</v>
      </c>
      <c r="BB126" s="2">
        <v>0</v>
      </c>
      <c r="BC126" s="1" t="s">
        <v>107</v>
      </c>
      <c r="BD126" s="56">
        <v>302.40285000000011</v>
      </c>
    </row>
    <row r="127" spans="1:56" ht="27.75" customHeight="1" x14ac:dyDescent="0.45">
      <c r="A127" s="3">
        <v>45839</v>
      </c>
      <c r="B127" s="14" t="s">
        <v>437</v>
      </c>
      <c r="C127" s="9" t="s">
        <v>426</v>
      </c>
      <c r="D127" s="13" t="s">
        <v>429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232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428</v>
      </c>
      <c r="AZ127" s="2">
        <v>0</v>
      </c>
      <c r="BA127" s="2">
        <v>0</v>
      </c>
      <c r="BB127" s="2">
        <v>0</v>
      </c>
      <c r="BC127" s="1" t="s">
        <v>107</v>
      </c>
      <c r="BD127" s="56">
        <v>474.2000083333333</v>
      </c>
    </row>
    <row r="128" spans="1:56" ht="27.75" customHeight="1" x14ac:dyDescent="0.45">
      <c r="A128" s="3">
        <v>45727</v>
      </c>
      <c r="B128" s="14" t="s">
        <v>275</v>
      </c>
      <c r="C128" s="9" t="s">
        <v>114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211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232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234</v>
      </c>
      <c r="AG128" s="1" t="s">
        <v>118</v>
      </c>
      <c r="AH128" s="1" t="s">
        <v>153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150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107</v>
      </c>
      <c r="BD128" s="56">
        <v>0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232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118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233</v>
      </c>
      <c r="BD129" s="56">
        <v>0</v>
      </c>
    </row>
    <row r="130" spans="1:56" ht="27.75" customHeight="1" x14ac:dyDescent="0.45">
      <c r="A130" s="3">
        <v>45601</v>
      </c>
      <c r="B130" s="14" t="s">
        <v>207</v>
      </c>
      <c r="C130" s="9" t="s">
        <v>93</v>
      </c>
      <c r="D130" s="13" t="s">
        <v>109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99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100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375</v>
      </c>
      <c r="AZ130" s="2">
        <v>0</v>
      </c>
      <c r="BA130" s="2">
        <v>0</v>
      </c>
      <c r="BB130" s="2">
        <v>0</v>
      </c>
      <c r="BC130" s="1" t="s">
        <v>116</v>
      </c>
      <c r="BD130" s="56">
        <v>0</v>
      </c>
    </row>
    <row r="131" spans="1:56" ht="27.75" customHeight="1" x14ac:dyDescent="0.45">
      <c r="A131" s="3">
        <v>45601</v>
      </c>
      <c r="B131" s="14" t="s">
        <v>207</v>
      </c>
      <c r="C131" s="9" t="s">
        <v>93</v>
      </c>
      <c r="D131" s="13" t="s">
        <v>149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99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259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260</v>
      </c>
      <c r="AG131" s="1" t="s">
        <v>119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116</v>
      </c>
      <c r="BD131" s="56">
        <v>0</v>
      </c>
    </row>
    <row r="132" spans="1:56" ht="27.75" customHeight="1" x14ac:dyDescent="0.45">
      <c r="A132" s="3">
        <v>45601</v>
      </c>
      <c r="B132" s="14" t="s">
        <v>207</v>
      </c>
      <c r="C132" s="9" t="s">
        <v>93</v>
      </c>
      <c r="D132" s="13" t="s">
        <v>149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99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259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260</v>
      </c>
      <c r="AG132" s="1" t="s">
        <v>119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45">
      <c r="A133" s="3">
        <v>45601</v>
      </c>
      <c r="B133" s="14" t="s">
        <v>207</v>
      </c>
      <c r="C133" s="9" t="s">
        <v>93</v>
      </c>
      <c r="D133" s="13" t="s">
        <v>149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99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259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260</v>
      </c>
      <c r="AG133" s="1" t="s">
        <v>118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116</v>
      </c>
      <c r="BD133" s="56">
        <v>0</v>
      </c>
    </row>
    <row r="134" spans="1:56" ht="27.75" customHeight="1" x14ac:dyDescent="0.45">
      <c r="A134" s="3">
        <v>45601</v>
      </c>
      <c r="B134" s="14" t="s">
        <v>207</v>
      </c>
      <c r="C134" s="9" t="s">
        <v>93</v>
      </c>
      <c r="D134" s="13" t="s">
        <v>149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99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100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260</v>
      </c>
      <c r="AG134" s="1" t="s">
        <v>118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116</v>
      </c>
      <c r="BD134" s="56">
        <v>1722.1608882860069</v>
      </c>
    </row>
    <row r="135" spans="1:56" ht="27.75" customHeight="1" x14ac:dyDescent="0.45">
      <c r="A135" s="3">
        <v>45601</v>
      </c>
      <c r="B135" s="14" t="s">
        <v>207</v>
      </c>
      <c r="C135" s="9" t="s">
        <v>93</v>
      </c>
      <c r="D135" s="13" t="s">
        <v>149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99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100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260</v>
      </c>
      <c r="AG135" s="1" t="s">
        <v>118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116</v>
      </c>
      <c r="BD135" s="56">
        <v>60808.008422340245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100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117</v>
      </c>
      <c r="BD136" s="56">
        <v>0</v>
      </c>
    </row>
    <row r="137" spans="1:56" ht="27.75" customHeight="1" x14ac:dyDescent="0.45">
      <c r="A137" s="3" t="s">
        <v>139</v>
      </c>
      <c r="B137" s="14" t="s">
        <v>139</v>
      </c>
      <c r="C137" s="9" t="s">
        <v>190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196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118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767.03992444444452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45839</v>
      </c>
      <c r="B139" s="14" t="s">
        <v>132</v>
      </c>
      <c r="C139" s="9" t="s">
        <v>143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154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747.11944666666682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154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212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122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212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121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213</v>
      </c>
      <c r="BD142" s="56">
        <v>0</v>
      </c>
    </row>
    <row r="143" spans="1:56" ht="27.75" customHeight="1" x14ac:dyDescent="0.45">
      <c r="A143" s="3">
        <v>45835</v>
      </c>
      <c r="B143" s="14" t="s">
        <v>414</v>
      </c>
      <c r="C143" s="9" t="s">
        <v>112</v>
      </c>
      <c r="D143" s="13" t="s">
        <v>229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113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234</v>
      </c>
      <c r="AG143" s="1" t="s">
        <v>119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45">
      <c r="A144" s="3">
        <v>45832</v>
      </c>
      <c r="B144" s="14" t="s">
        <v>383</v>
      </c>
      <c r="C144" s="9" t="s">
        <v>112</v>
      </c>
      <c r="D144" s="13" t="s">
        <v>151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113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119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45">
      <c r="A145" s="3">
        <v>45832</v>
      </c>
      <c r="B145" s="14" t="s">
        <v>384</v>
      </c>
      <c r="C145" s="9" t="s">
        <v>112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113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234</v>
      </c>
      <c r="AG145" s="1" t="s">
        <v>61</v>
      </c>
      <c r="AH145" s="1" t="s">
        <v>153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150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1532.7624433333333</v>
      </c>
    </row>
    <row r="146" spans="1:56" ht="27.75" customHeight="1" x14ac:dyDescent="0.45">
      <c r="A146" s="3">
        <v>45832</v>
      </c>
      <c r="B146" s="14" t="s">
        <v>385</v>
      </c>
      <c r="C146" s="9" t="s">
        <v>112</v>
      </c>
      <c r="D146" s="13" t="s">
        <v>151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113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119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3846.8630200000002</v>
      </c>
    </row>
    <row r="147" spans="1:56" ht="27.75" customHeight="1" x14ac:dyDescent="0.45">
      <c r="A147" s="3">
        <v>45832</v>
      </c>
      <c r="B147" s="14" t="s">
        <v>386</v>
      </c>
      <c r="C147" s="9" t="s">
        <v>112</v>
      </c>
      <c r="D147" s="13" t="s">
        <v>151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113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3846.8630200000002</v>
      </c>
    </row>
    <row r="148" spans="1:56" ht="27.75" customHeight="1" x14ac:dyDescent="0.45">
      <c r="A148" s="3" t="s">
        <v>139</v>
      </c>
      <c r="B148" s="14" t="s">
        <v>139</v>
      </c>
      <c r="C148" s="9" t="s">
        <v>112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113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118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2564.5753466666665</v>
      </c>
    </row>
    <row r="149" spans="1:56" ht="27.75" customHeight="1" x14ac:dyDescent="0.45">
      <c r="A149" s="3">
        <v>45832</v>
      </c>
      <c r="B149" s="14" t="s">
        <v>387</v>
      </c>
      <c r="C149" s="9" t="s">
        <v>112</v>
      </c>
      <c r="D149" s="13" t="s">
        <v>151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121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106</v>
      </c>
      <c r="BD149" s="56">
        <v>2564.5753466666665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7.75" customHeight="1" x14ac:dyDescent="0.45">
      <c r="A151" s="3">
        <v>45831</v>
      </c>
      <c r="B151" s="14" t="s">
        <v>388</v>
      </c>
      <c r="C151" s="9" t="s">
        <v>112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131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118</v>
      </c>
      <c r="AH151" s="1" t="s">
        <v>153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150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 t="s">
        <v>139</v>
      </c>
      <c r="B152" s="14" t="s">
        <v>139</v>
      </c>
      <c r="C152" s="9" t="s">
        <v>112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131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118</v>
      </c>
      <c r="AH152" s="1" t="s">
        <v>153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150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 t="s">
        <v>139</v>
      </c>
      <c r="B153" s="14" t="s">
        <v>139</v>
      </c>
      <c r="C153" s="9" t="s">
        <v>155</v>
      </c>
      <c r="D153" s="13" t="s">
        <v>156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131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6504.2259722222216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131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157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10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45840</v>
      </c>
      <c r="E3" s="80" t="s">
        <v>52</v>
      </c>
      <c r="F3" s="80"/>
      <c r="G3" s="81">
        <v>10.59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415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119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416</v>
      </c>
      <c r="D8" s="13" t="s">
        <v>417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118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53.825422222222265</v>
      </c>
    </row>
    <row r="9" spans="1:56" ht="27.75" customHeight="1" x14ac:dyDescent="0.45">
      <c r="A9" s="3" t="s">
        <v>139</v>
      </c>
      <c r="B9" s="14" t="s">
        <v>139</v>
      </c>
      <c r="C9" s="9" t="s">
        <v>266</v>
      </c>
      <c r="D9" s="13" t="s">
        <v>267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268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118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133</v>
      </c>
      <c r="BD10" s="56">
        <v>0</v>
      </c>
    </row>
    <row r="11" spans="1:56" ht="27.75" customHeight="1" x14ac:dyDescent="0.45">
      <c r="A11" s="3" t="s">
        <v>139</v>
      </c>
      <c r="B11" s="14" t="s">
        <v>139</v>
      </c>
      <c r="C11" s="9" t="s">
        <v>230</v>
      </c>
      <c r="D11" s="13" t="s">
        <v>270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118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217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137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45831</v>
      </c>
      <c r="B13" s="14" t="s">
        <v>389</v>
      </c>
      <c r="C13" s="9" t="s">
        <v>379</v>
      </c>
      <c r="D13" s="13" t="s">
        <v>380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323</v>
      </c>
      <c r="AG13" s="1" t="s">
        <v>120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141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142</v>
      </c>
      <c r="BD14" s="56">
        <v>0</v>
      </c>
    </row>
    <row r="15" spans="1:56" ht="27.75" customHeight="1" x14ac:dyDescent="0.45">
      <c r="A15" s="3">
        <v>45827</v>
      </c>
      <c r="B15" s="14" t="s">
        <v>390</v>
      </c>
      <c r="C15" s="9" t="s">
        <v>140</v>
      </c>
      <c r="D15" s="13" t="s">
        <v>128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391</v>
      </c>
      <c r="C16" s="9" t="s">
        <v>140</v>
      </c>
      <c r="D16" s="13" t="s">
        <v>214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176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369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45">
      <c r="A17" s="3">
        <v>45827</v>
      </c>
      <c r="B17" s="14" t="s">
        <v>390</v>
      </c>
      <c r="C17" s="9" t="s">
        <v>140</v>
      </c>
      <c r="D17" s="13" t="s">
        <v>128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176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370</v>
      </c>
      <c r="AZ17" s="2">
        <v>0</v>
      </c>
      <c r="BA17" s="2">
        <v>0</v>
      </c>
      <c r="BB17" s="2">
        <v>0</v>
      </c>
      <c r="BC17" s="1" t="s">
        <v>103</v>
      </c>
      <c r="BD17" s="56">
        <v>1043.405154727111</v>
      </c>
    </row>
    <row r="18" spans="1:56" ht="27.75" customHeight="1" x14ac:dyDescent="0.45">
      <c r="A18" s="3">
        <v>45827</v>
      </c>
      <c r="B18" s="14" t="s">
        <v>391</v>
      </c>
      <c r="C18" s="9" t="s">
        <v>140</v>
      </c>
      <c r="D18" s="13" t="s">
        <v>214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176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371</v>
      </c>
      <c r="AZ18" s="2">
        <v>0</v>
      </c>
      <c r="BA18" s="2">
        <v>0</v>
      </c>
      <c r="BB18" s="2">
        <v>0</v>
      </c>
      <c r="BC18" s="1" t="s">
        <v>103</v>
      </c>
      <c r="BD18" s="56">
        <v>1258.2413991840001</v>
      </c>
    </row>
    <row r="19" spans="1:56" ht="27.75" customHeight="1" x14ac:dyDescent="0.45">
      <c r="A19" s="3">
        <v>45834</v>
      </c>
      <c r="B19" s="14" t="s">
        <v>412</v>
      </c>
      <c r="C19" s="9" t="s">
        <v>401</v>
      </c>
      <c r="D19" s="13" t="s">
        <v>402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176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45">
      <c r="A20" s="3" t="s">
        <v>139</v>
      </c>
      <c r="B20" s="14" t="s">
        <v>139</v>
      </c>
      <c r="C20" s="9" t="s">
        <v>418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127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176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3591.4448533333339</v>
      </c>
    </row>
    <row r="21" spans="1:56" ht="27.75" customHeight="1" x14ac:dyDescent="0.45">
      <c r="A21" s="3" t="s">
        <v>139</v>
      </c>
      <c r="B21" s="14" t="s">
        <v>139</v>
      </c>
      <c r="C21" s="9" t="s">
        <v>271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120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2556.6217600000009</v>
      </c>
    </row>
    <row r="22" spans="1:56" ht="27.75" customHeight="1" x14ac:dyDescent="0.45">
      <c r="A22" s="3" t="s">
        <v>139</v>
      </c>
      <c r="B22" s="14" t="s">
        <v>139</v>
      </c>
      <c r="C22" s="9" t="s">
        <v>221</v>
      </c>
      <c r="D22" s="13" t="s">
        <v>222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176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118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176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120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344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120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328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180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372</v>
      </c>
      <c r="C26" s="9" t="s">
        <v>73</v>
      </c>
      <c r="D26" s="13" t="s">
        <v>329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119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45827</v>
      </c>
      <c r="B27" s="14" t="s">
        <v>372</v>
      </c>
      <c r="C27" s="9" t="s">
        <v>73</v>
      </c>
      <c r="D27" s="13" t="s">
        <v>202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180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374</v>
      </c>
      <c r="AG27" s="1" t="s">
        <v>120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45827</v>
      </c>
      <c r="B28" s="14" t="s">
        <v>373</v>
      </c>
      <c r="C28" s="9" t="s">
        <v>73</v>
      </c>
      <c r="D28" s="13" t="s">
        <v>289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374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>
        <v>45833</v>
      </c>
      <c r="B29" s="14" t="s">
        <v>403</v>
      </c>
      <c r="C29" s="9" t="s">
        <v>73</v>
      </c>
      <c r="D29" s="13" t="s">
        <v>392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180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393</v>
      </c>
      <c r="AG29" s="1" t="s">
        <v>118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0</v>
      </c>
    </row>
    <row r="30" spans="1:56" ht="27.75" customHeight="1" x14ac:dyDescent="0.45">
      <c r="A30" s="3">
        <v>0</v>
      </c>
      <c r="B30" s="14" t="s">
        <v>132</v>
      </c>
      <c r="C30" s="9" t="s">
        <v>73</v>
      </c>
      <c r="D30" s="13" t="s">
        <v>330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148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180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119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181</v>
      </c>
      <c r="BD30" s="56">
        <v>0</v>
      </c>
    </row>
    <row r="31" spans="1:56" ht="27.75" customHeight="1" x14ac:dyDescent="0.45">
      <c r="A31" s="3" t="s">
        <v>139</v>
      </c>
      <c r="B31" s="14" t="s">
        <v>139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148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180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118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181</v>
      </c>
      <c r="BD31" s="56">
        <v>36576.263680711112</v>
      </c>
    </row>
    <row r="32" spans="1:56" ht="27.75" customHeight="1" x14ac:dyDescent="0.45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180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182</v>
      </c>
      <c r="BD32" s="56">
        <v>0</v>
      </c>
    </row>
    <row r="33" spans="1:56" ht="27.75" customHeight="1" x14ac:dyDescent="0.45">
      <c r="A33" s="3" t="s">
        <v>139</v>
      </c>
      <c r="B33" s="14" t="s">
        <v>139</v>
      </c>
      <c r="C33" s="9" t="s">
        <v>419</v>
      </c>
      <c r="D33" s="13" t="s">
        <v>420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127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235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118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0</v>
      </c>
    </row>
    <row r="34" spans="1:56" ht="27.7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235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118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236</v>
      </c>
      <c r="BD34" s="56">
        <v>0</v>
      </c>
    </row>
    <row r="35" spans="1:56" ht="27.75" customHeight="1" x14ac:dyDescent="0.45">
      <c r="A35" s="3">
        <v>45825</v>
      </c>
      <c r="B35" s="14" t="s">
        <v>352</v>
      </c>
      <c r="C35" s="9" t="s">
        <v>145</v>
      </c>
      <c r="D35" s="13" t="s">
        <v>353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211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115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121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205</v>
      </c>
      <c r="BD35" s="56">
        <v>0</v>
      </c>
    </row>
    <row r="36" spans="1:56" ht="27.75" customHeight="1" x14ac:dyDescent="0.45">
      <c r="A36" s="3">
        <v>45796</v>
      </c>
      <c r="B36" s="14" t="s">
        <v>303</v>
      </c>
      <c r="C36" s="9" t="s">
        <v>145</v>
      </c>
      <c r="D36" s="13" t="s">
        <v>298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205</v>
      </c>
      <c r="BD36" s="56">
        <v>0</v>
      </c>
    </row>
    <row r="37" spans="1:56" ht="27.75" customHeight="1" x14ac:dyDescent="0.45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115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118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206</v>
      </c>
      <c r="BD37" s="56">
        <v>0</v>
      </c>
    </row>
    <row r="38" spans="1:56" ht="27.75" customHeight="1" x14ac:dyDescent="0.45">
      <c r="A38" s="3" t="s">
        <v>139</v>
      </c>
      <c r="B38" s="14" t="s">
        <v>139</v>
      </c>
      <c r="C38" s="9" t="s">
        <v>179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144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118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104</v>
      </c>
      <c r="BD38" s="56">
        <v>1080.5795000000001</v>
      </c>
    </row>
    <row r="39" spans="1:56" ht="27.75" customHeight="1" x14ac:dyDescent="0.45">
      <c r="A39" s="3">
        <v>45839</v>
      </c>
      <c r="B39" s="14" t="s">
        <v>132</v>
      </c>
      <c r="C39" s="9" t="s">
        <v>421</v>
      </c>
      <c r="D39" s="13" t="s">
        <v>422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144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104</v>
      </c>
      <c r="BD39" s="56">
        <v>660.35413888888888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144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120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45825</v>
      </c>
      <c r="B41" s="14" t="s">
        <v>355</v>
      </c>
      <c r="C41" s="9" t="s">
        <v>145</v>
      </c>
      <c r="D41" s="13" t="s">
        <v>273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283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122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138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45796</v>
      </c>
      <c r="B42" s="14" t="s">
        <v>304</v>
      </c>
      <c r="C42" s="9" t="s">
        <v>145</v>
      </c>
      <c r="D42" s="13" t="s">
        <v>300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120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45825</v>
      </c>
      <c r="B43" s="14" t="s">
        <v>354</v>
      </c>
      <c r="C43" s="9" t="s">
        <v>145</v>
      </c>
      <c r="D43" s="13" t="s">
        <v>300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211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>
        <v>45825</v>
      </c>
      <c r="B44" s="14" t="s">
        <v>354</v>
      </c>
      <c r="C44" s="9" t="s">
        <v>145</v>
      </c>
      <c r="D44" s="13" t="s">
        <v>201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211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111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7.75" customHeight="1" x14ac:dyDescent="0.45">
      <c r="A45" s="3">
        <v>45825</v>
      </c>
      <c r="B45" s="14" t="s">
        <v>354</v>
      </c>
      <c r="C45" s="9" t="s">
        <v>145</v>
      </c>
      <c r="D45" s="13" t="s">
        <v>248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211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120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7.75" customHeight="1" x14ac:dyDescent="0.45">
      <c r="A46" s="3">
        <v>45721</v>
      </c>
      <c r="B46" s="14" t="s">
        <v>274</v>
      </c>
      <c r="C46" s="9" t="s">
        <v>145</v>
      </c>
      <c r="D46" s="13" t="s">
        <v>248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119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7.75" customHeight="1" x14ac:dyDescent="0.45">
      <c r="A47" s="3">
        <v>45827</v>
      </c>
      <c r="B47" s="14" t="s">
        <v>394</v>
      </c>
      <c r="C47" s="9" t="s">
        <v>145</v>
      </c>
      <c r="D47" s="13" t="s">
        <v>192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211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7.75" customHeight="1" x14ac:dyDescent="0.45">
      <c r="A48" s="3">
        <v>45782</v>
      </c>
      <c r="B48" s="14" t="s">
        <v>297</v>
      </c>
      <c r="C48" s="9" t="s">
        <v>79</v>
      </c>
      <c r="D48" s="13" t="s">
        <v>280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7.75" customHeight="1" x14ac:dyDescent="0.45">
      <c r="A49" s="3">
        <v>45810</v>
      </c>
      <c r="B49" s="14" t="s">
        <v>326</v>
      </c>
      <c r="C49" s="9" t="s">
        <v>79</v>
      </c>
      <c r="D49" s="13" t="s">
        <v>327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45826</v>
      </c>
      <c r="B50" s="14" t="s">
        <v>364</v>
      </c>
      <c r="C50" s="9" t="s">
        <v>110</v>
      </c>
      <c r="D50" s="13" t="s">
        <v>365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45839</v>
      </c>
      <c r="B51" s="14" t="s">
        <v>132</v>
      </c>
      <c r="C51" s="9" t="s">
        <v>332</v>
      </c>
      <c r="D51" s="13" t="s">
        <v>404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573.75377777777794</v>
      </c>
    </row>
    <row r="52" spans="1:56" ht="27.75" customHeight="1" x14ac:dyDescent="0.45">
      <c r="A52" s="3">
        <v>45839</v>
      </c>
      <c r="B52" s="14" t="s">
        <v>132</v>
      </c>
      <c r="C52" s="9" t="s">
        <v>332</v>
      </c>
      <c r="D52" s="13" t="s">
        <v>405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812.74355555555564</v>
      </c>
    </row>
    <row r="53" spans="1:56" ht="27.75" customHeight="1" x14ac:dyDescent="0.45">
      <c r="A53" s="3">
        <v>45839</v>
      </c>
      <c r="B53" s="14" t="s">
        <v>132</v>
      </c>
      <c r="C53" s="9" t="s">
        <v>332</v>
      </c>
      <c r="D53" s="13" t="s">
        <v>406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812.74355555555564</v>
      </c>
    </row>
    <row r="54" spans="1:56" ht="27.75" customHeight="1" x14ac:dyDescent="0.45">
      <c r="A54" s="3">
        <v>45839</v>
      </c>
      <c r="B54" s="14" t="s">
        <v>132</v>
      </c>
      <c r="C54" s="9" t="s">
        <v>332</v>
      </c>
      <c r="D54" s="13" t="s">
        <v>407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406.37177777777782</v>
      </c>
    </row>
    <row r="55" spans="1:56" ht="27.75" customHeight="1" x14ac:dyDescent="0.45">
      <c r="A55" s="3" t="s">
        <v>139</v>
      </c>
      <c r="B55" s="14" t="s">
        <v>139</v>
      </c>
      <c r="C55" s="9" t="s">
        <v>145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7916.333333333333</v>
      </c>
    </row>
    <row r="56" spans="1:56" ht="27.75" customHeight="1" x14ac:dyDescent="0.45">
      <c r="A56" s="3" t="s">
        <v>139</v>
      </c>
      <c r="B56" s="14" t="s">
        <v>139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118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1667.7075555555555</v>
      </c>
    </row>
    <row r="57" spans="1:56" ht="27.75" customHeight="1" x14ac:dyDescent="0.45">
      <c r="A57" s="3" t="s">
        <v>139</v>
      </c>
      <c r="B57" s="14" t="s">
        <v>139</v>
      </c>
      <c r="C57" s="9" t="s">
        <v>97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1625.4871111111113</v>
      </c>
    </row>
    <row r="58" spans="1:56" ht="27.75" customHeight="1" x14ac:dyDescent="0.45">
      <c r="A58" s="3" t="s">
        <v>139</v>
      </c>
      <c r="B58" s="14" t="s">
        <v>139</v>
      </c>
      <c r="C58" s="9" t="s">
        <v>356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113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8338.5377777777776</v>
      </c>
    </row>
    <row r="59" spans="1:56" ht="27.75" customHeight="1" x14ac:dyDescent="0.45">
      <c r="A59" s="3">
        <v>45799</v>
      </c>
      <c r="B59" s="14" t="s">
        <v>322</v>
      </c>
      <c r="C59" s="9" t="s">
        <v>312</v>
      </c>
      <c r="D59" s="13" t="s">
        <v>314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136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228</v>
      </c>
      <c r="AG59" s="1" t="s">
        <v>118</v>
      </c>
      <c r="AH59" s="1" t="s">
        <v>75</v>
      </c>
      <c r="AI59" s="1">
        <v>4</v>
      </c>
      <c r="AJ59" s="3" t="s">
        <v>136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7.75" customHeight="1" x14ac:dyDescent="0.45">
      <c r="A60" s="3">
        <v>45796</v>
      </c>
      <c r="B60" s="14" t="s">
        <v>305</v>
      </c>
      <c r="C60" s="9" t="s">
        <v>145</v>
      </c>
      <c r="D60" s="13" t="s">
        <v>247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7.75" customHeight="1" x14ac:dyDescent="0.45">
      <c r="A61" s="3">
        <v>45796</v>
      </c>
      <c r="B61" s="14" t="s">
        <v>308</v>
      </c>
      <c r="C61" s="9" t="s">
        <v>145</v>
      </c>
      <c r="D61" s="13" t="s">
        <v>152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302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>
        <v>45796</v>
      </c>
      <c r="B62" s="14" t="s">
        <v>309</v>
      </c>
      <c r="C62" s="9" t="s">
        <v>145</v>
      </c>
      <c r="D62" s="13" t="s">
        <v>249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0</v>
      </c>
    </row>
    <row r="63" spans="1:56" ht="27.75" customHeight="1" x14ac:dyDescent="0.45">
      <c r="A63" s="3">
        <v>45796</v>
      </c>
      <c r="B63" s="14" t="s">
        <v>304</v>
      </c>
      <c r="C63" s="9" t="s">
        <v>145</v>
      </c>
      <c r="D63" s="13" t="s">
        <v>299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7.75" customHeight="1" x14ac:dyDescent="0.45">
      <c r="A64" s="3">
        <v>45796</v>
      </c>
      <c r="B64" s="14" t="s">
        <v>306</v>
      </c>
      <c r="C64" s="9" t="s">
        <v>145</v>
      </c>
      <c r="D64" s="13" t="s">
        <v>272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7.75" customHeight="1" x14ac:dyDescent="0.45">
      <c r="A65" s="3">
        <v>45796</v>
      </c>
      <c r="B65" s="14" t="s">
        <v>306</v>
      </c>
      <c r="C65" s="9" t="s">
        <v>145</v>
      </c>
      <c r="D65" s="13" t="s">
        <v>301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45796</v>
      </c>
      <c r="B66" s="14" t="s">
        <v>307</v>
      </c>
      <c r="C66" s="9" t="s">
        <v>145</v>
      </c>
      <c r="D66" s="13" t="s">
        <v>135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45798</v>
      </c>
      <c r="B67" s="14" t="s">
        <v>318</v>
      </c>
      <c r="C67" s="9" t="s">
        <v>110</v>
      </c>
      <c r="D67" s="13" t="s">
        <v>315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138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416.92688888888887</v>
      </c>
    </row>
    <row r="68" spans="1:56" ht="27.75" customHeight="1" x14ac:dyDescent="0.45">
      <c r="A68" s="3">
        <v>45782</v>
      </c>
      <c r="B68" s="14" t="s">
        <v>297</v>
      </c>
      <c r="C68" s="9" t="s">
        <v>79</v>
      </c>
      <c r="D68" s="13" t="s">
        <v>280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138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1250.7806666666668</v>
      </c>
    </row>
    <row r="69" spans="1:56" ht="27.75" customHeight="1" x14ac:dyDescent="0.45">
      <c r="A69" s="3">
        <v>45810</v>
      </c>
      <c r="B69" s="14" t="s">
        <v>325</v>
      </c>
      <c r="C69" s="9" t="s">
        <v>79</v>
      </c>
      <c r="D69" s="13" t="s">
        <v>243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416.92688888888887</v>
      </c>
    </row>
    <row r="70" spans="1:56" ht="27.75" customHeight="1" x14ac:dyDescent="0.45">
      <c r="A70" s="3">
        <v>45611</v>
      </c>
      <c r="B70" s="14" t="s">
        <v>210</v>
      </c>
      <c r="C70" s="9" t="s">
        <v>145</v>
      </c>
      <c r="D70" s="13" t="s">
        <v>126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45681</v>
      </c>
      <c r="B71" s="14" t="s">
        <v>253</v>
      </c>
      <c r="C71" s="9" t="s">
        <v>79</v>
      </c>
      <c r="D71" s="13" t="s">
        <v>252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262.82226666666674</v>
      </c>
    </row>
    <row r="72" spans="1:56" ht="27.75" customHeight="1" x14ac:dyDescent="0.45">
      <c r="A72" s="3">
        <v>45674</v>
      </c>
      <c r="B72" s="14" t="s">
        <v>251</v>
      </c>
      <c r="C72" s="9" t="s">
        <v>145</v>
      </c>
      <c r="D72" s="13" t="s">
        <v>250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211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118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269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45611</v>
      </c>
      <c r="B73" s="14" t="s">
        <v>209</v>
      </c>
      <c r="C73" s="9" t="s">
        <v>145</v>
      </c>
      <c r="D73" s="13" t="s">
        <v>208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45523</v>
      </c>
      <c r="B74" s="14" t="s">
        <v>189</v>
      </c>
      <c r="C74" s="9" t="s">
        <v>145</v>
      </c>
      <c r="D74" s="13" t="s">
        <v>187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45523</v>
      </c>
      <c r="B75" s="14" t="s">
        <v>189</v>
      </c>
      <c r="C75" s="9" t="s">
        <v>145</v>
      </c>
      <c r="D75" s="13" t="s">
        <v>188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45">
      <c r="A76" s="3">
        <v>45741</v>
      </c>
      <c r="B76" s="14" t="s">
        <v>277</v>
      </c>
      <c r="C76" s="9" t="s">
        <v>110</v>
      </c>
      <c r="D76" s="13" t="s">
        <v>276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136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 t="s">
        <v>136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281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45">
      <c r="A77" s="3">
        <v>45720</v>
      </c>
      <c r="B77" s="14" t="s">
        <v>132</v>
      </c>
      <c r="C77" s="9" t="s">
        <v>110</v>
      </c>
      <c r="D77" s="13" t="s">
        <v>226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136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 t="s">
        <v>136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45">
      <c r="A78" s="3">
        <v>45720</v>
      </c>
      <c r="B78" s="14" t="s">
        <v>132</v>
      </c>
      <c r="C78" s="9" t="s">
        <v>110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136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75</v>
      </c>
      <c r="AI78" s="1">
        <v>4</v>
      </c>
      <c r="AJ78" s="3" t="s">
        <v>136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45">
      <c r="A79" s="3">
        <v>45541</v>
      </c>
      <c r="B79" s="14" t="s">
        <v>193</v>
      </c>
      <c r="C79" s="9" t="s">
        <v>110</v>
      </c>
      <c r="D79" s="13" t="s">
        <v>194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136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195</v>
      </c>
      <c r="AG79" s="1" t="s">
        <v>61</v>
      </c>
      <c r="AH79" s="1" t="s">
        <v>75</v>
      </c>
      <c r="AI79" s="1">
        <v>4</v>
      </c>
      <c r="AJ79" s="3" t="s">
        <v>136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245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45">
      <c r="A80" s="3">
        <v>45581</v>
      </c>
      <c r="B80" s="14" t="s">
        <v>199</v>
      </c>
      <c r="C80" s="9" t="s">
        <v>110</v>
      </c>
      <c r="D80" s="13" t="s">
        <v>200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136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 t="s">
        <v>136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118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45">
      <c r="A82" s="3" t="s">
        <v>139</v>
      </c>
      <c r="B82" s="14" t="s">
        <v>139</v>
      </c>
      <c r="C82" s="9" t="s">
        <v>356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113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357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120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358</v>
      </c>
      <c r="BD82" s="56">
        <v>8914.2570000000014</v>
      </c>
    </row>
    <row r="83" spans="1:56" ht="27.7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357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119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359</v>
      </c>
      <c r="BD83" s="56">
        <v>0</v>
      </c>
    </row>
    <row r="84" spans="1:56" ht="27.75" customHeight="1" x14ac:dyDescent="0.45">
      <c r="A84" s="3">
        <v>45825</v>
      </c>
      <c r="B84" s="14" t="s">
        <v>360</v>
      </c>
      <c r="C84" s="9" t="s">
        <v>145</v>
      </c>
      <c r="D84" s="13" t="s">
        <v>350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211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228</v>
      </c>
      <c r="AG84" s="1" t="s">
        <v>122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7.75" customHeight="1" x14ac:dyDescent="0.45">
      <c r="A85" s="3">
        <v>45825</v>
      </c>
      <c r="B85" s="14" t="s">
        <v>360</v>
      </c>
      <c r="C85" s="9" t="s">
        <v>145</v>
      </c>
      <c r="D85" s="13" t="s">
        <v>350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211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228</v>
      </c>
      <c r="AG85" s="1" t="s">
        <v>120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362</v>
      </c>
      <c r="AZ85" s="2">
        <v>0</v>
      </c>
      <c r="BA85" s="2">
        <v>0</v>
      </c>
      <c r="BB85" s="2">
        <v>0</v>
      </c>
      <c r="BC85" s="1" t="s">
        <v>103</v>
      </c>
      <c r="BD85" s="56">
        <v>977.41866666666658</v>
      </c>
    </row>
    <row r="86" spans="1:56" ht="27.75" customHeight="1" x14ac:dyDescent="0.45">
      <c r="A86" s="3">
        <v>45825</v>
      </c>
      <c r="B86" s="14" t="s">
        <v>361</v>
      </c>
      <c r="C86" s="9" t="s">
        <v>145</v>
      </c>
      <c r="D86" s="13" t="s">
        <v>351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211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228</v>
      </c>
      <c r="AG86" s="1" t="s">
        <v>120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363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7.75" customHeight="1" x14ac:dyDescent="0.45">
      <c r="A87" s="3">
        <v>45818</v>
      </c>
      <c r="B87" s="14" t="s">
        <v>340</v>
      </c>
      <c r="C87" s="9" t="s">
        <v>85</v>
      </c>
      <c r="D87" s="13" t="s">
        <v>336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203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335</v>
      </c>
      <c r="AG87" s="1" t="s">
        <v>118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7.75" customHeight="1" x14ac:dyDescent="0.45">
      <c r="A88" s="3">
        <v>45821</v>
      </c>
      <c r="B88" s="14" t="s">
        <v>346</v>
      </c>
      <c r="C88" s="9" t="s">
        <v>85</v>
      </c>
      <c r="D88" s="13" t="s">
        <v>347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203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291</v>
      </c>
      <c r="AG88" s="1" t="s">
        <v>119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45">
      <c r="A89" s="3">
        <v>45821</v>
      </c>
      <c r="B89" s="14" t="s">
        <v>346</v>
      </c>
      <c r="C89" s="9" t="s">
        <v>85</v>
      </c>
      <c r="D89" s="13" t="s">
        <v>348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203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291</v>
      </c>
      <c r="AG89" s="1" t="s">
        <v>119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45">
      <c r="A90" s="3">
        <v>45818</v>
      </c>
      <c r="B90" s="14" t="s">
        <v>339</v>
      </c>
      <c r="C90" s="9" t="s">
        <v>85</v>
      </c>
      <c r="D90" s="13" t="s">
        <v>337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203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334</v>
      </c>
      <c r="AG90" s="1" t="s">
        <v>119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45821</v>
      </c>
      <c r="B91" s="14" t="s">
        <v>345</v>
      </c>
      <c r="C91" s="9" t="s">
        <v>85</v>
      </c>
      <c r="D91" s="13" t="s">
        <v>290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203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291</v>
      </c>
      <c r="AG91" s="1" t="s">
        <v>119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6578.441955555556</v>
      </c>
    </row>
    <row r="92" spans="1:56" ht="27.75" customHeight="1" x14ac:dyDescent="0.45">
      <c r="A92" s="3">
        <v>45818</v>
      </c>
      <c r="B92" s="14" t="s">
        <v>340</v>
      </c>
      <c r="C92" s="9" t="s">
        <v>85</v>
      </c>
      <c r="D92" s="13" t="s">
        <v>290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203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335</v>
      </c>
      <c r="AG92" s="1" t="s">
        <v>119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4111.5262222222227</v>
      </c>
    </row>
    <row r="93" spans="1:56" ht="27.75" customHeight="1" x14ac:dyDescent="0.45">
      <c r="A93" s="3">
        <v>45818</v>
      </c>
      <c r="B93" s="14" t="s">
        <v>341</v>
      </c>
      <c r="C93" s="9" t="s">
        <v>85</v>
      </c>
      <c r="D93" s="13" t="s">
        <v>336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203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335</v>
      </c>
      <c r="AG93" s="1" t="s">
        <v>119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2466.9157333333337</v>
      </c>
    </row>
    <row r="94" spans="1:56" ht="27.75" customHeight="1" x14ac:dyDescent="0.45">
      <c r="A94" s="3">
        <v>45831</v>
      </c>
      <c r="B94" s="14" t="s">
        <v>395</v>
      </c>
      <c r="C94" s="9" t="s">
        <v>85</v>
      </c>
      <c r="D94" s="13" t="s">
        <v>381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203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291</v>
      </c>
      <c r="AG94" s="1" t="s">
        <v>119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411.15262222222225</v>
      </c>
    </row>
    <row r="95" spans="1:56" ht="27.75" customHeight="1" x14ac:dyDescent="0.45">
      <c r="A95" s="3">
        <v>45831</v>
      </c>
      <c r="B95" s="14" t="s">
        <v>395</v>
      </c>
      <c r="C95" s="9" t="s">
        <v>85</v>
      </c>
      <c r="D95" s="13" t="s">
        <v>261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203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291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3289.220977777778</v>
      </c>
    </row>
    <row r="96" spans="1:56" ht="27.75" customHeight="1" x14ac:dyDescent="0.45">
      <c r="A96" s="3">
        <v>45834</v>
      </c>
      <c r="B96" s="14" t="s">
        <v>413</v>
      </c>
      <c r="C96" s="9" t="s">
        <v>85</v>
      </c>
      <c r="D96" s="13" t="s">
        <v>331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238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227</v>
      </c>
      <c r="AG96" s="1" t="s">
        <v>118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411.15262222222225</v>
      </c>
    </row>
    <row r="97" spans="1:56" ht="27.75" customHeight="1" x14ac:dyDescent="0.45">
      <c r="A97" s="3">
        <v>45834</v>
      </c>
      <c r="B97" s="14" t="s">
        <v>413</v>
      </c>
      <c r="C97" s="9" t="s">
        <v>85</v>
      </c>
      <c r="D97" s="13" t="s">
        <v>408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238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227</v>
      </c>
      <c r="AG97" s="1" t="s">
        <v>118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411.15262222222225</v>
      </c>
    </row>
    <row r="98" spans="1:56" ht="27.75" customHeight="1" x14ac:dyDescent="0.45">
      <c r="A98" s="3" t="s">
        <v>139</v>
      </c>
      <c r="B98" s="14" t="s">
        <v>139</v>
      </c>
      <c r="C98" s="9" t="s">
        <v>145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211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228</v>
      </c>
      <c r="AG98" s="1" t="s">
        <v>118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4405.2066666666669</v>
      </c>
    </row>
    <row r="99" spans="1:56" ht="27.75" customHeight="1" x14ac:dyDescent="0.45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118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45">
      <c r="A100" s="3" t="s">
        <v>139</v>
      </c>
      <c r="B100" s="14" t="s">
        <v>139</v>
      </c>
      <c r="C100" s="9" t="s">
        <v>179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134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842.37221249999993</v>
      </c>
    </row>
    <row r="101" spans="1:56" ht="27.75" customHeight="1" x14ac:dyDescent="0.45">
      <c r="A101" s="3" t="s">
        <v>139</v>
      </c>
      <c r="B101" s="14" t="s">
        <v>139</v>
      </c>
      <c r="C101" s="9" t="s">
        <v>179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134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316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1129.8412125</v>
      </c>
    </row>
    <row r="102" spans="1:56" ht="27.75" customHeight="1" x14ac:dyDescent="0.45">
      <c r="A102" s="3" t="s">
        <v>139</v>
      </c>
      <c r="B102" s="14" t="s">
        <v>139</v>
      </c>
      <c r="C102" s="9" t="s">
        <v>221</v>
      </c>
      <c r="D102" s="13" t="s">
        <v>321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134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134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119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45833</v>
      </c>
      <c r="B104" s="14" t="s">
        <v>409</v>
      </c>
      <c r="C104" s="9" t="s">
        <v>110</v>
      </c>
      <c r="D104" s="13" t="s">
        <v>398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123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119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45">
      <c r="A105" s="3">
        <v>45833</v>
      </c>
      <c r="B105" s="14" t="s">
        <v>410</v>
      </c>
      <c r="C105" s="9" t="s">
        <v>110</v>
      </c>
      <c r="D105" s="13" t="s">
        <v>399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122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45831</v>
      </c>
      <c r="B106" s="14" t="s">
        <v>396</v>
      </c>
      <c r="C106" s="9" t="s">
        <v>179</v>
      </c>
      <c r="D106" s="13" t="s">
        <v>382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123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120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45">
      <c r="A107" s="3">
        <v>45839</v>
      </c>
      <c r="B107" s="14" t="s">
        <v>132</v>
      </c>
      <c r="C107" s="9" t="s">
        <v>110</v>
      </c>
      <c r="D107" s="13" t="s">
        <v>423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123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119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45">
      <c r="A108" s="3">
        <v>45826</v>
      </c>
      <c r="B108" s="14" t="s">
        <v>366</v>
      </c>
      <c r="C108" s="9" t="s">
        <v>110</v>
      </c>
      <c r="D108" s="13" t="s">
        <v>317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123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119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124</v>
      </c>
      <c r="BD108" s="56">
        <v>0</v>
      </c>
    </row>
    <row r="109" spans="1:56" ht="27.75" customHeight="1" x14ac:dyDescent="0.45">
      <c r="A109" s="3">
        <v>45833</v>
      </c>
      <c r="B109" s="14" t="s">
        <v>411</v>
      </c>
      <c r="C109" s="9" t="s">
        <v>179</v>
      </c>
      <c r="D109" s="13" t="s">
        <v>338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123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124</v>
      </c>
      <c r="BD109" s="56">
        <v>0</v>
      </c>
    </row>
    <row r="110" spans="1:56" ht="27.75" customHeight="1" x14ac:dyDescent="0.45">
      <c r="A110" s="3">
        <v>45833</v>
      </c>
      <c r="B110" s="14" t="s">
        <v>411</v>
      </c>
      <c r="C110" s="9" t="s">
        <v>179</v>
      </c>
      <c r="D110" s="13" t="s">
        <v>400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123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124</v>
      </c>
      <c r="BD110" s="56">
        <v>0</v>
      </c>
    </row>
    <row r="111" spans="1:56" ht="27.75" customHeight="1" x14ac:dyDescent="0.45">
      <c r="A111" s="3">
        <v>45826</v>
      </c>
      <c r="B111" s="14" t="s">
        <v>367</v>
      </c>
      <c r="C111" s="9" t="s">
        <v>110</v>
      </c>
      <c r="D111" s="13" t="s">
        <v>368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123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119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124</v>
      </c>
      <c r="BD111" s="56">
        <v>0</v>
      </c>
    </row>
    <row r="112" spans="1:56" ht="27.75" customHeight="1" x14ac:dyDescent="0.45">
      <c r="A112" s="3" t="s">
        <v>139</v>
      </c>
      <c r="B112" s="14" t="s">
        <v>139</v>
      </c>
      <c r="C112" s="9" t="s">
        <v>114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123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119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124</v>
      </c>
      <c r="BD112" s="56">
        <v>23206.936059999996</v>
      </c>
    </row>
    <row r="113" spans="1:56" ht="27.75" customHeight="1" x14ac:dyDescent="0.45">
      <c r="A113" s="3" t="s">
        <v>139</v>
      </c>
      <c r="B113" s="14" t="s">
        <v>139</v>
      </c>
      <c r="C113" s="9" t="s">
        <v>424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123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119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124</v>
      </c>
      <c r="BD113" s="56">
        <v>1547.1290706666666</v>
      </c>
    </row>
    <row r="114" spans="1:56" ht="27.75" customHeight="1" x14ac:dyDescent="0.45">
      <c r="A114" s="3" t="s">
        <v>139</v>
      </c>
      <c r="B114" s="14" t="s">
        <v>139</v>
      </c>
      <c r="C114" s="9" t="s">
        <v>112</v>
      </c>
      <c r="D114" s="13" t="s">
        <v>151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113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123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119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45">
      <c r="A115" s="3">
        <v>45826</v>
      </c>
      <c r="B115" s="14" t="s">
        <v>366</v>
      </c>
      <c r="C115" s="9" t="s">
        <v>110</v>
      </c>
      <c r="D115" s="13" t="s">
        <v>317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123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119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124</v>
      </c>
      <c r="BD115" s="56">
        <v>0</v>
      </c>
    </row>
    <row r="116" spans="1:56" ht="27.75" customHeight="1" x14ac:dyDescent="0.45">
      <c r="A116" s="3">
        <v>45628</v>
      </c>
      <c r="B116" s="14" t="s">
        <v>215</v>
      </c>
      <c r="C116" s="9" t="s">
        <v>112</v>
      </c>
      <c r="D116" s="13" t="s">
        <v>151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113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123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239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45">
      <c r="A117" s="3">
        <v>45631</v>
      </c>
      <c r="B117" s="14" t="s">
        <v>218</v>
      </c>
      <c r="C117" s="9" t="s">
        <v>112</v>
      </c>
      <c r="D117" s="13" t="s">
        <v>151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113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123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119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240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45">
      <c r="A118" s="3">
        <v>45631</v>
      </c>
      <c r="B118" s="14" t="s">
        <v>219</v>
      </c>
      <c r="C118" s="9" t="s">
        <v>112</v>
      </c>
      <c r="D118" s="13" t="s">
        <v>151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113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123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118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241</v>
      </c>
      <c r="AZ118" s="2">
        <v>0</v>
      </c>
      <c r="BA118" s="2">
        <v>0</v>
      </c>
      <c r="BB118" s="2">
        <v>0</v>
      </c>
      <c r="BC118" s="1" t="s">
        <v>124</v>
      </c>
      <c r="BD118" s="56">
        <v>0</v>
      </c>
    </row>
    <row r="119" spans="1:56" ht="27.75" customHeight="1" x14ac:dyDescent="0.45">
      <c r="A119" s="3" t="s">
        <v>139</v>
      </c>
      <c r="B119" s="14" t="s">
        <v>139</v>
      </c>
      <c r="C119" s="9" t="s">
        <v>110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123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118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124</v>
      </c>
      <c r="BD119" s="56">
        <v>833.84229133333326</v>
      </c>
    </row>
    <row r="120" spans="1:56" ht="27.75" customHeight="1" x14ac:dyDescent="0.45">
      <c r="A120" s="3">
        <v>45066</v>
      </c>
      <c r="B120" s="14" t="s">
        <v>130</v>
      </c>
      <c r="C120" s="9" t="s">
        <v>79</v>
      </c>
      <c r="D120" s="13" t="s">
        <v>129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123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121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396.82856033333326</v>
      </c>
    </row>
    <row r="121" spans="1:56" ht="27.75" customHeight="1" x14ac:dyDescent="0.45">
      <c r="A121" s="3">
        <v>45800</v>
      </c>
      <c r="B121" s="14" t="s">
        <v>319</v>
      </c>
      <c r="C121" s="9" t="s">
        <v>79</v>
      </c>
      <c r="D121" s="13" t="s">
        <v>320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136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68</v>
      </c>
      <c r="AI121" s="1">
        <v>4</v>
      </c>
      <c r="AJ121" s="3" t="s">
        <v>136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123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0</v>
      </c>
    </row>
    <row r="123" spans="1:56" ht="27.75" customHeight="1" x14ac:dyDescent="0.45">
      <c r="A123" s="3">
        <v>45836</v>
      </c>
      <c r="B123" s="14" t="s">
        <v>425</v>
      </c>
      <c r="C123" s="9" t="s">
        <v>333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262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120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263</v>
      </c>
      <c r="BD123" s="56">
        <v>0</v>
      </c>
    </row>
    <row r="124" spans="1:56" ht="27.75" customHeight="1" x14ac:dyDescent="0.45">
      <c r="A124" s="3">
        <v>9</v>
      </c>
      <c r="B124" s="14" t="s">
        <v>296</v>
      </c>
      <c r="C124" s="9" t="s">
        <v>292</v>
      </c>
      <c r="D124" s="13" t="s">
        <v>293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294</v>
      </c>
      <c r="T124" s="12" t="s">
        <v>136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262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295</v>
      </c>
      <c r="AG124" s="1" t="s">
        <v>119</v>
      </c>
      <c r="AH124" s="1" t="s">
        <v>68</v>
      </c>
      <c r="AI124" s="1">
        <v>4</v>
      </c>
      <c r="AJ124" s="3" t="s">
        <v>136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263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262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119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263</v>
      </c>
      <c r="BD125" s="56">
        <v>0</v>
      </c>
    </row>
    <row r="126" spans="1:56" ht="27.75" customHeight="1" x14ac:dyDescent="0.45">
      <c r="A126" s="3">
        <v>45820</v>
      </c>
      <c r="B126" s="14" t="s">
        <v>349</v>
      </c>
      <c r="C126" s="9" t="s">
        <v>244</v>
      </c>
      <c r="D126" s="13" t="s">
        <v>342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127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45820</v>
      </c>
      <c r="B127" s="14" t="s">
        <v>349</v>
      </c>
      <c r="C127" s="9" t="s">
        <v>244</v>
      </c>
      <c r="D127" s="13" t="s">
        <v>343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127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45820</v>
      </c>
      <c r="B128" s="14" t="s">
        <v>349</v>
      </c>
      <c r="C128" s="9" t="s">
        <v>244</v>
      </c>
      <c r="D128" s="13" t="s">
        <v>220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118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 t="s">
        <v>139</v>
      </c>
      <c r="B129" s="14" t="s">
        <v>139</v>
      </c>
      <c r="C129" s="9" t="s">
        <v>237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2965.6913</v>
      </c>
    </row>
    <row r="130" spans="1:56" ht="27.75" customHeight="1" x14ac:dyDescent="0.45">
      <c r="A130" s="3" t="s">
        <v>139</v>
      </c>
      <c r="B130" s="14" t="s">
        <v>139</v>
      </c>
      <c r="C130" s="9" t="s">
        <v>244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127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118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139</v>
      </c>
      <c r="B132" s="14" t="s">
        <v>139</v>
      </c>
      <c r="C132" s="9" t="s">
        <v>237</v>
      </c>
      <c r="D132" s="13" t="s">
        <v>61</v>
      </c>
      <c r="E132" s="9">
        <v>23</v>
      </c>
      <c r="F132" s="9">
        <v>34</v>
      </c>
      <c r="G132" s="9" t="s">
        <v>183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185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184</v>
      </c>
      <c r="BD132" s="56">
        <v>800.41704844444439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183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185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184</v>
      </c>
      <c r="BD133" s="56">
        <v>0</v>
      </c>
    </row>
    <row r="134" spans="1:56" ht="27.75" customHeight="1" x14ac:dyDescent="0.45">
      <c r="A134" s="3">
        <v>45839</v>
      </c>
      <c r="B134" s="14" t="s">
        <v>132</v>
      </c>
      <c r="C134" s="9" t="s">
        <v>426</v>
      </c>
      <c r="D134" s="13" t="s">
        <v>284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232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427</v>
      </c>
      <c r="AG134" s="1" t="s">
        <v>118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428</v>
      </c>
      <c r="AZ134" s="2">
        <v>0</v>
      </c>
      <c r="BA134" s="2">
        <v>0</v>
      </c>
      <c r="BB134" s="2">
        <v>0</v>
      </c>
      <c r="BC134" s="1" t="s">
        <v>107</v>
      </c>
      <c r="BD134" s="56">
        <v>302.40285000000011</v>
      </c>
    </row>
    <row r="135" spans="1:56" ht="27.75" customHeight="1" x14ac:dyDescent="0.45">
      <c r="A135" s="3">
        <v>45839</v>
      </c>
      <c r="B135" s="14" t="s">
        <v>132</v>
      </c>
      <c r="C135" s="9" t="s">
        <v>426</v>
      </c>
      <c r="D135" s="13" t="s">
        <v>429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232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428</v>
      </c>
      <c r="AZ135" s="2">
        <v>0</v>
      </c>
      <c r="BA135" s="2">
        <v>0</v>
      </c>
      <c r="BB135" s="2">
        <v>0</v>
      </c>
      <c r="BC135" s="1" t="s">
        <v>107</v>
      </c>
      <c r="BD135" s="56">
        <v>474.2000083333333</v>
      </c>
    </row>
    <row r="136" spans="1:56" ht="27.75" customHeight="1" x14ac:dyDescent="0.45">
      <c r="A136" s="3">
        <v>45727</v>
      </c>
      <c r="B136" s="14" t="s">
        <v>275</v>
      </c>
      <c r="C136" s="9" t="s">
        <v>114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211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232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234</v>
      </c>
      <c r="AG136" s="1" t="s">
        <v>118</v>
      </c>
      <c r="AH136" s="1" t="s">
        <v>153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150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232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233</v>
      </c>
      <c r="BD137" s="56">
        <v>0</v>
      </c>
    </row>
    <row r="138" spans="1:56" ht="27.75" customHeight="1" x14ac:dyDescent="0.45">
      <c r="A138" s="3">
        <v>45601</v>
      </c>
      <c r="B138" s="14" t="s">
        <v>207</v>
      </c>
      <c r="C138" s="9" t="s">
        <v>93</v>
      </c>
      <c r="D138" s="13" t="s">
        <v>109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99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100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375</v>
      </c>
      <c r="AZ138" s="2">
        <v>0</v>
      </c>
      <c r="BA138" s="2">
        <v>0</v>
      </c>
      <c r="BB138" s="2">
        <v>0</v>
      </c>
      <c r="BC138" s="1" t="s">
        <v>116</v>
      </c>
      <c r="BD138" s="56">
        <v>0</v>
      </c>
    </row>
    <row r="139" spans="1:56" ht="27.75" customHeight="1" x14ac:dyDescent="0.45">
      <c r="A139" s="3">
        <v>45601</v>
      </c>
      <c r="B139" s="14" t="s">
        <v>207</v>
      </c>
      <c r="C139" s="9" t="s">
        <v>93</v>
      </c>
      <c r="D139" s="13" t="s">
        <v>149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99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259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260</v>
      </c>
      <c r="AG139" s="1" t="s">
        <v>119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116</v>
      </c>
      <c r="BD139" s="56">
        <v>0</v>
      </c>
    </row>
    <row r="140" spans="1:56" ht="27.75" customHeight="1" x14ac:dyDescent="0.45">
      <c r="A140" s="3">
        <v>45601</v>
      </c>
      <c r="B140" s="14" t="s">
        <v>207</v>
      </c>
      <c r="C140" s="9" t="s">
        <v>93</v>
      </c>
      <c r="D140" s="13" t="s">
        <v>149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99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259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260</v>
      </c>
      <c r="AG140" s="1" t="s">
        <v>119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116</v>
      </c>
      <c r="BD140" s="56">
        <v>0</v>
      </c>
    </row>
    <row r="141" spans="1:56" ht="27.75" customHeight="1" x14ac:dyDescent="0.45">
      <c r="A141" s="3">
        <v>45601</v>
      </c>
      <c r="B141" s="14" t="s">
        <v>207</v>
      </c>
      <c r="C141" s="9" t="s">
        <v>93</v>
      </c>
      <c r="D141" s="13" t="s">
        <v>149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99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259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260</v>
      </c>
      <c r="AG141" s="1" t="s">
        <v>118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45">
      <c r="A142" s="3">
        <v>45601</v>
      </c>
      <c r="B142" s="14" t="s">
        <v>207</v>
      </c>
      <c r="C142" s="9" t="s">
        <v>93</v>
      </c>
      <c r="D142" s="13" t="s">
        <v>149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99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100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260</v>
      </c>
      <c r="AG142" s="1" t="s">
        <v>118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116</v>
      </c>
      <c r="BD142" s="56">
        <v>3922.0137449110066</v>
      </c>
    </row>
    <row r="143" spans="1:56" ht="27.75" customHeight="1" x14ac:dyDescent="0.45">
      <c r="A143" s="3">
        <v>45601</v>
      </c>
      <c r="B143" s="14" t="s">
        <v>207</v>
      </c>
      <c r="C143" s="9" t="s">
        <v>93</v>
      </c>
      <c r="D143" s="13" t="s">
        <v>149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99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100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260</v>
      </c>
      <c r="AG143" s="1" t="s">
        <v>118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116</v>
      </c>
      <c r="BD143" s="56">
        <v>60119.00955515969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100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118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 t="s">
        <v>139</v>
      </c>
      <c r="B145" s="14" t="s">
        <v>139</v>
      </c>
      <c r="C145" s="9" t="s">
        <v>190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196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767.03992444444452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45">
      <c r="A147" s="3">
        <v>45839</v>
      </c>
      <c r="B147" s="14" t="s">
        <v>132</v>
      </c>
      <c r="C147" s="9" t="s">
        <v>143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154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881.88611333333336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154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121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139</v>
      </c>
      <c r="B149" s="14" t="s">
        <v>139</v>
      </c>
      <c r="C149" s="9" t="s">
        <v>112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212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212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121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213</v>
      </c>
      <c r="BD150" s="56">
        <v>0</v>
      </c>
    </row>
    <row r="151" spans="1:56" ht="27.75" customHeight="1" x14ac:dyDescent="0.45">
      <c r="A151" s="3">
        <v>45835</v>
      </c>
      <c r="B151" s="14" t="s">
        <v>414</v>
      </c>
      <c r="C151" s="9" t="s">
        <v>112</v>
      </c>
      <c r="D151" s="13" t="s">
        <v>229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113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234</v>
      </c>
      <c r="AG151" s="1" t="s">
        <v>119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106</v>
      </c>
      <c r="BD151" s="56">
        <v>0</v>
      </c>
    </row>
    <row r="152" spans="1:56" ht="27.75" customHeight="1" x14ac:dyDescent="0.45">
      <c r="A152" s="3">
        <v>45832</v>
      </c>
      <c r="B152" s="14" t="s">
        <v>383</v>
      </c>
      <c r="C152" s="9" t="s">
        <v>112</v>
      </c>
      <c r="D152" s="13" t="s">
        <v>151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119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45832</v>
      </c>
      <c r="B153" s="14" t="s">
        <v>384</v>
      </c>
      <c r="C153" s="9" t="s">
        <v>112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113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234</v>
      </c>
      <c r="AG153" s="1" t="s">
        <v>61</v>
      </c>
      <c r="AH153" s="1" t="s">
        <v>153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1739.0291099999999</v>
      </c>
    </row>
    <row r="154" spans="1:56" ht="27.75" customHeight="1" x14ac:dyDescent="0.45">
      <c r="A154" s="3">
        <v>45832</v>
      </c>
      <c r="B154" s="14" t="s">
        <v>385</v>
      </c>
      <c r="C154" s="9" t="s">
        <v>112</v>
      </c>
      <c r="D154" s="13" t="s">
        <v>151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113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119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3846.8630200000002</v>
      </c>
    </row>
    <row r="155" spans="1:56" ht="27.75" customHeight="1" x14ac:dyDescent="0.45">
      <c r="A155" s="3">
        <v>45832</v>
      </c>
      <c r="B155" s="14" t="s">
        <v>386</v>
      </c>
      <c r="C155" s="9" t="s">
        <v>112</v>
      </c>
      <c r="D155" s="13" t="s">
        <v>151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113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118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3846.8630200000002</v>
      </c>
    </row>
    <row r="156" spans="1:56" ht="27.75" customHeight="1" x14ac:dyDescent="0.45">
      <c r="A156" s="3" t="s">
        <v>139</v>
      </c>
      <c r="B156" s="14" t="s">
        <v>139</v>
      </c>
      <c r="C156" s="9" t="s">
        <v>112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113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118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106</v>
      </c>
      <c r="BD156" s="56">
        <v>2564.5753466666665</v>
      </c>
    </row>
    <row r="157" spans="1:56" ht="27.75" customHeight="1" x14ac:dyDescent="0.45">
      <c r="A157" s="3">
        <v>45832</v>
      </c>
      <c r="B157" s="14" t="s">
        <v>387</v>
      </c>
      <c r="C157" s="9" t="s">
        <v>112</v>
      </c>
      <c r="D157" s="13" t="s">
        <v>151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113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121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2564.5753466666665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45831</v>
      </c>
      <c r="B159" s="14" t="s">
        <v>388</v>
      </c>
      <c r="C159" s="9" t="s">
        <v>112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131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118</v>
      </c>
      <c r="AH159" s="1" t="s">
        <v>153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150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 t="s">
        <v>139</v>
      </c>
      <c r="B160" s="14" t="s">
        <v>139</v>
      </c>
      <c r="C160" s="9" t="s">
        <v>112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131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118</v>
      </c>
      <c r="AH160" s="1" t="s">
        <v>153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139</v>
      </c>
      <c r="B161" s="14" t="s">
        <v>139</v>
      </c>
      <c r="C161" s="9" t="s">
        <v>155</v>
      </c>
      <c r="D161" s="13" t="s">
        <v>156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131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6672.8093055555564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131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157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0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45839</v>
      </c>
      <c r="E3" s="80" t="s">
        <v>52</v>
      </c>
      <c r="F3" s="80"/>
      <c r="G3" s="81">
        <v>14.03</v>
      </c>
      <c r="H3" s="8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2" t="s">
        <v>51</v>
      </c>
      <c r="B4" s="28" t="s">
        <v>43</v>
      </c>
      <c r="C4" s="29" t="s">
        <v>42</v>
      </c>
      <c r="D4" s="30"/>
      <c r="E4" s="83">
        <v>10.3</v>
      </c>
      <c r="F4" s="84"/>
      <c r="G4" s="85"/>
      <c r="H4" s="86"/>
      <c r="I4" s="87" t="s">
        <v>50</v>
      </c>
      <c r="J4" s="88"/>
      <c r="K4" s="89"/>
      <c r="L4" s="31" t="s">
        <v>89</v>
      </c>
      <c r="M4" s="90" t="s">
        <v>49</v>
      </c>
      <c r="N4" s="91"/>
      <c r="O4" s="91"/>
      <c r="P4" s="9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8" t="s">
        <v>46</v>
      </c>
      <c r="AA4" s="7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45">
      <c r="A6" s="3">
        <v>45833</v>
      </c>
      <c r="B6" s="14" t="s">
        <v>132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310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316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310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118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311</v>
      </c>
      <c r="BD7" s="56">
        <v>0</v>
      </c>
    </row>
    <row r="8" spans="1:56" ht="27.75" customHeight="1" x14ac:dyDescent="0.45">
      <c r="A8" s="3" t="s">
        <v>139</v>
      </c>
      <c r="B8" s="14" t="s">
        <v>139</v>
      </c>
      <c r="C8" s="9" t="s">
        <v>266</v>
      </c>
      <c r="D8" s="13" t="s">
        <v>267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268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118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29.983288888888882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268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118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133</v>
      </c>
      <c r="BD9" s="56">
        <v>0</v>
      </c>
    </row>
    <row r="10" spans="1:56" ht="27.75" customHeight="1" x14ac:dyDescent="0.45">
      <c r="A10" s="3" t="s">
        <v>139</v>
      </c>
      <c r="B10" s="14" t="s">
        <v>139</v>
      </c>
      <c r="C10" s="9" t="s">
        <v>230</v>
      </c>
      <c r="D10" s="13" t="s">
        <v>270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137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118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217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137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7.75" customHeight="1" x14ac:dyDescent="0.45">
      <c r="A12" s="3">
        <v>45831</v>
      </c>
      <c r="B12" s="14" t="s">
        <v>389</v>
      </c>
      <c r="C12" s="9" t="s">
        <v>379</v>
      </c>
      <c r="D12" s="13" t="s">
        <v>380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323</v>
      </c>
      <c r="AG12" s="1" t="s">
        <v>120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7.75" customHeight="1" x14ac:dyDescent="0.45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142</v>
      </c>
      <c r="BD13" s="56">
        <v>0</v>
      </c>
    </row>
    <row r="14" spans="1:56" ht="27.75" customHeight="1" x14ac:dyDescent="0.45">
      <c r="A14" s="3">
        <v>45827</v>
      </c>
      <c r="B14" s="14" t="s">
        <v>390</v>
      </c>
      <c r="C14" s="9" t="s">
        <v>140</v>
      </c>
      <c r="D14" s="13" t="s">
        <v>128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176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119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369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7.75" customHeight="1" x14ac:dyDescent="0.45">
      <c r="A15" s="3">
        <v>45827</v>
      </c>
      <c r="B15" s="14" t="s">
        <v>391</v>
      </c>
      <c r="C15" s="9" t="s">
        <v>140</v>
      </c>
      <c r="D15" s="13" t="s">
        <v>214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176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119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369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45">
      <c r="A16" s="3">
        <v>45827</v>
      </c>
      <c r="B16" s="14" t="s">
        <v>390</v>
      </c>
      <c r="C16" s="9" t="s">
        <v>140</v>
      </c>
      <c r="D16" s="13" t="s">
        <v>128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176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370</v>
      </c>
      <c r="AZ16" s="2">
        <v>0</v>
      </c>
      <c r="BA16" s="2">
        <v>0</v>
      </c>
      <c r="BB16" s="2">
        <v>0</v>
      </c>
      <c r="BC16" s="1" t="s">
        <v>103</v>
      </c>
      <c r="BD16" s="56">
        <v>2072.3167991715559</v>
      </c>
    </row>
    <row r="17" spans="1:56" ht="27.75" customHeight="1" x14ac:dyDescent="0.45">
      <c r="A17" s="3">
        <v>45827</v>
      </c>
      <c r="B17" s="14" t="s">
        <v>391</v>
      </c>
      <c r="C17" s="9" t="s">
        <v>140</v>
      </c>
      <c r="D17" s="13" t="s">
        <v>214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176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371</v>
      </c>
      <c r="AZ17" s="2">
        <v>0</v>
      </c>
      <c r="BA17" s="2">
        <v>0</v>
      </c>
      <c r="BB17" s="2">
        <v>0</v>
      </c>
      <c r="BC17" s="1" t="s">
        <v>103</v>
      </c>
      <c r="BD17" s="56">
        <v>1258.2413991840001</v>
      </c>
    </row>
    <row r="18" spans="1:56" ht="27.75" customHeight="1" x14ac:dyDescent="0.45">
      <c r="A18" s="3">
        <v>45834</v>
      </c>
      <c r="B18" s="14" t="s">
        <v>412</v>
      </c>
      <c r="C18" s="9" t="s">
        <v>401</v>
      </c>
      <c r="D18" s="13" t="s">
        <v>402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176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639.15544000000023</v>
      </c>
    </row>
    <row r="19" spans="1:56" ht="27.75" customHeight="1" x14ac:dyDescent="0.45">
      <c r="A19" s="3" t="s">
        <v>139</v>
      </c>
      <c r="B19" s="14" t="s">
        <v>139</v>
      </c>
      <c r="C19" s="9" t="s">
        <v>271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176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1917.46632</v>
      </c>
    </row>
    <row r="20" spans="1:56" ht="27.75" customHeight="1" x14ac:dyDescent="0.45">
      <c r="A20" s="3" t="s">
        <v>139</v>
      </c>
      <c r="B20" s="14" t="s">
        <v>139</v>
      </c>
      <c r="C20" s="9" t="s">
        <v>221</v>
      </c>
      <c r="D20" s="13" t="s">
        <v>222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176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118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1359.4734755555558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120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45">
      <c r="A22" s="3">
        <v>45827</v>
      </c>
      <c r="B22" s="14" t="s">
        <v>372</v>
      </c>
      <c r="C22" s="9" t="s">
        <v>73</v>
      </c>
      <c r="D22" s="13" t="s">
        <v>344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148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374</v>
      </c>
      <c r="AG22" s="1" t="s">
        <v>119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181</v>
      </c>
      <c r="BD22" s="56">
        <v>0</v>
      </c>
    </row>
    <row r="23" spans="1:56" ht="27.75" customHeight="1" x14ac:dyDescent="0.45">
      <c r="A23" s="3">
        <v>45827</v>
      </c>
      <c r="B23" s="14" t="s">
        <v>372</v>
      </c>
      <c r="C23" s="9" t="s">
        <v>73</v>
      </c>
      <c r="D23" s="13" t="s">
        <v>328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148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180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374</v>
      </c>
      <c r="AG23" s="1" t="s">
        <v>120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181</v>
      </c>
      <c r="BD23" s="56">
        <v>0</v>
      </c>
    </row>
    <row r="24" spans="1:56" ht="27.75" customHeight="1" x14ac:dyDescent="0.45">
      <c r="A24" s="3">
        <v>45827</v>
      </c>
      <c r="B24" s="14" t="s">
        <v>372</v>
      </c>
      <c r="C24" s="9" t="s">
        <v>73</v>
      </c>
      <c r="D24" s="13" t="s">
        <v>329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148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374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181</v>
      </c>
      <c r="BD24" s="56">
        <v>0</v>
      </c>
    </row>
    <row r="25" spans="1:56" ht="27.75" customHeight="1" x14ac:dyDescent="0.45">
      <c r="A25" s="3">
        <v>45827</v>
      </c>
      <c r="B25" s="14" t="s">
        <v>372</v>
      </c>
      <c r="C25" s="9" t="s">
        <v>73</v>
      </c>
      <c r="D25" s="13" t="s">
        <v>202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148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180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374</v>
      </c>
      <c r="AG25" s="1" t="s">
        <v>120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181</v>
      </c>
      <c r="BD25" s="56">
        <v>0</v>
      </c>
    </row>
    <row r="26" spans="1:56" ht="27.75" customHeight="1" x14ac:dyDescent="0.45">
      <c r="A26" s="3">
        <v>45827</v>
      </c>
      <c r="B26" s="14" t="s">
        <v>373</v>
      </c>
      <c r="C26" s="9" t="s">
        <v>73</v>
      </c>
      <c r="D26" s="13" t="s">
        <v>289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148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374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181</v>
      </c>
      <c r="BD26" s="56">
        <v>0</v>
      </c>
    </row>
    <row r="27" spans="1:56" ht="27.75" customHeight="1" x14ac:dyDescent="0.45">
      <c r="A27" s="3">
        <v>45833</v>
      </c>
      <c r="B27" s="14" t="s">
        <v>403</v>
      </c>
      <c r="C27" s="9" t="s">
        <v>73</v>
      </c>
      <c r="D27" s="13" t="s">
        <v>392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148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180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118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181</v>
      </c>
      <c r="BD27" s="56">
        <v>0</v>
      </c>
    </row>
    <row r="28" spans="1:56" ht="27.75" customHeight="1" x14ac:dyDescent="0.45">
      <c r="A28" s="3">
        <v>0</v>
      </c>
      <c r="B28" s="14" t="s">
        <v>132</v>
      </c>
      <c r="C28" s="9" t="s">
        <v>73</v>
      </c>
      <c r="D28" s="13" t="s">
        <v>330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148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180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181</v>
      </c>
      <c r="BD28" s="56">
        <v>0</v>
      </c>
    </row>
    <row r="29" spans="1:56" ht="27.75" customHeight="1" x14ac:dyDescent="0.45">
      <c r="A29" s="3" t="s">
        <v>139</v>
      </c>
      <c r="B29" s="14" t="s">
        <v>139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148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180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119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181</v>
      </c>
      <c r="BD29" s="56">
        <v>26517.51872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180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118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182</v>
      </c>
      <c r="BD30" s="56">
        <v>0</v>
      </c>
    </row>
    <row r="31" spans="1:56" ht="27.75" customHeight="1" x14ac:dyDescent="0.45">
      <c r="A31" s="3">
        <v>45825</v>
      </c>
      <c r="B31" s="14" t="s">
        <v>352</v>
      </c>
      <c r="C31" s="9" t="s">
        <v>145</v>
      </c>
      <c r="D31" s="13" t="s">
        <v>353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211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111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115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205</v>
      </c>
      <c r="BD31" s="56">
        <v>0</v>
      </c>
    </row>
    <row r="32" spans="1:56" ht="27.75" customHeight="1" x14ac:dyDescent="0.45">
      <c r="A32" s="3">
        <v>45796</v>
      </c>
      <c r="B32" s="14" t="s">
        <v>303</v>
      </c>
      <c r="C32" s="9" t="s">
        <v>145</v>
      </c>
      <c r="D32" s="13" t="s">
        <v>298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211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111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205</v>
      </c>
      <c r="BD32" s="56">
        <v>0</v>
      </c>
    </row>
    <row r="33" spans="1:56" ht="27.7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115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120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206</v>
      </c>
      <c r="BD33" s="56">
        <v>0</v>
      </c>
    </row>
    <row r="34" spans="1:56" ht="27.75" customHeight="1" x14ac:dyDescent="0.45">
      <c r="A34" s="3">
        <v>45825</v>
      </c>
      <c r="B34" s="14" t="s">
        <v>355</v>
      </c>
      <c r="C34" s="9" t="s">
        <v>145</v>
      </c>
      <c r="D34" s="13" t="s">
        <v>273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283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111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122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138</v>
      </c>
      <c r="AY34" s="2">
        <v>0</v>
      </c>
      <c r="AZ34" s="2">
        <v>0</v>
      </c>
      <c r="BA34" s="2">
        <v>0</v>
      </c>
      <c r="BB34" s="2">
        <v>0</v>
      </c>
      <c r="BC34" s="1" t="s">
        <v>106</v>
      </c>
      <c r="BD34" s="56">
        <v>0</v>
      </c>
    </row>
    <row r="35" spans="1:56" ht="27.75" customHeight="1" x14ac:dyDescent="0.45">
      <c r="A35" s="3">
        <v>45796</v>
      </c>
      <c r="B35" s="14" t="s">
        <v>304</v>
      </c>
      <c r="C35" s="9" t="s">
        <v>145</v>
      </c>
      <c r="D35" s="13" t="s">
        <v>300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111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120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106</v>
      </c>
      <c r="BD35" s="56">
        <v>0</v>
      </c>
    </row>
    <row r="36" spans="1:56" ht="27.75" customHeight="1" x14ac:dyDescent="0.45">
      <c r="A36" s="3">
        <v>45825</v>
      </c>
      <c r="B36" s="14" t="s">
        <v>354</v>
      </c>
      <c r="C36" s="9" t="s">
        <v>145</v>
      </c>
      <c r="D36" s="13" t="s">
        <v>300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211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111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106</v>
      </c>
      <c r="BD36" s="56">
        <v>0</v>
      </c>
    </row>
    <row r="37" spans="1:56" ht="27.75" customHeight="1" x14ac:dyDescent="0.45">
      <c r="A37" s="3">
        <v>45825</v>
      </c>
      <c r="B37" s="14" t="s">
        <v>354</v>
      </c>
      <c r="C37" s="9" t="s">
        <v>145</v>
      </c>
      <c r="D37" s="13" t="s">
        <v>201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211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106</v>
      </c>
      <c r="BD37" s="56">
        <v>0</v>
      </c>
    </row>
    <row r="38" spans="1:56" ht="27.75" customHeight="1" x14ac:dyDescent="0.45">
      <c r="A38" s="3">
        <v>45825</v>
      </c>
      <c r="B38" s="14" t="s">
        <v>354</v>
      </c>
      <c r="C38" s="9" t="s">
        <v>145</v>
      </c>
      <c r="D38" s="13" t="s">
        <v>248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211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120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106</v>
      </c>
      <c r="BD38" s="56">
        <v>0</v>
      </c>
    </row>
    <row r="39" spans="1:56" ht="27.75" customHeight="1" x14ac:dyDescent="0.45">
      <c r="A39" s="3">
        <v>45721</v>
      </c>
      <c r="B39" s="14" t="s">
        <v>274</v>
      </c>
      <c r="C39" s="9" t="s">
        <v>145</v>
      </c>
      <c r="D39" s="13" t="s">
        <v>248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106</v>
      </c>
      <c r="BD39" s="56">
        <v>0</v>
      </c>
    </row>
    <row r="40" spans="1:56" ht="27.75" customHeight="1" x14ac:dyDescent="0.45">
      <c r="A40" s="3">
        <v>45827</v>
      </c>
      <c r="B40" s="14" t="s">
        <v>394</v>
      </c>
      <c r="C40" s="9" t="s">
        <v>145</v>
      </c>
      <c r="D40" s="13" t="s">
        <v>192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211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111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106</v>
      </c>
      <c r="BD40" s="56">
        <v>0</v>
      </c>
    </row>
    <row r="41" spans="1:56" ht="27.75" customHeight="1" x14ac:dyDescent="0.45">
      <c r="A41" s="3">
        <v>45782</v>
      </c>
      <c r="B41" s="14" t="s">
        <v>297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119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7.75" customHeight="1" x14ac:dyDescent="0.45">
      <c r="A42" s="3">
        <v>45810</v>
      </c>
      <c r="B42" s="14" t="s">
        <v>326</v>
      </c>
      <c r="C42" s="9" t="s">
        <v>79</v>
      </c>
      <c r="D42" s="13" t="s">
        <v>327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0</v>
      </c>
    </row>
    <row r="43" spans="1:56" ht="27.75" customHeight="1" x14ac:dyDescent="0.45">
      <c r="A43" s="3">
        <v>45826</v>
      </c>
      <c r="B43" s="14" t="s">
        <v>364</v>
      </c>
      <c r="C43" s="9" t="s">
        <v>110</v>
      </c>
      <c r="D43" s="13" t="s">
        <v>365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7.75" customHeight="1" x14ac:dyDescent="0.45">
      <c r="A44" s="3" t="s">
        <v>139</v>
      </c>
      <c r="B44" s="14" t="s">
        <v>139</v>
      </c>
      <c r="C44" s="9" t="s">
        <v>332</v>
      </c>
      <c r="D44" s="13" t="s">
        <v>404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573.75377777777794</v>
      </c>
    </row>
    <row r="45" spans="1:56" ht="27.75" customHeight="1" x14ac:dyDescent="0.45">
      <c r="A45" s="3" t="s">
        <v>139</v>
      </c>
      <c r="B45" s="14" t="s">
        <v>139</v>
      </c>
      <c r="C45" s="9" t="s">
        <v>332</v>
      </c>
      <c r="D45" s="13" t="s">
        <v>405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812.74355555555564</v>
      </c>
    </row>
    <row r="46" spans="1:56" ht="27.75" customHeight="1" x14ac:dyDescent="0.45">
      <c r="A46" s="3" t="s">
        <v>139</v>
      </c>
      <c r="B46" s="14" t="s">
        <v>139</v>
      </c>
      <c r="C46" s="9" t="s">
        <v>332</v>
      </c>
      <c r="D46" s="13" t="s">
        <v>406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812.74355555555564</v>
      </c>
    </row>
    <row r="47" spans="1:56" ht="27.75" customHeight="1" x14ac:dyDescent="0.45">
      <c r="A47" s="3" t="s">
        <v>139</v>
      </c>
      <c r="B47" s="14" t="s">
        <v>139</v>
      </c>
      <c r="C47" s="9" t="s">
        <v>332</v>
      </c>
      <c r="D47" s="13" t="s">
        <v>407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406.37177777777782</v>
      </c>
    </row>
    <row r="48" spans="1:56" ht="27.75" customHeight="1" x14ac:dyDescent="0.45">
      <c r="A48" s="3" t="s">
        <v>139</v>
      </c>
      <c r="B48" s="14" t="s">
        <v>139</v>
      </c>
      <c r="C48" s="9" t="s">
        <v>145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7916.333333333333</v>
      </c>
    </row>
    <row r="49" spans="1:56" ht="27.75" customHeight="1" x14ac:dyDescent="0.45">
      <c r="A49" s="3">
        <v>45799</v>
      </c>
      <c r="B49" s="14" t="s">
        <v>322</v>
      </c>
      <c r="C49" s="9" t="s">
        <v>312</v>
      </c>
      <c r="D49" s="13" t="s">
        <v>313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136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228</v>
      </c>
      <c r="AG49" s="1" t="s">
        <v>120</v>
      </c>
      <c r="AH49" s="1" t="s">
        <v>75</v>
      </c>
      <c r="AI49" s="1">
        <v>4</v>
      </c>
      <c r="AJ49" s="3" t="s">
        <v>136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7.75" customHeight="1" x14ac:dyDescent="0.45">
      <c r="A50" s="3">
        <v>45799</v>
      </c>
      <c r="B50" s="14" t="s">
        <v>322</v>
      </c>
      <c r="C50" s="9" t="s">
        <v>312</v>
      </c>
      <c r="D50" s="13" t="s">
        <v>314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136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228</v>
      </c>
      <c r="AG50" s="1" t="s">
        <v>118</v>
      </c>
      <c r="AH50" s="1" t="s">
        <v>75</v>
      </c>
      <c r="AI50" s="1">
        <v>4</v>
      </c>
      <c r="AJ50" s="3" t="s">
        <v>136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7.75" customHeight="1" x14ac:dyDescent="0.45">
      <c r="A51" s="3">
        <v>45796</v>
      </c>
      <c r="B51" s="14" t="s">
        <v>305</v>
      </c>
      <c r="C51" s="9" t="s">
        <v>145</v>
      </c>
      <c r="D51" s="13" t="s">
        <v>247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111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7.75" customHeight="1" x14ac:dyDescent="0.45">
      <c r="A52" s="3">
        <v>45796</v>
      </c>
      <c r="B52" s="14" t="s">
        <v>308</v>
      </c>
      <c r="C52" s="9" t="s">
        <v>145</v>
      </c>
      <c r="D52" s="13" t="s">
        <v>152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302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7.75" customHeight="1" x14ac:dyDescent="0.45">
      <c r="A53" s="3">
        <v>45796</v>
      </c>
      <c r="B53" s="14" t="s">
        <v>309</v>
      </c>
      <c r="C53" s="9" t="s">
        <v>145</v>
      </c>
      <c r="D53" s="13" t="s">
        <v>249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7.75" customHeight="1" x14ac:dyDescent="0.45">
      <c r="A54" s="3">
        <v>45796</v>
      </c>
      <c r="B54" s="14" t="s">
        <v>304</v>
      </c>
      <c r="C54" s="9" t="s">
        <v>145</v>
      </c>
      <c r="D54" s="13" t="s">
        <v>299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7.75" customHeight="1" x14ac:dyDescent="0.45">
      <c r="A55" s="3">
        <v>45796</v>
      </c>
      <c r="B55" s="14" t="s">
        <v>306</v>
      </c>
      <c r="C55" s="9" t="s">
        <v>145</v>
      </c>
      <c r="D55" s="13" t="s">
        <v>272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7.75" customHeight="1" x14ac:dyDescent="0.45">
      <c r="A56" s="3">
        <v>45796</v>
      </c>
      <c r="B56" s="14" t="s">
        <v>306</v>
      </c>
      <c r="C56" s="9" t="s">
        <v>145</v>
      </c>
      <c r="D56" s="13" t="s">
        <v>301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7.75" customHeight="1" x14ac:dyDescent="0.45">
      <c r="A57" s="3">
        <v>45796</v>
      </c>
      <c r="B57" s="14" t="s">
        <v>307</v>
      </c>
      <c r="C57" s="9" t="s">
        <v>145</v>
      </c>
      <c r="D57" s="13" t="s">
        <v>135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7.75" customHeight="1" x14ac:dyDescent="0.45">
      <c r="A58" s="3">
        <v>45798</v>
      </c>
      <c r="B58" s="14" t="s">
        <v>318</v>
      </c>
      <c r="C58" s="9" t="s">
        <v>110</v>
      </c>
      <c r="D58" s="13" t="s">
        <v>315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138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416.92688888888887</v>
      </c>
    </row>
    <row r="59" spans="1:56" ht="27.75" customHeight="1" x14ac:dyDescent="0.45">
      <c r="A59" s="3">
        <v>45782</v>
      </c>
      <c r="B59" s="14" t="s">
        <v>297</v>
      </c>
      <c r="C59" s="9" t="s">
        <v>79</v>
      </c>
      <c r="D59" s="13" t="s">
        <v>280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138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1250.7806666666668</v>
      </c>
    </row>
    <row r="60" spans="1:56" ht="27.75" customHeight="1" x14ac:dyDescent="0.45">
      <c r="A60" s="3">
        <v>45810</v>
      </c>
      <c r="B60" s="14" t="s">
        <v>325</v>
      </c>
      <c r="C60" s="9" t="s">
        <v>79</v>
      </c>
      <c r="D60" s="13" t="s">
        <v>243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416.92688888888887</v>
      </c>
    </row>
    <row r="61" spans="1:56" ht="27.75" customHeight="1" x14ac:dyDescent="0.45">
      <c r="A61" s="3">
        <v>45611</v>
      </c>
      <c r="B61" s="14" t="s">
        <v>210</v>
      </c>
      <c r="C61" s="9" t="s">
        <v>145</v>
      </c>
      <c r="D61" s="13" t="s">
        <v>126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7.75" customHeight="1" x14ac:dyDescent="0.45">
      <c r="A62" s="3" t="s">
        <v>139</v>
      </c>
      <c r="B62" s="14" t="s">
        <v>139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118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1667.7075555555555</v>
      </c>
    </row>
    <row r="63" spans="1:56" ht="27.75" customHeight="1" x14ac:dyDescent="0.45">
      <c r="A63" s="3" t="s">
        <v>139</v>
      </c>
      <c r="B63" s="14" t="s">
        <v>139</v>
      </c>
      <c r="C63" s="9" t="s">
        <v>97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118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3250.9742222222226</v>
      </c>
    </row>
    <row r="64" spans="1:56" ht="27.75" customHeight="1" x14ac:dyDescent="0.45">
      <c r="A64" s="3">
        <v>45681</v>
      </c>
      <c r="B64" s="14" t="s">
        <v>253</v>
      </c>
      <c r="C64" s="9" t="s">
        <v>79</v>
      </c>
      <c r="D64" s="13" t="s">
        <v>252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120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262.82226666666674</v>
      </c>
    </row>
    <row r="65" spans="1:56" ht="27.75" customHeight="1" x14ac:dyDescent="0.45">
      <c r="A65" s="3">
        <v>45674</v>
      </c>
      <c r="B65" s="14" t="s">
        <v>251</v>
      </c>
      <c r="C65" s="9" t="s">
        <v>145</v>
      </c>
      <c r="D65" s="13" t="s">
        <v>250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211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269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7.75" customHeight="1" x14ac:dyDescent="0.45">
      <c r="A66" s="3">
        <v>45611</v>
      </c>
      <c r="B66" s="14" t="s">
        <v>209</v>
      </c>
      <c r="C66" s="9" t="s">
        <v>145</v>
      </c>
      <c r="D66" s="13" t="s">
        <v>208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7.75" customHeight="1" x14ac:dyDescent="0.45">
      <c r="A67" s="3">
        <v>45523</v>
      </c>
      <c r="B67" s="14" t="s">
        <v>189</v>
      </c>
      <c r="C67" s="9" t="s">
        <v>145</v>
      </c>
      <c r="D67" s="13" t="s">
        <v>187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118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0</v>
      </c>
    </row>
    <row r="68" spans="1:56" ht="27.75" customHeight="1" x14ac:dyDescent="0.45">
      <c r="A68" s="3">
        <v>45523</v>
      </c>
      <c r="B68" s="14" t="s">
        <v>189</v>
      </c>
      <c r="C68" s="9" t="s">
        <v>145</v>
      </c>
      <c r="D68" s="13" t="s">
        <v>188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7.75" customHeight="1" x14ac:dyDescent="0.45">
      <c r="A69" s="3">
        <v>45741</v>
      </c>
      <c r="B69" s="14" t="s">
        <v>277</v>
      </c>
      <c r="C69" s="9" t="s">
        <v>110</v>
      </c>
      <c r="D69" s="13" t="s">
        <v>276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136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118</v>
      </c>
      <c r="AH69" s="1" t="s">
        <v>75</v>
      </c>
      <c r="AI69" s="1">
        <v>4</v>
      </c>
      <c r="AJ69" s="3" t="s">
        <v>136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281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45">
      <c r="A70" s="3">
        <v>45720</v>
      </c>
      <c r="B70" s="14" t="s">
        <v>132</v>
      </c>
      <c r="C70" s="9" t="s">
        <v>110</v>
      </c>
      <c r="D70" s="13" t="s">
        <v>226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136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 t="s">
        <v>136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45">
      <c r="A71" s="3">
        <v>45720</v>
      </c>
      <c r="B71" s="14" t="s">
        <v>132</v>
      </c>
      <c r="C71" s="9" t="s">
        <v>110</v>
      </c>
      <c r="D71" s="13" t="s">
        <v>242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136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 t="s">
        <v>136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45">
      <c r="A72" s="3">
        <v>45541</v>
      </c>
      <c r="B72" s="14" t="s">
        <v>193</v>
      </c>
      <c r="C72" s="9" t="s">
        <v>110</v>
      </c>
      <c r="D72" s="13" t="s">
        <v>194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136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195</v>
      </c>
      <c r="AG72" s="1" t="s">
        <v>118</v>
      </c>
      <c r="AH72" s="1" t="s">
        <v>75</v>
      </c>
      <c r="AI72" s="1">
        <v>4</v>
      </c>
      <c r="AJ72" s="3" t="s">
        <v>136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245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45">
      <c r="A73" s="3">
        <v>45581</v>
      </c>
      <c r="B73" s="14" t="s">
        <v>199</v>
      </c>
      <c r="C73" s="9" t="s">
        <v>110</v>
      </c>
      <c r="D73" s="13" t="s">
        <v>200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136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 t="s">
        <v>136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120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45">
      <c r="A75" s="3">
        <v>45825</v>
      </c>
      <c r="B75" s="14" t="s">
        <v>360</v>
      </c>
      <c r="C75" s="9" t="s">
        <v>145</v>
      </c>
      <c r="D75" s="13" t="s">
        <v>350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211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228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7.75" customHeight="1" x14ac:dyDescent="0.45">
      <c r="A76" s="3">
        <v>45825</v>
      </c>
      <c r="B76" s="14" t="s">
        <v>360</v>
      </c>
      <c r="C76" s="9" t="s">
        <v>145</v>
      </c>
      <c r="D76" s="13" t="s">
        <v>350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211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228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362</v>
      </c>
      <c r="AZ76" s="2">
        <v>0</v>
      </c>
      <c r="BA76" s="2">
        <v>0</v>
      </c>
      <c r="BB76" s="2">
        <v>0</v>
      </c>
      <c r="BC76" s="1" t="s">
        <v>103</v>
      </c>
      <c r="BD76" s="56">
        <v>843.79377777777779</v>
      </c>
    </row>
    <row r="77" spans="1:56" ht="27.75" customHeight="1" x14ac:dyDescent="0.45">
      <c r="A77" s="3">
        <v>45825</v>
      </c>
      <c r="B77" s="14" t="s">
        <v>361</v>
      </c>
      <c r="C77" s="9" t="s">
        <v>145</v>
      </c>
      <c r="D77" s="13" t="s">
        <v>351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211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228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363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7.75" customHeight="1" x14ac:dyDescent="0.45">
      <c r="A78" s="3">
        <v>45818</v>
      </c>
      <c r="B78" s="14" t="s">
        <v>340</v>
      </c>
      <c r="C78" s="9" t="s">
        <v>85</v>
      </c>
      <c r="D78" s="13" t="s">
        <v>336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203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335</v>
      </c>
      <c r="AG78" s="1" t="s">
        <v>118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2466.9157333333337</v>
      </c>
    </row>
    <row r="79" spans="1:56" ht="27.75" customHeight="1" x14ac:dyDescent="0.45">
      <c r="A79" s="3">
        <v>45821</v>
      </c>
      <c r="B79" s="14" t="s">
        <v>346</v>
      </c>
      <c r="C79" s="9" t="s">
        <v>85</v>
      </c>
      <c r="D79" s="13" t="s">
        <v>347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203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291</v>
      </c>
      <c r="AG79" s="1" t="s">
        <v>119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411.15262222222225</v>
      </c>
    </row>
    <row r="80" spans="1:56" ht="27.75" customHeight="1" x14ac:dyDescent="0.45">
      <c r="A80" s="3">
        <v>45821</v>
      </c>
      <c r="B80" s="14" t="s">
        <v>346</v>
      </c>
      <c r="C80" s="9" t="s">
        <v>85</v>
      </c>
      <c r="D80" s="13" t="s">
        <v>348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203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291</v>
      </c>
      <c r="AG80" s="1" t="s">
        <v>119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411.15262222222225</v>
      </c>
    </row>
    <row r="81" spans="1:56" ht="27.75" customHeight="1" x14ac:dyDescent="0.45">
      <c r="A81" s="3">
        <v>45818</v>
      </c>
      <c r="B81" s="14" t="s">
        <v>339</v>
      </c>
      <c r="C81" s="9" t="s">
        <v>85</v>
      </c>
      <c r="D81" s="13" t="s">
        <v>337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203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334</v>
      </c>
      <c r="AG81" s="1" t="s">
        <v>119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7.75" customHeight="1" x14ac:dyDescent="0.45">
      <c r="A82" s="3">
        <v>45821</v>
      </c>
      <c r="B82" s="14" t="s">
        <v>345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203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291</v>
      </c>
      <c r="AG82" s="1" t="s">
        <v>119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6578.441955555556</v>
      </c>
    </row>
    <row r="83" spans="1:56" ht="27.75" customHeight="1" x14ac:dyDescent="0.45">
      <c r="A83" s="3">
        <v>45818</v>
      </c>
      <c r="B83" s="14" t="s">
        <v>340</v>
      </c>
      <c r="C83" s="9" t="s">
        <v>85</v>
      </c>
      <c r="D83" s="13" t="s">
        <v>290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203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335</v>
      </c>
      <c r="AG83" s="1" t="s">
        <v>119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4111.5262222222227</v>
      </c>
    </row>
    <row r="84" spans="1:56" ht="27.75" customHeight="1" x14ac:dyDescent="0.45">
      <c r="A84" s="3">
        <v>45818</v>
      </c>
      <c r="B84" s="14" t="s">
        <v>341</v>
      </c>
      <c r="C84" s="9" t="s">
        <v>85</v>
      </c>
      <c r="D84" s="13" t="s">
        <v>336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203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335</v>
      </c>
      <c r="AG84" s="1" t="s">
        <v>119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2466.9157333333337</v>
      </c>
    </row>
    <row r="85" spans="1:56" ht="27.75" customHeight="1" x14ac:dyDescent="0.45">
      <c r="A85" s="3">
        <v>45831</v>
      </c>
      <c r="B85" s="14" t="s">
        <v>395</v>
      </c>
      <c r="C85" s="9" t="s">
        <v>85</v>
      </c>
      <c r="D85" s="13" t="s">
        <v>381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203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291</v>
      </c>
      <c r="AG85" s="1" t="s">
        <v>119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411.15262222222225</v>
      </c>
    </row>
    <row r="86" spans="1:56" ht="27.75" customHeight="1" x14ac:dyDescent="0.45">
      <c r="A86" s="3">
        <v>45831</v>
      </c>
      <c r="B86" s="14" t="s">
        <v>395</v>
      </c>
      <c r="C86" s="9" t="s">
        <v>85</v>
      </c>
      <c r="D86" s="13" t="s">
        <v>261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203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291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3289.220977777778</v>
      </c>
    </row>
    <row r="87" spans="1:56" ht="27.75" customHeight="1" x14ac:dyDescent="0.45">
      <c r="A87" s="3">
        <v>45834</v>
      </c>
      <c r="B87" s="14" t="s">
        <v>413</v>
      </c>
      <c r="C87" s="9" t="s">
        <v>85</v>
      </c>
      <c r="D87" s="13" t="s">
        <v>331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238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227</v>
      </c>
      <c r="AG87" s="1" t="s">
        <v>118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411.15262222222225</v>
      </c>
    </row>
    <row r="88" spans="1:56" ht="27.75" customHeight="1" x14ac:dyDescent="0.45">
      <c r="A88" s="3">
        <v>45834</v>
      </c>
      <c r="B88" s="14" t="s">
        <v>413</v>
      </c>
      <c r="C88" s="9" t="s">
        <v>85</v>
      </c>
      <c r="D88" s="13" t="s">
        <v>408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238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227</v>
      </c>
      <c r="AG88" s="1" t="s">
        <v>118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411.15262222222225</v>
      </c>
    </row>
    <row r="89" spans="1:56" ht="27.75" customHeight="1" x14ac:dyDescent="0.45">
      <c r="A89" s="3" t="s">
        <v>139</v>
      </c>
      <c r="B89" s="14" t="s">
        <v>139</v>
      </c>
      <c r="C89" s="9" t="s">
        <v>145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211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228</v>
      </c>
      <c r="AG89" s="1" t="s">
        <v>118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12014.2</v>
      </c>
    </row>
    <row r="90" spans="1:56" ht="27.7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118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45">
      <c r="A91" s="3">
        <v>45826</v>
      </c>
      <c r="B91" s="14" t="s">
        <v>366</v>
      </c>
      <c r="C91" s="9" t="s">
        <v>110</v>
      </c>
      <c r="D91" s="13" t="s">
        <v>317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123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119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124</v>
      </c>
      <c r="BD91" s="56">
        <v>0</v>
      </c>
    </row>
    <row r="92" spans="1:56" ht="27.75" customHeight="1" x14ac:dyDescent="0.45">
      <c r="A92" s="3">
        <v>45826</v>
      </c>
      <c r="B92" s="14" t="s">
        <v>367</v>
      </c>
      <c r="C92" s="9" t="s">
        <v>110</v>
      </c>
      <c r="D92" s="13" t="s">
        <v>368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123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124</v>
      </c>
      <c r="BD92" s="56">
        <v>0</v>
      </c>
    </row>
    <row r="93" spans="1:56" ht="27.75" customHeight="1" x14ac:dyDescent="0.45">
      <c r="A93" s="3">
        <v>45831</v>
      </c>
      <c r="B93" s="14" t="s">
        <v>396</v>
      </c>
      <c r="C93" s="9" t="s">
        <v>179</v>
      </c>
      <c r="D93" s="13" t="s">
        <v>382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123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124</v>
      </c>
      <c r="BD93" s="56">
        <v>0</v>
      </c>
    </row>
    <row r="94" spans="1:56" ht="27.75" customHeight="1" x14ac:dyDescent="0.45">
      <c r="A94" s="3">
        <v>45833</v>
      </c>
      <c r="B94" s="14" t="s">
        <v>409</v>
      </c>
      <c r="C94" s="9" t="s">
        <v>110</v>
      </c>
      <c r="D94" s="13" t="s">
        <v>398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123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124</v>
      </c>
      <c r="BD94" s="56">
        <v>0</v>
      </c>
    </row>
    <row r="95" spans="1:56" ht="27.75" customHeight="1" x14ac:dyDescent="0.45">
      <c r="A95" s="3">
        <v>45833</v>
      </c>
      <c r="B95" s="14" t="s">
        <v>410</v>
      </c>
      <c r="C95" s="9" t="s">
        <v>110</v>
      </c>
      <c r="D95" s="13" t="s">
        <v>399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123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119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124</v>
      </c>
      <c r="BD95" s="56">
        <v>0</v>
      </c>
    </row>
    <row r="96" spans="1:56" ht="27.75" customHeight="1" x14ac:dyDescent="0.45">
      <c r="A96" s="3">
        <v>45833</v>
      </c>
      <c r="B96" s="14" t="s">
        <v>411</v>
      </c>
      <c r="C96" s="9" t="s">
        <v>179</v>
      </c>
      <c r="D96" s="13" t="s">
        <v>338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123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119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124</v>
      </c>
      <c r="BD96" s="56">
        <v>0</v>
      </c>
    </row>
    <row r="97" spans="1:56" ht="27.75" customHeight="1" x14ac:dyDescent="0.45">
      <c r="A97" s="3">
        <v>45833</v>
      </c>
      <c r="B97" s="14" t="s">
        <v>411</v>
      </c>
      <c r="C97" s="9" t="s">
        <v>179</v>
      </c>
      <c r="D97" s="13" t="s">
        <v>400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123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124</v>
      </c>
      <c r="BD97" s="56">
        <v>0</v>
      </c>
    </row>
    <row r="98" spans="1:56" ht="27.75" customHeight="1" x14ac:dyDescent="0.45">
      <c r="A98" s="3">
        <v>45826</v>
      </c>
      <c r="B98" s="14" t="s">
        <v>366</v>
      </c>
      <c r="C98" s="9" t="s">
        <v>110</v>
      </c>
      <c r="D98" s="13" t="s">
        <v>317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123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119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124</v>
      </c>
      <c r="BD98" s="56">
        <v>0</v>
      </c>
    </row>
    <row r="99" spans="1:56" ht="27.75" customHeight="1" x14ac:dyDescent="0.45">
      <c r="A99" s="3">
        <v>45628</v>
      </c>
      <c r="B99" s="14" t="s">
        <v>215</v>
      </c>
      <c r="C99" s="9" t="s">
        <v>112</v>
      </c>
      <c r="D99" s="13" t="s">
        <v>151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113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123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119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239</v>
      </c>
      <c r="AZ99" s="2">
        <v>0</v>
      </c>
      <c r="BA99" s="2">
        <v>0</v>
      </c>
      <c r="BB99" s="2">
        <v>0</v>
      </c>
      <c r="BC99" s="1" t="s">
        <v>124</v>
      </c>
      <c r="BD99" s="56">
        <v>0</v>
      </c>
    </row>
    <row r="100" spans="1:56" ht="27.75" customHeight="1" x14ac:dyDescent="0.45">
      <c r="A100" s="3">
        <v>45631</v>
      </c>
      <c r="B100" s="14" t="s">
        <v>218</v>
      </c>
      <c r="C100" s="9" t="s">
        <v>112</v>
      </c>
      <c r="D100" s="13" t="s">
        <v>151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113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123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240</v>
      </c>
      <c r="AZ100" s="2">
        <v>0</v>
      </c>
      <c r="BA100" s="2">
        <v>0</v>
      </c>
      <c r="BB100" s="2">
        <v>0</v>
      </c>
      <c r="BC100" s="1" t="s">
        <v>124</v>
      </c>
      <c r="BD100" s="56">
        <v>0</v>
      </c>
    </row>
    <row r="101" spans="1:56" ht="27.75" customHeight="1" x14ac:dyDescent="0.45">
      <c r="A101" s="3">
        <v>45631</v>
      </c>
      <c r="B101" s="14" t="s">
        <v>219</v>
      </c>
      <c r="C101" s="9" t="s">
        <v>112</v>
      </c>
      <c r="D101" s="13" t="s">
        <v>151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113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123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119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241</v>
      </c>
      <c r="AZ101" s="2">
        <v>0</v>
      </c>
      <c r="BA101" s="2">
        <v>0</v>
      </c>
      <c r="BB101" s="2">
        <v>0</v>
      </c>
      <c r="BC101" s="1" t="s">
        <v>124</v>
      </c>
      <c r="BD101" s="56">
        <v>0</v>
      </c>
    </row>
    <row r="102" spans="1:56" ht="27.75" customHeight="1" x14ac:dyDescent="0.45">
      <c r="A102" s="3" t="s">
        <v>139</v>
      </c>
      <c r="B102" s="14" t="s">
        <v>139</v>
      </c>
      <c r="C102" s="9" t="s">
        <v>112</v>
      </c>
      <c r="D102" s="13" t="s">
        <v>151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113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123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124</v>
      </c>
      <c r="BD102" s="56">
        <v>773.56453533333331</v>
      </c>
    </row>
    <row r="103" spans="1:56" ht="27.75" customHeight="1" x14ac:dyDescent="0.45">
      <c r="A103" s="3" t="s">
        <v>139</v>
      </c>
      <c r="B103" s="14" t="s">
        <v>139</v>
      </c>
      <c r="C103" s="9" t="s">
        <v>110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123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833.84229133333326</v>
      </c>
    </row>
    <row r="104" spans="1:56" ht="27.75" customHeight="1" x14ac:dyDescent="0.45">
      <c r="A104" s="3">
        <v>45066</v>
      </c>
      <c r="B104" s="14" t="s">
        <v>130</v>
      </c>
      <c r="C104" s="9" t="s">
        <v>79</v>
      </c>
      <c r="D104" s="13" t="s">
        <v>129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123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121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396.82856033333326</v>
      </c>
    </row>
    <row r="105" spans="1:56" ht="27.75" customHeight="1" x14ac:dyDescent="0.45">
      <c r="A105" s="3">
        <v>45800</v>
      </c>
      <c r="B105" s="14" t="s">
        <v>319</v>
      </c>
      <c r="C105" s="9" t="s">
        <v>79</v>
      </c>
      <c r="D105" s="13" t="s">
        <v>320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136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123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 t="s">
        <v>136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124</v>
      </c>
      <c r="BD105" s="56">
        <v>0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123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118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125</v>
      </c>
      <c r="BD106" s="56">
        <v>0</v>
      </c>
    </row>
    <row r="107" spans="1:56" ht="27.75" customHeight="1" x14ac:dyDescent="0.45">
      <c r="A107" s="3">
        <v>45836</v>
      </c>
      <c r="B107" s="14" t="s">
        <v>132</v>
      </c>
      <c r="C107" s="9" t="s">
        <v>333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262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150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263</v>
      </c>
      <c r="BD107" s="56">
        <v>0</v>
      </c>
    </row>
    <row r="108" spans="1:56" ht="27.75" customHeight="1" x14ac:dyDescent="0.45">
      <c r="A108" s="3">
        <v>9</v>
      </c>
      <c r="B108" s="14" t="s">
        <v>296</v>
      </c>
      <c r="C108" s="9" t="s">
        <v>292</v>
      </c>
      <c r="D108" s="13" t="s">
        <v>293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294</v>
      </c>
      <c r="T108" s="12" t="s">
        <v>136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262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295</v>
      </c>
      <c r="AG108" s="1" t="s">
        <v>119</v>
      </c>
      <c r="AH108" s="1" t="s">
        <v>68</v>
      </c>
      <c r="AI108" s="1">
        <v>4</v>
      </c>
      <c r="AJ108" s="3" t="s">
        <v>136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263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262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119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263</v>
      </c>
      <c r="BD109" s="56">
        <v>0</v>
      </c>
    </row>
    <row r="110" spans="1:56" ht="27.75" customHeight="1" x14ac:dyDescent="0.45">
      <c r="A110" s="3">
        <v>45820</v>
      </c>
      <c r="B110" s="14" t="s">
        <v>349</v>
      </c>
      <c r="C110" s="9" t="s">
        <v>244</v>
      </c>
      <c r="D110" s="13" t="s">
        <v>342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127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45820</v>
      </c>
      <c r="B111" s="14" t="s">
        <v>349</v>
      </c>
      <c r="C111" s="9" t="s">
        <v>244</v>
      </c>
      <c r="D111" s="13" t="s">
        <v>343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127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349</v>
      </c>
      <c r="C112" s="9" t="s">
        <v>244</v>
      </c>
      <c r="D112" s="13" t="s">
        <v>220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 t="s">
        <v>139</v>
      </c>
      <c r="B113" s="14" t="s">
        <v>139</v>
      </c>
      <c r="C113" s="9" t="s">
        <v>244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127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118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118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139</v>
      </c>
      <c r="B115" s="14" t="s">
        <v>139</v>
      </c>
      <c r="C115" s="9" t="s">
        <v>237</v>
      </c>
      <c r="D115" s="13" t="s">
        <v>61</v>
      </c>
      <c r="E115" s="9">
        <v>23</v>
      </c>
      <c r="F115" s="9">
        <v>34</v>
      </c>
      <c r="G115" s="9" t="s">
        <v>183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185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118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184</v>
      </c>
      <c r="BD115" s="56">
        <v>800.41704844444439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183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185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184</v>
      </c>
      <c r="BD116" s="56">
        <v>0</v>
      </c>
    </row>
    <row r="117" spans="1:56" ht="27.75" customHeight="1" x14ac:dyDescent="0.45">
      <c r="A117" s="3">
        <v>45727</v>
      </c>
      <c r="B117" s="14" t="s">
        <v>275</v>
      </c>
      <c r="C117" s="9" t="s">
        <v>114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211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232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234</v>
      </c>
      <c r="AG117" s="1" t="s">
        <v>118</v>
      </c>
      <c r="AH117" s="1" t="s">
        <v>153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150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107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232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118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233</v>
      </c>
      <c r="BD118" s="56">
        <v>0</v>
      </c>
    </row>
    <row r="119" spans="1:56" ht="27.75" customHeight="1" x14ac:dyDescent="0.45">
      <c r="A119" s="3">
        <v>45601</v>
      </c>
      <c r="B119" s="14" t="s">
        <v>207</v>
      </c>
      <c r="C119" s="9" t="s">
        <v>93</v>
      </c>
      <c r="D119" s="13" t="s">
        <v>109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99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100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375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45">
      <c r="A120" s="3">
        <v>45601</v>
      </c>
      <c r="B120" s="14" t="s">
        <v>207</v>
      </c>
      <c r="C120" s="9" t="s">
        <v>93</v>
      </c>
      <c r="D120" s="13" t="s">
        <v>149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99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259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260</v>
      </c>
      <c r="AG120" s="1" t="s">
        <v>119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45">
      <c r="A121" s="3">
        <v>45601</v>
      </c>
      <c r="B121" s="14" t="s">
        <v>207</v>
      </c>
      <c r="C121" s="9" t="s">
        <v>93</v>
      </c>
      <c r="D121" s="13" t="s">
        <v>149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99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259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260</v>
      </c>
      <c r="AG121" s="1" t="s">
        <v>119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116</v>
      </c>
      <c r="BD121" s="56">
        <v>0</v>
      </c>
    </row>
    <row r="122" spans="1:56" ht="27.75" customHeight="1" x14ac:dyDescent="0.45">
      <c r="A122" s="3">
        <v>45601</v>
      </c>
      <c r="B122" s="14" t="s">
        <v>207</v>
      </c>
      <c r="C122" s="9" t="s">
        <v>93</v>
      </c>
      <c r="D122" s="13" t="s">
        <v>149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99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259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260</v>
      </c>
      <c r="AG122" s="1" t="s">
        <v>118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45">
      <c r="A123" s="3">
        <v>45601</v>
      </c>
      <c r="B123" s="14" t="s">
        <v>207</v>
      </c>
      <c r="C123" s="9" t="s">
        <v>93</v>
      </c>
      <c r="D123" s="13" t="s">
        <v>149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99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259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260</v>
      </c>
      <c r="AG123" s="1" t="s">
        <v>118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116</v>
      </c>
      <c r="BD123" s="56">
        <v>6669.5090343077791</v>
      </c>
    </row>
    <row r="124" spans="1:56" ht="27.75" customHeight="1" x14ac:dyDescent="0.45">
      <c r="A124" s="3">
        <v>45601</v>
      </c>
      <c r="B124" s="14" t="s">
        <v>207</v>
      </c>
      <c r="C124" s="9" t="s">
        <v>93</v>
      </c>
      <c r="D124" s="13" t="s">
        <v>149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99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100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260</v>
      </c>
      <c r="AG124" s="1" t="s">
        <v>118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116</v>
      </c>
      <c r="BD124" s="56">
        <v>60119.00955515969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100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117</v>
      </c>
      <c r="BD125" s="56">
        <v>0</v>
      </c>
    </row>
    <row r="126" spans="1:56" ht="27.75" customHeight="1" x14ac:dyDescent="0.45">
      <c r="A126" s="3" t="s">
        <v>139</v>
      </c>
      <c r="B126" s="14" t="s">
        <v>139</v>
      </c>
      <c r="C126" s="9" t="s">
        <v>146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3925.4396133333335</v>
      </c>
    </row>
    <row r="127" spans="1:56" ht="27.75" customHeight="1" x14ac:dyDescent="0.45">
      <c r="A127" s="3" t="s">
        <v>139</v>
      </c>
      <c r="B127" s="14" t="s">
        <v>139</v>
      </c>
      <c r="C127" s="9" t="s">
        <v>190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196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958.79990555555537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45832</v>
      </c>
      <c r="B129" s="14" t="s">
        <v>397</v>
      </c>
      <c r="C129" s="9" t="s">
        <v>376</v>
      </c>
      <c r="D129" s="13" t="s">
        <v>377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378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154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278</v>
      </c>
      <c r="AG129" s="1" t="s">
        <v>118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154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45">
      <c r="A131" s="3" t="s">
        <v>139</v>
      </c>
      <c r="B131" s="14" t="s">
        <v>139</v>
      </c>
      <c r="C131" s="9" t="s">
        <v>112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113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212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212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213</v>
      </c>
      <c r="BD132" s="56">
        <v>0</v>
      </c>
    </row>
    <row r="133" spans="1:56" ht="27.75" customHeight="1" x14ac:dyDescent="0.45">
      <c r="A133" s="3">
        <v>45835</v>
      </c>
      <c r="B133" s="14" t="s">
        <v>414</v>
      </c>
      <c r="C133" s="9" t="s">
        <v>112</v>
      </c>
      <c r="D133" s="13" t="s">
        <v>229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113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234</v>
      </c>
      <c r="AG133" s="1" t="s">
        <v>119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45">
      <c r="A134" s="3">
        <v>45832</v>
      </c>
      <c r="B134" s="14" t="s">
        <v>383</v>
      </c>
      <c r="C134" s="9" t="s">
        <v>112</v>
      </c>
      <c r="D134" s="13" t="s">
        <v>151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113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119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430.26195333333277</v>
      </c>
    </row>
    <row r="135" spans="1:56" ht="27.75" customHeight="1" x14ac:dyDescent="0.45">
      <c r="A135" s="3">
        <v>45832</v>
      </c>
      <c r="B135" s="14" t="s">
        <v>384</v>
      </c>
      <c r="C135" s="9" t="s">
        <v>112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113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234</v>
      </c>
      <c r="AG135" s="1" t="s">
        <v>119</v>
      </c>
      <c r="AH135" s="1" t="s">
        <v>153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150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1923.4315100000001</v>
      </c>
    </row>
    <row r="136" spans="1:56" ht="27.75" customHeight="1" x14ac:dyDescent="0.45">
      <c r="A136" s="3">
        <v>45832</v>
      </c>
      <c r="B136" s="14" t="s">
        <v>385</v>
      </c>
      <c r="C136" s="9" t="s">
        <v>112</v>
      </c>
      <c r="D136" s="13" t="s">
        <v>151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113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118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3846.8630200000002</v>
      </c>
    </row>
    <row r="137" spans="1:56" ht="27.75" customHeight="1" x14ac:dyDescent="0.45">
      <c r="A137" s="3">
        <v>45832</v>
      </c>
      <c r="B137" s="14" t="s">
        <v>386</v>
      </c>
      <c r="C137" s="9" t="s">
        <v>112</v>
      </c>
      <c r="D137" s="13" t="s">
        <v>151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113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118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3846.8630200000002</v>
      </c>
    </row>
    <row r="138" spans="1:56" ht="27.75" customHeight="1" x14ac:dyDescent="0.45">
      <c r="A138" s="3">
        <v>45832</v>
      </c>
      <c r="B138" s="14" t="s">
        <v>387</v>
      </c>
      <c r="C138" s="9" t="s">
        <v>112</v>
      </c>
      <c r="D138" s="13" t="s">
        <v>151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113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121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2564.5753466666665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7.75" customHeight="1" x14ac:dyDescent="0.45">
      <c r="A140" s="3">
        <v>45831</v>
      </c>
      <c r="B140" s="14" t="s">
        <v>388</v>
      </c>
      <c r="C140" s="9" t="s">
        <v>112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113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131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118</v>
      </c>
      <c r="AH140" s="1" t="s">
        <v>153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150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45">
      <c r="A141" s="3" t="s">
        <v>139</v>
      </c>
      <c r="B141" s="14" t="s">
        <v>139</v>
      </c>
      <c r="C141" s="9" t="s">
        <v>112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113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131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118</v>
      </c>
      <c r="AH141" s="1" t="s">
        <v>153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1234.6930944444443</v>
      </c>
    </row>
    <row r="142" spans="1:56" ht="27.75" customHeight="1" x14ac:dyDescent="0.45">
      <c r="A142" s="3" t="s">
        <v>139</v>
      </c>
      <c r="B142" s="14" t="s">
        <v>139</v>
      </c>
      <c r="C142" s="9" t="s">
        <v>155</v>
      </c>
      <c r="D142" s="13" t="s">
        <v>156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131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6672.8093055555564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131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157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10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16</vt:i4>
      </vt:variant>
      <vt:variant>
        <vt:lpstr>ช่วงที่มีชื่อ</vt:lpstr>
      </vt:variant>
      <vt:variant>
        <vt:i4>7</vt:i4>
      </vt:variant>
    </vt:vector>
  </HeadingPairs>
  <TitlesOfParts>
    <vt:vector size="23" baseType="lpstr">
      <vt:lpstr>Linkสูตรออร์เดอร์  (2)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ค้างทอ3-7-68</vt:lpstr>
      <vt:lpstr>5-7-68</vt:lpstr>
      <vt:lpstr>4-7-68</vt:lpstr>
      <vt:lpstr>3-7-68.1</vt:lpstr>
      <vt:lpstr>3-7-68</vt:lpstr>
      <vt:lpstr>2-7-68</vt:lpstr>
      <vt:lpstr>1-7-68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2025-07-07T06:25:11Z</dcterms:modified>
</cp:coreProperties>
</file>