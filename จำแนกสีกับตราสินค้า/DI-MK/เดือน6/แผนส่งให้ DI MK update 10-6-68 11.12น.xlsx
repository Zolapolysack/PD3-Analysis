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A7BE83AA-464D-4B46-B243-026671D7D713}" xr6:coauthVersionLast="47" xr6:coauthVersionMax="47" xr10:uidLastSave="{00000000-0000-0000-0000-000000000000}"/>
  <bookViews>
    <workbookView xWindow="-120" yWindow="-120" windowWidth="29040" windowHeight="15720" tabRatio="762" firstSheet="3" activeTab="3" xr2:uid="{00000000-000D-0000-FFFF-FFFF00000000}"/>
  </bookViews>
  <sheets>
    <sheet name="Linkสูตรออร์เดอร์  (2)" sheetId="4261" r:id="rId1"/>
    <sheet name="4(Order+FC) (-4)" sheetId="4328" r:id="rId2"/>
    <sheet name="4(Order+FC)" sheetId="4196" r:id="rId3"/>
    <sheet name="7(Order)" sheetId="4189" r:id="rId4"/>
    <sheet name="4(Order) แยกลูกค้า" sheetId="4314" r:id="rId5"/>
    <sheet name="4(Fc) แยกลูกค้า" sheetId="4042" r:id="rId6"/>
    <sheet name="6(Order+Fc) แยกลูกค้า" sheetId="4213" r:id="rId7"/>
    <sheet name="6(Order)" sheetId="4223" r:id="rId8"/>
    <sheet name="6(Order) แยกลูกค้า" sheetId="4123" r:id="rId9"/>
    <sheet name="6(Fc) แยกลูกค้" sheetId="4224" r:id="rId10"/>
    <sheet name="ค้างทอ10-6-68" sheetId="4450" r:id="rId11"/>
    <sheet name="10-6-68" sheetId="4447" r:id="rId12"/>
    <sheet name="9-6-68" sheetId="4446" r:id="rId13"/>
    <sheet name="7-6-68" sheetId="4445" r:id="rId14"/>
    <sheet name="6-6-68" sheetId="4444" r:id="rId15"/>
    <sheet name="5-6-68" sheetId="4443" r:id="rId16"/>
    <sheet name="4-6-68" sheetId="4442" r:id="rId17"/>
    <sheet name="3-6-68" sheetId="4441" r:id="rId18"/>
  </sheets>
  <externalReferences>
    <externalReference r:id="rId19"/>
    <externalReference r:id="rId20"/>
    <externalReference r:id="rId21"/>
  </externalReferences>
  <definedNames>
    <definedName name="_xlnm._FilterDatabase" localSheetId="11" hidden="1">'10-6-68'!$A$5:$BD$190</definedName>
    <definedName name="_xlnm._FilterDatabase" localSheetId="17" hidden="1">'3-6-68'!$A$5:$BD$171</definedName>
    <definedName name="_xlnm._FilterDatabase" localSheetId="16" hidden="1">'4-6-68'!$A$5:$BD$170</definedName>
    <definedName name="_xlnm._FilterDatabase" localSheetId="15" hidden="1">'5-6-68'!$A$5:$BD$165</definedName>
    <definedName name="_xlnm._FilterDatabase" localSheetId="14" hidden="1">'6-6-68'!$A$5:$BD$180</definedName>
    <definedName name="_xlnm._FilterDatabase" localSheetId="13" hidden="1">'7-6-68'!$A$5:$BD$184</definedName>
    <definedName name="_xlnm._FilterDatabase" localSheetId="12" hidden="1">'9-6-68'!$A$5:$BD$179</definedName>
    <definedName name="_xlnm._FilterDatabase" localSheetId="0" hidden="1">'Linkสูตรออร์เดอร์  (2)'!$A$5:$BD$5</definedName>
    <definedName name="_xlnm._FilterDatabase" localSheetId="10" hidden="1">'ค้างทอ10-6-68'!$A$4:$P$24</definedName>
    <definedName name="_xlnm.Print_Area" localSheetId="5">'4(Fc) แยกลูกค้า'!$A$1:$H$39</definedName>
    <definedName name="_xlnm.Print_Area" localSheetId="4">'4(Order) แยกลูกค้า'!$A$4:$G$60</definedName>
    <definedName name="_xlnm.Print_Area" localSheetId="9">'6(Fc) แยกลูกค้'!$A$1:$H$39</definedName>
    <definedName name="_xlnm.Print_Area" localSheetId="7">'6(Order)'!$A$1:$G$23</definedName>
    <definedName name="_xlnm.Print_Area" localSheetId="8">'6(Order) แยกลูกค้า'!$A$4:$G$60</definedName>
    <definedName name="_xlnm.Print_Area" localSheetId="6">'6(Order+Fc) แยกลูกค้า'!$A$4:$I$80</definedName>
    <definedName name="_xlnm.Print_Area" localSheetId="3">'7(Order)'!$A$6:$G$43</definedName>
    <definedName name="Z_A35135A6_BB02_445F_B09B_908EF37AECE2_.wvu.Cols" localSheetId="11" hidden="1">'10-6-68'!$A:$A,'10-6-68'!$AG:$AG</definedName>
    <definedName name="Z_A35135A6_BB02_445F_B09B_908EF37AECE2_.wvu.Cols" localSheetId="17" hidden="1">'3-6-68'!$A:$A,'3-6-68'!$AG:$AG</definedName>
    <definedName name="Z_A35135A6_BB02_445F_B09B_908EF37AECE2_.wvu.Cols" localSheetId="16" hidden="1">'4-6-68'!$A:$A,'4-6-68'!$AG:$AG</definedName>
    <definedName name="Z_A35135A6_BB02_445F_B09B_908EF37AECE2_.wvu.Cols" localSheetId="15" hidden="1">'5-6-68'!$A:$A,'5-6-68'!$AG:$AG</definedName>
    <definedName name="Z_A35135A6_BB02_445F_B09B_908EF37AECE2_.wvu.Cols" localSheetId="14" hidden="1">'6-6-68'!$A:$A,'6-6-68'!$AG:$AG</definedName>
    <definedName name="Z_A35135A6_BB02_445F_B09B_908EF37AECE2_.wvu.Cols" localSheetId="13" hidden="1">'7-6-68'!$A:$A,'7-6-68'!$AG:$AG</definedName>
    <definedName name="Z_A35135A6_BB02_445F_B09B_908EF37AECE2_.wvu.Cols" localSheetId="12" hidden="1">'9-6-68'!$A:$A,'9-6-68'!$AG:$AG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1" hidden="1">'10-6-68'!$B$5:$AC$190</definedName>
    <definedName name="Z_A35135A6_BB02_445F_B09B_908EF37AECE2_.wvu.FilterData" localSheetId="17" hidden="1">'3-6-68'!$B$5:$AC$171</definedName>
    <definedName name="Z_A35135A6_BB02_445F_B09B_908EF37AECE2_.wvu.FilterData" localSheetId="16" hidden="1">'4-6-68'!$B$5:$AC$170</definedName>
    <definedName name="Z_A35135A6_BB02_445F_B09B_908EF37AECE2_.wvu.FilterData" localSheetId="15" hidden="1">'5-6-68'!$B$5:$AC$165</definedName>
    <definedName name="Z_A35135A6_BB02_445F_B09B_908EF37AECE2_.wvu.FilterData" localSheetId="14" hidden="1">'6-6-68'!$B$5:$AC$180</definedName>
    <definedName name="Z_A35135A6_BB02_445F_B09B_908EF37AECE2_.wvu.FilterData" localSheetId="13" hidden="1">'7-6-68'!$B$5:$AC$184</definedName>
    <definedName name="Z_A35135A6_BB02_445F_B09B_908EF37AECE2_.wvu.FilterData" localSheetId="12" hidden="1">'9-6-68'!$B$5:$AC$179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1" hidden="1">'10-6-68'!$2:$2</definedName>
    <definedName name="Z_A35135A6_BB02_445F_B09B_908EF37AECE2_.wvu.Rows" localSheetId="17" hidden="1">'3-6-68'!$2:$2</definedName>
    <definedName name="Z_A35135A6_BB02_445F_B09B_908EF37AECE2_.wvu.Rows" localSheetId="16" hidden="1">'4-6-68'!$2:$2</definedName>
    <definedName name="Z_A35135A6_BB02_445F_B09B_908EF37AECE2_.wvu.Rows" localSheetId="15" hidden="1">'5-6-68'!$2:$2</definedName>
    <definedName name="Z_A35135A6_BB02_445F_B09B_908EF37AECE2_.wvu.Rows" localSheetId="14" hidden="1">'6-6-68'!$2:$2</definedName>
    <definedName name="Z_A35135A6_BB02_445F_B09B_908EF37AECE2_.wvu.Rows" localSheetId="13" hidden="1">'7-6-68'!$2:$2</definedName>
    <definedName name="Z_A35135A6_BB02_445F_B09B_908EF37AECE2_.wvu.Rows" localSheetId="12" hidden="1">'9-6-68'!$2:$2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2"/>
    <pivotCache cacheId="1" r:id="rId23"/>
    <pivotCache cacheId="9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4450" l="1"/>
  <c r="D24" i="4450"/>
  <c r="E24" i="4450"/>
  <c r="F24" i="4450"/>
  <c r="G24" i="4450"/>
  <c r="H24" i="4450"/>
  <c r="I24" i="4450"/>
  <c r="J24" i="4450"/>
  <c r="K24" i="4450"/>
  <c r="L24" i="4450"/>
  <c r="M24" i="4450"/>
  <c r="N24" i="4450"/>
  <c r="O24" i="4450"/>
  <c r="P24" i="4450"/>
  <c r="B24" i="4450"/>
  <c r="A7" i="426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A575" i="4261"/>
  <c r="B575" i="4261"/>
  <c r="C575" i="4261"/>
  <c r="D575" i="4261"/>
  <c r="E575" i="4261"/>
  <c r="F575" i="4261"/>
  <c r="G575" i="4261"/>
  <c r="H575" i="4261"/>
  <c r="I575" i="4261"/>
  <c r="J575" i="4261"/>
  <c r="K575" i="4261"/>
  <c r="L575" i="4261"/>
  <c r="M575" i="4261"/>
  <c r="N575" i="4261"/>
  <c r="O575" i="4261"/>
  <c r="P575" i="4261"/>
  <c r="Q575" i="4261"/>
  <c r="R575" i="4261"/>
  <c r="S575" i="4261"/>
  <c r="T575" i="4261"/>
  <c r="U575" i="4261"/>
  <c r="V575" i="4261"/>
  <c r="W575" i="4261"/>
  <c r="X575" i="4261"/>
  <c r="Y575" i="4261"/>
  <c r="Z575" i="4261"/>
  <c r="AA575" i="4261"/>
  <c r="AB575" i="4261"/>
  <c r="AC575" i="4261"/>
  <c r="AD575" i="4261"/>
  <c r="AE575" i="4261"/>
  <c r="AF575" i="4261"/>
  <c r="AG575" i="4261"/>
  <c r="AH575" i="4261"/>
  <c r="AI575" i="4261"/>
  <c r="AJ575" i="4261"/>
  <c r="AK575" i="4261"/>
  <c r="AL575" i="4261"/>
  <c r="AM575" i="4261"/>
  <c r="AN575" i="4261"/>
  <c r="AO575" i="4261"/>
  <c r="AP575" i="4261"/>
  <c r="AQ575" i="4261"/>
  <c r="AR575" i="4261"/>
  <c r="AS575" i="4261"/>
  <c r="AT575" i="4261"/>
  <c r="AU575" i="4261"/>
  <c r="AV575" i="4261"/>
  <c r="AW575" i="4261"/>
  <c r="AX575" i="4261"/>
  <c r="AY575" i="4261"/>
  <c r="AZ575" i="4261"/>
  <c r="BA575" i="4261"/>
  <c r="BB575" i="4261"/>
  <c r="BC575" i="4261"/>
  <c r="BD575" i="4261"/>
  <c r="H43" i="4224"/>
  <c r="L11" i="4223" l="1"/>
  <c r="D36" i="4189" l="1"/>
  <c r="D34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C41" i="4328" l="1"/>
  <c r="C57" i="4328" s="1"/>
  <c r="C50" i="4328"/>
  <c r="D41" i="4328"/>
  <c r="D50" i="4328"/>
  <c r="E41" i="4328"/>
  <c r="F41" i="4328"/>
  <c r="B41" i="4328"/>
  <c r="B45" i="4328" s="1"/>
  <c r="I39" i="4328"/>
  <c r="I37" i="4328"/>
  <c r="C52" i="4328" l="1"/>
  <c r="D52" i="4328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<sst xmlns="http://schemas.openxmlformats.org/spreadsheetml/2006/main" count="17785" uniqueCount="554">
  <si>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</si>
  <si>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</si>
  <si>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</si>
  <si>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</si>
  <si>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</si>
  <si>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</si>
  <si>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</si>
  <si>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</si>
  <si>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</si>
  <si>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</si>
  <si>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</si>
  <si>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</si>
  <si>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</si>
  <si>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</si>
  <si>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</si>
  <si>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</si>
  <si>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</si>
  <si>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</si>
  <si>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</si>
  <si>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</si>
  <si>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</si>
  <si>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</si>
  <si>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</si>
  <si>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</si>
  <si>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</si>
  <si>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</si>
  <si>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</si>
  <si>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</si>
  <si>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</si>
  <si>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</si>
  <si>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</si>
  <si>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</si>
  <si>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</si>
  <si>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</si>
  <si>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</si>
  <si>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</si>
  <si>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</si>
  <si>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</si>
  <si>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</si>
  <si>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</si>
  <si>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</si>
  <si>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</si>
  <si>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</si>
  <si>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</si>
  <si>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</si>
  <si>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</si>
  <si>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</si>
  <si>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</si>
  <si>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</si>
  <si>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</si>
  <si>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</si>
  <si>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</si>
  <si>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</si>
  <si>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</si>
  <si>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</si>
  <si>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</si>
  <si>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</si>
  <si>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</si>
  <si>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</si>
  <si>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</si>
  <si>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</si>
  <si>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</si>
  <si>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</si>
  <si>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</si>
  <si>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</si>
  <si>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</si>
  <si>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</si>
  <si>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</si>
  <si>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</si>
  <si>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</si>
  <si>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</si>
  <si>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</si>
  <si>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</si>
  <si>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</si>
  <si>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</si>
  <si>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</si>
  <si>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</si>
  <si>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</si>
  <si>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</si>
  <si>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</si>
  <si>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</si>
  <si>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</si>
  <si>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</si>
  <si>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</si>
  <si>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</si>
  <si>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</si>
  <si>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</si>
  <si>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</si>
  <si>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</si>
  <si>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</si>
  <si>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</si>
  <si>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</si>
  <si>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</si>
  <si>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</si>
  <si>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</si>
  <si>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</si>
  <si>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</si>
  <si>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</si>
  <si>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</si>
  <si>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</si>
  <si>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</si>
  <si>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</si>
  <si>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</si>
  <si>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</si>
  <si>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</si>
  <si>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</si>
  <si>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</si>
  <si>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</si>
  <si>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</si>
  <si>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</si>
  <si>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</si>
  <si>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</si>
  <si>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</si>
  <si>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</si>
  <si>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</si>
  <si>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</si>
  <si>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</si>
  <si>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</si>
  <si>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</si>
  <si>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</si>
  <si>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</si>
  <si>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</si>
  <si>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</si>
  <si>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</si>
  <si>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</si>
  <si>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</si>
  <si>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</si>
  <si>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</si>
  <si>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</si>
  <si>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</si>
  <si>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</si>
  <si>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</si>
  <si>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</si>
  <si>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</si>
  <si>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</si>
  <si>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</si>
  <si>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</si>
  <si>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</si>
  <si>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</si>
  <si>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</si>
  <si>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</si>
  <si>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</si>
  <si>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</si>
  <si>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</si>
  <si>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</si>
  <si>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</si>
  <si>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</si>
  <si>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</si>
  <si>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</si>
  <si>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</si>
  <si>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</si>
  <si>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</si>
  <si>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</si>
  <si>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</si>
  <si>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</si>
  <si>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สุบรรณ 222</t>
  </si>
  <si>
    <t>P11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</si>
  <si>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</si>
  <si>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</si>
  <si>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</si>
  <si>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</si>
  <si>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</si>
  <si>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</si>
  <si>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</si>
  <si>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</si>
  <si>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</si>
  <si>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</si>
  <si>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</si>
  <si>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</si>
  <si>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</si>
  <si>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</si>
  <si>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</si>
  <si>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</si>
  <si>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</si>
  <si>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</si>
  <si>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</si>
  <si>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</si>
  <si>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</si>
  <si>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</si>
  <si>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</si>
  <si>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</si>
  <si>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</si>
  <si>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</si>
  <si>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</si>
  <si>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</si>
  <si>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</si>
  <si>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</si>
  <si>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</si>
  <si>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</si>
  <si>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</si>
  <si>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</si>
  <si>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</si>
  <si>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</si>
  <si>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</si>
  <si>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</si>
  <si>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</si>
  <si>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</si>
  <si>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</si>
  <si>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</si>
  <si>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</si>
  <si>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</si>
  <si>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นีโอ พี3</t>
  </si>
  <si>
    <t>MK67-001272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</si>
  <si>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</si>
  <si>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</si>
  <si>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</si>
  <si>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</si>
  <si>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</si>
  <si>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</si>
  <si>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</si>
  <si>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</si>
  <si>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ดอกไม้เขียว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</si>
  <si>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</si>
  <si>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</si>
  <si>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</si>
  <si>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</si>
  <si>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</si>
  <si>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</si>
  <si>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</si>
  <si>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</si>
  <si>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</si>
  <si>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</si>
  <si>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</si>
  <si>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</si>
  <si>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</si>
  <si>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</si>
  <si>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MK67-001617</t>
  </si>
  <si>
    <t>คุณปราสาท เจริญธรรมรักษา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</si>
  <si>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</si>
  <si>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</si>
  <si>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</si>
  <si>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</si>
  <si>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</si>
  <si>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</si>
  <si>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</si>
  <si>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บจก.ซิเบลโก้(บางเลน)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</si>
  <si>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</si>
  <si>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</si>
  <si>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</si>
  <si>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</si>
  <si>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</si>
  <si>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</si>
  <si>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</si>
  <si>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</si>
  <si>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</si>
  <si>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</si>
  <si>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</si>
  <si>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หนองบุญมาก</t>
  </si>
  <si>
    <t>ห้ามขาด-เกินได้5%</t>
  </si>
  <si>
    <t>WSWT1925800SM</t>
  </si>
  <si>
    <t>WRWT190800/WRWT25800</t>
  </si>
  <si>
    <t>พันธุ์ข้าว</t>
  </si>
  <si>
    <t>บจก.เอ็นทีฟีด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</si>
  <si>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</si>
  <si>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</si>
  <si>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</si>
  <si>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</si>
  <si>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</si>
  <si>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</si>
  <si>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</si>
  <si>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</si>
  <si>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</si>
  <si>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</si>
  <si>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</si>
  <si>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</si>
  <si>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</si>
  <si>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</si>
  <si>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500กระสอบแบนเต็มใบ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</si>
  <si>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</si>
  <si>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</si>
  <si>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</si>
  <si>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</si>
  <si>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</si>
  <si>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</si>
  <si>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</si>
  <si>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กรม</t>
  </si>
  <si>
    <t>ยอดส่ง   1/2/68 - 10/2/68</t>
  </si>
  <si>
    <t>WSWT2321112512551VN</t>
  </si>
  <si>
    <t>สั่งเวียดนามสำเร็จรูปทั้งหมด</t>
  </si>
  <si>
    <t>เบทาโกร 405</t>
  </si>
  <si>
    <t>WSWT2221940</t>
  </si>
  <si>
    <t>ผ้าเข้า 25-26/2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</si>
  <si>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</si>
  <si>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</si>
  <si>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</si>
  <si>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</si>
  <si>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</si>
  <si>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</si>
  <si>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</si>
  <si>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บจก.ซีแมน</t>
  </si>
  <si>
    <t>ลบสี 5040</t>
  </si>
  <si>
    <t>ลบสีจำนวนมาก 3851</t>
  </si>
  <si>
    <t>รถไฟ</t>
  </si>
  <si>
    <t>บจก.เอ็กเซลเล้นท์</t>
  </si>
  <si>
    <t>FG</t>
  </si>
  <si>
    <t>เพอเฟคค์ 000</t>
  </si>
  <si>
    <t>สุบรรณ 111</t>
  </si>
  <si>
    <t>MK68-000326</t>
  </si>
  <si>
    <t>MK68-000334</t>
  </si>
  <si>
    <t>MK68-000341</t>
  </si>
  <si>
    <t>แดนโกรว20(เขียวเข้ม)</t>
  </si>
  <si>
    <t>MK68-000355</t>
  </si>
  <si>
    <t>WSWTFCL022325650</t>
  </si>
  <si>
    <t>MK68-000378</t>
  </si>
  <si>
    <t>ป้ายชื่อแถว</t>
  </si>
  <si>
    <t>วี-ฟีด วี 07</t>
  </si>
  <si>
    <t>MK68-000440</t>
  </si>
  <si>
    <t>MK68-000452</t>
  </si>
  <si>
    <t>WSWT1621720SMFX</t>
  </si>
  <si>
    <t>บจก.ปริ้นซ์ อโกร ไซแอนส์</t>
  </si>
  <si>
    <t>FELDSPAR N325-GBL</t>
  </si>
  <si>
    <t>ห้ามเกิน-ขาดได้5%</t>
  </si>
  <si>
    <t>WSWT2321112512551 ผลรวม</t>
  </si>
  <si>
    <t>WSWT2025700 ผลรวม</t>
  </si>
  <si>
    <t>MK68-000514</t>
  </si>
  <si>
    <t>SW 441 PLUS</t>
  </si>
  <si>
    <t>โรงสีข้าวธัญญาวัฒน์</t>
  </si>
  <si>
    <t>WSWT1625800 ผลรวม</t>
  </si>
  <si>
    <t xml:space="preserve">SW 441 </t>
  </si>
  <si>
    <t>FELDSPAR N15</t>
  </si>
  <si>
    <t>มีลบสี</t>
  </si>
  <si>
    <t>MK68-000531</t>
  </si>
  <si>
    <t>นีโอ ดี03</t>
  </si>
  <si>
    <t>ยอดส่ง   1/4/68  - 12/4/68</t>
  </si>
  <si>
    <t>WSWT1725800</t>
  </si>
  <si>
    <t>WRWT170800/WRWT25800</t>
  </si>
  <si>
    <t>ฟีล กู๊ด พี05</t>
  </si>
  <si>
    <t>WSWT2125800</t>
  </si>
  <si>
    <t>WRWT210800/WRWT25800</t>
  </si>
  <si>
    <t>จับจีบ3.5"</t>
  </si>
  <si>
    <t>MK68-000555</t>
  </si>
  <si>
    <t>บจก.เอเซียอควาเซอร์วิสเซส</t>
  </si>
  <si>
    <t>ร้านกัลยาพาณิชย์</t>
  </si>
  <si>
    <t>แดนโกรว10P-L</t>
  </si>
  <si>
    <t>ดวงใจ(ชมพู-ม่วง)</t>
  </si>
  <si>
    <t>WSWT1725800 ผลรวม</t>
  </si>
  <si>
    <t>WSWT2125800 ผลรวม</t>
  </si>
  <si>
    <t>WSWTFCL022325650 ผลรวม</t>
  </si>
  <si>
    <t>เบทาโกร 326</t>
  </si>
  <si>
    <t>บจก.ไบโอกรีนนิค</t>
  </si>
  <si>
    <t>บจก.เอเชียเหมืองแร่</t>
  </si>
  <si>
    <t>AMPC</t>
  </si>
  <si>
    <t>กรุงเทพมหานคร</t>
  </si>
  <si>
    <t>WSWT2021850UV</t>
  </si>
  <si>
    <t>WRWT21850/WRWT21850</t>
  </si>
  <si>
    <t>WRWT200850/WRWT21850</t>
  </si>
  <si>
    <t>WSWT2025650 ผลรวม</t>
  </si>
  <si>
    <t>WSWT2125650 ผลรวม</t>
  </si>
  <si>
    <t>WSWT1825800 ผลรวม</t>
  </si>
  <si>
    <t>ดอกไม้แดง</t>
  </si>
  <si>
    <t>วีโว่ 200</t>
  </si>
  <si>
    <t>PORTARYTE B15</t>
  </si>
  <si>
    <t>MK68-000634</t>
  </si>
  <si>
    <t>WB ฟาร์ม F914M 30kg NM</t>
  </si>
  <si>
    <t>MK68-000630</t>
  </si>
  <si>
    <t>WB ฟาร์ม F992 30kg LR</t>
  </si>
  <si>
    <t>ลพบุรี3</t>
  </si>
  <si>
    <t>MK68-000631</t>
  </si>
  <si>
    <t>เบทาโกร 401</t>
  </si>
  <si>
    <t>MK68-000612</t>
  </si>
  <si>
    <t xml:space="preserve">WB ฟาร์ม F916 30kg 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</si>
  <si>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</si>
  <si>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</si>
  <si>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</si>
  <si>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</si>
  <si>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MK68-000646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</si>
  <si>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</si>
  <si>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</si>
  <si>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</si>
  <si>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</si>
  <si>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</si>
  <si>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</si>
  <si>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เพอเฟคค์664HP</t>
  </si>
  <si>
    <t>2/6---6/6</t>
  </si>
  <si>
    <t>PORTARYTE</t>
  </si>
  <si>
    <t>MK68-000683</t>
  </si>
  <si>
    <t>MK68-000682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</si>
  <si>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</si>
  <si>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</si>
  <si>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</si>
  <si>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</si>
  <si>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</si>
  <si>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</si>
  <si>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</si>
  <si>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MK68-000678</t>
  </si>
  <si>
    <t>SILICA</t>
  </si>
  <si>
    <t>FG   20/6</t>
  </si>
  <si>
    <t>MK68-000686</t>
  </si>
  <si>
    <t>MK68-000687</t>
  </si>
  <si>
    <t>MK68-000685</t>
  </si>
  <si>
    <t>หจก.ปึงเป้งน้ำ</t>
  </si>
  <si>
    <t>เกลือตรามือ 10กก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</si>
  <si>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</si>
  <si>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</si>
  <si>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</si>
  <si>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</si>
  <si>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</si>
  <si>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</si>
  <si>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</si>
  <si>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แดนโกรวบรีดเดอร์80</t>
  </si>
  <si>
    <t>วีโว่ 400</t>
  </si>
  <si>
    <t>ฟีล กู๊ด 821</t>
  </si>
  <si>
    <t>โมโม่ 421</t>
  </si>
  <si>
    <t>ฟีล กู๊ด 802</t>
  </si>
  <si>
    <t>TUN+F233ARIN TRUST</t>
  </si>
  <si>
    <t>MK68-000693</t>
  </si>
  <si>
    <t>MK68-000703</t>
  </si>
  <si>
    <t>มาซู ฟีดบี0434</t>
  </si>
  <si>
    <t>MK68-000691</t>
  </si>
  <si>
    <t>MK68-000692</t>
  </si>
  <si>
    <t>MK68000697</t>
  </si>
  <si>
    <t>บจก.ไมโครอินโนเวท</t>
  </si>
  <si>
    <t>LMC 20 kg</t>
  </si>
  <si>
    <t>MK68-000701</t>
  </si>
  <si>
    <t>MK68-000705</t>
  </si>
  <si>
    <t>B Soy Digest กลาง</t>
  </si>
  <si>
    <t>MK68-000694</t>
  </si>
  <si>
    <t>MK68-000706</t>
  </si>
  <si>
    <t>วี-ฟีด วี22</t>
  </si>
  <si>
    <t>MK68-000708</t>
  </si>
  <si>
    <t>APM 564S</t>
  </si>
  <si>
    <t>MK68-000707</t>
  </si>
  <si>
    <t>ยู-ฟีด รวมหมู</t>
  </si>
  <si>
    <t>MK68-000715</t>
  </si>
  <si>
    <t>MK68-000712</t>
  </si>
  <si>
    <t>MK68-000709</t>
  </si>
  <si>
    <t>โมโม่4132</t>
  </si>
  <si>
    <t>MK68-000696</t>
  </si>
  <si>
    <t>MK68-000695</t>
  </si>
  <si>
    <t>MK68-000702</t>
  </si>
  <si>
    <t>ขาด-เกินได้5%</t>
  </si>
  <si>
    <t>งานตีกลับมาคัดใหม่10200 ใบ สีหาย</t>
  </si>
  <si>
    <t>MK68-000698</t>
  </si>
  <si>
    <t>MK68-000699</t>
  </si>
  <si>
    <t>MK68-000717</t>
  </si>
  <si>
    <t xml:space="preserve">บจก.โรงสีข้าวธัญญาวัฒน์ </t>
  </si>
  <si>
    <t>LUNG SHIN 12Kg.</t>
  </si>
  <si>
    <t>MK68-000716</t>
  </si>
  <si>
    <t>หนุมานเทอร์โบ</t>
  </si>
  <si>
    <t>MK68-000718</t>
  </si>
  <si>
    <t>บาลานส์ 956</t>
  </si>
  <si>
    <t>LUNG SHIN 30Kg.</t>
  </si>
  <si>
    <t>MK68-000719</t>
  </si>
  <si>
    <t>ไก่เหยียบศรแสงสิริ</t>
  </si>
  <si>
    <t>ช้างเผือก</t>
  </si>
  <si>
    <t>บจก.มารีน หรีดเดอร์</t>
  </si>
  <si>
    <t>Rocky quick lime</t>
  </si>
  <si>
    <t>MK68-000724</t>
  </si>
  <si>
    <t>ดอกไม้ม่วง</t>
  </si>
  <si>
    <t>ดอกไม้เหลือง</t>
  </si>
  <si>
    <t>MK68-000725</t>
  </si>
  <si>
    <t>MK68-000726</t>
  </si>
  <si>
    <t>MK68-000727</t>
  </si>
  <si>
    <t>ห่ออัดเบลแบน501</t>
  </si>
  <si>
    <t>MK68-000722</t>
  </si>
  <si>
    <t>MK68-000720</t>
  </si>
  <si>
    <t>MK68-000723</t>
  </si>
  <si>
    <t>หจก.ชัยวัฒนาวานิช</t>
  </si>
  <si>
    <t>MK68-000721</t>
  </si>
  <si>
    <t>เครื่องเคลือบเสียเคลือบไม่ทัน</t>
  </si>
  <si>
    <t>MK68-000740</t>
  </si>
  <si>
    <t>คุณชายชล จันทร์สว่างกูล</t>
  </si>
  <si>
    <t>MK68-000728</t>
  </si>
  <si>
    <t>SOYBEAN MEAL</t>
  </si>
  <si>
    <t>WSWTSCL052325650 ผลรวม</t>
  </si>
  <si>
    <t>WSWT1425800 ผลรวม</t>
  </si>
  <si>
    <t>WSWT1825800SM ผลรวม</t>
  </si>
  <si>
    <t>WSWT2221940 ผลรวม</t>
  </si>
  <si>
    <t>WSWT262575051 ผลรวม</t>
  </si>
  <si>
    <t>PDR250182</t>
  </si>
  <si>
    <t>PDR250183</t>
  </si>
  <si>
    <t>MK68-000742</t>
  </si>
  <si>
    <t>MK68-000741</t>
  </si>
  <si>
    <t>SPM 915</t>
  </si>
  <si>
    <t>แปดแต้มแดง 25กก.</t>
  </si>
  <si>
    <t>PDR250184</t>
  </si>
  <si>
    <t>MK68-000739</t>
  </si>
  <si>
    <t>MK68-000743</t>
  </si>
  <si>
    <t>PDR250181</t>
  </si>
  <si>
    <t xml:space="preserve">แปดแต้มแดง  </t>
  </si>
  <si>
    <t>บลูทีมเหลือง</t>
  </si>
  <si>
    <t>KFM</t>
  </si>
  <si>
    <t>MK68-000744</t>
  </si>
  <si>
    <t>ปาท่องโก๋</t>
  </si>
  <si>
    <t>MK68-000745</t>
  </si>
  <si>
    <t>เคเอ็ม</t>
  </si>
  <si>
    <t>แต้มแดง</t>
  </si>
  <si>
    <t>MK68-000747</t>
  </si>
  <si>
    <t>ปลาโลมาแดง</t>
  </si>
  <si>
    <t>PDR250185</t>
  </si>
  <si>
    <t>HARD FLOUR</t>
  </si>
  <si>
    <t>MK68-000748</t>
  </si>
  <si>
    <t>WHOLE WHEAT</t>
  </si>
  <si>
    <t>บะหมี่เตี๊ยว</t>
  </si>
  <si>
    <t>PDR250186</t>
  </si>
  <si>
    <t>PDR250187</t>
  </si>
  <si>
    <t>แต้มทอง</t>
  </si>
  <si>
    <t>MK68-000746</t>
  </si>
  <si>
    <t>WB ฟาร์ม F914M 30kg.</t>
  </si>
  <si>
    <t>MK68-000714</t>
  </si>
  <si>
    <t>บจก.แลบอินเตอร์</t>
  </si>
  <si>
    <t>Soybean Meal</t>
  </si>
  <si>
    <t>มัด80ใช้สายรัด</t>
  </si>
  <si>
    <t>MK68-000754</t>
  </si>
  <si>
    <t>โรงสีลิ้มย่งฮวด</t>
  </si>
  <si>
    <t>ข้าวหอมมะลิสร้อยฟ้า</t>
  </si>
  <si>
    <t>WRWT21720/WRWT21720</t>
  </si>
  <si>
    <t>WRWT160720/WRWT21720</t>
  </si>
  <si>
    <t>MK68-000755</t>
  </si>
  <si>
    <t>บจก.วีซีเอฟ</t>
  </si>
  <si>
    <t>VC100</t>
  </si>
  <si>
    <t>VC181</t>
  </si>
  <si>
    <t>VC193</t>
  </si>
  <si>
    <t>MK68-000756</t>
  </si>
  <si>
    <t>SPEED PLUS 003เขมร</t>
  </si>
  <si>
    <t>SPEED PLUS 222ลาว</t>
  </si>
  <si>
    <t>MK68-000750</t>
  </si>
  <si>
    <t>บจก.เอ็นบี ดิสทริบิวชั่น</t>
  </si>
  <si>
    <t>กัสโซ่ฟีด101-102</t>
  </si>
  <si>
    <t>มาซู ฟีดพี040</t>
  </si>
  <si>
    <t>บจก.ไทยลักซ์</t>
  </si>
  <si>
    <t>200แบน</t>
  </si>
  <si>
    <t>MK68-000752</t>
  </si>
  <si>
    <t>คุณนพวินทร์ รัตนเศรษฐ์เมธา</t>
  </si>
  <si>
    <t>ลุงนัย ฟาร์ม104</t>
  </si>
  <si>
    <t>MK68-000749</t>
  </si>
  <si>
    <t>MK68-000753</t>
  </si>
  <si>
    <t>กองระบบท่อระบายน้ำสำนักการระบายน้ำ</t>
  </si>
  <si>
    <t>MK68-000751</t>
  </si>
  <si>
    <t>MK68-000762</t>
  </si>
  <si>
    <t>ร้านสมคิดพันธุ์ข้าว</t>
  </si>
  <si>
    <t>ทองทั้งทุ่ง</t>
  </si>
  <si>
    <t>MK68-000758</t>
  </si>
  <si>
    <t>MK68-000760</t>
  </si>
  <si>
    <t>MK68-000759</t>
  </si>
  <si>
    <t>MK68-000761</t>
  </si>
  <si>
    <t>ลูกโลก AMPC</t>
  </si>
  <si>
    <t>WB ฟาร์ม F916 30kg LP</t>
  </si>
  <si>
    <t>ลำพูน</t>
  </si>
  <si>
    <t>WB ฟาร์ม F912 30kg LP</t>
  </si>
  <si>
    <t>ลพบุรี1</t>
  </si>
  <si>
    <t xml:space="preserve">WB ฟาร์ม F931L 30kg </t>
  </si>
  <si>
    <t xml:space="preserve">WB ฟาร์ม F932 30kg </t>
  </si>
  <si>
    <t>WB ฟาร์ม F992 30kg LP</t>
  </si>
  <si>
    <t>บจก.ทีเจทีเทรดเดอร์</t>
  </si>
  <si>
    <t>ยูนิคอร์นฟิช202</t>
  </si>
  <si>
    <t>บจก.บลูฟาโล่</t>
  </si>
  <si>
    <t>เมอร์รี่882M</t>
  </si>
  <si>
    <t>เมอร์รี่882L</t>
  </si>
  <si>
    <t>สวมถุงในไม่ทัน</t>
  </si>
  <si>
    <t>หลอดไฟ</t>
  </si>
  <si>
    <t>ไก่เยียบศรกบินทร์</t>
  </si>
  <si>
    <t>ป้ายชื่อคอลัมน์</t>
  </si>
  <si>
    <t>WSWT1621720SMFX ผลรวม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</si>
</sst>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188" fontId="0" fillId="35" borderId="0" xfId="0" applyNumberFormat="1" applyFill="1"/>
    <xf numFmtId="0" fontId="27" fillId="37" borderId="1" xfId="0" applyFont="1" applyFill="1" applyBorder="1"/>
    <xf numFmtId="188" fontId="27" fillId="37" borderId="1" xfId="1" applyNumberFormat="1" applyFont="1" applyFill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8" fontId="0" fillId="0" borderId="0" xfId="0" applyNumberFormat="1" applyFill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95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MK68-000701</v>
          </cell>
          <cell r="C16">
            <v>45800</v>
          </cell>
          <cell r="E16" t="str">
            <v>หจก.ปึงเป้งน้ำ</v>
          </cell>
          <cell r="F16" t="str">
            <v>เกลือตรามือ 10กก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45821</v>
          </cell>
          <cell r="Z16" t="str">
            <v>500กระสอบแบนเต็มใบ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5557</v>
          </cell>
          <cell r="AS16">
            <v>1008.9000000000005</v>
          </cell>
          <cell r="AT16">
            <v>1220</v>
          </cell>
          <cell r="AU16">
            <v>5345.9000000000005</v>
          </cell>
          <cell r="BZ16" t="str">
            <v>WRWT25800/WRWT25800</v>
          </cell>
          <cell r="CA16">
            <v>56.498400000000039</v>
          </cell>
          <cell r="DL16" t="str">
            <v>P6</v>
          </cell>
          <cell r="DM16">
            <v>4</v>
          </cell>
          <cell r="DN16">
            <v>45821</v>
          </cell>
          <cell r="DP16">
            <v>45816</v>
          </cell>
          <cell r="DQ16">
            <v>45817</v>
          </cell>
          <cell r="DR16">
            <v>45810</v>
          </cell>
          <cell r="DS16">
            <v>45818</v>
          </cell>
          <cell r="DT16">
            <v>45819</v>
          </cell>
          <cell r="DU16">
            <v>45820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5557</v>
          </cell>
          <cell r="AS17">
            <v>1008.9000000000005</v>
          </cell>
          <cell r="AT17">
            <v>1220</v>
          </cell>
          <cell r="AU17">
            <v>5345.9000000000005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บจก.ซัน ซีเมนต์ โพรเซส</v>
          </cell>
          <cell r="F18" t="str">
            <v>พระอาทิตย์(ปูนนอน-ชริงค์)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65.624642943999987</v>
          </cell>
          <cell r="AC18">
            <v>0</v>
          </cell>
          <cell r="AD18">
            <v>65.624642943999987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WRWT25800/WRWT25800</v>
          </cell>
          <cell r="CA18">
            <v>18.776177777777768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 t="str">
            <v xml:space="preserve"> 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WSWT1625800SM</v>
          </cell>
          <cell r="AQ19">
            <v>3702.0499999999997</v>
          </cell>
          <cell r="AR19">
            <v>3372</v>
          </cell>
          <cell r="AS19">
            <v>330.04999999999973</v>
          </cell>
          <cell r="AT19">
            <v>0</v>
          </cell>
          <cell r="AU19">
            <v>3702.0499999999997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 t="str">
            <v>MK68-000754</v>
          </cell>
          <cell r="C21">
            <v>45814</v>
          </cell>
          <cell r="E21" t="str">
            <v>โรงสีลิ้มย่งฮวด</v>
          </cell>
          <cell r="F21" t="str">
            <v>ข้าวหอมมะลิสร้อยฟ้า</v>
          </cell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 t="str">
            <v>ไม่</v>
          </cell>
          <cell r="T21" t="str">
            <v>ไม่สวมถุงใน</v>
          </cell>
          <cell r="U21"/>
          <cell r="V21"/>
          <cell r="X21">
            <v>45829</v>
          </cell>
          <cell r="Z21" t="str">
            <v>500กระสอบ</v>
          </cell>
          <cell r="AA21">
            <v>5000</v>
          </cell>
          <cell r="AB21">
            <v>0</v>
          </cell>
          <cell r="AC21">
            <v>0</v>
          </cell>
          <cell r="AD21">
            <v>0</v>
          </cell>
          <cell r="AG21"/>
          <cell r="AI21" t="str">
            <v>ขาด-เกินได้5%</v>
          </cell>
          <cell r="AJ21">
            <v>0</v>
          </cell>
          <cell r="AL21">
            <v>5000</v>
          </cell>
          <cell r="AM21"/>
          <cell r="AN21">
            <v>5250</v>
          </cell>
          <cell r="AO21" t="str">
            <v>WSWT1621720SMFX</v>
          </cell>
          <cell r="AQ21">
            <v>3702.0499999999997</v>
          </cell>
          <cell r="AR21">
            <v>3702.0499999999997</v>
          </cell>
          <cell r="AS21">
            <v>0</v>
          </cell>
          <cell r="AT21">
            <v>0</v>
          </cell>
          <cell r="AU21">
            <v>0</v>
          </cell>
          <cell r="BZ21" t="str">
            <v>WRWT21720/WRWT21720</v>
          </cell>
          <cell r="CA21">
            <v>0</v>
          </cell>
          <cell r="DL21" t="str">
            <v>P7</v>
          </cell>
          <cell r="DM21">
            <v>2</v>
          </cell>
          <cell r="DN21">
            <v>45829</v>
          </cell>
          <cell r="DP21">
            <v>45824</v>
          </cell>
          <cell r="DQ21"/>
          <cell r="DR21">
            <v>45820</v>
          </cell>
          <cell r="DS21">
            <v>45827</v>
          </cell>
          <cell r="DT21">
            <v>45828</v>
          </cell>
          <cell r="DU21">
            <v>45828</v>
          </cell>
          <cell r="DW21"/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 xml:space="preserve"> /</v>
          </cell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>
            <v>3702.0499999999997</v>
          </cell>
          <cell r="AR22">
            <v>3702.0499999999997</v>
          </cell>
          <cell r="AS22">
            <v>0</v>
          </cell>
          <cell r="AT22">
            <v>0</v>
          </cell>
          <cell r="AU22">
            <v>0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45838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>
            <v>45838</v>
          </cell>
          <cell r="DP24">
            <v>45833</v>
          </cell>
          <cell r="DQ24"/>
          <cell r="DR24">
            <v>45828</v>
          </cell>
          <cell r="DS24">
            <v>45835</v>
          </cell>
          <cell r="DT24">
            <v>45836</v>
          </cell>
          <cell r="DU24">
            <v>45836</v>
          </cell>
          <cell r="DW24">
            <v>45837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MK68-000716</v>
          </cell>
          <cell r="C26">
            <v>45805</v>
          </cell>
          <cell r="E26" t="str">
            <v>บจก.ไบโอกรีนนิค</v>
          </cell>
          <cell r="F26" t="str">
            <v>หนุมานเทอร์โบ</v>
          </cell>
          <cell r="G26">
            <v>18</v>
          </cell>
          <cell r="H26">
            <v>28</v>
          </cell>
          <cell r="I26" t="str">
            <v>ขาว</v>
          </cell>
          <cell r="J26" t="str">
            <v>ใส</v>
          </cell>
          <cell r="L26">
            <v>69</v>
          </cell>
          <cell r="M26" t="str">
            <v>±</v>
          </cell>
          <cell r="N26">
            <v>5</v>
          </cell>
          <cell r="R26" t="str">
            <v>จับจีบ4"</v>
          </cell>
          <cell r="T26">
            <v>19</v>
          </cell>
          <cell r="U26">
            <v>31</v>
          </cell>
          <cell r="V26">
            <v>60</v>
          </cell>
          <cell r="X26">
            <v>45820</v>
          </cell>
          <cell r="Z26" t="str">
            <v>500กระสอบ</v>
          </cell>
          <cell r="AA26">
            <v>10000</v>
          </cell>
          <cell r="AB26">
            <v>217.96756406399999</v>
          </cell>
          <cell r="AC26">
            <v>0</v>
          </cell>
          <cell r="AD26">
            <v>217.96756406399999</v>
          </cell>
          <cell r="AG26"/>
          <cell r="AI26" t="str">
            <v>ขาด-เกินได้5%</v>
          </cell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WSWT1825800SM</v>
          </cell>
          <cell r="AQ26">
            <v>8242.3000000000011</v>
          </cell>
          <cell r="AR26">
            <v>8242.3000000000011</v>
          </cell>
          <cell r="AS26">
            <v>0</v>
          </cell>
          <cell r="AT26">
            <v>0</v>
          </cell>
          <cell r="AU26">
            <v>8242.3000000000011</v>
          </cell>
          <cell r="BZ26" t="str">
            <v>WRWT25800/WRWT25800</v>
          </cell>
          <cell r="CA26">
            <v>0</v>
          </cell>
          <cell r="DL26" t="str">
            <v>P6</v>
          </cell>
          <cell r="DM26">
            <v>4</v>
          </cell>
          <cell r="DN26">
            <v>45820</v>
          </cell>
          <cell r="DP26">
            <v>45815</v>
          </cell>
          <cell r="DQ26">
            <v>45816</v>
          </cell>
          <cell r="DR26">
            <v>45809</v>
          </cell>
          <cell r="DS26">
            <v>45817</v>
          </cell>
          <cell r="DT26">
            <v>45818</v>
          </cell>
          <cell r="DU26">
            <v>45819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>รอART</v>
          </cell>
          <cell r="EG26"/>
          <cell r="EH26"/>
          <cell r="EI26"/>
        </row>
        <row r="27">
          <cell r="B27" t="str">
            <v>MK68-000687</v>
          </cell>
          <cell r="C27">
            <v>45797</v>
          </cell>
          <cell r="E27" t="str">
            <v>บจก.ซิเบลโก้</v>
          </cell>
          <cell r="F27" t="str">
            <v>PORTARYTE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ไม่</v>
          </cell>
          <cell r="T27" t="str">
            <v>ไม่สวมถุงใน</v>
          </cell>
          <cell r="U27"/>
          <cell r="V27"/>
          <cell r="X27">
            <v>45841</v>
          </cell>
          <cell r="Z27" t="str">
            <v>500กระสอบ</v>
          </cell>
          <cell r="AA27">
            <v>10000</v>
          </cell>
          <cell r="AB27">
            <v>0</v>
          </cell>
          <cell r="AC27">
            <v>0</v>
          </cell>
          <cell r="AD27">
            <v>0</v>
          </cell>
          <cell r="AG27"/>
          <cell r="AI27" t="str">
            <v>ห้ามเกิน-ขาดได้5%</v>
          </cell>
          <cell r="AJ27">
            <v>0</v>
          </cell>
          <cell r="AL27">
            <v>10000</v>
          </cell>
          <cell r="AM27"/>
          <cell r="AN27">
            <v>10500</v>
          </cell>
          <cell r="AO27" t="str">
            <v>WSWT1825800SM</v>
          </cell>
          <cell r="AQ27">
            <v>8801.1</v>
          </cell>
          <cell r="AR27">
            <v>4000</v>
          </cell>
          <cell r="AS27">
            <v>4801.1000000000004</v>
          </cell>
          <cell r="AT27">
            <v>0</v>
          </cell>
          <cell r="AU27">
            <v>8801.1</v>
          </cell>
          <cell r="BZ27" t="str">
            <v>WRWT25800/WRWT25800</v>
          </cell>
          <cell r="CA27">
            <v>307.2704</v>
          </cell>
          <cell r="DL27" t="str">
            <v>P6</v>
          </cell>
          <cell r="DM27">
            <v>4</v>
          </cell>
          <cell r="DN27">
            <v>45841</v>
          </cell>
          <cell r="DP27">
            <v>45836</v>
          </cell>
          <cell r="DQ27">
            <v>45837</v>
          </cell>
          <cell r="DR27">
            <v>45830</v>
          </cell>
          <cell r="DS27">
            <v>45838</v>
          </cell>
          <cell r="DT27">
            <v>45839</v>
          </cell>
          <cell r="DU27">
            <v>45840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>
            <v>0</v>
          </cell>
          <cell r="C28"/>
          <cell r="E28"/>
          <cell r="F28" t="str">
            <v xml:space="preserve"> </v>
          </cell>
          <cell r="G28">
            <v>18</v>
          </cell>
          <cell r="H28">
            <v>25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/>
          <cell r="T28"/>
          <cell r="U28"/>
          <cell r="V28"/>
          <cell r="X28"/>
          <cell r="Z28"/>
          <cell r="AA28"/>
          <cell r="AB28"/>
          <cell r="AC28">
            <v>0</v>
          </cell>
          <cell r="AD28"/>
          <cell r="AG28"/>
          <cell r="AI28" t="str">
            <v>ระบุในSD</v>
          </cell>
          <cell r="AJ28"/>
          <cell r="AL28">
            <v>0</v>
          </cell>
          <cell r="AM28"/>
          <cell r="AN28">
            <v>0</v>
          </cell>
          <cell r="AO28" t="str">
            <v>WSWT1825800SM</v>
          </cell>
          <cell r="AQ28">
            <v>17043.400000000001</v>
          </cell>
          <cell r="AR28">
            <v>12242.300000000001</v>
          </cell>
          <cell r="AS28">
            <v>4801.1000000000004</v>
          </cell>
          <cell r="AT28">
            <v>0</v>
          </cell>
          <cell r="AU28">
            <v>17043.400000000001</v>
          </cell>
          <cell r="BZ28" t="str">
            <v>WRWT180800/WRWT25800</v>
          </cell>
          <cell r="CA28">
            <v>0</v>
          </cell>
          <cell r="DL28"/>
          <cell r="DM28" t="str">
            <v>Lead time</v>
          </cell>
          <cell r="DN28"/>
          <cell r="DP28"/>
          <cell r="DQ28"/>
          <cell r="DR28"/>
          <cell r="DS28"/>
          <cell r="DT28"/>
          <cell r="DU28"/>
          <cell r="DW28"/>
          <cell r="DX28"/>
          <cell r="DY28"/>
          <cell r="DZ28"/>
          <cell r="EA28"/>
          <cell r="EB28"/>
          <cell r="EC28"/>
          <cell r="ED28"/>
          <cell r="EG28"/>
          <cell r="EH28">
            <v>0</v>
          </cell>
          <cell r="EI28">
            <v>0</v>
          </cell>
        </row>
        <row r="29">
          <cell r="B29" t="str">
            <v>MK68-000683</v>
          </cell>
          <cell r="C29">
            <v>45797</v>
          </cell>
          <cell r="E29" t="str">
            <v>บจก.เพรซิเดนท์ฟลาวมิลล์</v>
          </cell>
          <cell r="F29" t="str">
            <v>ผึ้งเหลือง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45819</v>
          </cell>
          <cell r="Z29" t="str">
            <v>500กระสอบ</v>
          </cell>
          <cell r="AA29">
            <v>40000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39710</v>
          </cell>
          <cell r="AL29">
            <v>290</v>
          </cell>
          <cell r="AM29">
            <v>43885</v>
          </cell>
          <cell r="AN29">
            <v>0</v>
          </cell>
          <cell r="AO29" t="str">
            <v>WSWT1925800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P7</v>
          </cell>
          <cell r="DM29">
            <v>2</v>
          </cell>
          <cell r="DN29">
            <v>45819</v>
          </cell>
          <cell r="DP29">
            <v>45814</v>
          </cell>
          <cell r="DQ29"/>
          <cell r="DR29">
            <v>45810</v>
          </cell>
          <cell r="DS29">
            <v>45817</v>
          </cell>
          <cell r="DT29">
            <v>45818</v>
          </cell>
          <cell r="DU29">
            <v>45818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MK68-000682</v>
          </cell>
          <cell r="C30">
            <v>45797</v>
          </cell>
          <cell r="E30" t="str">
            <v>บจก.เพรซิเดนท์ฟลาวมิลล์</v>
          </cell>
          <cell r="F30" t="str">
            <v>ผึ้งชมพู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45819</v>
          </cell>
          <cell r="Z30" t="str">
            <v>500กระสอบ</v>
          </cell>
          <cell r="AA30">
            <v>30000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15500</v>
          </cell>
          <cell r="AL30">
            <v>14500</v>
          </cell>
          <cell r="AM30">
            <v>30955</v>
          </cell>
          <cell r="AN30">
            <v>0</v>
          </cell>
          <cell r="AO30" t="str">
            <v>WSWT1925800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45819</v>
          </cell>
          <cell r="DP30">
            <v>45814</v>
          </cell>
          <cell r="DQ30"/>
          <cell r="DR30">
            <v>45810</v>
          </cell>
          <cell r="DS30">
            <v>45817</v>
          </cell>
          <cell r="DT30">
            <v>45818</v>
          </cell>
          <cell r="DU30">
            <v>45818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45838</v>
          </cell>
          <cell r="Z31" t="str">
            <v>500กระสอบ</v>
          </cell>
          <cell r="AA31">
            <v>30000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30000</v>
          </cell>
          <cell r="AM31"/>
          <cell r="AN31">
            <v>31500</v>
          </cell>
          <cell r="AO31" t="str">
            <v>WSWT1925800</v>
          </cell>
          <cell r="AQ31">
            <v>26403.3</v>
          </cell>
          <cell r="AR31">
            <v>0</v>
          </cell>
          <cell r="AS31">
            <v>26403.3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1917.46632</v>
          </cell>
          <cell r="DL31" t="str">
            <v>P7</v>
          </cell>
          <cell r="DM31">
            <v>2</v>
          </cell>
          <cell r="DN31">
            <v>45838</v>
          </cell>
          <cell r="DP31">
            <v>45833</v>
          </cell>
          <cell r="DQ31"/>
          <cell r="DR31">
            <v>45829</v>
          </cell>
          <cell r="DS31">
            <v>45836</v>
          </cell>
          <cell r="DT31">
            <v>45837</v>
          </cell>
          <cell r="DU31">
            <v>45837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45838</v>
          </cell>
          <cell r="Z32" t="str">
            <v>500กระสอบแบน</v>
          </cell>
          <cell r="AA32">
            <v>10000</v>
          </cell>
          <cell r="AB32">
            <v>172.69642879999998</v>
          </cell>
          <cell r="AC32">
            <v>0</v>
          </cell>
          <cell r="AD32">
            <v>172.69642879999998</v>
          </cell>
          <cell r="AG32"/>
          <cell r="AI32"/>
          <cell r="AJ32">
            <v>0</v>
          </cell>
          <cell r="AL32">
            <v>10000</v>
          </cell>
          <cell r="AM32"/>
          <cell r="AN32">
            <v>10500</v>
          </cell>
          <cell r="AO32" t="str">
            <v>WSWT1925800</v>
          </cell>
          <cell r="AQ32">
            <v>9359.9000000000015</v>
          </cell>
          <cell r="AR32">
            <v>0</v>
          </cell>
          <cell r="AS32">
            <v>9359.9000000000015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679.73673777777788</v>
          </cell>
          <cell r="DL32" t="str">
            <v>P9</v>
          </cell>
          <cell r="DM32">
            <v>3</v>
          </cell>
          <cell r="DN32">
            <v>45838</v>
          </cell>
          <cell r="DP32">
            <v>45833</v>
          </cell>
          <cell r="DQ32"/>
          <cell r="DR32">
            <v>45828</v>
          </cell>
          <cell r="DS32">
            <v>45835</v>
          </cell>
          <cell r="DT32">
            <v>45836</v>
          </cell>
          <cell r="DU32">
            <v>45836</v>
          </cell>
          <cell r="DW32">
            <v>45837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35763.199999999997</v>
          </cell>
          <cell r="AR33">
            <v>0</v>
          </cell>
          <cell r="AS33">
            <v>35763.199999999997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MK68-000726</v>
          </cell>
          <cell r="C34">
            <v>45808</v>
          </cell>
          <cell r="E34" t="str">
            <v>บจก.เคอรี่ฟลาวมิลล์</v>
          </cell>
          <cell r="F34" t="str">
            <v>กุ้งแดง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63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45820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5000</v>
          </cell>
          <cell r="AM34">
            <v>5250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45820</v>
          </cell>
          <cell r="DP34">
            <v>45815</v>
          </cell>
          <cell r="DQ34"/>
          <cell r="DR34">
            <v>45811</v>
          </cell>
          <cell r="DS34">
            <v>45818</v>
          </cell>
          <cell r="DT34">
            <v>45819</v>
          </cell>
          <cell r="DU34">
            <v>45819</v>
          </cell>
          <cell r="DW34"/>
          <cell r="DX34"/>
          <cell r="DY34"/>
          <cell r="DZ34"/>
          <cell r="EB34"/>
          <cell r="EC34" t="str">
            <v>งานพิมพ์</v>
          </cell>
          <cell r="ED34"/>
          <cell r="EG34"/>
          <cell r="EH34"/>
          <cell r="EI34"/>
        </row>
        <row r="35">
          <cell r="B35" t="str">
            <v>MK68-000726</v>
          </cell>
          <cell r="C35">
            <v>45808</v>
          </cell>
          <cell r="E35" t="str">
            <v>บจก.เคอรี่ฟลาวมิลล์</v>
          </cell>
          <cell r="F35" t="str">
            <v>กุ้งแดง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63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45825</v>
          </cell>
          <cell r="Z35" t="str">
            <v>ห่ออัดเบลแบน500</v>
          </cell>
          <cell r="AA35">
            <v>10000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10000</v>
          </cell>
          <cell r="AM35">
            <v>10500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45825</v>
          </cell>
          <cell r="DP35">
            <v>45820</v>
          </cell>
          <cell r="DQ35"/>
          <cell r="DR35">
            <v>45816</v>
          </cell>
          <cell r="DS35">
            <v>45823</v>
          </cell>
          <cell r="DT35">
            <v>45824</v>
          </cell>
          <cell r="DU35">
            <v>45824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/>
          <cell r="EG35"/>
          <cell r="EH35"/>
          <cell r="EI35"/>
        </row>
        <row r="36">
          <cell r="B36" t="str">
            <v>MK68-000727</v>
          </cell>
          <cell r="C36">
            <v>45808</v>
          </cell>
          <cell r="E36" t="str">
            <v>บจก.เคอรี่ฟลาวมิลล์</v>
          </cell>
          <cell r="F36" t="str">
            <v>ดอกไม้แดง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45825</v>
          </cell>
          <cell r="Z36" t="str">
            <v>ห่ออัดเบลแบน501</v>
          </cell>
          <cell r="AA36">
            <v>15000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15000</v>
          </cell>
          <cell r="AM36">
            <v>15750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45825</v>
          </cell>
          <cell r="DP36">
            <v>45820</v>
          </cell>
          <cell r="DQ36"/>
          <cell r="DR36">
            <v>45816</v>
          </cell>
          <cell r="DS36">
            <v>45823</v>
          </cell>
          <cell r="DT36">
            <v>45824</v>
          </cell>
          <cell r="DU36">
            <v>45824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/>
          <cell r="EG36"/>
          <cell r="EH36"/>
          <cell r="EI36"/>
        </row>
        <row r="37">
          <cell r="B37" t="str">
            <v>MK68-000743</v>
          </cell>
          <cell r="C37">
            <v>45812</v>
          </cell>
          <cell r="E37" t="str">
            <v>บจก.เคอรี่ฟลาวมิลล์</v>
          </cell>
          <cell r="F37" t="str">
            <v>ถุงเขียว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45820</v>
          </cell>
          <cell r="Z37" t="str">
            <v>ห่ออัดเบลแบน501</v>
          </cell>
          <cell r="AA37">
            <v>10000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PDR250181</v>
          </cell>
          <cell r="AJ37">
            <v>0</v>
          </cell>
          <cell r="AL37">
            <v>10000</v>
          </cell>
          <cell r="AM37">
            <v>10200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45820</v>
          </cell>
          <cell r="DP37">
            <v>45815</v>
          </cell>
          <cell r="DQ37"/>
          <cell r="DR37">
            <v>45811</v>
          </cell>
          <cell r="DS37">
            <v>45818</v>
          </cell>
          <cell r="DT37">
            <v>45819</v>
          </cell>
          <cell r="DU37">
            <v>45819</v>
          </cell>
          <cell r="DW37"/>
          <cell r="EC37" t="str">
            <v>งานพิมพ์</v>
          </cell>
          <cell r="ED37"/>
          <cell r="EH37"/>
          <cell r="EI37"/>
        </row>
        <row r="38">
          <cell r="B38" t="str">
            <v>MK68-000743</v>
          </cell>
          <cell r="C38">
            <v>45812</v>
          </cell>
          <cell r="E38" t="str">
            <v>บจก.เคอรี่ฟลาวมิลล์</v>
          </cell>
          <cell r="F38" t="str">
            <v>กุ้งแดง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63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45820</v>
          </cell>
          <cell r="Z38" t="str">
            <v>ห่ออัดเบลแบน501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PDR250181</v>
          </cell>
          <cell r="AJ38">
            <v>0</v>
          </cell>
          <cell r="AL38">
            <v>10000</v>
          </cell>
          <cell r="AM38">
            <v>10400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45820</v>
          </cell>
          <cell r="DP38">
            <v>45815</v>
          </cell>
          <cell r="DQ38"/>
          <cell r="DR38">
            <v>45811</v>
          </cell>
          <cell r="DS38">
            <v>45818</v>
          </cell>
          <cell r="DT38">
            <v>45819</v>
          </cell>
          <cell r="DU38">
            <v>45819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/>
          <cell r="EG38"/>
          <cell r="EH38"/>
          <cell r="EI38"/>
        </row>
        <row r="39">
          <cell r="B39" t="str">
            <v>MK68-000743</v>
          </cell>
          <cell r="C39">
            <v>45812</v>
          </cell>
          <cell r="E39" t="str">
            <v>บจก.เคอรี่ฟลาวมิลล์</v>
          </cell>
          <cell r="F39" t="str">
            <v xml:space="preserve">แปดแต้มแดง  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45820</v>
          </cell>
          <cell r="Z39" t="str">
            <v>ห่ออัดเบลแบน501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PDR250181</v>
          </cell>
          <cell r="AJ39">
            <v>0</v>
          </cell>
          <cell r="AL39">
            <v>5000</v>
          </cell>
          <cell r="AM39"/>
          <cell r="AN39">
            <v>5250</v>
          </cell>
          <cell r="AO39" t="str">
            <v>WSWT1921720</v>
          </cell>
          <cell r="AQ39">
            <v>4400.55</v>
          </cell>
          <cell r="AR39">
            <v>2854</v>
          </cell>
          <cell r="AS39">
            <v>1546.5500000000002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116.49301955555558</v>
          </cell>
          <cell r="DL39" t="str">
            <v>P7</v>
          </cell>
          <cell r="DM39">
            <v>2</v>
          </cell>
          <cell r="DN39">
            <v>45820</v>
          </cell>
          <cell r="DP39">
            <v>45815</v>
          </cell>
          <cell r="DQ39"/>
          <cell r="DR39">
            <v>45811</v>
          </cell>
          <cell r="DS39">
            <v>45818</v>
          </cell>
          <cell r="DT39">
            <v>45819</v>
          </cell>
          <cell r="DU39">
            <v>45819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MK68-000743</v>
          </cell>
          <cell r="C40">
            <v>45812</v>
          </cell>
          <cell r="E40" t="str">
            <v>บจก.เคอรี่ฟลาวมิลล์</v>
          </cell>
          <cell r="F40" t="str">
            <v>ดอกไม้เขียว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45822</v>
          </cell>
          <cell r="Z40" t="str">
            <v>ห่ออัดเบลแบน501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PDR250182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4400.55</v>
          </cell>
          <cell r="AR40">
            <v>0</v>
          </cell>
          <cell r="AS40">
            <v>4400.55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331.46898400000003</v>
          </cell>
          <cell r="DL40" t="str">
            <v>P7</v>
          </cell>
          <cell r="DM40">
            <v>2</v>
          </cell>
          <cell r="DN40">
            <v>45822</v>
          </cell>
          <cell r="DP40">
            <v>45817</v>
          </cell>
          <cell r="DQ40"/>
          <cell r="DR40">
            <v>45813</v>
          </cell>
          <cell r="DS40">
            <v>45820</v>
          </cell>
          <cell r="DT40">
            <v>45821</v>
          </cell>
          <cell r="DU40">
            <v>45821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/>
          <cell r="EG40"/>
          <cell r="EH40"/>
          <cell r="EI40"/>
        </row>
        <row r="41">
          <cell r="B41" t="str">
            <v>MK68-000743</v>
          </cell>
          <cell r="C41">
            <v>45812</v>
          </cell>
          <cell r="E41" t="str">
            <v>บจก.เคอรี่ฟลาวมิลล์</v>
          </cell>
          <cell r="F41" t="str">
            <v>บลูทีมเหลือง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45822</v>
          </cell>
          <cell r="Z41" t="str">
            <v>ห่ออัดเบลแบน501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PDR250182</v>
          </cell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4400.55</v>
          </cell>
          <cell r="AR41">
            <v>0</v>
          </cell>
          <cell r="AS41">
            <v>4400.55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331.46898400000003</v>
          </cell>
          <cell r="DL41" t="str">
            <v>P7</v>
          </cell>
          <cell r="DM41">
            <v>2</v>
          </cell>
          <cell r="DN41">
            <v>45822</v>
          </cell>
          <cell r="DP41">
            <v>45817</v>
          </cell>
          <cell r="DQ41"/>
          <cell r="DR41">
            <v>45813</v>
          </cell>
          <cell r="DS41">
            <v>45820</v>
          </cell>
          <cell r="DT41">
            <v>45821</v>
          </cell>
          <cell r="DU41">
            <v>45821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/>
          <cell r="EG41"/>
          <cell r="EH41"/>
          <cell r="EI41"/>
        </row>
        <row r="42">
          <cell r="B42" t="str">
            <v>MK68-000743</v>
          </cell>
          <cell r="C42">
            <v>45812</v>
          </cell>
          <cell r="E42" t="str">
            <v>บจก.เคอรี่ฟลาวมิลล์</v>
          </cell>
          <cell r="F42" t="str">
            <v>KFM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45822</v>
          </cell>
          <cell r="Z42" t="str">
            <v>ห่ออัดเบลแบน501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PDR250182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4400.55</v>
          </cell>
          <cell r="AR42">
            <v>0</v>
          </cell>
          <cell r="AS42">
            <v>4400.55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331.46898400000003</v>
          </cell>
          <cell r="DL42" t="str">
            <v>P7</v>
          </cell>
          <cell r="DM42">
            <v>2</v>
          </cell>
          <cell r="DN42">
            <v>45822</v>
          </cell>
          <cell r="DP42">
            <v>45817</v>
          </cell>
          <cell r="DQ42"/>
          <cell r="DR42">
            <v>45813</v>
          </cell>
          <cell r="DS42">
            <v>45820</v>
          </cell>
          <cell r="DT42">
            <v>45821</v>
          </cell>
          <cell r="DU42">
            <v>45821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/>
          <cell r="EG42"/>
          <cell r="EH42"/>
          <cell r="EI42"/>
        </row>
        <row r="43">
          <cell r="B43" t="str">
            <v>MK68-000744</v>
          </cell>
          <cell r="C43">
            <v>45812</v>
          </cell>
          <cell r="E43" t="str">
            <v>บจก.เคอรี่ฟลาวมิลล์</v>
          </cell>
          <cell r="F43" t="str">
            <v>ไม่พิมพ์</v>
          </cell>
          <cell r="G43">
            <v>19</v>
          </cell>
          <cell r="H43">
            <v>36</v>
          </cell>
          <cell r="I43" t="str">
            <v>ขาว</v>
          </cell>
          <cell r="J43"/>
          <cell r="L43">
            <v>75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45822</v>
          </cell>
          <cell r="Z43" t="str">
            <v>ห่ออัดเบลแบน501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PDR250182</v>
          </cell>
          <cell r="AJ43">
            <v>0</v>
          </cell>
          <cell r="AL43">
            <v>10000</v>
          </cell>
          <cell r="AM43"/>
          <cell r="AN43">
            <v>0</v>
          </cell>
          <cell r="AO43" t="str">
            <v>WSWT1921720</v>
          </cell>
          <cell r="AQ43">
            <v>10477.5</v>
          </cell>
          <cell r="AR43">
            <v>0</v>
          </cell>
          <cell r="AS43">
            <v>10477.5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789.21186666666665</v>
          </cell>
          <cell r="DL43" t="str">
            <v>P3</v>
          </cell>
          <cell r="DM43">
            <v>2</v>
          </cell>
          <cell r="DN43">
            <v>45822</v>
          </cell>
          <cell r="DP43">
            <v>45817</v>
          </cell>
          <cell r="DQ43"/>
          <cell r="DR43"/>
          <cell r="DS43"/>
          <cell r="DT43"/>
          <cell r="DU43">
            <v>45820</v>
          </cell>
          <cell r="DW43"/>
          <cell r="DX43"/>
          <cell r="DY43"/>
          <cell r="DZ43"/>
          <cell r="EA43"/>
          <cell r="EB43"/>
          <cell r="EC43" t="str">
            <v>ตัด</v>
          </cell>
          <cell r="ED43"/>
          <cell r="EG43"/>
          <cell r="EH43"/>
          <cell r="EI43"/>
        </row>
        <row r="44">
          <cell r="B44" t="str">
            <v>MK68-000743</v>
          </cell>
          <cell r="C44">
            <v>45812</v>
          </cell>
          <cell r="E44" t="str">
            <v>บจก.เคอรี่ฟลาวมิลล์</v>
          </cell>
          <cell r="F44" t="str">
            <v>ปาท่องโก๋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ไม่</v>
          </cell>
          <cell r="T44" t="str">
            <v>ไม่สวมถุงใน</v>
          </cell>
          <cell r="U44"/>
          <cell r="V44"/>
          <cell r="X44">
            <v>45825</v>
          </cell>
          <cell r="Z44" t="str">
            <v>ห่ออัดเบลแบน501</v>
          </cell>
          <cell r="AA44">
            <v>3000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PDR250183</v>
          </cell>
          <cell r="AJ44">
            <v>0</v>
          </cell>
          <cell r="AL44">
            <v>3000</v>
          </cell>
          <cell r="AM44"/>
          <cell r="AN44">
            <v>3150</v>
          </cell>
          <cell r="AO44" t="str">
            <v>WSWT1921720</v>
          </cell>
          <cell r="AQ44">
            <v>2640.33</v>
          </cell>
          <cell r="AR44">
            <v>0</v>
          </cell>
          <cell r="AS44">
            <v>2640.33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198.88139040000004</v>
          </cell>
          <cell r="DL44" t="str">
            <v>P7</v>
          </cell>
          <cell r="DM44">
            <v>2</v>
          </cell>
          <cell r="DN44">
            <v>45825</v>
          </cell>
          <cell r="DP44">
            <v>45820</v>
          </cell>
          <cell r="DQ44"/>
          <cell r="DR44">
            <v>45816</v>
          </cell>
          <cell r="DS44">
            <v>45823</v>
          </cell>
          <cell r="DT44">
            <v>45824</v>
          </cell>
          <cell r="DU44">
            <v>45824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/>
          <cell r="EG44"/>
          <cell r="EH44"/>
          <cell r="EI44"/>
        </row>
        <row r="45">
          <cell r="B45" t="str">
            <v>MK68-000743</v>
          </cell>
          <cell r="C45">
            <v>45812</v>
          </cell>
          <cell r="E45" t="str">
            <v>บจก.เคอรี่ฟลาวมิลล์</v>
          </cell>
          <cell r="F45" t="str">
            <v>กุ้งแดง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45825</v>
          </cell>
          <cell r="Z45" t="str">
            <v>ห่ออัดเบลแบน501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PDR250183</v>
          </cell>
          <cell r="AJ45">
            <v>0</v>
          </cell>
          <cell r="AL45">
            <v>10000</v>
          </cell>
          <cell r="AM45">
            <v>10400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45825</v>
          </cell>
          <cell r="DP45">
            <v>45820</v>
          </cell>
          <cell r="DQ45"/>
          <cell r="DR45">
            <v>45816</v>
          </cell>
          <cell r="DS45">
            <v>45823</v>
          </cell>
          <cell r="DT45">
            <v>45824</v>
          </cell>
          <cell r="DU45">
            <v>45824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/>
          <cell r="EG45"/>
          <cell r="EH45"/>
          <cell r="EI45"/>
        </row>
        <row r="46">
          <cell r="B46" t="str">
            <v>MK68-000745</v>
          </cell>
          <cell r="C46">
            <v>45812</v>
          </cell>
          <cell r="E46" t="str">
            <v>บจก.เคอรี่ฟลาวมิลล์</v>
          </cell>
          <cell r="F46" t="str">
            <v>ไม่พิมพ์</v>
          </cell>
          <cell r="G46">
            <v>19</v>
          </cell>
          <cell r="H46">
            <v>36</v>
          </cell>
          <cell r="I46" t="str">
            <v>ขาว</v>
          </cell>
          <cell r="J46"/>
          <cell r="L46">
            <v>75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45825</v>
          </cell>
          <cell r="Z46" t="str">
            <v>ห่ออัดเบลแบน501</v>
          </cell>
          <cell r="AA46">
            <v>10000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PDR250183</v>
          </cell>
          <cell r="AJ46">
            <v>0</v>
          </cell>
          <cell r="AL46">
            <v>10000</v>
          </cell>
          <cell r="AM46"/>
          <cell r="AN46">
            <v>0</v>
          </cell>
          <cell r="AO46" t="str">
            <v>WSWT1921720</v>
          </cell>
          <cell r="AQ46">
            <v>10477.5</v>
          </cell>
          <cell r="AR46">
            <v>0</v>
          </cell>
          <cell r="AS46">
            <v>10477.5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789.21186666666665</v>
          </cell>
          <cell r="DL46" t="str">
            <v>P3</v>
          </cell>
          <cell r="DM46">
            <v>2</v>
          </cell>
          <cell r="DN46">
            <v>45825</v>
          </cell>
          <cell r="DP46">
            <v>45820</v>
          </cell>
          <cell r="DQ46"/>
          <cell r="DR46"/>
          <cell r="DS46"/>
          <cell r="DT46"/>
          <cell r="DU46">
            <v>45823</v>
          </cell>
          <cell r="DW46"/>
          <cell r="DX46"/>
          <cell r="DY46"/>
          <cell r="DZ46"/>
          <cell r="EA46"/>
          <cell r="EB46"/>
          <cell r="EC46" t="str">
            <v>ตัด</v>
          </cell>
          <cell r="ED46"/>
          <cell r="EG46"/>
          <cell r="EH46"/>
          <cell r="EI46"/>
        </row>
        <row r="47">
          <cell r="B47" t="str">
            <v>MK68-000743</v>
          </cell>
          <cell r="C47">
            <v>45812</v>
          </cell>
          <cell r="E47" t="str">
            <v>บจก.เคอรี่ฟลาวมิลล์</v>
          </cell>
          <cell r="F47" t="str">
            <v>เคเอ็ม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45827</v>
          </cell>
          <cell r="Z47" t="str">
            <v>ห่ออัดเบลแบน501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PDR250184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4400.55</v>
          </cell>
          <cell r="AR47">
            <v>0</v>
          </cell>
          <cell r="AS47">
            <v>4400.55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331.46898400000003</v>
          </cell>
          <cell r="DL47" t="str">
            <v>P7</v>
          </cell>
          <cell r="DM47">
            <v>2</v>
          </cell>
          <cell r="DN47">
            <v>45827</v>
          </cell>
          <cell r="DP47">
            <v>45822</v>
          </cell>
          <cell r="DQ47"/>
          <cell r="DR47">
            <v>45818</v>
          </cell>
          <cell r="DS47">
            <v>45825</v>
          </cell>
          <cell r="DT47">
            <v>45826</v>
          </cell>
          <cell r="DU47">
            <v>45826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/>
          <cell r="EG47"/>
          <cell r="EH47"/>
          <cell r="EI47"/>
        </row>
        <row r="48">
          <cell r="B48" t="str">
            <v>MK68-000743</v>
          </cell>
          <cell r="C48">
            <v>45812</v>
          </cell>
          <cell r="E48" t="str">
            <v>บจก.เคอรี่ฟลาวมิลล์</v>
          </cell>
          <cell r="F48" t="str">
            <v>แต้มแดง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45827</v>
          </cell>
          <cell r="Z48" t="str">
            <v>ห่ออัดเบลแบน501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PDR250184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4400.55</v>
          </cell>
          <cell r="AR48">
            <v>0</v>
          </cell>
          <cell r="AS48">
            <v>4400.55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331.46898400000003</v>
          </cell>
          <cell r="DL48" t="str">
            <v>P7</v>
          </cell>
          <cell r="DM48">
            <v>2</v>
          </cell>
          <cell r="DN48">
            <v>45827</v>
          </cell>
          <cell r="DP48">
            <v>45822</v>
          </cell>
          <cell r="DQ48"/>
          <cell r="DR48">
            <v>45818</v>
          </cell>
          <cell r="DS48">
            <v>45825</v>
          </cell>
          <cell r="DT48">
            <v>45826</v>
          </cell>
          <cell r="DU48">
            <v>45826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/>
          <cell r="EG48"/>
          <cell r="EH48"/>
          <cell r="EI48"/>
        </row>
        <row r="49">
          <cell r="B49" t="str">
            <v>MK68-000743</v>
          </cell>
          <cell r="C49">
            <v>45812</v>
          </cell>
          <cell r="E49" t="str">
            <v>บจก.เคอรี่ฟลาวมิลล์</v>
          </cell>
          <cell r="F49" t="str">
            <v>ดอกไม้แดง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45827</v>
          </cell>
          <cell r="Z49" t="str">
            <v>ห่ออัดเบลแบน501</v>
          </cell>
          <cell r="AA49">
            <v>10000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PDR250184</v>
          </cell>
          <cell r="AJ49">
            <v>0</v>
          </cell>
          <cell r="AL49">
            <v>10000</v>
          </cell>
          <cell r="AM49"/>
          <cell r="AN49">
            <v>10500</v>
          </cell>
          <cell r="AO49" t="str">
            <v>WSWT1921720</v>
          </cell>
          <cell r="AQ49">
            <v>8801.1</v>
          </cell>
          <cell r="AR49">
            <v>0</v>
          </cell>
          <cell r="AS49">
            <v>8801.1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662.93796800000007</v>
          </cell>
          <cell r="DL49" t="str">
            <v>P7</v>
          </cell>
          <cell r="DM49">
            <v>2</v>
          </cell>
          <cell r="DN49">
            <v>45827</v>
          </cell>
          <cell r="DP49">
            <v>45822</v>
          </cell>
          <cell r="DQ49"/>
          <cell r="DR49">
            <v>45818</v>
          </cell>
          <cell r="DS49">
            <v>45825</v>
          </cell>
          <cell r="DT49">
            <v>45826</v>
          </cell>
          <cell r="DU49">
            <v>45826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/>
          <cell r="EG49"/>
          <cell r="EH49"/>
          <cell r="EI49"/>
        </row>
        <row r="50">
          <cell r="B50" t="str">
            <v>MK68-000747</v>
          </cell>
          <cell r="C50">
            <v>45812</v>
          </cell>
          <cell r="E50" t="str">
            <v>บจก.เคอรี่ฟลาวมิลล์</v>
          </cell>
          <cell r="F50" t="str">
            <v>ปลาโลมาแดง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45827</v>
          </cell>
          <cell r="Z50" t="str">
            <v>ห่ออัดเบลแบน501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PDR250185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4400.55</v>
          </cell>
          <cell r="AR50">
            <v>0</v>
          </cell>
          <cell r="AS50">
            <v>4400.55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331.46898400000003</v>
          </cell>
          <cell r="DL50" t="str">
            <v>P7</v>
          </cell>
          <cell r="DM50">
            <v>2</v>
          </cell>
          <cell r="DN50">
            <v>45827</v>
          </cell>
          <cell r="DP50">
            <v>45822</v>
          </cell>
          <cell r="DQ50"/>
          <cell r="DR50">
            <v>45818</v>
          </cell>
          <cell r="DS50">
            <v>45825</v>
          </cell>
          <cell r="DT50">
            <v>45826</v>
          </cell>
          <cell r="DU50">
            <v>45826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/>
          <cell r="EG50"/>
          <cell r="EH50"/>
          <cell r="EI50"/>
        </row>
        <row r="51">
          <cell r="B51" t="str">
            <v>MK68-000747</v>
          </cell>
          <cell r="C51">
            <v>45812</v>
          </cell>
          <cell r="E51" t="str">
            <v>บจก.เคอรี่ฟลาวมิลล์</v>
          </cell>
          <cell r="F51" t="str">
            <v>HARD FLOUR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45827</v>
          </cell>
          <cell r="Z51" t="str">
            <v>ห่ออัดเบลแบน501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PDR250185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4400.55</v>
          </cell>
          <cell r="AR51">
            <v>0</v>
          </cell>
          <cell r="AS51">
            <v>4400.55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331.46898400000003</v>
          </cell>
          <cell r="DL51" t="str">
            <v>P7</v>
          </cell>
          <cell r="DM51">
            <v>2</v>
          </cell>
          <cell r="DN51">
            <v>45827</v>
          </cell>
          <cell r="DP51">
            <v>45822</v>
          </cell>
          <cell r="DQ51"/>
          <cell r="DR51">
            <v>45818</v>
          </cell>
          <cell r="DS51">
            <v>45825</v>
          </cell>
          <cell r="DT51">
            <v>45826</v>
          </cell>
          <cell r="DU51">
            <v>45826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/>
          <cell r="EG51"/>
          <cell r="EH51"/>
          <cell r="EI51"/>
        </row>
        <row r="52">
          <cell r="B52" t="str">
            <v>MK68-000748</v>
          </cell>
          <cell r="C52">
            <v>45812</v>
          </cell>
          <cell r="E52" t="str">
            <v>บจก.เคอรี่ฟลาวมิลล์</v>
          </cell>
          <cell r="F52" t="str">
            <v>ดอกไม้แดง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45827</v>
          </cell>
          <cell r="Z52" t="str">
            <v>ห่ออัดเบลแบน501</v>
          </cell>
          <cell r="AA52">
            <v>10000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PDR250185</v>
          </cell>
          <cell r="AJ52">
            <v>0</v>
          </cell>
          <cell r="AL52">
            <v>10000</v>
          </cell>
          <cell r="AM52"/>
          <cell r="AN52">
            <v>10500</v>
          </cell>
          <cell r="AO52" t="str">
            <v>WSWT1921720</v>
          </cell>
          <cell r="AQ52">
            <v>9359.9000000000015</v>
          </cell>
          <cell r="AR52">
            <v>0</v>
          </cell>
          <cell r="AS52">
            <v>9359.9000000000015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705.02926755555563</v>
          </cell>
          <cell r="DL52" t="str">
            <v>P7</v>
          </cell>
          <cell r="DM52">
            <v>2</v>
          </cell>
          <cell r="DN52">
            <v>45827</v>
          </cell>
          <cell r="DP52">
            <v>45822</v>
          </cell>
          <cell r="DQ52"/>
          <cell r="DR52">
            <v>45818</v>
          </cell>
          <cell r="DS52">
            <v>45825</v>
          </cell>
          <cell r="DT52">
            <v>45826</v>
          </cell>
          <cell r="DU52">
            <v>45826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/>
          <cell r="EG52"/>
          <cell r="EH52"/>
          <cell r="EI52"/>
        </row>
        <row r="53">
          <cell r="B53" t="str">
            <v>MK68-000748</v>
          </cell>
          <cell r="C53">
            <v>45812</v>
          </cell>
          <cell r="E53" t="str">
            <v>บจก.เคอรี่ฟลาวมิลล์</v>
          </cell>
          <cell r="F53" t="str">
            <v>WHOLE WHEAT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45827</v>
          </cell>
          <cell r="Z53" t="str">
            <v>ห่ออัดเบลแบน501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PDR250185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0</v>
          </cell>
          <cell r="AS53">
            <v>4679.9500000000007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352.51463377777782</v>
          </cell>
          <cell r="DL53" t="str">
            <v>P7</v>
          </cell>
          <cell r="DM53">
            <v>2</v>
          </cell>
          <cell r="DN53">
            <v>45827</v>
          </cell>
          <cell r="DP53">
            <v>45822</v>
          </cell>
          <cell r="DQ53"/>
          <cell r="DR53">
            <v>45818</v>
          </cell>
          <cell r="DS53">
            <v>45825</v>
          </cell>
          <cell r="DT53">
            <v>45826</v>
          </cell>
          <cell r="DU53">
            <v>45826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/>
          <cell r="EG53"/>
          <cell r="EH53"/>
          <cell r="EI53"/>
        </row>
        <row r="54">
          <cell r="B54" t="str">
            <v>MK68-000747</v>
          </cell>
          <cell r="C54">
            <v>45812</v>
          </cell>
          <cell r="E54" t="str">
            <v>บจก.เคอรี่ฟลาวมิลล์</v>
          </cell>
          <cell r="F54" t="str">
            <v>บะหมี่เตี๊ยว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45828</v>
          </cell>
          <cell r="Z54" t="str">
            <v>ห่ออัดเบลแบน501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PDR250186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4400.55</v>
          </cell>
          <cell r="AR54">
            <v>0</v>
          </cell>
          <cell r="AS54">
            <v>4400.55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331.46898400000003</v>
          </cell>
          <cell r="DL54" t="str">
            <v>P7</v>
          </cell>
          <cell r="DM54">
            <v>2</v>
          </cell>
          <cell r="DN54">
            <v>45828</v>
          </cell>
          <cell r="DP54">
            <v>45823</v>
          </cell>
          <cell r="DQ54"/>
          <cell r="DR54">
            <v>45819</v>
          </cell>
          <cell r="DS54">
            <v>45826</v>
          </cell>
          <cell r="DT54">
            <v>45827</v>
          </cell>
          <cell r="DU54">
            <v>45827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/>
          <cell r="EG54"/>
          <cell r="EH54"/>
          <cell r="EI54"/>
        </row>
        <row r="55">
          <cell r="B55" t="str">
            <v>MK68-000747</v>
          </cell>
          <cell r="C55">
            <v>45812</v>
          </cell>
          <cell r="E55" t="str">
            <v>บจก.เคอรี่ฟลาวมิลล์</v>
          </cell>
          <cell r="F55" t="str">
            <v>ถุงเขียว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45828</v>
          </cell>
          <cell r="Z55" t="str">
            <v>ห่ออัดเบลแบน501</v>
          </cell>
          <cell r="AA55">
            <v>10000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PDR250186</v>
          </cell>
          <cell r="AJ55">
            <v>0</v>
          </cell>
          <cell r="AL55">
            <v>10000</v>
          </cell>
          <cell r="AM55">
            <v>10200</v>
          </cell>
          <cell r="AN55">
            <v>0</v>
          </cell>
          <cell r="AO55" t="str">
            <v>WSWT1921720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45828</v>
          </cell>
          <cell r="DP55">
            <v>45823</v>
          </cell>
          <cell r="DQ55"/>
          <cell r="DR55">
            <v>45819</v>
          </cell>
          <cell r="DS55">
            <v>45826</v>
          </cell>
          <cell r="DT55">
            <v>45827</v>
          </cell>
          <cell r="DU55">
            <v>45827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/>
          <cell r="EG55"/>
          <cell r="EH55"/>
          <cell r="EI55"/>
        </row>
        <row r="56">
          <cell r="B56" t="str">
            <v>MK68-000748</v>
          </cell>
          <cell r="C56">
            <v>45812</v>
          </cell>
          <cell r="E56" t="str">
            <v>บจก.เคอรี่ฟลาวมิลล์</v>
          </cell>
          <cell r="F56" t="str">
            <v>ดอกไม้เขียว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45828</v>
          </cell>
          <cell r="Z56" t="str">
            <v>ห่ออัดเบลแบน501</v>
          </cell>
          <cell r="AA56">
            <v>10000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PDR250186</v>
          </cell>
          <cell r="AJ56">
            <v>0</v>
          </cell>
          <cell r="AL56">
            <v>10000</v>
          </cell>
          <cell r="AM56"/>
          <cell r="AN56">
            <v>10500</v>
          </cell>
          <cell r="AO56" t="str">
            <v>WSWT1921720</v>
          </cell>
          <cell r="AQ56">
            <v>9359.9000000000015</v>
          </cell>
          <cell r="AR56">
            <v>0</v>
          </cell>
          <cell r="AS56">
            <v>9359.9000000000015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705.02926755555563</v>
          </cell>
          <cell r="DL56" t="str">
            <v>P7</v>
          </cell>
          <cell r="DM56">
            <v>2</v>
          </cell>
          <cell r="DN56">
            <v>45828</v>
          </cell>
          <cell r="DP56">
            <v>45823</v>
          </cell>
          <cell r="DQ56"/>
          <cell r="DR56">
            <v>45819</v>
          </cell>
          <cell r="DS56">
            <v>45826</v>
          </cell>
          <cell r="DT56">
            <v>45827</v>
          </cell>
          <cell r="DU56">
            <v>45827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/>
          <cell r="EG56"/>
          <cell r="EH56"/>
          <cell r="EI56"/>
        </row>
        <row r="57">
          <cell r="B57" t="str">
            <v>MK68-000743</v>
          </cell>
          <cell r="C57">
            <v>45812</v>
          </cell>
          <cell r="E57" t="str">
            <v>บจก.เคอรี่ฟลาวมิลล์</v>
          </cell>
          <cell r="F57" t="str">
            <v>เคเอ็ม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45829</v>
          </cell>
          <cell r="Z57" t="str">
            <v>ห่ออัดเบลแบน501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PDR250187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4400.55</v>
          </cell>
          <cell r="AR57">
            <v>0</v>
          </cell>
          <cell r="AS57">
            <v>4400.55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331.46898400000003</v>
          </cell>
          <cell r="DL57" t="str">
            <v>P7</v>
          </cell>
          <cell r="DM57">
            <v>2</v>
          </cell>
          <cell r="DN57">
            <v>45829</v>
          </cell>
          <cell r="DP57">
            <v>45824</v>
          </cell>
          <cell r="DQ57"/>
          <cell r="DR57">
            <v>45820</v>
          </cell>
          <cell r="DS57">
            <v>45827</v>
          </cell>
          <cell r="DT57">
            <v>45828</v>
          </cell>
          <cell r="DU57">
            <v>45828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/>
          <cell r="EG57"/>
          <cell r="EH57"/>
          <cell r="EI57"/>
        </row>
        <row r="58">
          <cell r="B58" t="str">
            <v>MK68-000743</v>
          </cell>
          <cell r="C58">
            <v>45812</v>
          </cell>
          <cell r="E58" t="str">
            <v>บจก.เคอรี่ฟลาวมิลล์</v>
          </cell>
          <cell r="F58" t="str">
            <v>แต้มทอง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45829</v>
          </cell>
          <cell r="Z58" t="str">
            <v>ห่ออัดเบลแบน501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PDR250187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4400.55</v>
          </cell>
          <cell r="AR58">
            <v>0</v>
          </cell>
          <cell r="AS58">
            <v>4400.55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331.46898400000003</v>
          </cell>
          <cell r="DL58" t="str">
            <v>P7</v>
          </cell>
          <cell r="DM58">
            <v>2</v>
          </cell>
          <cell r="DN58">
            <v>45829</v>
          </cell>
          <cell r="DP58">
            <v>45824</v>
          </cell>
          <cell r="DQ58"/>
          <cell r="DR58">
            <v>45820</v>
          </cell>
          <cell r="DS58">
            <v>45827</v>
          </cell>
          <cell r="DT58">
            <v>45828</v>
          </cell>
          <cell r="DU58">
            <v>45828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/>
          <cell r="EG58"/>
          <cell r="EH58"/>
          <cell r="EI58"/>
        </row>
        <row r="59">
          <cell r="B59" t="str">
            <v>MK68-000743</v>
          </cell>
          <cell r="C59">
            <v>45812</v>
          </cell>
          <cell r="E59" t="str">
            <v>บจก.เคอรี่ฟลาวมิลล์</v>
          </cell>
          <cell r="F59" t="str">
            <v>ถุงทองแซนวิช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45829</v>
          </cell>
          <cell r="Z59" t="str">
            <v>ห่ออัดเบลแบน501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PDR250187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4400.55</v>
          </cell>
          <cell r="AR59">
            <v>0</v>
          </cell>
          <cell r="AS59">
            <v>4400.55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331.46898400000003</v>
          </cell>
          <cell r="DL59" t="str">
            <v>P7</v>
          </cell>
          <cell r="DM59">
            <v>2</v>
          </cell>
          <cell r="DN59">
            <v>45829</v>
          </cell>
          <cell r="DP59">
            <v>45824</v>
          </cell>
          <cell r="DQ59"/>
          <cell r="DR59">
            <v>45820</v>
          </cell>
          <cell r="DS59">
            <v>45827</v>
          </cell>
          <cell r="DT59">
            <v>45828</v>
          </cell>
          <cell r="DU59">
            <v>45828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/>
          <cell r="EG59"/>
          <cell r="EH59"/>
          <cell r="EI59"/>
        </row>
        <row r="60">
          <cell r="B60" t="str">
            <v>MK68-000743</v>
          </cell>
          <cell r="C60">
            <v>45812</v>
          </cell>
          <cell r="E60" t="str">
            <v>บจก.เคอรี่ฟลาวมิลล์</v>
          </cell>
          <cell r="F60" t="str">
            <v>ถุงเขียว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45829</v>
          </cell>
          <cell r="Z60" t="str">
            <v>ห่ออัดเบลแบน501</v>
          </cell>
          <cell r="AA60">
            <v>10000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PDR250187</v>
          </cell>
          <cell r="AJ60">
            <v>0</v>
          </cell>
          <cell r="AL60">
            <v>10000</v>
          </cell>
          <cell r="AM60">
            <v>10600</v>
          </cell>
          <cell r="AN60">
            <v>0</v>
          </cell>
          <cell r="AO60" t="str">
            <v>WSWT1921720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45829</v>
          </cell>
          <cell r="DP60">
            <v>45824</v>
          </cell>
          <cell r="DQ60"/>
          <cell r="DR60">
            <v>45820</v>
          </cell>
          <cell r="DS60">
            <v>45827</v>
          </cell>
          <cell r="DT60">
            <v>45828</v>
          </cell>
          <cell r="DU60">
            <v>45828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/>
          <cell r="EG60"/>
          <cell r="EH60"/>
          <cell r="EI60"/>
        </row>
        <row r="61">
          <cell r="B61" t="str">
            <v>ประมาณการ</v>
          </cell>
          <cell r="C61" t="str">
            <v>ประมาณการ</v>
          </cell>
          <cell r="E61" t="str">
            <v>บจก.เคอรี่ฟลาวมิลล์</v>
          </cell>
          <cell r="F61" t="str">
            <v>รอแบบ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45838</v>
          </cell>
          <cell r="Z61" t="str">
            <v>ห่ออัดเบลแบน500</v>
          </cell>
          <cell r="AA61">
            <v>275000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275000</v>
          </cell>
          <cell r="AM61"/>
          <cell r="AN61">
            <v>288750</v>
          </cell>
          <cell r="AO61" t="str">
            <v>WSWT1921720</v>
          </cell>
          <cell r="AQ61">
            <v>242030.25</v>
          </cell>
          <cell r="AR61">
            <v>0</v>
          </cell>
          <cell r="AS61">
            <v>242030.25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18230.794120000006</v>
          </cell>
          <cell r="DL61" t="str">
            <v>P7</v>
          </cell>
          <cell r="DM61">
            <v>2</v>
          </cell>
          <cell r="DN61">
            <v>45838</v>
          </cell>
          <cell r="DP61">
            <v>45833</v>
          </cell>
          <cell r="DQ61"/>
          <cell r="DR61">
            <v>45829</v>
          </cell>
          <cell r="DS61">
            <v>45836</v>
          </cell>
          <cell r="DT61">
            <v>45837</v>
          </cell>
          <cell r="DU61">
            <v>45837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>
            <v>0</v>
          </cell>
          <cell r="C62"/>
          <cell r="E62"/>
          <cell r="F62"/>
          <cell r="G62">
            <v>19</v>
          </cell>
          <cell r="H62">
            <v>30</v>
          </cell>
          <cell r="I62"/>
          <cell r="J62"/>
          <cell r="L62">
            <v>63</v>
          </cell>
          <cell r="M62" t="str">
            <v>+</v>
          </cell>
          <cell r="N62">
            <v>5</v>
          </cell>
          <cell r="R62"/>
          <cell r="T62"/>
          <cell r="U62"/>
          <cell r="V62"/>
          <cell r="X62"/>
          <cell r="Z62"/>
          <cell r="AA62">
            <v>0</v>
          </cell>
          <cell r="AB62"/>
          <cell r="AC62">
            <v>0</v>
          </cell>
          <cell r="AD62"/>
          <cell r="AG62"/>
          <cell r="AI62" t="str">
            <v>ระบุในSD</v>
          </cell>
          <cell r="AJ62">
            <v>0</v>
          </cell>
          <cell r="AL62">
            <v>0</v>
          </cell>
          <cell r="AM62"/>
          <cell r="AN62">
            <v>0</v>
          </cell>
          <cell r="AO62" t="str">
            <v>WSWT1921720</v>
          </cell>
          <cell r="AQ62">
            <v>350633.03</v>
          </cell>
          <cell r="AR62">
            <v>2854</v>
          </cell>
          <cell r="AS62">
            <v>347779.03</v>
          </cell>
          <cell r="AT62">
            <v>0</v>
          </cell>
          <cell r="AU62">
            <v>0</v>
          </cell>
          <cell r="BZ62" t="str">
            <v>WRWT190720/WRWT25800</v>
          </cell>
          <cell r="CA62">
            <v>0</v>
          </cell>
          <cell r="DL62"/>
          <cell r="DM62" t="str">
            <v>Lead time</v>
          </cell>
          <cell r="DN62"/>
          <cell r="DP62"/>
          <cell r="DQ62"/>
          <cell r="DR62"/>
          <cell r="DS62"/>
          <cell r="DT62"/>
          <cell r="DU62"/>
          <cell r="DW62"/>
          <cell r="DX62"/>
          <cell r="DY62"/>
          <cell r="DZ62"/>
          <cell r="EA62"/>
          <cell r="EB62"/>
          <cell r="EC62"/>
          <cell r="ED62"/>
          <cell r="EG62"/>
          <cell r="EH62">
            <v>0</v>
          </cell>
          <cell r="EI62">
            <v>0</v>
          </cell>
        </row>
        <row r="63">
          <cell r="B63">
            <v>0</v>
          </cell>
          <cell r="C63"/>
          <cell r="E63"/>
          <cell r="F63"/>
          <cell r="G63">
            <v>19</v>
          </cell>
          <cell r="H63">
            <v>30</v>
          </cell>
          <cell r="I63"/>
          <cell r="J63"/>
          <cell r="L63">
            <v>56</v>
          </cell>
          <cell r="M63" t="str">
            <v>±</v>
          </cell>
          <cell r="N63">
            <v>5</v>
          </cell>
          <cell r="R63"/>
          <cell r="T63"/>
          <cell r="U63"/>
          <cell r="V63"/>
          <cell r="X63"/>
          <cell r="Z63"/>
          <cell r="AA63">
            <v>0</v>
          </cell>
          <cell r="AB63"/>
          <cell r="AC63">
            <v>0</v>
          </cell>
          <cell r="AD63"/>
          <cell r="AG63"/>
          <cell r="AI63" t="str">
            <v>ระบุในSD</v>
          </cell>
          <cell r="AJ63" t="str">
            <v xml:space="preserve"> </v>
          </cell>
          <cell r="AL63">
            <v>0</v>
          </cell>
          <cell r="AM63"/>
          <cell r="AN63">
            <v>0</v>
          </cell>
          <cell r="AO63" t="str">
            <v>WSWT1925800SM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BZ63" t="str">
            <v>WRWT190800/WRWT25800</v>
          </cell>
          <cell r="CA63">
            <v>0</v>
          </cell>
          <cell r="DL63"/>
          <cell r="DM63" t="str">
            <v>Lead time</v>
          </cell>
          <cell r="DN63"/>
          <cell r="DP63"/>
          <cell r="DQ63"/>
          <cell r="DR63"/>
          <cell r="DS63"/>
          <cell r="DT63"/>
          <cell r="DU63"/>
          <cell r="DW63"/>
          <cell r="DX63"/>
          <cell r="DY63"/>
          <cell r="DZ63"/>
          <cell r="EA63"/>
          <cell r="EB63"/>
          <cell r="EC63"/>
          <cell r="ED63"/>
          <cell r="EG63"/>
          <cell r="EH63">
            <v>0</v>
          </cell>
          <cell r="EI63">
            <v>0</v>
          </cell>
        </row>
        <row r="64">
          <cell r="B64" t="str">
            <v>MK68-000680</v>
          </cell>
          <cell r="C64">
            <v>45796</v>
          </cell>
          <cell r="E64" t="str">
            <v>บจก.อินเทคค์ โกลบอล</v>
          </cell>
          <cell r="F64" t="str">
            <v>เพอเฟคค์103P โกลด์</v>
          </cell>
          <cell r="G64">
            <v>19</v>
          </cell>
          <cell r="H64">
            <v>34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จับจีบ4"</v>
          </cell>
          <cell r="T64" t="str">
            <v>ไม่สวมถุงใน</v>
          </cell>
          <cell r="U64"/>
          <cell r="V64"/>
          <cell r="X64" t="str">
            <v>รอแจ้ง</v>
          </cell>
          <cell r="Z64" t="str">
            <v>มัด80 ใช้สายรัด</v>
          </cell>
          <cell r="AA64">
            <v>503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503</v>
          </cell>
          <cell r="AM64">
            <v>5250</v>
          </cell>
          <cell r="AN64">
            <v>0</v>
          </cell>
          <cell r="AO64" t="str">
            <v>WSWT19251000SM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WRWT251000/WRWT251000</v>
          </cell>
          <cell r="CA64">
            <v>0</v>
          </cell>
          <cell r="DL64" t="str">
            <v>P6</v>
          </cell>
          <cell r="DM64">
            <v>4</v>
          </cell>
          <cell r="DN64" t="str">
            <v>รอแจ้ง</v>
          </cell>
          <cell r="DP64" t="e">
            <v>#VALUE!</v>
          </cell>
          <cell r="DQ64" t="e">
            <v>#VALUE!</v>
          </cell>
          <cell r="DR64" t="e">
            <v>#VALUE!</v>
          </cell>
          <cell r="DS64" t="e">
            <v>#VALUE!</v>
          </cell>
          <cell r="DT64" t="e">
            <v>#VALUE!</v>
          </cell>
          <cell r="DU64" t="e">
            <v>#VALUE!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>
            <v>0</v>
          </cell>
          <cell r="C65"/>
          <cell r="E65"/>
          <cell r="F65"/>
          <cell r="G65">
            <v>19</v>
          </cell>
          <cell r="H65">
            <v>34</v>
          </cell>
          <cell r="I65" t="str">
            <v>ขาว</v>
          </cell>
          <cell r="J65"/>
          <cell r="L65">
            <v>80</v>
          </cell>
          <cell r="M65" t="str">
            <v>±</v>
          </cell>
          <cell r="N65">
            <v>5</v>
          </cell>
          <cell r="R65"/>
          <cell r="T65"/>
          <cell r="U65"/>
          <cell r="V65"/>
          <cell r="X65"/>
          <cell r="Z65"/>
          <cell r="AA65"/>
          <cell r="AB65">
            <v>0</v>
          </cell>
          <cell r="AC65">
            <v>0</v>
          </cell>
          <cell r="AD65"/>
          <cell r="AG65"/>
          <cell r="AI65" t="str">
            <v>ระบุในSD</v>
          </cell>
          <cell r="AJ65"/>
          <cell r="AL65">
            <v>0</v>
          </cell>
          <cell r="AM65"/>
          <cell r="AN65">
            <v>0</v>
          </cell>
          <cell r="AO65" t="str">
            <v>WSWT19251000SM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WRWT251000/WRYL251000</v>
          </cell>
          <cell r="CA65">
            <v>0</v>
          </cell>
          <cell r="DL65"/>
          <cell r="DM65" t="str">
            <v>Lead time</v>
          </cell>
          <cell r="DN65"/>
          <cell r="DP65"/>
          <cell r="DQ65"/>
          <cell r="DR65"/>
          <cell r="DS65"/>
          <cell r="DT65"/>
          <cell r="DU65"/>
          <cell r="DW65"/>
          <cell r="DX65"/>
          <cell r="DY65"/>
          <cell r="DZ65"/>
          <cell r="EA65"/>
          <cell r="EB65"/>
          <cell r="EC65"/>
          <cell r="ED65"/>
          <cell r="EG65"/>
          <cell r="EH65"/>
          <cell r="EI65">
            <v>0</v>
          </cell>
        </row>
        <row r="66">
          <cell r="B66" t="str">
            <v>ใบรับคำสั่งซื้อ</v>
          </cell>
          <cell r="C66"/>
          <cell r="E66" t="str">
            <v>บจก.เอเชียเหมืองแร่</v>
          </cell>
          <cell r="F66" t="str">
            <v>ลูกโลก AMPC</v>
          </cell>
          <cell r="G66">
            <v>20</v>
          </cell>
          <cell r="H66">
            <v>32</v>
          </cell>
          <cell r="I66" t="str">
            <v>ขาว</v>
          </cell>
          <cell r="J66"/>
          <cell r="L66">
            <v>60</v>
          </cell>
          <cell r="M66" t="str">
            <v>±</v>
          </cell>
          <cell r="N66">
            <v>5</v>
          </cell>
          <cell r="R66" t="str">
            <v>ไม่</v>
          </cell>
          <cell r="T66" t="str">
            <v>ไม่สวมถุงใน</v>
          </cell>
          <cell r="U66"/>
          <cell r="V66"/>
          <cell r="X66">
            <v>45829</v>
          </cell>
          <cell r="Z66" t="str">
            <v>500กระสอบ</v>
          </cell>
          <cell r="AA66">
            <v>20000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20000</v>
          </cell>
          <cell r="AM66"/>
          <cell r="AN66">
            <v>21000</v>
          </cell>
          <cell r="AO66" t="str">
            <v>WSWT2025650</v>
          </cell>
          <cell r="AQ66">
            <v>18719.800000000003</v>
          </cell>
          <cell r="AR66">
            <v>7658</v>
          </cell>
          <cell r="AS66">
            <v>11061.800000000003</v>
          </cell>
          <cell r="AT66">
            <v>0</v>
          </cell>
          <cell r="AU66">
            <v>0</v>
          </cell>
          <cell r="BZ66" t="str">
            <v>WRWT25650/WRWT25650</v>
          </cell>
          <cell r="CA66">
            <v>679.07161111111111</v>
          </cell>
          <cell r="DL66" t="str">
            <v>P7</v>
          </cell>
          <cell r="DM66">
            <v>2</v>
          </cell>
          <cell r="DN66">
            <v>45829</v>
          </cell>
          <cell r="DP66">
            <v>45824</v>
          </cell>
          <cell r="DQ66"/>
          <cell r="DR66">
            <v>45820</v>
          </cell>
          <cell r="DS66">
            <v>45827</v>
          </cell>
          <cell r="DT66">
            <v>45828</v>
          </cell>
          <cell r="DU66">
            <v>45828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/>
          <cell r="EG66"/>
          <cell r="EH66"/>
          <cell r="EI66"/>
        </row>
        <row r="67">
          <cell r="B67">
            <v>0</v>
          </cell>
          <cell r="C67"/>
          <cell r="E67"/>
          <cell r="F67"/>
          <cell r="G67">
            <v>20</v>
          </cell>
          <cell r="H67">
            <v>37</v>
          </cell>
          <cell r="I67" t="str">
            <v>ขาว</v>
          </cell>
          <cell r="J67"/>
          <cell r="L67">
            <v>65</v>
          </cell>
          <cell r="M67" t="str">
            <v>±</v>
          </cell>
          <cell r="N67">
            <v>5</v>
          </cell>
          <cell r="R67"/>
          <cell r="T67"/>
          <cell r="U67"/>
          <cell r="V67"/>
          <cell r="X67"/>
          <cell r="Z67"/>
          <cell r="AA67"/>
          <cell r="AB67">
            <v>0</v>
          </cell>
          <cell r="AC67">
            <v>0</v>
          </cell>
          <cell r="AD67"/>
          <cell r="AG67"/>
          <cell r="AI67" t="str">
            <v>ระบุในSD</v>
          </cell>
          <cell r="AJ67"/>
          <cell r="AL67">
            <v>0</v>
          </cell>
          <cell r="AM67"/>
          <cell r="AN67">
            <v>0</v>
          </cell>
          <cell r="AO67" t="str">
            <v>WSWT2025650</v>
          </cell>
          <cell r="AQ67">
            <v>18719.800000000003</v>
          </cell>
          <cell r="AR67">
            <v>7658</v>
          </cell>
          <cell r="AS67">
            <v>11061.800000000003</v>
          </cell>
          <cell r="AT67">
            <v>0</v>
          </cell>
          <cell r="AU67">
            <v>0</v>
          </cell>
          <cell r="BZ67" t="str">
            <v>WRWT25650/WRWT25650</v>
          </cell>
          <cell r="CA67">
            <v>0</v>
          </cell>
          <cell r="DL67"/>
          <cell r="DM67" t="str">
            <v>Lead time</v>
          </cell>
          <cell r="DN67"/>
          <cell r="DP67"/>
          <cell r="DQ67"/>
          <cell r="DR67"/>
          <cell r="DS67"/>
          <cell r="DT67"/>
          <cell r="DU67"/>
          <cell r="DW67"/>
          <cell r="DX67"/>
          <cell r="DY67"/>
          <cell r="DZ67"/>
          <cell r="EA67"/>
          <cell r="EB67"/>
          <cell r="EC67"/>
          <cell r="ED67"/>
          <cell r="EG67"/>
          <cell r="EH67"/>
          <cell r="EI67">
            <v>0</v>
          </cell>
        </row>
        <row r="68">
          <cell r="B68">
            <v>0</v>
          </cell>
          <cell r="C68"/>
          <cell r="E68"/>
          <cell r="F68"/>
          <cell r="G68">
            <v>20</v>
          </cell>
          <cell r="H68">
            <v>37</v>
          </cell>
          <cell r="I68" t="str">
            <v>ขาว</v>
          </cell>
          <cell r="J68"/>
          <cell r="L68">
            <v>70</v>
          </cell>
          <cell r="M68" t="str">
            <v>±</v>
          </cell>
          <cell r="N68">
            <v>5</v>
          </cell>
          <cell r="R68"/>
          <cell r="T68"/>
          <cell r="U68"/>
          <cell r="V68"/>
          <cell r="X68"/>
          <cell r="Z68"/>
          <cell r="AA68"/>
          <cell r="AB68">
            <v>0</v>
          </cell>
          <cell r="AC68">
            <v>0</v>
          </cell>
          <cell r="AD68"/>
          <cell r="AG68"/>
          <cell r="AI68" t="str">
            <v>ระบุในSD</v>
          </cell>
          <cell r="AJ68"/>
          <cell r="AL68">
            <v>0</v>
          </cell>
          <cell r="AM68"/>
          <cell r="AN68">
            <v>0</v>
          </cell>
          <cell r="AO68" t="str">
            <v>WSWT2025700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BZ68" t="str">
            <v>WRWT25800/WRWT25650</v>
          </cell>
          <cell r="CA68">
            <v>0</v>
          </cell>
          <cell r="DL68"/>
          <cell r="DM68" t="str">
            <v>Lead time</v>
          </cell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/>
          <cell r="EI68">
            <v>0</v>
          </cell>
        </row>
        <row r="69">
          <cell r="B69" t="str">
            <v>MK68-000671</v>
          </cell>
          <cell r="C69">
            <v>45796</v>
          </cell>
          <cell r="E69" t="str">
            <v>บจก.อินเทคค์ โกลบอล</v>
          </cell>
          <cell r="F69" t="str">
            <v>เฟิร์สช้อย 911</v>
          </cell>
          <cell r="G69">
            <v>20</v>
          </cell>
          <cell r="H69">
            <v>36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±</v>
          </cell>
          <cell r="N69">
            <v>5</v>
          </cell>
          <cell r="R69" t="str">
            <v>จับจีบ</v>
          </cell>
          <cell r="T69" t="str">
            <v>ไม่สวมถุงใน</v>
          </cell>
          <cell r="U69"/>
          <cell r="V69"/>
          <cell r="X69">
            <v>45821</v>
          </cell>
          <cell r="Z69" t="str">
            <v>มัด80 ใช้สายรัด</v>
          </cell>
          <cell r="AA69">
            <v>3280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2447</v>
          </cell>
          <cell r="AL69">
            <v>833</v>
          </cell>
          <cell r="AM69">
            <v>5975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45821</v>
          </cell>
          <cell r="DP69">
            <v>45816</v>
          </cell>
          <cell r="DQ69">
            <v>45817</v>
          </cell>
          <cell r="DR69">
            <v>45810</v>
          </cell>
          <cell r="DS69">
            <v>45818</v>
          </cell>
          <cell r="DT69">
            <v>45819</v>
          </cell>
          <cell r="DU69">
            <v>45820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MK68-000672</v>
          </cell>
          <cell r="C70">
            <v>45796</v>
          </cell>
          <cell r="E70" t="str">
            <v>บจก.อินเทคค์ โกลบอล</v>
          </cell>
          <cell r="F70" t="str">
            <v>เฟิร์สช้อย 912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>
            <v>45821</v>
          </cell>
          <cell r="Z70" t="str">
            <v>มัด80 ใช้สายรัด</v>
          </cell>
          <cell r="AA70">
            <v>3853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840</v>
          </cell>
          <cell r="AL70">
            <v>3013</v>
          </cell>
          <cell r="AM70">
            <v>15401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45821</v>
          </cell>
          <cell r="DP70">
            <v>45816</v>
          </cell>
          <cell r="DQ70">
            <v>45817</v>
          </cell>
          <cell r="DR70">
            <v>45810</v>
          </cell>
          <cell r="DS70">
            <v>45818</v>
          </cell>
          <cell r="DT70">
            <v>45819</v>
          </cell>
          <cell r="DU70">
            <v>45820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MK68-000672</v>
          </cell>
          <cell r="C71">
            <v>45796</v>
          </cell>
          <cell r="E71" t="str">
            <v>บจก.อินเทคค์ โกลบอล</v>
          </cell>
          <cell r="F71" t="str">
            <v>เฟิร์สช้อย 913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>
            <v>45821</v>
          </cell>
          <cell r="Z71" t="str">
            <v>มัด80 ใช้สายรัด</v>
          </cell>
          <cell r="AA71">
            <v>4349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4349</v>
          </cell>
          <cell r="AM71">
            <v>0</v>
          </cell>
          <cell r="AN71">
            <v>4566.45</v>
          </cell>
          <cell r="AO71" t="str">
            <v>WSWT2025800SM</v>
          </cell>
          <cell r="AQ71">
            <v>4556.6647499999999</v>
          </cell>
          <cell r="AR71">
            <v>4556.6647499999999</v>
          </cell>
          <cell r="AS71">
            <v>0</v>
          </cell>
          <cell r="AT71">
            <v>0</v>
          </cell>
          <cell r="AU71">
            <v>4556.6647499999999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45821</v>
          </cell>
          <cell r="DP71">
            <v>45816</v>
          </cell>
          <cell r="DQ71">
            <v>45817</v>
          </cell>
          <cell r="DR71">
            <v>45810</v>
          </cell>
          <cell r="DS71">
            <v>45818</v>
          </cell>
          <cell r="DT71">
            <v>45819</v>
          </cell>
          <cell r="DU71">
            <v>45820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MK68-000675</v>
          </cell>
          <cell r="C72">
            <v>45796</v>
          </cell>
          <cell r="E72" t="str">
            <v>บจก.อินเทคค์ โกลบอล</v>
          </cell>
          <cell r="F72" t="str">
            <v>เพอเฟคค์ 914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>
            <v>45821</v>
          </cell>
          <cell r="Z72" t="str">
            <v>มัด80 ใช้สายรัด</v>
          </cell>
          <cell r="AA72">
            <v>17200</v>
          </cell>
          <cell r="AB72">
            <v>0</v>
          </cell>
          <cell r="AC72">
            <v>0</v>
          </cell>
          <cell r="AD72">
            <v>0</v>
          </cell>
          <cell r="AG72" t="str">
            <v>2/6---6/6</v>
          </cell>
          <cell r="AI72"/>
          <cell r="AJ72">
            <v>0</v>
          </cell>
          <cell r="AL72">
            <v>17200</v>
          </cell>
          <cell r="AM72">
            <v>35200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45821</v>
          </cell>
          <cell r="DP72">
            <v>45816</v>
          </cell>
          <cell r="DQ72">
            <v>45817</v>
          </cell>
          <cell r="DR72">
            <v>45810</v>
          </cell>
          <cell r="DS72">
            <v>45818</v>
          </cell>
          <cell r="DT72">
            <v>45819</v>
          </cell>
          <cell r="DU72">
            <v>45820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MK68-000676</v>
          </cell>
          <cell r="C73">
            <v>45796</v>
          </cell>
          <cell r="E73" t="str">
            <v>บจก.อินเทคค์ โกลบอล</v>
          </cell>
          <cell r="F73" t="str">
            <v>เพอเฟคค์ 916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>
            <v>45821</v>
          </cell>
          <cell r="Z73" t="str">
            <v>มัด80 ใช้สายรัด</v>
          </cell>
          <cell r="AA73">
            <v>10000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3920</v>
          </cell>
          <cell r="AL73">
            <v>6080</v>
          </cell>
          <cell r="AM73">
            <v>12101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45821</v>
          </cell>
          <cell r="DP73">
            <v>45816</v>
          </cell>
          <cell r="DQ73">
            <v>45817</v>
          </cell>
          <cell r="DR73">
            <v>45810</v>
          </cell>
          <cell r="DS73">
            <v>45818</v>
          </cell>
          <cell r="DT73">
            <v>45819</v>
          </cell>
          <cell r="DU73">
            <v>45820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MK68-000555</v>
          </cell>
          <cell r="C74">
            <v>45766</v>
          </cell>
          <cell r="E74" t="str">
            <v>บจก.อินเทคค์ โกลบอล</v>
          </cell>
          <cell r="F74" t="str">
            <v>เพอเฟคค์ 916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จับจีบ4"</v>
          </cell>
          <cell r="T74" t="str">
            <v>ไม่สวมถุงใน</v>
          </cell>
          <cell r="U74"/>
          <cell r="V74"/>
          <cell r="X74">
            <v>45821</v>
          </cell>
          <cell r="Z74" t="str">
            <v>มัด80 ใช้สายรัด</v>
          </cell>
          <cell r="AA74">
            <v>1120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ห้ามขาด-ห้ามเกิน</v>
          </cell>
          <cell r="AJ74">
            <v>1120</v>
          </cell>
          <cell r="AL74">
            <v>0</v>
          </cell>
          <cell r="AM74">
            <v>1200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45821</v>
          </cell>
          <cell r="DP74">
            <v>45816</v>
          </cell>
          <cell r="DQ74">
            <v>45817</v>
          </cell>
          <cell r="DR74">
            <v>45810</v>
          </cell>
          <cell r="DS74">
            <v>45818</v>
          </cell>
          <cell r="DT74">
            <v>45819</v>
          </cell>
          <cell r="DU74">
            <v>45820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MK68-000694</v>
          </cell>
          <cell r="C75">
            <v>45799</v>
          </cell>
          <cell r="E75" t="str">
            <v>บจก.เอ.เจ.ฟาร์ม่าแล็บ</v>
          </cell>
          <cell r="F75" t="str">
            <v>เวท-มิน</v>
          </cell>
          <cell r="G75">
            <v>20</v>
          </cell>
          <cell r="H75">
            <v>34</v>
          </cell>
          <cell r="I75" t="str">
            <v>ขาว</v>
          </cell>
          <cell r="J75" t="str">
            <v>ใส</v>
          </cell>
          <cell r="L75">
            <v>95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45819</v>
          </cell>
          <cell r="Z75" t="str">
            <v>500กระสอบ</v>
          </cell>
          <cell r="AA75">
            <v>12000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ห้ามขาด-ห้ามเกิน</v>
          </cell>
          <cell r="AJ75">
            <v>0</v>
          </cell>
          <cell r="AL75">
            <v>12000</v>
          </cell>
          <cell r="AM75">
            <v>8045</v>
          </cell>
          <cell r="AN75">
            <v>4152.75</v>
          </cell>
          <cell r="AO75" t="str">
            <v>WSWT2025800SM</v>
          </cell>
          <cell r="AQ75">
            <v>4118.9881425000003</v>
          </cell>
          <cell r="AR75">
            <v>4118.9881425000003</v>
          </cell>
          <cell r="AS75">
            <v>0</v>
          </cell>
          <cell r="AT75">
            <v>4118.9881425000003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45819</v>
          </cell>
          <cell r="DP75">
            <v>45814</v>
          </cell>
          <cell r="DQ75">
            <v>45815</v>
          </cell>
          <cell r="DR75">
            <v>45808</v>
          </cell>
          <cell r="DS75">
            <v>45816</v>
          </cell>
          <cell r="DT75">
            <v>45817</v>
          </cell>
          <cell r="DU75">
            <v>45818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MK68-000740</v>
          </cell>
          <cell r="C76">
            <v>45810</v>
          </cell>
          <cell r="E76" t="str">
            <v>คุณชายชล จันทร์สว่างกูล</v>
          </cell>
          <cell r="F76" t="str">
            <v>เวท-มิน</v>
          </cell>
          <cell r="G76">
            <v>20</v>
          </cell>
          <cell r="H76">
            <v>34</v>
          </cell>
          <cell r="I76" t="str">
            <v>ขาว</v>
          </cell>
          <cell r="J76" t="str">
            <v>ใส</v>
          </cell>
          <cell r="L76">
            <v>95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45819</v>
          </cell>
          <cell r="Z76" t="str">
            <v>500กระสอบ</v>
          </cell>
          <cell r="AA76">
            <v>1500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1500</v>
          </cell>
          <cell r="AM76"/>
          <cell r="AN76">
            <v>1575</v>
          </cell>
          <cell r="AO76" t="str">
            <v>WSWT2025800SM</v>
          </cell>
          <cell r="AQ76">
            <v>1487.8050000000001</v>
          </cell>
          <cell r="AR76">
            <v>1487.8050000000001</v>
          </cell>
          <cell r="AS76">
            <v>0</v>
          </cell>
          <cell r="AT76">
            <v>1487.8050000000001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45819</v>
          </cell>
          <cell r="DP76">
            <v>45814</v>
          </cell>
          <cell r="DQ76">
            <v>45815</v>
          </cell>
          <cell r="DR76">
            <v>45808</v>
          </cell>
          <cell r="DS76">
            <v>45816</v>
          </cell>
          <cell r="DT76">
            <v>45817</v>
          </cell>
          <cell r="DU76">
            <v>45818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MK68-000694</v>
          </cell>
          <cell r="C77">
            <v>45799</v>
          </cell>
          <cell r="E77" t="str">
            <v>บจก.เอ.เจ.ฟาร์ม่าแล็บ</v>
          </cell>
          <cell r="F77" t="str">
            <v>เบส-มิน</v>
          </cell>
          <cell r="G77">
            <v>20</v>
          </cell>
          <cell r="H77">
            <v>34</v>
          </cell>
          <cell r="I77" t="str">
            <v>ขาว</v>
          </cell>
          <cell r="J77" t="str">
            <v>ใส</v>
          </cell>
          <cell r="L77">
            <v>95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>
            <v>45819</v>
          </cell>
          <cell r="Z77" t="str">
            <v>500กระสอบ</v>
          </cell>
          <cell r="AA77">
            <v>8000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ห้ามขาด-ห้ามเกิน</v>
          </cell>
          <cell r="AJ77">
            <v>0</v>
          </cell>
          <cell r="AL77">
            <v>8000</v>
          </cell>
          <cell r="AM77">
            <v>8450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45819</v>
          </cell>
          <cell r="DP77">
            <v>45814</v>
          </cell>
          <cell r="DQ77">
            <v>45815</v>
          </cell>
          <cell r="DR77">
            <v>45808</v>
          </cell>
          <cell r="DS77">
            <v>45816</v>
          </cell>
          <cell r="DT77">
            <v>45817</v>
          </cell>
          <cell r="DU77">
            <v>45818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MK68-000740</v>
          </cell>
          <cell r="C78">
            <v>45810</v>
          </cell>
          <cell r="E78" t="str">
            <v>คุณชายชล จันทร์สว่างกูล</v>
          </cell>
          <cell r="F78" t="str">
            <v>เบส-มิน</v>
          </cell>
          <cell r="G78">
            <v>20</v>
          </cell>
          <cell r="H78">
            <v>34</v>
          </cell>
          <cell r="I78" t="str">
            <v>ขาว</v>
          </cell>
          <cell r="J78" t="str">
            <v>ใส</v>
          </cell>
          <cell r="L78">
            <v>95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>
            <v>45819</v>
          </cell>
          <cell r="Z78" t="str">
            <v>500กระสอบ</v>
          </cell>
          <cell r="AA78">
            <v>1000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1000</v>
          </cell>
          <cell r="AM78">
            <v>1000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45819</v>
          </cell>
          <cell r="DP78">
            <v>45814</v>
          </cell>
          <cell r="DQ78">
            <v>45815</v>
          </cell>
          <cell r="DR78">
            <v>45808</v>
          </cell>
          <cell r="DS78">
            <v>45816</v>
          </cell>
          <cell r="DT78">
            <v>45817</v>
          </cell>
          <cell r="DU78">
            <v>45818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MK68-000609</v>
          </cell>
          <cell r="C79">
            <v>45782</v>
          </cell>
          <cell r="E79" t="str">
            <v>บจก.เอสพีเอ็ม อาหารสัตว์</v>
          </cell>
          <cell r="F79" t="str">
            <v xml:space="preserve">SW 441 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45820</v>
          </cell>
          <cell r="Z79" t="str">
            <v>500กระสอบแบน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WSWT2025800SM</v>
          </cell>
          <cell r="AQ79">
            <v>5518.15</v>
          </cell>
          <cell r="AR79">
            <v>5518.15</v>
          </cell>
          <cell r="AS79">
            <v>0</v>
          </cell>
          <cell r="AT79">
            <v>5518.15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45820</v>
          </cell>
          <cell r="DP79">
            <v>45815</v>
          </cell>
          <cell r="DQ79">
            <v>45816</v>
          </cell>
          <cell r="DR79">
            <v>45809</v>
          </cell>
          <cell r="DS79">
            <v>45817</v>
          </cell>
          <cell r="DT79">
            <v>45818</v>
          </cell>
          <cell r="DU79">
            <v>45819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MK68-000531</v>
          </cell>
          <cell r="C80">
            <v>45756</v>
          </cell>
          <cell r="E80" t="str">
            <v>บจก.เอสพีเอ็ม อาหารสัตว์</v>
          </cell>
          <cell r="F80" t="str">
            <v>นีโอ ดี03</v>
          </cell>
          <cell r="G80">
            <v>20</v>
          </cell>
          <cell r="H80">
            <v>37</v>
          </cell>
          <cell r="I80" t="str">
            <v>ขาว</v>
          </cell>
          <cell r="J80" t="str">
            <v>ด้าน</v>
          </cell>
          <cell r="L80">
            <v>97</v>
          </cell>
          <cell r="M80" t="str">
            <v>±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45820</v>
          </cell>
          <cell r="Z80" t="str">
            <v>500กระสอบแบน</v>
          </cell>
          <cell r="AA80">
            <v>3000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3148</v>
          </cell>
          <cell r="AL80">
            <v>0</v>
          </cell>
          <cell r="AM80">
            <v>6505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45820</v>
          </cell>
          <cell r="DP80">
            <v>45815</v>
          </cell>
          <cell r="DQ80">
            <v>45816</v>
          </cell>
          <cell r="DR80">
            <v>45809</v>
          </cell>
          <cell r="DS80">
            <v>45817</v>
          </cell>
          <cell r="DT80">
            <v>45818</v>
          </cell>
          <cell r="DU80">
            <v>45819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MK68-000440</v>
          </cell>
          <cell r="C81">
            <v>45740</v>
          </cell>
          <cell r="E81" t="str">
            <v>บจก.เอสพีเอ็ม อาหารสัตว์</v>
          </cell>
          <cell r="F81" t="str">
            <v>นีโอ 05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45820</v>
          </cell>
          <cell r="Z81" t="str">
            <v>500กระสอบแบน</v>
          </cell>
          <cell r="AA81">
            <v>2500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2825</v>
          </cell>
          <cell r="AL81">
            <v>0</v>
          </cell>
          <cell r="AM81">
            <v>5688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45820</v>
          </cell>
          <cell r="DP81">
            <v>45815</v>
          </cell>
          <cell r="DQ81">
            <v>45816</v>
          </cell>
          <cell r="DR81">
            <v>45809</v>
          </cell>
          <cell r="DS81">
            <v>45817</v>
          </cell>
          <cell r="DT81">
            <v>45818</v>
          </cell>
          <cell r="DU81">
            <v>45819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 </v>
          </cell>
          <cell r="EG81"/>
          <cell r="EH81"/>
          <cell r="EI81"/>
        </row>
        <row r="82">
          <cell r="B82" t="str">
            <v>MK68-000514</v>
          </cell>
          <cell r="C82">
            <v>45752</v>
          </cell>
          <cell r="E82" t="str">
            <v>บจก.เอสพีเอ็ม อาหารสัตว์</v>
          </cell>
          <cell r="F82" t="str">
            <v>SW 441 PLUS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45820</v>
          </cell>
          <cell r="Z82" t="str">
            <v>500กระสอบแบน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 t="str">
            <v>มีลบสี</v>
          </cell>
          <cell r="AI82"/>
          <cell r="AJ82">
            <v>5168</v>
          </cell>
          <cell r="AL82">
            <v>0</v>
          </cell>
          <cell r="AM82">
            <v>5400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45820</v>
          </cell>
          <cell r="DP82">
            <v>45815</v>
          </cell>
          <cell r="DQ82">
            <v>45816</v>
          </cell>
          <cell r="DR82">
            <v>45809</v>
          </cell>
          <cell r="DS82">
            <v>45817</v>
          </cell>
          <cell r="DT82">
            <v>45818</v>
          </cell>
          <cell r="DU82">
            <v>45819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MK68-000722</v>
          </cell>
          <cell r="C83">
            <v>45808</v>
          </cell>
          <cell r="E83" t="str">
            <v>บจก.มารีน หรีดเดอร์</v>
          </cell>
          <cell r="F83" t="str">
            <v>Rocky quick lime</v>
          </cell>
          <cell r="G83">
            <v>20</v>
          </cell>
          <cell r="H83">
            <v>30</v>
          </cell>
          <cell r="I83" t="str">
            <v>ขาว</v>
          </cell>
          <cell r="J83" t="str">
            <v>ใส</v>
          </cell>
          <cell r="L83">
            <v>80</v>
          </cell>
          <cell r="M83" t="str">
            <v>±</v>
          </cell>
          <cell r="N83">
            <v>5</v>
          </cell>
          <cell r="R83" t="str">
            <v>จับจีบ5"</v>
          </cell>
          <cell r="T83">
            <v>21</v>
          </cell>
          <cell r="U83">
            <v>33</v>
          </cell>
          <cell r="V83">
            <v>40</v>
          </cell>
          <cell r="X83">
            <v>45821</v>
          </cell>
          <cell r="Z83" t="str">
            <v>500กระสอบ</v>
          </cell>
          <cell r="AA83">
            <v>10000</v>
          </cell>
          <cell r="AB83">
            <v>170.969464512</v>
          </cell>
          <cell r="AC83">
            <v>0</v>
          </cell>
          <cell r="AD83">
            <v>170.969464512</v>
          </cell>
          <cell r="AG83"/>
          <cell r="AI83"/>
          <cell r="AJ83">
            <v>0</v>
          </cell>
          <cell r="AL83">
            <v>10000</v>
          </cell>
          <cell r="AM83"/>
          <cell r="AN83">
            <v>10500</v>
          </cell>
          <cell r="AO83" t="str">
            <v>WSWT2025800SM</v>
          </cell>
          <cell r="AQ83">
            <v>8801.1</v>
          </cell>
          <cell r="AR83">
            <v>8801.1</v>
          </cell>
          <cell r="AS83">
            <v>0</v>
          </cell>
          <cell r="AT83">
            <v>0</v>
          </cell>
          <cell r="AU83">
            <v>8801.1</v>
          </cell>
          <cell r="BZ83" t="str">
            <v>WRWT25850/WRWT25850</v>
          </cell>
          <cell r="CA83">
            <v>0</v>
          </cell>
          <cell r="DL83" t="str">
            <v>P8</v>
          </cell>
          <cell r="DM83">
            <v>4</v>
          </cell>
          <cell r="DN83">
            <v>45821</v>
          </cell>
          <cell r="DP83">
            <v>45816</v>
          </cell>
          <cell r="DQ83">
            <v>45817</v>
          </cell>
          <cell r="DR83">
            <v>45811</v>
          </cell>
          <cell r="DS83">
            <v>45818</v>
          </cell>
          <cell r="DT83">
            <v>45819</v>
          </cell>
          <cell r="DU83">
            <v>45819</v>
          </cell>
          <cell r="DW83">
            <v>45820</v>
          </cell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 </v>
          </cell>
          <cell r="EG83"/>
          <cell r="EH83"/>
          <cell r="EI83"/>
        </row>
        <row r="84">
          <cell r="B84" t="str">
            <v>MK68-000728</v>
          </cell>
          <cell r="C84">
            <v>45808</v>
          </cell>
          <cell r="E84" t="str">
            <v>บจก.อินเทคค์ โกลบอล</v>
          </cell>
          <cell r="F84" t="str">
            <v>สุบรรณ 222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จับจีบ3.5"</v>
          </cell>
          <cell r="T84" t="str">
            <v>ไม่สวมถุงใน</v>
          </cell>
          <cell r="U84"/>
          <cell r="V84"/>
          <cell r="X84">
            <v>45822</v>
          </cell>
          <cell r="Z84" t="str">
            <v>มัด80 ใช้สายรัด</v>
          </cell>
          <cell r="AA84">
            <v>5040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5040</v>
          </cell>
          <cell r="AM84"/>
          <cell r="AN84">
            <v>5292</v>
          </cell>
          <cell r="AO84" t="str">
            <v>WSWT2025800SM</v>
          </cell>
          <cell r="AQ84">
            <v>5280.6600000000008</v>
          </cell>
          <cell r="AR84">
            <v>5280.6600000000008</v>
          </cell>
          <cell r="AS84">
            <v>0</v>
          </cell>
          <cell r="AT84">
            <v>0</v>
          </cell>
          <cell r="AU84">
            <v>5280.6600000000008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45822</v>
          </cell>
          <cell r="DP84">
            <v>45817</v>
          </cell>
          <cell r="DQ84">
            <v>45818</v>
          </cell>
          <cell r="DR84">
            <v>45811</v>
          </cell>
          <cell r="DS84">
            <v>45819</v>
          </cell>
          <cell r="DT84">
            <v>45820</v>
          </cell>
          <cell r="DU84">
            <v>45821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MK68-000707</v>
          </cell>
          <cell r="C85">
            <v>45803</v>
          </cell>
          <cell r="E85" t="str">
            <v>บจก.เอพีเอ็ม อะโกร</v>
          </cell>
          <cell r="F85" t="str">
            <v>ยู-ฟีด รวมหมู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45831</v>
          </cell>
          <cell r="Z85" t="str">
            <v>500กระสอบแบน</v>
          </cell>
          <cell r="AA85">
            <v>3000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3000</v>
          </cell>
          <cell r="AM85"/>
          <cell r="AN85">
            <v>3150</v>
          </cell>
          <cell r="AO85" t="str">
            <v>WSWT2025800SM</v>
          </cell>
          <cell r="AQ85">
            <v>3310.89</v>
          </cell>
          <cell r="AR85">
            <v>3310.89</v>
          </cell>
          <cell r="AS85">
            <v>0</v>
          </cell>
          <cell r="AT85">
            <v>3310.89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45831</v>
          </cell>
          <cell r="DP85">
            <v>45826</v>
          </cell>
          <cell r="DQ85">
            <v>45827</v>
          </cell>
          <cell r="DR85">
            <v>45820</v>
          </cell>
          <cell r="DS85">
            <v>45828</v>
          </cell>
          <cell r="DT85">
            <v>45829</v>
          </cell>
          <cell r="DU85">
            <v>45830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 </v>
          </cell>
          <cell r="EG85"/>
          <cell r="EH85"/>
          <cell r="EI85"/>
        </row>
        <row r="86">
          <cell r="B86" t="str">
            <v>MK68-000706</v>
          </cell>
          <cell r="C86">
            <v>45803</v>
          </cell>
          <cell r="E86" t="str">
            <v>บจก.เอพีเอ็ม อะโกร</v>
          </cell>
          <cell r="F86" t="str">
            <v>วี-ฟีด วี22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45835</v>
          </cell>
          <cell r="Z86" t="str">
            <v>500กระสอบแบน</v>
          </cell>
          <cell r="AA86">
            <v>3000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3000</v>
          </cell>
          <cell r="AM86"/>
          <cell r="AN86">
            <v>3150</v>
          </cell>
          <cell r="AO86" t="str">
            <v>WSWT2025800SM</v>
          </cell>
          <cell r="AQ86">
            <v>3310.89</v>
          </cell>
          <cell r="AR86">
            <v>3310.89</v>
          </cell>
          <cell r="AS86">
            <v>0</v>
          </cell>
          <cell r="AT86">
            <v>0</v>
          </cell>
          <cell r="AU86">
            <v>3310.89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45835</v>
          </cell>
          <cell r="DP86">
            <v>45830</v>
          </cell>
          <cell r="DQ86">
            <v>45831</v>
          </cell>
          <cell r="DR86">
            <v>45824</v>
          </cell>
          <cell r="DS86">
            <v>45832</v>
          </cell>
          <cell r="DT86">
            <v>45833</v>
          </cell>
          <cell r="DU86">
            <v>45834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/>
          <cell r="EG86"/>
          <cell r="EH86"/>
          <cell r="EI86"/>
        </row>
        <row r="87">
          <cell r="B87" t="str">
            <v>MK68-000755</v>
          </cell>
          <cell r="C87">
            <v>45814</v>
          </cell>
          <cell r="E87" t="str">
            <v>บจก.วีซีเอฟ</v>
          </cell>
          <cell r="F87" t="str">
            <v>VC100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45835</v>
          </cell>
          <cell r="Z87" t="str">
            <v>500กระสอบแบน</v>
          </cell>
          <cell r="AA87">
            <v>20000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20000</v>
          </cell>
          <cell r="AM87"/>
          <cell r="AN87">
            <v>21000</v>
          </cell>
          <cell r="AO87" t="str">
            <v>WSWT2025800SM</v>
          </cell>
          <cell r="AQ87">
            <v>21513.800000000003</v>
          </cell>
          <cell r="AR87">
            <v>21513.800000000003</v>
          </cell>
          <cell r="AS87">
            <v>0</v>
          </cell>
          <cell r="AT87">
            <v>0</v>
          </cell>
          <cell r="AU87">
            <v>21513.800000000003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45835</v>
          </cell>
          <cell r="DP87">
            <v>45830</v>
          </cell>
          <cell r="DQ87">
            <v>45831</v>
          </cell>
          <cell r="DR87">
            <v>45824</v>
          </cell>
          <cell r="DS87">
            <v>45832</v>
          </cell>
          <cell r="DT87">
            <v>45833</v>
          </cell>
          <cell r="DU87">
            <v>45834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 </v>
          </cell>
          <cell r="EG87"/>
          <cell r="EH87"/>
          <cell r="EI87"/>
        </row>
        <row r="88">
          <cell r="B88" t="str">
            <v>MK68-000755</v>
          </cell>
          <cell r="C88">
            <v>45814</v>
          </cell>
          <cell r="E88" t="str">
            <v>บจก.วีซีเอฟ</v>
          </cell>
          <cell r="F88" t="str">
            <v>VC181</v>
          </cell>
          <cell r="G88">
            <v>20</v>
          </cell>
          <cell r="H88">
            <v>37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45835</v>
          </cell>
          <cell r="Z88" t="str">
            <v>500กระสอบแบน</v>
          </cell>
          <cell r="AA88">
            <v>10000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10000</v>
          </cell>
          <cell r="AM88"/>
          <cell r="AN88">
            <v>10500</v>
          </cell>
          <cell r="AO88" t="str">
            <v>WSWT2025800SM</v>
          </cell>
          <cell r="AQ88">
            <v>10756.900000000001</v>
          </cell>
          <cell r="AR88">
            <v>10756.900000000001</v>
          </cell>
          <cell r="AS88">
            <v>0</v>
          </cell>
          <cell r="AT88">
            <v>0</v>
          </cell>
          <cell r="AU88">
            <v>10756.900000000001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45835</v>
          </cell>
          <cell r="DP88">
            <v>45830</v>
          </cell>
          <cell r="DQ88">
            <v>45831</v>
          </cell>
          <cell r="DR88">
            <v>45824</v>
          </cell>
          <cell r="DS88">
            <v>45832</v>
          </cell>
          <cell r="DT88">
            <v>45833</v>
          </cell>
          <cell r="DU88">
            <v>45834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 </v>
          </cell>
          <cell r="EG88"/>
          <cell r="EH88"/>
          <cell r="EI88"/>
        </row>
        <row r="89">
          <cell r="B89" t="str">
            <v>MK68-000755</v>
          </cell>
          <cell r="C89">
            <v>45814</v>
          </cell>
          <cell r="E89" t="str">
            <v>บจก.วีซีเอฟ</v>
          </cell>
          <cell r="F89" t="str">
            <v>VC193</v>
          </cell>
          <cell r="G89">
            <v>20</v>
          </cell>
          <cell r="H89">
            <v>37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45835</v>
          </cell>
          <cell r="Z89" t="str">
            <v>500กระสอบแบน</v>
          </cell>
          <cell r="AA89">
            <v>10000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10000</v>
          </cell>
          <cell r="AM89"/>
          <cell r="AN89">
            <v>10500</v>
          </cell>
          <cell r="AO89" t="str">
            <v>WSWT2025800SM</v>
          </cell>
          <cell r="AQ89">
            <v>10756.900000000001</v>
          </cell>
          <cell r="AR89">
            <v>0</v>
          </cell>
          <cell r="AS89">
            <v>10756.900000000001</v>
          </cell>
          <cell r="AT89">
            <v>0</v>
          </cell>
          <cell r="AU89">
            <v>10756.900000000001</v>
          </cell>
          <cell r="BZ89" t="str">
            <v>WRWT25850/WRWT25850</v>
          </cell>
          <cell r="CA89">
            <v>812.74355555555564</v>
          </cell>
          <cell r="DL89" t="str">
            <v>P6</v>
          </cell>
          <cell r="DM89">
            <v>4</v>
          </cell>
          <cell r="DN89">
            <v>45835</v>
          </cell>
          <cell r="DP89">
            <v>45830</v>
          </cell>
          <cell r="DQ89">
            <v>45831</v>
          </cell>
          <cell r="DR89">
            <v>45824</v>
          </cell>
          <cell r="DS89">
            <v>45832</v>
          </cell>
          <cell r="DT89">
            <v>45833</v>
          </cell>
          <cell r="DU89">
            <v>45834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 </v>
          </cell>
          <cell r="EG89"/>
          <cell r="EH89"/>
          <cell r="EI89"/>
        </row>
        <row r="90">
          <cell r="B90" t="str">
            <v>MK68-000756</v>
          </cell>
          <cell r="C90">
            <v>45814</v>
          </cell>
          <cell r="E90" t="str">
            <v>บจก.วีซีเอฟ</v>
          </cell>
          <cell r="F90" t="str">
            <v>SPEED PLUS 003เขมร</v>
          </cell>
          <cell r="G90">
            <v>20</v>
          </cell>
          <cell r="H90">
            <v>37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ไม่</v>
          </cell>
          <cell r="T90" t="str">
            <v>ไม่สวมถุงใน</v>
          </cell>
          <cell r="U90"/>
          <cell r="V90"/>
          <cell r="X90">
            <v>45835</v>
          </cell>
          <cell r="Z90" t="str">
            <v>500กระสอบแบน</v>
          </cell>
          <cell r="AA90">
            <v>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5000</v>
          </cell>
          <cell r="AM90"/>
          <cell r="AN90">
            <v>5250</v>
          </cell>
          <cell r="AO90" t="str">
            <v>WSWT2025800SM</v>
          </cell>
          <cell r="AQ90">
            <v>5378.4500000000007</v>
          </cell>
          <cell r="AR90">
            <v>0</v>
          </cell>
          <cell r="AS90">
            <v>5378.4500000000007</v>
          </cell>
          <cell r="AT90">
            <v>0</v>
          </cell>
          <cell r="AU90">
            <v>5378.4500000000007</v>
          </cell>
          <cell r="BZ90" t="str">
            <v>WRWT25850/WRWT25850</v>
          </cell>
          <cell r="CA90">
            <v>406.37177777777782</v>
          </cell>
          <cell r="DL90" t="str">
            <v>P6</v>
          </cell>
          <cell r="DM90">
            <v>4</v>
          </cell>
          <cell r="DN90">
            <v>45835</v>
          </cell>
          <cell r="DP90">
            <v>45830</v>
          </cell>
          <cell r="DQ90">
            <v>45831</v>
          </cell>
          <cell r="DR90">
            <v>45824</v>
          </cell>
          <cell r="DS90">
            <v>45832</v>
          </cell>
          <cell r="DT90">
            <v>45833</v>
          </cell>
          <cell r="DU90">
            <v>45834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 </v>
          </cell>
          <cell r="EG90"/>
          <cell r="EH90"/>
          <cell r="EI90"/>
        </row>
        <row r="91">
          <cell r="B91" t="str">
            <v>MK68-000756</v>
          </cell>
          <cell r="C91">
            <v>45814</v>
          </cell>
          <cell r="E91" t="str">
            <v>บจก.วีซีเอฟ</v>
          </cell>
          <cell r="F91" t="str">
            <v>SPEED PLUS 222ลาว</v>
          </cell>
          <cell r="G91">
            <v>20</v>
          </cell>
          <cell r="H91">
            <v>37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45835</v>
          </cell>
          <cell r="Z91" t="str">
            <v>500กระสอบแบน</v>
          </cell>
          <cell r="AA91">
            <v>10000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10000</v>
          </cell>
          <cell r="AM91"/>
          <cell r="AN91">
            <v>10500</v>
          </cell>
          <cell r="AO91" t="str">
            <v>WSWT2025800SM</v>
          </cell>
          <cell r="AQ91">
            <v>10756.900000000001</v>
          </cell>
          <cell r="AR91">
            <v>0</v>
          </cell>
          <cell r="AS91">
            <v>10756.900000000001</v>
          </cell>
          <cell r="AT91">
            <v>0</v>
          </cell>
          <cell r="AU91">
            <v>10756.900000000001</v>
          </cell>
          <cell r="BZ91" t="str">
            <v>WRWT25850/WRWT25850</v>
          </cell>
          <cell r="CA91">
            <v>812.74355555555564</v>
          </cell>
          <cell r="DL91" t="str">
            <v>P6</v>
          </cell>
          <cell r="DM91">
            <v>4</v>
          </cell>
          <cell r="DN91">
            <v>45835</v>
          </cell>
          <cell r="DP91">
            <v>45830</v>
          </cell>
          <cell r="DQ91">
            <v>45831</v>
          </cell>
          <cell r="DR91">
            <v>45824</v>
          </cell>
          <cell r="DS91">
            <v>45832</v>
          </cell>
          <cell r="DT91">
            <v>45833</v>
          </cell>
          <cell r="DU91">
            <v>45834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 </v>
          </cell>
          <cell r="EG91"/>
          <cell r="EH91"/>
          <cell r="EI91"/>
        </row>
        <row r="92">
          <cell r="B92" t="str">
            <v>ประมาณการ</v>
          </cell>
          <cell r="C92" t="str">
            <v>ประมาณการ</v>
          </cell>
          <cell r="E92" t="str">
            <v>บจก.อินเทคค์ โกลบอล</v>
          </cell>
          <cell r="F92" t="str">
            <v>รอแบบ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</v>
          </cell>
          <cell r="T92" t="str">
            <v>ไม่สวมถุงใน</v>
          </cell>
          <cell r="U92"/>
          <cell r="V92"/>
          <cell r="X92">
            <v>45838</v>
          </cell>
          <cell r="Z92" t="str">
            <v>มัด80 ใช้สายรัด</v>
          </cell>
          <cell r="AA92">
            <v>100000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100000</v>
          </cell>
          <cell r="AM92"/>
          <cell r="AN92">
            <v>105000</v>
          </cell>
          <cell r="AO92" t="str">
            <v>WSWT2025800SM</v>
          </cell>
          <cell r="AQ92">
            <v>104775.00000000001</v>
          </cell>
          <cell r="AR92">
            <v>0</v>
          </cell>
          <cell r="AS92">
            <v>104775.00000000001</v>
          </cell>
          <cell r="AT92">
            <v>0</v>
          </cell>
          <cell r="AU92">
            <v>104775.00000000001</v>
          </cell>
          <cell r="BZ92" t="str">
            <v>WRWT25850/WRWT25850</v>
          </cell>
          <cell r="CA92">
            <v>7916.333333333333</v>
          </cell>
          <cell r="DL92" t="str">
            <v>P6</v>
          </cell>
          <cell r="DM92">
            <v>4</v>
          </cell>
          <cell r="DN92">
            <v>45838</v>
          </cell>
          <cell r="DP92">
            <v>45833</v>
          </cell>
          <cell r="DQ92">
            <v>45834</v>
          </cell>
          <cell r="DR92">
            <v>45827</v>
          </cell>
          <cell r="DS92">
            <v>45835</v>
          </cell>
          <cell r="DT92">
            <v>45836</v>
          </cell>
          <cell r="DU92">
            <v>45837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MK68-000671</v>
          </cell>
          <cell r="C93">
            <v>45796</v>
          </cell>
          <cell r="E93" t="str">
            <v>บจก.อินเทคค์ โกลบอล</v>
          </cell>
          <cell r="F93" t="str">
            <v>เฟิร์สช้อย 902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</v>
          </cell>
          <cell r="T93" t="str">
            <v>ไม่สวมถุงใน</v>
          </cell>
          <cell r="U93"/>
          <cell r="V93"/>
          <cell r="X93" t="str">
            <v>รอแจ้ง</v>
          </cell>
          <cell r="Z93" t="str">
            <v>มัด80 ใช้สายรัด</v>
          </cell>
          <cell r="AA93">
            <v>366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366</v>
          </cell>
          <cell r="AM93">
            <v>5113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 t="str">
            <v>รอแจ้ง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MK68-000673</v>
          </cell>
          <cell r="C94">
            <v>45796</v>
          </cell>
          <cell r="E94" t="str">
            <v>บจก.อินเทคค์ โกลบอล</v>
          </cell>
          <cell r="F94" t="str">
            <v>เพอเฟคค์ 000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</v>
          </cell>
          <cell r="T94" t="str">
            <v>ไม่สวมถุงใน</v>
          </cell>
          <cell r="U94"/>
          <cell r="V94"/>
          <cell r="X94" t="str">
            <v>รอแจ้ง</v>
          </cell>
          <cell r="Z94" t="str">
            <v>มัด80 ใช้สายรัด</v>
          </cell>
          <cell r="AA94">
            <v>179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179</v>
          </cell>
          <cell r="AM94">
            <v>11000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 t="str">
            <v>รอแจ้ง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MK68-000673</v>
          </cell>
          <cell r="C95">
            <v>45796</v>
          </cell>
          <cell r="E95" t="str">
            <v>บจก.อินเทคค์ โกลบอล</v>
          </cell>
          <cell r="F95" t="str">
            <v>เพอเฟคค์ 902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 t="str">
            <v>รอแจ้ง</v>
          </cell>
          <cell r="Z95" t="str">
            <v>มัด80 ใช้สายรัด</v>
          </cell>
          <cell r="AA95">
            <v>302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302</v>
          </cell>
          <cell r="AM95">
            <v>5300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 t="str">
            <v>รอแจ้ง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MK68-000674</v>
          </cell>
          <cell r="C96">
            <v>45796</v>
          </cell>
          <cell r="E96" t="str">
            <v>บจก.อินเทคค์ โกลบอล</v>
          </cell>
          <cell r="F96" t="str">
            <v>เพอเฟคค์ 913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 t="str">
            <v>มัด80 ใช้สายรัด</v>
          </cell>
          <cell r="AA96">
            <v>1200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1200</v>
          </cell>
          <cell r="AM96">
            <v>10700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 t="str">
            <v>รอแจ้ง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MK68-000693</v>
          </cell>
          <cell r="C97">
            <v>45798</v>
          </cell>
          <cell r="E97" t="str">
            <v>บจก.เอพีเอ็ม อะโกร</v>
          </cell>
          <cell r="F97" t="str">
            <v>ฟีล กู๊ด พี07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>500กระสอบแบน</v>
          </cell>
          <cell r="AA97">
            <v>5000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5000</v>
          </cell>
          <cell r="AM97"/>
          <cell r="AN97">
            <v>5250</v>
          </cell>
          <cell r="AO97" t="str">
            <v>WSWT2025800SM</v>
          </cell>
          <cell r="AQ97">
            <v>5518.15</v>
          </cell>
          <cell r="AR97">
            <v>0</v>
          </cell>
          <cell r="AS97">
            <v>5518.15</v>
          </cell>
          <cell r="AT97">
            <v>0</v>
          </cell>
          <cell r="AU97">
            <v>5518.15</v>
          </cell>
          <cell r="BZ97" t="str">
            <v>WRWT25850/WRWT25850</v>
          </cell>
          <cell r="CA97">
            <v>416.92688888888887</v>
          </cell>
          <cell r="DL97" t="str">
            <v>P6</v>
          </cell>
          <cell r="DM97">
            <v>4</v>
          </cell>
          <cell r="DN97" t="str">
            <v>รอแจ้ง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 </v>
          </cell>
          <cell r="EG97"/>
          <cell r="EH97"/>
          <cell r="EI97"/>
        </row>
        <row r="98">
          <cell r="B98" t="str">
            <v>MK68-000609</v>
          </cell>
          <cell r="C98">
            <v>45782</v>
          </cell>
          <cell r="E98" t="str">
            <v>บจก.เอสพีเอ็ม อาหารสัตว์</v>
          </cell>
          <cell r="F98" t="str">
            <v xml:space="preserve">SW 441 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500กระสอบแบน</v>
          </cell>
          <cell r="AA98">
            <v>20000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20000</v>
          </cell>
          <cell r="AM98"/>
          <cell r="AN98">
            <v>21000</v>
          </cell>
          <cell r="AO98" t="str">
            <v>WSWT2025800SM</v>
          </cell>
          <cell r="AQ98">
            <v>22072.6</v>
          </cell>
          <cell r="AR98">
            <v>0</v>
          </cell>
          <cell r="AS98">
            <v>22072.6</v>
          </cell>
          <cell r="AT98">
            <v>0</v>
          </cell>
          <cell r="AU98">
            <v>22072.6</v>
          </cell>
          <cell r="BZ98" t="str">
            <v>WRWT25850/WRWT25850</v>
          </cell>
          <cell r="CA98">
            <v>1667.7075555555555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 </v>
          </cell>
          <cell r="EG98"/>
          <cell r="EH98"/>
          <cell r="EI98"/>
        </row>
        <row r="99">
          <cell r="B99" t="str">
            <v>MK68-000742</v>
          </cell>
          <cell r="C99">
            <v>45810</v>
          </cell>
          <cell r="E99" t="str">
            <v>บจก.เอสพีเอ็ม อาหารสัตว์</v>
          </cell>
          <cell r="F99" t="str">
            <v>นีโอ 05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500กระสอบแบน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/>
          <cell r="AN99">
            <v>5250</v>
          </cell>
          <cell r="AO99" t="str">
            <v>WSWT2025800SM</v>
          </cell>
          <cell r="AQ99">
            <v>5518.15</v>
          </cell>
          <cell r="AR99">
            <v>0</v>
          </cell>
          <cell r="AS99">
            <v>5518.15</v>
          </cell>
          <cell r="AT99">
            <v>0</v>
          </cell>
          <cell r="AU99">
            <v>5518.15</v>
          </cell>
          <cell r="BZ99" t="str">
            <v>WRWT25850/WRWT25850</v>
          </cell>
          <cell r="CA99">
            <v>416.92688888888887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>รอART</v>
          </cell>
          <cell r="EG99"/>
          <cell r="EH99"/>
          <cell r="EI99"/>
        </row>
        <row r="100">
          <cell r="B100" t="str">
            <v>MK68-000741</v>
          </cell>
          <cell r="C100">
            <v>45810</v>
          </cell>
          <cell r="E100" t="str">
            <v>บจก.เอสพีเอ็ม อาหารสัตว์</v>
          </cell>
          <cell r="F100" t="str">
            <v>SPM 915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3310.89</v>
          </cell>
          <cell r="AR100">
            <v>0</v>
          </cell>
          <cell r="AS100">
            <v>3310.89</v>
          </cell>
          <cell r="AT100">
            <v>0</v>
          </cell>
          <cell r="AU100">
            <v>3310.89</v>
          </cell>
          <cell r="BZ100" t="str">
            <v>WRWT25850/WRWT25850</v>
          </cell>
          <cell r="CA100">
            <v>250.15613333333337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>รอART</v>
          </cell>
          <cell r="EG100"/>
          <cell r="EH100"/>
          <cell r="EI100"/>
        </row>
        <row r="101">
          <cell r="B101" t="str">
            <v>MK68-000334</v>
          </cell>
          <cell r="C101">
            <v>45721</v>
          </cell>
          <cell r="E101" t="str">
            <v>บจก.อินเทคค์ โกลบอล</v>
          </cell>
          <cell r="F101" t="str">
            <v>เพอเฟคค์ 911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มัด80 ใช้สายรัด</v>
          </cell>
          <cell r="AA101">
            <v>111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111</v>
          </cell>
          <cell r="AM101">
            <v>5600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MK67-001533</v>
          </cell>
          <cell r="C102">
            <v>45611</v>
          </cell>
          <cell r="E102" t="str">
            <v>บจก.อินเทคค์ โกลบอล</v>
          </cell>
          <cell r="F102" t="str">
            <v>เฟิร์สช้อย 914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มัด80 ใช้สายรัด</v>
          </cell>
          <cell r="AA102">
            <v>67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67</v>
          </cell>
          <cell r="AL102">
            <v>0</v>
          </cell>
          <cell r="AM102">
            <v>80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MK68-000341</v>
          </cell>
          <cell r="C103">
            <v>45721</v>
          </cell>
          <cell r="E103" t="str">
            <v>บจก.อินเทคค์ โกลบอล</v>
          </cell>
          <cell r="F103" t="str">
            <v>สุบรรณ 111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มัด80 ใช้สายรัด</v>
          </cell>
          <cell r="AA103">
            <v>734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734</v>
          </cell>
          <cell r="AM103">
            <v>5520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 </v>
          </cell>
          <cell r="EG103"/>
          <cell r="EH103"/>
          <cell r="EI103"/>
        </row>
        <row r="104">
          <cell r="B104" t="str">
            <v>ประมาณการ</v>
          </cell>
          <cell r="C104" t="str">
            <v>ประมาณการ</v>
          </cell>
          <cell r="E104" t="str">
            <v>บจก.เอสพีเอ็ม อาหารสัตว์</v>
          </cell>
          <cell r="F104" t="str">
            <v>รอแบบ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45838</v>
          </cell>
          <cell r="Z104" t="str">
            <v>500กระสอบแบน</v>
          </cell>
          <cell r="AA104">
            <v>20000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20000</v>
          </cell>
          <cell r="AM104"/>
          <cell r="AN104">
            <v>21000</v>
          </cell>
          <cell r="AO104" t="str">
            <v>WSWT2025800SM</v>
          </cell>
          <cell r="AQ104">
            <v>22072.6</v>
          </cell>
          <cell r="AR104">
            <v>0</v>
          </cell>
          <cell r="AS104">
            <v>22072.6</v>
          </cell>
          <cell r="AT104">
            <v>0</v>
          </cell>
          <cell r="AU104">
            <v>22072.6</v>
          </cell>
          <cell r="BZ104" t="str">
            <v>WRWT25850/WRWT25850</v>
          </cell>
          <cell r="CA104">
            <v>1667.7075555555555</v>
          </cell>
          <cell r="DL104" t="str">
            <v>P6</v>
          </cell>
          <cell r="DM104">
            <v>4</v>
          </cell>
          <cell r="DN104">
            <v>45838</v>
          </cell>
          <cell r="DP104">
            <v>45833</v>
          </cell>
          <cell r="DQ104">
            <v>45834</v>
          </cell>
          <cell r="DR104">
            <v>45827</v>
          </cell>
          <cell r="DS104">
            <v>45835</v>
          </cell>
          <cell r="DT104">
            <v>45836</v>
          </cell>
          <cell r="DU104">
            <v>45837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>รอART</v>
          </cell>
          <cell r="EG104"/>
          <cell r="EH104"/>
          <cell r="EI104"/>
        </row>
        <row r="105">
          <cell r="B105" t="str">
            <v>ประมาณการ</v>
          </cell>
          <cell r="C105" t="str">
            <v>ประมาณการ</v>
          </cell>
          <cell r="E105" t="str">
            <v>บจก.ไทยธรรมดี</v>
          </cell>
          <cell r="F105" t="str">
            <v>รอแบบ</v>
          </cell>
          <cell r="G105">
            <v>20</v>
          </cell>
          <cell r="H105">
            <v>37</v>
          </cell>
          <cell r="I105" t="str">
            <v>ขาว</v>
          </cell>
          <cell r="J105" t="str">
            <v>ด้าน</v>
          </cell>
          <cell r="L105">
            <v>97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45838</v>
          </cell>
          <cell r="Z105" t="str">
            <v>500กระสอบ</v>
          </cell>
          <cell r="AA105">
            <v>40000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40000</v>
          </cell>
          <cell r="AM105"/>
          <cell r="AN105">
            <v>42000</v>
          </cell>
          <cell r="AO105" t="str">
            <v>WSWT2025800SM</v>
          </cell>
          <cell r="AQ105">
            <v>43027.600000000006</v>
          </cell>
          <cell r="AR105">
            <v>0</v>
          </cell>
          <cell r="AS105">
            <v>43027.600000000006</v>
          </cell>
          <cell r="AT105">
            <v>0</v>
          </cell>
          <cell r="AU105">
            <v>43027.600000000006</v>
          </cell>
          <cell r="BZ105" t="str">
            <v>WRWT25850/WRWT25850</v>
          </cell>
          <cell r="CA105">
            <v>3250.9742222222226</v>
          </cell>
          <cell r="DL105" t="str">
            <v>P6</v>
          </cell>
          <cell r="DM105">
            <v>4</v>
          </cell>
          <cell r="DN105">
            <v>45838</v>
          </cell>
          <cell r="DP105">
            <v>45833</v>
          </cell>
          <cell r="DQ105">
            <v>45834</v>
          </cell>
          <cell r="DR105">
            <v>45827</v>
          </cell>
          <cell r="DS105">
            <v>45835</v>
          </cell>
          <cell r="DT105">
            <v>45836</v>
          </cell>
          <cell r="DU105">
            <v>45837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MK68-000122</v>
          </cell>
          <cell r="C106">
            <v>45681</v>
          </cell>
          <cell r="E106" t="str">
            <v>บจก.เอสพีเอ็ม อาหารสัตว์</v>
          </cell>
          <cell r="F106" t="str">
            <v>SPM 212</v>
          </cell>
          <cell r="G106">
            <v>20</v>
          </cell>
          <cell r="H106">
            <v>40</v>
          </cell>
          <cell r="I106" t="str">
            <v>ขาว</v>
          </cell>
          <cell r="J106" t="str">
            <v>ด้าน</v>
          </cell>
          <cell r="L106">
            <v>108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500กระสอบแบน</v>
          </cell>
          <cell r="AA106">
            <v>3000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3000</v>
          </cell>
          <cell r="AM106"/>
          <cell r="AN106">
            <v>3150</v>
          </cell>
          <cell r="AO106" t="str">
            <v>WSWT2025800SM</v>
          </cell>
          <cell r="AQ106">
            <v>3478.5300000000007</v>
          </cell>
          <cell r="AR106">
            <v>0</v>
          </cell>
          <cell r="AS106">
            <v>3478.5300000000007</v>
          </cell>
          <cell r="AT106">
            <v>0</v>
          </cell>
          <cell r="AU106">
            <v>3478.5300000000007</v>
          </cell>
          <cell r="BZ106" t="str">
            <v>WRWT25850/WRWT25850</v>
          </cell>
          <cell r="CA106">
            <v>262.82226666666674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MK68-000247</v>
          </cell>
          <cell r="C107">
            <v>45705</v>
          </cell>
          <cell r="E107" t="str">
            <v>บจก.อินเทคค์ โกลบอล</v>
          </cell>
          <cell r="F107" t="str">
            <v>เฟิร์สคลาส 912</v>
          </cell>
          <cell r="G107">
            <v>20</v>
          </cell>
          <cell r="H107">
            <v>35</v>
          </cell>
          <cell r="I107" t="str">
            <v>ขาว</v>
          </cell>
          <cell r="J107" t="str">
            <v>ด้าน</v>
          </cell>
          <cell r="L107">
            <v>97</v>
          </cell>
          <cell r="M107" t="str">
            <v>±</v>
          </cell>
          <cell r="N107">
            <v>5</v>
          </cell>
          <cell r="R107" t="str">
            <v>จับจีบ4"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855</v>
          </cell>
          <cell r="AB107">
            <v>0</v>
          </cell>
          <cell r="AC107">
            <v>0</v>
          </cell>
          <cell r="AD107">
            <v>0</v>
          </cell>
          <cell r="AG107" t="str">
            <v>ลบสีจำนวนมาก 3851</v>
          </cell>
          <cell r="AI107">
            <v>0</v>
          </cell>
          <cell r="AJ107">
            <v>0</v>
          </cell>
          <cell r="AL107">
            <v>855</v>
          </cell>
          <cell r="AM107">
            <v>16440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MK68-000093</v>
          </cell>
          <cell r="C108">
            <v>45674</v>
          </cell>
          <cell r="E108" t="str">
            <v>บจก.อินเทคค์ โกลบอล</v>
          </cell>
          <cell r="F108" t="str">
            <v>เฟิร์สคลาส 902</v>
          </cell>
          <cell r="G108">
            <v>20</v>
          </cell>
          <cell r="H108">
            <v>35</v>
          </cell>
          <cell r="I108" t="str">
            <v>ขาว</v>
          </cell>
          <cell r="J108" t="str">
            <v>ด้าน</v>
          </cell>
          <cell r="L108">
            <v>97</v>
          </cell>
          <cell r="M108" t="str">
            <v>±</v>
          </cell>
          <cell r="N108">
            <v>5</v>
          </cell>
          <cell r="R108" t="str">
            <v>จับจีบ4"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152</v>
          </cell>
          <cell r="AB108">
            <v>0</v>
          </cell>
          <cell r="AC108">
            <v>0</v>
          </cell>
          <cell r="AD108">
            <v>0</v>
          </cell>
          <cell r="AG108" t="str">
            <v>ลบสี 5040</v>
          </cell>
          <cell r="AI108">
            <v>5987</v>
          </cell>
          <cell r="AJ108">
            <v>0</v>
          </cell>
          <cell r="AL108">
            <v>152</v>
          </cell>
          <cell r="AM108">
            <v>6000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MK67-001532</v>
          </cell>
          <cell r="C109">
            <v>45611</v>
          </cell>
          <cell r="E109" t="str">
            <v>บจก.อินเทคค์ โกลบอล</v>
          </cell>
          <cell r="F109" t="str">
            <v>เฟิร์สช้อย 903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117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117</v>
          </cell>
          <cell r="AM109">
            <v>10065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MK67-001153</v>
          </cell>
          <cell r="C110">
            <v>45523</v>
          </cell>
          <cell r="E110" t="str">
            <v>บจก.อินเทคค์ โกลบอล</v>
          </cell>
          <cell r="F110" t="str">
            <v>สุบรรณ 777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1260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1260</v>
          </cell>
          <cell r="AM110">
            <v>11095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MK67-001153</v>
          </cell>
          <cell r="C111">
            <v>45523</v>
          </cell>
          <cell r="E111" t="str">
            <v>บจก.อินเทคค์ โกลบอล</v>
          </cell>
          <cell r="F111" t="str">
            <v>สุบรรณ 666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89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89</v>
          </cell>
          <cell r="AM111">
            <v>11180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MK68-000452</v>
          </cell>
          <cell r="C112">
            <v>45741</v>
          </cell>
          <cell r="E112" t="str">
            <v>บจก.เอพีเอ็ม อะโกร</v>
          </cell>
          <cell r="F112" t="str">
            <v>วี-ฟีด วี 07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รอส่ง</v>
          </cell>
          <cell r="Z112" t="str">
            <v>500กระสอบแบน</v>
          </cell>
          <cell r="AA112">
            <v>4000</v>
          </cell>
          <cell r="AB112">
            <v>0</v>
          </cell>
          <cell r="AC112">
            <v>0</v>
          </cell>
          <cell r="AD112">
            <v>0</v>
          </cell>
          <cell r="AG112" t="str">
            <v>มีลบสี</v>
          </cell>
          <cell r="AI112"/>
          <cell r="AJ112">
            <v>3857</v>
          </cell>
          <cell r="AL112">
            <v>143</v>
          </cell>
          <cell r="AM112">
            <v>4200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รอส่ง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ใบรับคำสั่งซื้อ</v>
          </cell>
          <cell r="C113">
            <v>45720</v>
          </cell>
          <cell r="E113" t="str">
            <v>บจก.เอพีเอ็ม อะโกร</v>
          </cell>
          <cell r="F113" t="str">
            <v>นีโอ พี3(เอส)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รอส่ง</v>
          </cell>
          <cell r="Z113" t="str">
            <v>500กระสอบแบน</v>
          </cell>
          <cell r="AA113">
            <v>4000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4010</v>
          </cell>
          <cell r="AL113">
            <v>0</v>
          </cell>
          <cell r="AM113">
            <v>4470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รอส่ง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ใบรับคำสั่งซื้อ</v>
          </cell>
          <cell r="C114">
            <v>45720</v>
          </cell>
          <cell r="E114" t="str">
            <v>บจก.เอพีเอ็ม อะโกร</v>
          </cell>
          <cell r="F114" t="str">
            <v>นีโอ พี4(เอส)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รอส่ง</v>
          </cell>
          <cell r="Z114" t="str">
            <v>500กระสอบแบน</v>
          </cell>
          <cell r="AA114">
            <v>3000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3065</v>
          </cell>
          <cell r="AL114">
            <v>0</v>
          </cell>
          <cell r="AM114">
            <v>3300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รอส่ง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MK67-001236</v>
          </cell>
          <cell r="C115">
            <v>45541</v>
          </cell>
          <cell r="E115" t="str">
            <v>บจก.เอพีเอ็ม อะโกร</v>
          </cell>
          <cell r="F115" t="str">
            <v>ยูฟีด รวมไก่ วัว</v>
          </cell>
          <cell r="G115">
            <v>20</v>
          </cell>
          <cell r="H115">
            <v>40</v>
          </cell>
          <cell r="I115" t="str">
            <v>ขาว</v>
          </cell>
          <cell r="J115" t="str">
            <v>ด้าน</v>
          </cell>
          <cell r="L115">
            <v>108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รอส่ง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 t="str">
            <v>ลูกค้าต้องการเคลือบใส แต่เปิดมาเคลือบด้าน</v>
          </cell>
          <cell r="AI115" t="str">
            <v>ลูกค้าสั่งผิดเอาไปส่งเดือน10</v>
          </cell>
          <cell r="AJ115">
            <v>3318</v>
          </cell>
          <cell r="AL115">
            <v>0</v>
          </cell>
          <cell r="AM115"/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รอส่ง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/>
          <cell r="EG115"/>
          <cell r="EH115"/>
          <cell r="EI115"/>
        </row>
        <row r="116">
          <cell r="B116" t="str">
            <v>MK67-001272</v>
          </cell>
          <cell r="C116">
            <v>45548</v>
          </cell>
          <cell r="E116" t="str">
            <v>บจก.เอพีเอ็ม อะโกร</v>
          </cell>
          <cell r="F116" t="str">
            <v>นีโอ พี3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รอส่ง</v>
          </cell>
          <cell r="Z116" t="str">
            <v>500กระสอบแบน</v>
          </cell>
          <cell r="AA116">
            <v>2500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2364</v>
          </cell>
          <cell r="AL116">
            <v>136</v>
          </cell>
          <cell r="AM116">
            <v>5500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รอส่ง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 </v>
          </cell>
          <cell r="EG116"/>
          <cell r="EH116"/>
          <cell r="EI116"/>
        </row>
        <row r="117">
          <cell r="B117" t="str">
            <v>MK67-001396</v>
          </cell>
          <cell r="C117">
            <v>45581</v>
          </cell>
          <cell r="E117" t="str">
            <v>บจก.เอพีเอ็ม อะโกร</v>
          </cell>
          <cell r="F117" t="str">
            <v>นีโอ พี4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รอส่ง</v>
          </cell>
          <cell r="Z117" t="str">
            <v>500กระสอบแบน</v>
          </cell>
          <cell r="AA117">
            <v>3000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3194</v>
          </cell>
          <cell r="AL117">
            <v>0</v>
          </cell>
          <cell r="AM117">
            <v>5632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รอส่ง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>
            <v>0</v>
          </cell>
          <cell r="C118"/>
          <cell r="E118"/>
          <cell r="F118"/>
          <cell r="G118">
            <v>20</v>
          </cell>
          <cell r="H118">
            <v>38</v>
          </cell>
          <cell r="I118"/>
          <cell r="J118"/>
          <cell r="L118">
            <v>84</v>
          </cell>
          <cell r="M118" t="str">
            <v>±</v>
          </cell>
          <cell r="N118">
            <v>5</v>
          </cell>
          <cell r="R118"/>
          <cell r="T118"/>
          <cell r="U118"/>
          <cell r="V118"/>
          <cell r="X118"/>
          <cell r="Z118"/>
          <cell r="AA118"/>
          <cell r="AB118">
            <v>0</v>
          </cell>
          <cell r="AC118">
            <v>0</v>
          </cell>
          <cell r="AD118"/>
          <cell r="AG118"/>
          <cell r="AI118" t="str">
            <v>ระบุในSD</v>
          </cell>
          <cell r="AJ118"/>
          <cell r="AL118">
            <v>0</v>
          </cell>
          <cell r="AM118"/>
          <cell r="AN118">
            <v>0</v>
          </cell>
          <cell r="AO118" t="str">
            <v>WSWT2025800SM</v>
          </cell>
          <cell r="AQ118">
            <v>305321.61789250013</v>
          </cell>
          <cell r="AR118">
            <v>68655.847892500009</v>
          </cell>
          <cell r="AS118">
            <v>236665.77000000005</v>
          </cell>
          <cell r="AT118">
            <v>14435.8331425</v>
          </cell>
          <cell r="AU118">
            <v>290885.78475000011</v>
          </cell>
          <cell r="BZ118" t="str">
            <v>WRWT25850/WRWT25850</v>
          </cell>
          <cell r="CA118">
            <v>0</v>
          </cell>
          <cell r="DL118"/>
          <cell r="DM118" t="str">
            <v>Lead time</v>
          </cell>
          <cell r="DN118"/>
          <cell r="DP118"/>
          <cell r="DQ118"/>
          <cell r="DR118"/>
          <cell r="DS118"/>
          <cell r="DT118"/>
          <cell r="DU118"/>
          <cell r="DW118"/>
          <cell r="DX118"/>
          <cell r="DY118"/>
          <cell r="DZ118"/>
          <cell r="EA118"/>
          <cell r="EB118"/>
          <cell r="EC118"/>
          <cell r="ED118"/>
          <cell r="EG118"/>
          <cell r="EH118">
            <v>0</v>
          </cell>
          <cell r="EI118">
            <v>0</v>
          </cell>
        </row>
        <row r="119">
          <cell r="B119">
            <v>0</v>
          </cell>
          <cell r="C119"/>
          <cell r="E119"/>
          <cell r="F119"/>
          <cell r="G119">
            <v>20</v>
          </cell>
          <cell r="H119">
            <v>38</v>
          </cell>
          <cell r="I119"/>
          <cell r="J119"/>
          <cell r="L119">
            <v>82</v>
          </cell>
          <cell r="M119" t="str">
            <v>+</v>
          </cell>
          <cell r="N119">
            <v>2</v>
          </cell>
          <cell r="R119"/>
          <cell r="T119"/>
          <cell r="U119"/>
          <cell r="V119"/>
          <cell r="X119"/>
          <cell r="Z119"/>
          <cell r="AA119"/>
          <cell r="AB119"/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WSWT2025850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BZ119" t="str">
            <v>WRWT200850/WRWT25800</v>
          </cell>
          <cell r="CA119">
            <v>0</v>
          </cell>
          <cell r="DL119"/>
          <cell r="DM119" t="str">
            <v>Lead time</v>
          </cell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/>
          <cell r="EI119"/>
        </row>
        <row r="120">
          <cell r="B120">
            <v>0</v>
          </cell>
          <cell r="C120"/>
          <cell r="E120"/>
          <cell r="F120"/>
          <cell r="G120">
            <v>20</v>
          </cell>
          <cell r="H120">
            <v>37</v>
          </cell>
          <cell r="I120"/>
          <cell r="J120"/>
          <cell r="L120">
            <v>82</v>
          </cell>
          <cell r="M120" t="str">
            <v>±</v>
          </cell>
          <cell r="N120">
            <v>5</v>
          </cell>
          <cell r="R120"/>
          <cell r="T120"/>
          <cell r="U120"/>
          <cell r="V120"/>
          <cell r="X120"/>
          <cell r="Z120"/>
          <cell r="AA120"/>
          <cell r="AB120"/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WSWT2021750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BZ120" t="str">
            <v>WRWT200750/WRWT21750</v>
          </cell>
          <cell r="CA120">
            <v>0</v>
          </cell>
          <cell r="DL120"/>
          <cell r="DM120" t="str">
            <v>Lead time</v>
          </cell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>
            <v>0</v>
          </cell>
          <cell r="EI120">
            <v>0</v>
          </cell>
        </row>
        <row r="121">
          <cell r="B121" t="str">
            <v>ใบรับคำสั่งซื้อ</v>
          </cell>
          <cell r="C121">
            <v>45818</v>
          </cell>
          <cell r="E121" t="str">
            <v>บจก.เบทาโกร</v>
          </cell>
          <cell r="F121" t="str">
            <v>WB ฟาร์ม F916 30kg LP</v>
          </cell>
          <cell r="G121">
            <v>20</v>
          </cell>
          <cell r="H121">
            <v>37</v>
          </cell>
          <cell r="I121" t="str">
            <v>ขาว</v>
          </cell>
          <cell r="J121"/>
          <cell r="L121">
            <v>80</v>
          </cell>
          <cell r="M121" t="str">
            <v>±</v>
          </cell>
          <cell r="N121">
            <v>3</v>
          </cell>
          <cell r="R121" t="str">
            <v>ไม่</v>
          </cell>
          <cell r="T121" t="str">
            <v>ไม่สวมถุงใน</v>
          </cell>
          <cell r="U121"/>
          <cell r="V121"/>
          <cell r="X121">
            <v>45826</v>
          </cell>
          <cell r="Z121" t="str">
            <v>500กระสอบแบน พร้อมระบุชื่อบริษัท รายการสินค้า จำนวนแต่ละแพ็ค</v>
          </cell>
          <cell r="AA121">
            <v>10000</v>
          </cell>
          <cell r="AB121">
            <v>0</v>
          </cell>
          <cell r="AC121">
            <v>0</v>
          </cell>
          <cell r="AD121">
            <v>0</v>
          </cell>
          <cell r="AG121"/>
          <cell r="AI121" t="str">
            <v>ลำพูน</v>
          </cell>
          <cell r="AJ121">
            <v>0</v>
          </cell>
          <cell r="AL121">
            <v>10000</v>
          </cell>
          <cell r="AM121"/>
          <cell r="AN121">
            <v>10500</v>
          </cell>
          <cell r="AO121" t="str">
            <v>WSWT2025800</v>
          </cell>
          <cell r="AQ121">
            <v>10756.900000000001</v>
          </cell>
          <cell r="AR121">
            <v>10756.900000000001</v>
          </cell>
          <cell r="AS121">
            <v>0</v>
          </cell>
          <cell r="AT121">
            <v>0</v>
          </cell>
          <cell r="AU121">
            <v>0</v>
          </cell>
          <cell r="BZ121" t="str">
            <v>WRWT25800/WRWT25800</v>
          </cell>
          <cell r="CA121">
            <v>0</v>
          </cell>
          <cell r="DL121" t="str">
            <v>P7</v>
          </cell>
          <cell r="DM121">
            <v>2</v>
          </cell>
          <cell r="DN121">
            <v>45826</v>
          </cell>
          <cell r="DP121">
            <v>45821</v>
          </cell>
          <cell r="DQ121"/>
          <cell r="DR121">
            <v>45817</v>
          </cell>
          <cell r="DS121">
            <v>45824</v>
          </cell>
          <cell r="DT121">
            <v>45825</v>
          </cell>
          <cell r="DU121">
            <v>45825</v>
          </cell>
          <cell r="DW121"/>
          <cell r="DX121"/>
          <cell r="DY121"/>
          <cell r="DZ121"/>
          <cell r="EA121"/>
          <cell r="EB121"/>
          <cell r="EC121" t="str">
            <v>งานพิมพ์</v>
          </cell>
          <cell r="ED121" t="str">
            <v>รอART</v>
          </cell>
          <cell r="EG121"/>
          <cell r="EH121"/>
          <cell r="EI121"/>
        </row>
        <row r="122">
          <cell r="B122" t="str">
            <v>ใบรับคำสั่งซื้อ</v>
          </cell>
          <cell r="C122">
            <v>45818</v>
          </cell>
          <cell r="E122" t="str">
            <v>บจก.เบทาโกร</v>
          </cell>
          <cell r="F122" t="str">
            <v>WB ฟาร์ม F912 30kg LP</v>
          </cell>
          <cell r="G122">
            <v>20</v>
          </cell>
          <cell r="H122">
            <v>37</v>
          </cell>
          <cell r="I122" t="str">
            <v>ขาว</v>
          </cell>
          <cell r="J122"/>
          <cell r="L122">
            <v>80</v>
          </cell>
          <cell r="M122" t="str">
            <v>±</v>
          </cell>
          <cell r="N122">
            <v>3</v>
          </cell>
          <cell r="R122" t="str">
            <v>ไม่</v>
          </cell>
          <cell r="T122" t="str">
            <v>ไม่สวมถุงใน</v>
          </cell>
          <cell r="U122"/>
          <cell r="V122"/>
          <cell r="X122">
            <v>45826</v>
          </cell>
          <cell r="Z122" t="str">
            <v>500กระสอบแบน พร้อมระบุชื่อบริษัท รายการสินค้า จำนวนแต่ละแพ็ค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 t="str">
            <v>ลำพูน</v>
          </cell>
          <cell r="AJ122">
            <v>0</v>
          </cell>
          <cell r="AL122">
            <v>5000</v>
          </cell>
          <cell r="AM122"/>
          <cell r="AN122">
            <v>5250</v>
          </cell>
          <cell r="AO122" t="str">
            <v>WSWT2025800</v>
          </cell>
          <cell r="AQ122">
            <v>5378.4500000000007</v>
          </cell>
          <cell r="AR122">
            <v>5378.4500000000007</v>
          </cell>
          <cell r="AS122">
            <v>0</v>
          </cell>
          <cell r="AT122">
            <v>0</v>
          </cell>
          <cell r="AU122">
            <v>0</v>
          </cell>
          <cell r="BZ122" t="str">
            <v>WRWT25800/WRWT25800</v>
          </cell>
          <cell r="CA122">
            <v>0</v>
          </cell>
          <cell r="DL122" t="str">
            <v>P7</v>
          </cell>
          <cell r="DM122">
            <v>2</v>
          </cell>
          <cell r="DN122">
            <v>45826</v>
          </cell>
          <cell r="DP122">
            <v>45821</v>
          </cell>
          <cell r="DQ122"/>
          <cell r="DR122">
            <v>45817</v>
          </cell>
          <cell r="DS122">
            <v>45824</v>
          </cell>
          <cell r="DT122">
            <v>45825</v>
          </cell>
          <cell r="DU122">
            <v>45825</v>
          </cell>
          <cell r="DW122"/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>รอART</v>
          </cell>
          <cell r="EG122"/>
          <cell r="EH122"/>
          <cell r="EI122"/>
        </row>
        <row r="123">
          <cell r="B123" t="str">
            <v>MK68-000746</v>
          </cell>
          <cell r="C123">
            <v>45812</v>
          </cell>
          <cell r="E123" t="str">
            <v>บจก.เคอรี่ฟลาวมิลล์</v>
          </cell>
          <cell r="F123" t="str">
            <v>แปดแต้มแดง 25กก.</v>
          </cell>
          <cell r="G123">
            <v>20</v>
          </cell>
          <cell r="H123">
            <v>32</v>
          </cell>
          <cell r="I123" t="str">
            <v>ขาว</v>
          </cell>
          <cell r="J123"/>
          <cell r="L123">
            <v>72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45827</v>
          </cell>
          <cell r="Z123" t="str">
            <v>ห่ออัดเบลแบน500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 t="str">
            <v>PDR250184</v>
          </cell>
          <cell r="AJ123">
            <v>0</v>
          </cell>
          <cell r="AL123">
            <v>5000</v>
          </cell>
          <cell r="AM123"/>
          <cell r="AN123">
            <v>5250</v>
          </cell>
          <cell r="AO123" t="str">
            <v>WSWT2025800</v>
          </cell>
          <cell r="AQ123">
            <v>4679.9500000000007</v>
          </cell>
          <cell r="AR123">
            <v>4679.9500000000007</v>
          </cell>
          <cell r="AS123">
            <v>0</v>
          </cell>
          <cell r="AT123">
            <v>0</v>
          </cell>
          <cell r="AU123">
            <v>0</v>
          </cell>
          <cell r="BZ123" t="str">
            <v>WRWT25800/WRWT25800</v>
          </cell>
          <cell r="CA123">
            <v>0</v>
          </cell>
          <cell r="DL123" t="str">
            <v>P7</v>
          </cell>
          <cell r="DM123">
            <v>2</v>
          </cell>
          <cell r="DN123">
            <v>45827</v>
          </cell>
          <cell r="DP123">
            <v>45822</v>
          </cell>
          <cell r="DQ123"/>
          <cell r="DR123">
            <v>45818</v>
          </cell>
          <cell r="DS123">
            <v>45825</v>
          </cell>
          <cell r="DT123">
            <v>45826</v>
          </cell>
          <cell r="DU123">
            <v>45826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 t="str">
            <v>รอART</v>
          </cell>
          <cell r="EG123"/>
          <cell r="EH123"/>
          <cell r="EI123"/>
        </row>
        <row r="124">
          <cell r="B124" t="str">
            <v>ใบรับคำสั่งซื้อ</v>
          </cell>
          <cell r="C124">
            <v>45818</v>
          </cell>
          <cell r="E124" t="str">
            <v>บจก.เบทาโกร</v>
          </cell>
          <cell r="F124" t="str">
            <v>WB ฟาร์ม F992 30kg LR</v>
          </cell>
          <cell r="G124">
            <v>20</v>
          </cell>
          <cell r="H124">
            <v>37</v>
          </cell>
          <cell r="I124" t="str">
            <v>ขาว</v>
          </cell>
          <cell r="J124"/>
          <cell r="L124">
            <v>80</v>
          </cell>
          <cell r="M124" t="str">
            <v>±</v>
          </cell>
          <cell r="N124">
            <v>3</v>
          </cell>
          <cell r="R124" t="str">
            <v>ไม่</v>
          </cell>
          <cell r="T124" t="str">
            <v>ไม่สวมถุงใน</v>
          </cell>
          <cell r="U124"/>
          <cell r="V124"/>
          <cell r="X124">
            <v>45831</v>
          </cell>
          <cell r="Z124" t="str">
            <v>500กระสอบแบน พร้อมระบุชื่อบริษัท รายการสินค้า จำนวนแต่ละแพ็ค</v>
          </cell>
          <cell r="AA124">
            <v>30000</v>
          </cell>
          <cell r="AB124">
            <v>0</v>
          </cell>
          <cell r="AC124">
            <v>0</v>
          </cell>
          <cell r="AD124">
            <v>0</v>
          </cell>
          <cell r="AG124"/>
          <cell r="AI124" t="str">
            <v>ลพบุรี1</v>
          </cell>
          <cell r="AJ124">
            <v>0</v>
          </cell>
          <cell r="AL124">
            <v>30000</v>
          </cell>
          <cell r="AM124"/>
          <cell r="AN124">
            <v>31500</v>
          </cell>
          <cell r="AO124" t="str">
            <v>WSWT2025800</v>
          </cell>
          <cell r="AQ124">
            <v>32270.700000000004</v>
          </cell>
          <cell r="AR124">
            <v>32270.700000000004</v>
          </cell>
          <cell r="AS124">
            <v>0</v>
          </cell>
          <cell r="AT124">
            <v>0</v>
          </cell>
          <cell r="AU124">
            <v>0</v>
          </cell>
          <cell r="BZ124" t="str">
            <v>WRWT25800/WRWT25800</v>
          </cell>
          <cell r="CA124">
            <v>0</v>
          </cell>
          <cell r="DL124" t="str">
            <v>P7</v>
          </cell>
          <cell r="DM124">
            <v>2</v>
          </cell>
          <cell r="DN124">
            <v>45831</v>
          </cell>
          <cell r="DP124">
            <v>45826</v>
          </cell>
          <cell r="DQ124"/>
          <cell r="DR124">
            <v>45822</v>
          </cell>
          <cell r="DS124">
            <v>45829</v>
          </cell>
          <cell r="DT124">
            <v>45830</v>
          </cell>
          <cell r="DU124">
            <v>45830</v>
          </cell>
          <cell r="DW124"/>
          <cell r="DX124"/>
          <cell r="DY124"/>
          <cell r="DZ124"/>
          <cell r="EA124"/>
          <cell r="EB124"/>
          <cell r="EC124" t="str">
            <v>งานพิมพ์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MK68-000646</v>
          </cell>
          <cell r="C125">
            <v>45786</v>
          </cell>
          <cell r="E125" t="str">
            <v>บจก.เบทาโกร</v>
          </cell>
          <cell r="F125" t="str">
            <v xml:space="preserve">WB ฟาร์ม F916 30kg </v>
          </cell>
          <cell r="G125">
            <v>20</v>
          </cell>
          <cell r="H125">
            <v>37</v>
          </cell>
          <cell r="I125" t="str">
            <v>ขาว</v>
          </cell>
          <cell r="J125"/>
          <cell r="L125">
            <v>80</v>
          </cell>
          <cell r="M125" t="str">
            <v>±</v>
          </cell>
          <cell r="N125">
            <v>3</v>
          </cell>
          <cell r="R125" t="str">
            <v>ไม่</v>
          </cell>
          <cell r="T125" t="str">
            <v>ไม่สวมถุงใน</v>
          </cell>
          <cell r="U125"/>
          <cell r="V125"/>
          <cell r="X125">
            <v>45838</v>
          </cell>
          <cell r="Z125" t="str">
            <v>500กระสอบ พร้อมระบุชื่อบริษัท รายการสินค้า จำนวนแต่ละแพ็ค</v>
          </cell>
          <cell r="AA125">
            <v>10000</v>
          </cell>
          <cell r="AB125">
            <v>0</v>
          </cell>
          <cell r="AC125">
            <v>0</v>
          </cell>
          <cell r="AD125">
            <v>0</v>
          </cell>
          <cell r="AG125"/>
          <cell r="AI125" t="str">
            <v>พระประแดง</v>
          </cell>
          <cell r="AJ125">
            <v>10196</v>
          </cell>
          <cell r="AL125">
            <v>0</v>
          </cell>
          <cell r="AM125">
            <v>10500</v>
          </cell>
          <cell r="AN125">
            <v>0</v>
          </cell>
          <cell r="AO125" t="str">
            <v>WSWT2025800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0</v>
          </cell>
          <cell r="DL125" t="str">
            <v>P7</v>
          </cell>
          <cell r="DM125">
            <v>2</v>
          </cell>
          <cell r="DN125">
            <v>45838</v>
          </cell>
          <cell r="DP125">
            <v>45833</v>
          </cell>
          <cell r="DQ125"/>
          <cell r="DR125">
            <v>45829</v>
          </cell>
          <cell r="DS125">
            <v>45836</v>
          </cell>
          <cell r="DT125">
            <v>45837</v>
          </cell>
          <cell r="DU125">
            <v>45837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MK68-000750</v>
          </cell>
          <cell r="C126">
            <v>45813</v>
          </cell>
          <cell r="E126" t="str">
            <v>บจก.เบทาโกร</v>
          </cell>
          <cell r="F126" t="str">
            <v>WB ฟาร์ม F914M 30kg.</v>
          </cell>
          <cell r="G126">
            <v>20</v>
          </cell>
          <cell r="H126">
            <v>37</v>
          </cell>
          <cell r="I126" t="str">
            <v>ขาว</v>
          </cell>
          <cell r="J126"/>
          <cell r="L126">
            <v>80</v>
          </cell>
          <cell r="M126" t="str">
            <v>±</v>
          </cell>
          <cell r="N126">
            <v>3</v>
          </cell>
          <cell r="R126" t="str">
            <v>ไม่</v>
          </cell>
          <cell r="T126" t="str">
            <v>ไม่สวมถุงใน</v>
          </cell>
          <cell r="U126"/>
          <cell r="V126"/>
          <cell r="X126">
            <v>45838</v>
          </cell>
          <cell r="Z126" t="str">
            <v>500กระสอบ พร้อมระบุชื่อบริษัท รายการสินค้า จำนวนแต่ละแพ็ค</v>
          </cell>
          <cell r="AA126">
            <v>5000</v>
          </cell>
          <cell r="AB126">
            <v>0</v>
          </cell>
          <cell r="AC126">
            <v>0</v>
          </cell>
          <cell r="AD126">
            <v>0</v>
          </cell>
          <cell r="AG126"/>
          <cell r="AI126" t="str">
            <v>พระประแดง</v>
          </cell>
          <cell r="AJ126">
            <v>0</v>
          </cell>
          <cell r="AL126">
            <v>5000</v>
          </cell>
          <cell r="AM126"/>
          <cell r="AN126">
            <v>5250</v>
          </cell>
          <cell r="AO126" t="str">
            <v>WSWT2025800</v>
          </cell>
          <cell r="AQ126">
            <v>5378.4500000000007</v>
          </cell>
          <cell r="AR126">
            <v>5378.4500000000007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>
            <v>45838</v>
          </cell>
          <cell r="DP126">
            <v>45833</v>
          </cell>
          <cell r="DQ126"/>
          <cell r="DR126">
            <v>45829</v>
          </cell>
          <cell r="DS126">
            <v>45836</v>
          </cell>
          <cell r="DT126">
            <v>45837</v>
          </cell>
          <cell r="DU126">
            <v>45837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ใบรับคำสั่งซื้อ</v>
          </cell>
          <cell r="C127">
            <v>45818</v>
          </cell>
          <cell r="E127" t="str">
            <v>บจก.เบทาโกร</v>
          </cell>
          <cell r="F127" t="str">
            <v>WB ฟาร์ม F992 30kg LR</v>
          </cell>
          <cell r="G127">
            <v>20</v>
          </cell>
          <cell r="H127">
            <v>37</v>
          </cell>
          <cell r="I127" t="str">
            <v>ขาว</v>
          </cell>
          <cell r="J127"/>
          <cell r="L127">
            <v>80</v>
          </cell>
          <cell r="M127" t="str">
            <v>±</v>
          </cell>
          <cell r="N127">
            <v>3</v>
          </cell>
          <cell r="R127" t="str">
            <v>ไม่</v>
          </cell>
          <cell r="T127" t="str">
            <v>ไม่สวมถุงใน</v>
          </cell>
          <cell r="U127"/>
          <cell r="V127"/>
          <cell r="X127">
            <v>45842</v>
          </cell>
          <cell r="Z127" t="str">
            <v>500กระสอบแบน พร้อมระบุชื่อบริษัท รายการสินค้า จำนวนแต่ละแพ็ค</v>
          </cell>
          <cell r="AA127">
            <v>50000</v>
          </cell>
          <cell r="AB127">
            <v>0</v>
          </cell>
          <cell r="AC127">
            <v>0</v>
          </cell>
          <cell r="AD127">
            <v>0</v>
          </cell>
          <cell r="AG127"/>
          <cell r="AI127" t="str">
            <v>ลพบุรี1</v>
          </cell>
          <cell r="AJ127">
            <v>0</v>
          </cell>
          <cell r="AL127">
            <v>50000</v>
          </cell>
          <cell r="AM127"/>
          <cell r="AN127">
            <v>52500</v>
          </cell>
          <cell r="AO127" t="str">
            <v>WSWT2025800</v>
          </cell>
          <cell r="AQ127">
            <v>53784.500000000007</v>
          </cell>
          <cell r="AR127">
            <v>53784.500000000007</v>
          </cell>
          <cell r="AS127">
            <v>0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0</v>
          </cell>
          <cell r="DL127" t="str">
            <v>P7</v>
          </cell>
          <cell r="DM127">
            <v>2</v>
          </cell>
          <cell r="DN127">
            <v>45842</v>
          </cell>
          <cell r="DP127">
            <v>45837</v>
          </cell>
          <cell r="DQ127"/>
          <cell r="DR127">
            <v>45833</v>
          </cell>
          <cell r="DS127">
            <v>45840</v>
          </cell>
          <cell r="DT127">
            <v>45841</v>
          </cell>
          <cell r="DU127">
            <v>45841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MK68-000718</v>
          </cell>
          <cell r="C128">
            <v>45805</v>
          </cell>
          <cell r="E128" t="str">
            <v>บจก.เบทาโกร</v>
          </cell>
          <cell r="F128" t="str">
            <v>บาลานส์ 956</v>
          </cell>
          <cell r="G128">
            <v>20</v>
          </cell>
          <cell r="H128">
            <v>37</v>
          </cell>
          <cell r="I128" t="str">
            <v>ขาว</v>
          </cell>
          <cell r="J128"/>
          <cell r="L128">
            <v>80</v>
          </cell>
          <cell r="M128" t="str">
            <v>±</v>
          </cell>
          <cell r="N128">
            <v>3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45845</v>
          </cell>
          <cell r="Z128" t="str">
            <v>500กระสอบแบน พร้อมระบุชื่อบริษัท รายการสินค้า จำนวนแต่ละแพ็ค</v>
          </cell>
          <cell r="AA128">
            <v>5000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ลพบุรี3</v>
          </cell>
          <cell r="AJ128">
            <v>0</v>
          </cell>
          <cell r="AL128">
            <v>5000</v>
          </cell>
          <cell r="AM128">
            <v>5400</v>
          </cell>
          <cell r="AN128">
            <v>0</v>
          </cell>
          <cell r="AO128" t="str">
            <v>WSWT2025800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 t="str">
            <v>P7</v>
          </cell>
          <cell r="DM128">
            <v>2</v>
          </cell>
          <cell r="DN128">
            <v>45845</v>
          </cell>
          <cell r="DP128">
            <v>45840</v>
          </cell>
          <cell r="DQ128"/>
          <cell r="DR128">
            <v>45836</v>
          </cell>
          <cell r="DS128">
            <v>45843</v>
          </cell>
          <cell r="DT128">
            <v>45844</v>
          </cell>
          <cell r="DU128">
            <v>45844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MK68-000718</v>
          </cell>
          <cell r="C129">
            <v>45805</v>
          </cell>
          <cell r="E129" t="str">
            <v>บจก.เบทาโกร</v>
          </cell>
          <cell r="F129" t="str">
            <v>เบทาโกร 326</v>
          </cell>
          <cell r="G129">
            <v>20</v>
          </cell>
          <cell r="H129">
            <v>37</v>
          </cell>
          <cell r="I129" t="str">
            <v>ขาว</v>
          </cell>
          <cell r="J129"/>
          <cell r="L129">
            <v>80</v>
          </cell>
          <cell r="M129" t="str">
            <v>±</v>
          </cell>
          <cell r="N129">
            <v>3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45845</v>
          </cell>
          <cell r="Z129" t="str">
            <v>500กระสอบแบน พร้อมระบุชื่อบริษัท รายการสินค้า จำนวนแต่ละแพ็ค</v>
          </cell>
          <cell r="AA129">
            <v>5000</v>
          </cell>
          <cell r="AB129">
            <v>0</v>
          </cell>
          <cell r="AC129">
            <v>0</v>
          </cell>
          <cell r="AD129">
            <v>0</v>
          </cell>
          <cell r="AG129"/>
          <cell r="AI129" t="str">
            <v>ลพบุรี3</v>
          </cell>
          <cell r="AJ129">
            <v>0</v>
          </cell>
          <cell r="AL129">
            <v>5000</v>
          </cell>
          <cell r="AM129">
            <v>5450</v>
          </cell>
          <cell r="AN129">
            <v>0</v>
          </cell>
          <cell r="AO129" t="str">
            <v>WSWT2025800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0</v>
          </cell>
          <cell r="DL129" t="str">
            <v>P7</v>
          </cell>
          <cell r="DM129">
            <v>2</v>
          </cell>
          <cell r="DN129">
            <v>45845</v>
          </cell>
          <cell r="DP129">
            <v>45840</v>
          </cell>
          <cell r="DQ129"/>
          <cell r="DR129">
            <v>45836</v>
          </cell>
          <cell r="DS129">
            <v>45843</v>
          </cell>
          <cell r="DT129">
            <v>45844</v>
          </cell>
          <cell r="DU129">
            <v>45844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ใบรับคำสั่งซื้อ</v>
          </cell>
          <cell r="C130">
            <v>45818</v>
          </cell>
          <cell r="E130" t="str">
            <v>บจก.เบทาโกร</v>
          </cell>
          <cell r="F130" t="str">
            <v xml:space="preserve">WB ฟาร์ม F931L 30kg </v>
          </cell>
          <cell r="G130">
            <v>20</v>
          </cell>
          <cell r="H130">
            <v>37</v>
          </cell>
          <cell r="I130" t="str">
            <v>ขาว</v>
          </cell>
          <cell r="J130"/>
          <cell r="L130">
            <v>80</v>
          </cell>
          <cell r="M130" t="str">
            <v>±</v>
          </cell>
          <cell r="N130">
            <v>3</v>
          </cell>
          <cell r="R130" t="str">
            <v>ไม่</v>
          </cell>
          <cell r="T130" t="str">
            <v>ไม่สวมถุงใน</v>
          </cell>
          <cell r="U130"/>
          <cell r="V130"/>
          <cell r="X130">
            <v>45847</v>
          </cell>
          <cell r="Z130" t="str">
            <v>500กระสอบแบน พร้อมระบุชื่อบริษัท รายการสินค้า จำนวนแต่ละแพ็ค</v>
          </cell>
          <cell r="AA130">
            <v>30000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ลพบุรี1</v>
          </cell>
          <cell r="AJ130">
            <v>0</v>
          </cell>
          <cell r="AL130">
            <v>30000</v>
          </cell>
          <cell r="AM130"/>
          <cell r="AN130">
            <v>31500</v>
          </cell>
          <cell r="AO130" t="str">
            <v>WSWT2025800</v>
          </cell>
          <cell r="AQ130">
            <v>32270.700000000004</v>
          </cell>
          <cell r="AR130">
            <v>32270.700000000004</v>
          </cell>
          <cell r="AS130">
            <v>0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0</v>
          </cell>
          <cell r="DL130" t="str">
            <v>P7</v>
          </cell>
          <cell r="DM130">
            <v>2</v>
          </cell>
          <cell r="DN130">
            <v>45847</v>
          </cell>
          <cell r="DP130">
            <v>45842</v>
          </cell>
          <cell r="DQ130"/>
          <cell r="DR130">
            <v>45838</v>
          </cell>
          <cell r="DS130">
            <v>45845</v>
          </cell>
          <cell r="DT130">
            <v>45846</v>
          </cell>
          <cell r="DU130">
            <v>45846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>รอART</v>
          </cell>
          <cell r="EG130"/>
          <cell r="EH130"/>
          <cell r="EI130"/>
        </row>
        <row r="131">
          <cell r="B131" t="str">
            <v>ใบรับคำสั่งซื้อ</v>
          </cell>
          <cell r="C131">
            <v>45818</v>
          </cell>
          <cell r="E131" t="str">
            <v>บจก.เบทาโกร</v>
          </cell>
          <cell r="F131" t="str">
            <v xml:space="preserve">WB ฟาร์ม F932 30kg </v>
          </cell>
          <cell r="G131">
            <v>20</v>
          </cell>
          <cell r="H131">
            <v>37</v>
          </cell>
          <cell r="I131" t="str">
            <v>ขาว</v>
          </cell>
          <cell r="J131"/>
          <cell r="L131">
            <v>80</v>
          </cell>
          <cell r="M131" t="str">
            <v>±</v>
          </cell>
          <cell r="N131">
            <v>3</v>
          </cell>
          <cell r="R131" t="str">
            <v>ไม่</v>
          </cell>
          <cell r="T131" t="str">
            <v>ไม่สวมถุงใน</v>
          </cell>
          <cell r="U131"/>
          <cell r="V131"/>
          <cell r="X131">
            <v>45847</v>
          </cell>
          <cell r="Z131" t="str">
            <v>500กระสอบแบน พร้อมระบุชื่อบริษัท รายการสินค้า จำนวนแต่ละแพ็ค</v>
          </cell>
          <cell r="AA131">
            <v>30000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ลพบุรี1</v>
          </cell>
          <cell r="AJ131">
            <v>0</v>
          </cell>
          <cell r="AL131">
            <v>30000</v>
          </cell>
          <cell r="AM131"/>
          <cell r="AN131">
            <v>31500</v>
          </cell>
          <cell r="AO131" t="str">
            <v>WSWT2025800</v>
          </cell>
          <cell r="AQ131">
            <v>32270.700000000004</v>
          </cell>
          <cell r="AR131">
            <v>32270.700000000004</v>
          </cell>
          <cell r="AS131">
            <v>0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0</v>
          </cell>
          <cell r="DL131" t="str">
            <v>P7</v>
          </cell>
          <cell r="DM131">
            <v>2</v>
          </cell>
          <cell r="DN131">
            <v>45847</v>
          </cell>
          <cell r="DP131">
            <v>45842</v>
          </cell>
          <cell r="DQ131"/>
          <cell r="DR131">
            <v>45838</v>
          </cell>
          <cell r="DS131">
            <v>45845</v>
          </cell>
          <cell r="DT131">
            <v>45846</v>
          </cell>
          <cell r="DU131">
            <v>45846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ใบรับคำสั่งซื้อ</v>
          </cell>
          <cell r="C132">
            <v>45818</v>
          </cell>
          <cell r="E132" t="str">
            <v>บจก.เบทาโกร</v>
          </cell>
          <cell r="F132" t="str">
            <v>WB ฟาร์ม F992 30kg LP</v>
          </cell>
          <cell r="G132">
            <v>20</v>
          </cell>
          <cell r="H132">
            <v>37</v>
          </cell>
          <cell r="I132" t="str">
            <v>ขาว</v>
          </cell>
          <cell r="J132"/>
          <cell r="L132">
            <v>80</v>
          </cell>
          <cell r="M132" t="str">
            <v>±</v>
          </cell>
          <cell r="N132">
            <v>3</v>
          </cell>
          <cell r="R132" t="str">
            <v>ไม่</v>
          </cell>
          <cell r="T132" t="str">
            <v>ไม่สวมถุงใน</v>
          </cell>
          <cell r="U132"/>
          <cell r="V132"/>
          <cell r="X132">
            <v>45849</v>
          </cell>
          <cell r="Z132" t="str">
            <v>500กระสอบแบน พร้อมระบุชื่อบริษัท รายการสินค้า จำนวนแต่ละแพ็ค</v>
          </cell>
          <cell r="AA132">
            <v>5000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ลำพูน</v>
          </cell>
          <cell r="AJ132">
            <v>0</v>
          </cell>
          <cell r="AL132">
            <v>5000</v>
          </cell>
          <cell r="AM132"/>
          <cell r="AN132">
            <v>5250</v>
          </cell>
          <cell r="AO132" t="str">
            <v>WSWT2025800</v>
          </cell>
          <cell r="AQ132">
            <v>5378.4500000000007</v>
          </cell>
          <cell r="AR132">
            <v>5378.4500000000007</v>
          </cell>
          <cell r="AS132">
            <v>0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0</v>
          </cell>
          <cell r="DL132" t="str">
            <v>P7</v>
          </cell>
          <cell r="DM132">
            <v>2</v>
          </cell>
          <cell r="DN132">
            <v>45849</v>
          </cell>
          <cell r="DP132">
            <v>45844</v>
          </cell>
          <cell r="DQ132"/>
          <cell r="DR132">
            <v>45840</v>
          </cell>
          <cell r="DS132">
            <v>45847</v>
          </cell>
          <cell r="DT132">
            <v>45848</v>
          </cell>
          <cell r="DU132">
            <v>45848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>รอART</v>
          </cell>
          <cell r="EG132"/>
          <cell r="EH132"/>
          <cell r="EI132"/>
        </row>
        <row r="133">
          <cell r="B133" t="str">
            <v>ใบรับคำสั่งซื้อ</v>
          </cell>
          <cell r="C133">
            <v>45818</v>
          </cell>
          <cell r="E133" t="str">
            <v>บจก.เบทาโกร</v>
          </cell>
          <cell r="F133" t="str">
            <v>WB ฟาร์ม F992 30kg LR</v>
          </cell>
          <cell r="G133">
            <v>20</v>
          </cell>
          <cell r="H133">
            <v>37</v>
          </cell>
          <cell r="I133" t="str">
            <v>ขาว</v>
          </cell>
          <cell r="J133"/>
          <cell r="L133">
            <v>80</v>
          </cell>
          <cell r="M133" t="str">
            <v>±</v>
          </cell>
          <cell r="N133">
            <v>3</v>
          </cell>
          <cell r="R133" t="str">
            <v>ไม่</v>
          </cell>
          <cell r="T133" t="str">
            <v>ไม่สวมถุงใน</v>
          </cell>
          <cell r="U133"/>
          <cell r="V133"/>
          <cell r="X133">
            <v>45859</v>
          </cell>
          <cell r="Z133" t="str">
            <v>500กระสอบแบน พร้อมระบุชื่อบริษัท รายการสินค้า จำนวนแต่ละแพ็ค</v>
          </cell>
          <cell r="AA133">
            <v>50000</v>
          </cell>
          <cell r="AB133">
            <v>0</v>
          </cell>
          <cell r="AC133">
            <v>0</v>
          </cell>
          <cell r="AD133">
            <v>0</v>
          </cell>
          <cell r="AG133"/>
          <cell r="AI133" t="str">
            <v>ลพบุรี1</v>
          </cell>
          <cell r="AJ133">
            <v>0</v>
          </cell>
          <cell r="AL133">
            <v>50000</v>
          </cell>
          <cell r="AM133"/>
          <cell r="AN133">
            <v>52500</v>
          </cell>
          <cell r="AO133" t="str">
            <v>WSWT2025800</v>
          </cell>
          <cell r="AQ133">
            <v>53784.500000000007</v>
          </cell>
          <cell r="AR133">
            <v>25073</v>
          </cell>
          <cell r="AS133">
            <v>28711.500000000007</v>
          </cell>
          <cell r="AT133">
            <v>0</v>
          </cell>
          <cell r="AU133">
            <v>0</v>
          </cell>
          <cell r="BZ133" t="str">
            <v>WRWT25800/WRWT25800</v>
          </cell>
          <cell r="CA133">
            <v>2194.8346666666675</v>
          </cell>
          <cell r="DL133" t="str">
            <v>P7</v>
          </cell>
          <cell r="DM133">
            <v>2</v>
          </cell>
          <cell r="DN133">
            <v>45859</v>
          </cell>
          <cell r="DP133">
            <v>45854</v>
          </cell>
          <cell r="DQ133"/>
          <cell r="DR133">
            <v>45850</v>
          </cell>
          <cell r="DS133">
            <v>45857</v>
          </cell>
          <cell r="DT133">
            <v>45858</v>
          </cell>
          <cell r="DU133">
            <v>45858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>รอART</v>
          </cell>
          <cell r="EG133"/>
          <cell r="EH133"/>
          <cell r="EI133"/>
        </row>
        <row r="134">
          <cell r="B134" t="str">
            <v>ใบรับคำสั่งซื้อ</v>
          </cell>
          <cell r="C134">
            <v>45818</v>
          </cell>
          <cell r="E134" t="str">
            <v>บจก.เบทาโกร</v>
          </cell>
          <cell r="F134" t="str">
            <v xml:space="preserve">WB ฟาร์ม F931L 30kg </v>
          </cell>
          <cell r="G134">
            <v>20</v>
          </cell>
          <cell r="H134">
            <v>37</v>
          </cell>
          <cell r="I134" t="str">
            <v>ขาว</v>
          </cell>
          <cell r="J134"/>
          <cell r="L134">
            <v>80</v>
          </cell>
          <cell r="M134" t="str">
            <v>±</v>
          </cell>
          <cell r="N134">
            <v>3</v>
          </cell>
          <cell r="R134" t="str">
            <v>ไม่</v>
          </cell>
          <cell r="T134" t="str">
            <v>ไม่สวมถุงใน</v>
          </cell>
          <cell r="U134"/>
          <cell r="V134"/>
          <cell r="X134">
            <v>45859</v>
          </cell>
          <cell r="Z134" t="str">
            <v>500กระสอบแบน พร้อมระบุชื่อบริษัท รายการสินค้า จำนวนแต่ละแพ็ค</v>
          </cell>
          <cell r="AA134">
            <v>30000</v>
          </cell>
          <cell r="AB134">
            <v>0</v>
          </cell>
          <cell r="AC134">
            <v>0</v>
          </cell>
          <cell r="AD134">
            <v>0</v>
          </cell>
          <cell r="AG134"/>
          <cell r="AI134" t="str">
            <v>ลพบุรี1</v>
          </cell>
          <cell r="AJ134">
            <v>0</v>
          </cell>
          <cell r="AL134">
            <v>30000</v>
          </cell>
          <cell r="AM134"/>
          <cell r="AN134">
            <v>31500</v>
          </cell>
          <cell r="AO134" t="str">
            <v>WSWT2025800</v>
          </cell>
          <cell r="AQ134">
            <v>32270.700000000004</v>
          </cell>
          <cell r="AR134">
            <v>0</v>
          </cell>
          <cell r="AS134">
            <v>32270.700000000004</v>
          </cell>
          <cell r="AT134">
            <v>0</v>
          </cell>
          <cell r="AU134">
            <v>0</v>
          </cell>
          <cell r="BZ134" t="str">
            <v>WRWT25800/WRWT25800</v>
          </cell>
          <cell r="CA134">
            <v>2466.9157333333337</v>
          </cell>
          <cell r="DL134" t="str">
            <v>P7</v>
          </cell>
          <cell r="DM134">
            <v>2</v>
          </cell>
          <cell r="DN134">
            <v>45859</v>
          </cell>
          <cell r="DP134">
            <v>45854</v>
          </cell>
          <cell r="DQ134"/>
          <cell r="DR134">
            <v>45850</v>
          </cell>
          <cell r="DS134">
            <v>45857</v>
          </cell>
          <cell r="DT134">
            <v>45858</v>
          </cell>
          <cell r="DU134">
            <v>45858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>รอART</v>
          </cell>
          <cell r="EG134"/>
          <cell r="EH134"/>
          <cell r="EI134"/>
        </row>
        <row r="135">
          <cell r="B135" t="str">
            <v>MK68-000678</v>
          </cell>
          <cell r="C135">
            <v>45796</v>
          </cell>
          <cell r="E135" t="str">
            <v>บจก.อินเทคค์ โกลบอล</v>
          </cell>
          <cell r="F135" t="str">
            <v>เพอเฟคค์664HP</v>
          </cell>
          <cell r="G135">
            <v>20</v>
          </cell>
          <cell r="H135">
            <v>36</v>
          </cell>
          <cell r="I135" t="str">
            <v>ขาว</v>
          </cell>
          <cell r="J135"/>
          <cell r="L135">
            <v>78</v>
          </cell>
          <cell r="M135" t="str">
            <v>±</v>
          </cell>
          <cell r="N135">
            <v>5</v>
          </cell>
          <cell r="R135" t="str">
            <v>จับจีบ4"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มัด80 ใช้สายรัด</v>
          </cell>
          <cell r="AA135">
            <v>640</v>
          </cell>
          <cell r="AB135">
            <v>0</v>
          </cell>
          <cell r="AC135">
            <v>0</v>
          </cell>
          <cell r="AD135">
            <v>0</v>
          </cell>
          <cell r="AG135"/>
          <cell r="AI135" t="str">
            <v>ห้ามขาด-ห้ามเกิน</v>
          </cell>
          <cell r="AJ135">
            <v>0</v>
          </cell>
          <cell r="AL135">
            <v>640</v>
          </cell>
          <cell r="AM135">
            <v>83500</v>
          </cell>
          <cell r="AN135">
            <v>0</v>
          </cell>
          <cell r="AO135" t="str">
            <v>WSWT2025800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0</v>
          </cell>
          <cell r="DL135" t="str">
            <v>P7</v>
          </cell>
          <cell r="DM135">
            <v>2</v>
          </cell>
          <cell r="DN135" t="str">
            <v>รอแจ้ง</v>
          </cell>
          <cell r="DP135" t="e">
            <v>#VALUE!</v>
          </cell>
          <cell r="DQ135"/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ประมาณการ</v>
          </cell>
          <cell r="C136" t="str">
            <v>ประมาณการ</v>
          </cell>
          <cell r="E136" t="str">
            <v>บจก.อินเทคค์ โกลบอล</v>
          </cell>
          <cell r="F136" t="str">
            <v>รอแบบ</v>
          </cell>
          <cell r="G136">
            <v>20</v>
          </cell>
          <cell r="H136">
            <v>36</v>
          </cell>
          <cell r="I136" t="str">
            <v>ขาว</v>
          </cell>
          <cell r="J136"/>
          <cell r="L136">
            <v>78</v>
          </cell>
          <cell r="M136" t="str">
            <v>±</v>
          </cell>
          <cell r="N136">
            <v>5</v>
          </cell>
          <cell r="R136" t="str">
            <v>จับจีบ4"</v>
          </cell>
          <cell r="T136" t="str">
            <v>ไม่สวมถุงใน</v>
          </cell>
          <cell r="U136"/>
          <cell r="V136"/>
          <cell r="X136">
            <v>45838</v>
          </cell>
          <cell r="Z136" t="str">
            <v>มัด80 ใช้สายรัด</v>
          </cell>
          <cell r="AA136">
            <v>150000</v>
          </cell>
          <cell r="AB136">
            <v>0</v>
          </cell>
          <cell r="AC136">
            <v>0</v>
          </cell>
          <cell r="AD136">
            <v>0</v>
          </cell>
          <cell r="AG136"/>
          <cell r="AI136" t="str">
            <v>ห้ามขาด-ห้ามเกิน</v>
          </cell>
          <cell r="AJ136">
            <v>0</v>
          </cell>
          <cell r="AL136">
            <v>150000</v>
          </cell>
          <cell r="AM136">
            <v>0</v>
          </cell>
          <cell r="AN136">
            <v>157500</v>
          </cell>
          <cell r="AO136" t="str">
            <v>WSWT2025800</v>
          </cell>
          <cell r="AQ136">
            <v>157162.5</v>
          </cell>
          <cell r="AR136">
            <v>0</v>
          </cell>
          <cell r="AS136">
            <v>157162.5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12014.2</v>
          </cell>
          <cell r="DL136" t="str">
            <v>P7</v>
          </cell>
          <cell r="DM136">
            <v>2</v>
          </cell>
          <cell r="DN136">
            <v>45838</v>
          </cell>
          <cell r="DP136">
            <v>45833</v>
          </cell>
          <cell r="DQ136"/>
          <cell r="DR136">
            <v>45829</v>
          </cell>
          <cell r="DS136">
            <v>45836</v>
          </cell>
          <cell r="DT136">
            <v>45837</v>
          </cell>
          <cell r="DU136">
            <v>45837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>
            <v>0</v>
          </cell>
          <cell r="C137"/>
          <cell r="E137"/>
          <cell r="F137"/>
          <cell r="G137">
            <v>20</v>
          </cell>
          <cell r="H137">
            <v>37</v>
          </cell>
          <cell r="I137"/>
          <cell r="J137"/>
          <cell r="L137">
            <v>80</v>
          </cell>
          <cell r="M137" t="str">
            <v>±</v>
          </cell>
          <cell r="N137">
            <v>3</v>
          </cell>
          <cell r="R137"/>
          <cell r="T137"/>
          <cell r="U137"/>
          <cell r="V137"/>
          <cell r="X137"/>
          <cell r="Z137"/>
          <cell r="AA137"/>
          <cell r="AB137">
            <v>0</v>
          </cell>
          <cell r="AC137">
            <v>0</v>
          </cell>
          <cell r="AD137"/>
          <cell r="AG137"/>
          <cell r="AI137" t="str">
            <v>ระบุในSD</v>
          </cell>
          <cell r="AJ137"/>
          <cell r="AL137">
            <v>0</v>
          </cell>
          <cell r="AM137"/>
          <cell r="AN137">
            <v>0</v>
          </cell>
          <cell r="AO137" t="str">
            <v>WSWT2025800</v>
          </cell>
          <cell r="AQ137">
            <v>425386.50000000006</v>
          </cell>
          <cell r="AR137">
            <v>207241.80000000005</v>
          </cell>
          <cell r="AS137">
            <v>218144.7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0</v>
          </cell>
          <cell r="DL137"/>
          <cell r="DM137" t="str">
            <v>Lead time</v>
          </cell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/>
          <cell r="EI137">
            <v>0</v>
          </cell>
        </row>
        <row r="138">
          <cell r="B138">
            <v>0</v>
          </cell>
          <cell r="C138"/>
          <cell r="E138"/>
          <cell r="F138"/>
          <cell r="G138">
            <v>20</v>
          </cell>
          <cell r="H138">
            <v>34</v>
          </cell>
          <cell r="I138"/>
          <cell r="J138"/>
          <cell r="L138">
            <v>98</v>
          </cell>
          <cell r="M138" t="str">
            <v>±</v>
          </cell>
          <cell r="N138">
            <v>5</v>
          </cell>
          <cell r="R138"/>
          <cell r="T138"/>
          <cell r="U138"/>
          <cell r="V138"/>
          <cell r="X138"/>
          <cell r="Z138"/>
          <cell r="AA138"/>
          <cell r="AB138"/>
          <cell r="AC138">
            <v>0</v>
          </cell>
          <cell r="AD138"/>
          <cell r="AG138"/>
          <cell r="AI138" t="str">
            <v>ระบุในSD</v>
          </cell>
          <cell r="AJ138"/>
          <cell r="AL138">
            <v>0</v>
          </cell>
          <cell r="AM138"/>
          <cell r="AN138">
            <v>0</v>
          </cell>
          <cell r="AO138" t="str">
            <v>WSWT2021950UV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BZ138" t="str">
            <v>WRWT200950/WRWT21950</v>
          </cell>
          <cell r="CA138">
            <v>0</v>
          </cell>
          <cell r="DL138"/>
          <cell r="DM138" t="str">
            <v>Lead time</v>
          </cell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/>
          <cell r="EI138"/>
        </row>
        <row r="139">
          <cell r="B139">
            <v>0</v>
          </cell>
          <cell r="C139"/>
          <cell r="E139"/>
          <cell r="F139"/>
          <cell r="G139">
            <v>20</v>
          </cell>
          <cell r="H139">
            <v>34</v>
          </cell>
          <cell r="I139"/>
          <cell r="J139"/>
          <cell r="L139">
            <v>95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WSWT2021900UV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BZ139" t="str">
            <v>WRWT200900/WRWT21900</v>
          </cell>
          <cell r="CA139">
            <v>0</v>
          </cell>
          <cell r="DL139"/>
          <cell r="DM139" t="str">
            <v>Lead time</v>
          </cell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/>
          <cell r="EI139"/>
        </row>
        <row r="140">
          <cell r="B140">
            <v>0</v>
          </cell>
          <cell r="C140"/>
          <cell r="E140"/>
          <cell r="F140"/>
          <cell r="G140">
            <v>20</v>
          </cell>
          <cell r="H140">
            <v>34</v>
          </cell>
          <cell r="I140"/>
          <cell r="J140"/>
          <cell r="L140">
            <v>80</v>
          </cell>
          <cell r="M140" t="str">
            <v>±</v>
          </cell>
          <cell r="N140">
            <v>5</v>
          </cell>
          <cell r="R140"/>
          <cell r="T140"/>
          <cell r="U140"/>
          <cell r="V140"/>
          <cell r="X140"/>
          <cell r="Z140"/>
          <cell r="AA140"/>
          <cell r="AB140"/>
          <cell r="AC140">
            <v>0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WSWT2021750UV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BZ140" t="str">
            <v>WRWT200750/WRWT21750</v>
          </cell>
          <cell r="CA140">
            <v>0</v>
          </cell>
          <cell r="DL140"/>
          <cell r="DM140" t="str">
            <v>Lead time</v>
          </cell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/>
          <cell r="EI140"/>
        </row>
        <row r="141">
          <cell r="B141">
            <v>0</v>
          </cell>
          <cell r="C141"/>
          <cell r="E141"/>
          <cell r="F141"/>
          <cell r="G141">
            <v>20</v>
          </cell>
          <cell r="H141">
            <v>34</v>
          </cell>
          <cell r="I141"/>
          <cell r="J141"/>
          <cell r="L141">
            <v>80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/>
          <cell r="AC141">
            <v>0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WSWT2021800UV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BZ141" t="str">
            <v>WRWT200800/WRWT21800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>
            <v>0</v>
          </cell>
          <cell r="EI141"/>
        </row>
        <row r="142">
          <cell r="B142">
            <v>0</v>
          </cell>
          <cell r="C142"/>
          <cell r="E142"/>
          <cell r="F142"/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70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/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WSWT2025700(1)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BZ142" t="str">
            <v>WRWT200800/WRWT25650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/>
        </row>
        <row r="143">
          <cell r="B143" t="str">
            <v>MK68-000753</v>
          </cell>
          <cell r="C143">
            <v>45815</v>
          </cell>
          <cell r="E143" t="str">
            <v>กองระบบท่อระบายน้ำสำนักการระบายน้ำ</v>
          </cell>
          <cell r="F143" t="str">
            <v>กรุงเทพมหานคร</v>
          </cell>
          <cell r="G143">
            <v>20</v>
          </cell>
          <cell r="H143">
            <v>34</v>
          </cell>
          <cell r="I143" t="str">
            <v>ขาว</v>
          </cell>
          <cell r="J143"/>
          <cell r="L143">
            <v>85</v>
          </cell>
          <cell r="M143" t="str">
            <v>±</v>
          </cell>
          <cell r="N143">
            <v>5</v>
          </cell>
          <cell r="R143" t="str">
            <v>ไม่</v>
          </cell>
          <cell r="T143" t="str">
            <v>ไม่สวมถุงใน</v>
          </cell>
          <cell r="U143"/>
          <cell r="V143"/>
          <cell r="X143">
            <v>45838</v>
          </cell>
          <cell r="Z143" t="str">
            <v>มัด100</v>
          </cell>
          <cell r="AA143">
            <v>1345000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1345000</v>
          </cell>
          <cell r="AM143">
            <v>756311</v>
          </cell>
          <cell r="AN143">
            <v>618123.45000000007</v>
          </cell>
          <cell r="AO143" t="str">
            <v>WSWT2021850UV</v>
          </cell>
          <cell r="AQ143">
            <v>562935.53401365003</v>
          </cell>
          <cell r="AR143">
            <v>73641.007366014645</v>
          </cell>
          <cell r="AS143">
            <v>489294.52664763539</v>
          </cell>
          <cell r="AT143">
            <v>0</v>
          </cell>
          <cell r="AU143">
            <v>0</v>
          </cell>
          <cell r="BZ143" t="str">
            <v>WRWT21850/WRWT21850</v>
          </cell>
          <cell r="CA143">
            <v>42976.369257217302</v>
          </cell>
          <cell r="DL143" t="str">
            <v>P7</v>
          </cell>
          <cell r="DM143">
            <v>2</v>
          </cell>
          <cell r="DN143">
            <v>45838</v>
          </cell>
          <cell r="DP143">
            <v>45833</v>
          </cell>
          <cell r="DQ143"/>
          <cell r="DR143">
            <v>45829</v>
          </cell>
          <cell r="DS143">
            <v>45836</v>
          </cell>
          <cell r="DT143">
            <v>45837</v>
          </cell>
          <cell r="DU143">
            <v>45837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/>
          <cell r="EG143"/>
          <cell r="EH143"/>
          <cell r="EI143"/>
        </row>
        <row r="144">
          <cell r="B144">
            <v>0</v>
          </cell>
          <cell r="C144"/>
          <cell r="E144"/>
          <cell r="F144"/>
          <cell r="G144">
            <v>20</v>
          </cell>
          <cell r="H144">
            <v>34</v>
          </cell>
          <cell r="I144"/>
          <cell r="J144"/>
          <cell r="L144">
            <v>85</v>
          </cell>
          <cell r="M144" t="str">
            <v>±</v>
          </cell>
          <cell r="N144">
            <v>5</v>
          </cell>
          <cell r="R144"/>
          <cell r="T144"/>
          <cell r="U144"/>
          <cell r="V144"/>
          <cell r="X144"/>
          <cell r="Z144"/>
          <cell r="AA144"/>
          <cell r="AB144"/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WSWT2021850UV</v>
          </cell>
          <cell r="AQ144">
            <v>562935.53401365003</v>
          </cell>
          <cell r="AR144">
            <v>73641.007366014645</v>
          </cell>
          <cell r="AS144">
            <v>489294.52664763539</v>
          </cell>
          <cell r="AT144">
            <v>0</v>
          </cell>
          <cell r="AU144">
            <v>0</v>
          </cell>
          <cell r="BZ144" t="str">
            <v>WRWT200850/WRWT21850</v>
          </cell>
          <cell r="CA144">
            <v>0</v>
          </cell>
          <cell r="DL144"/>
          <cell r="DM144"/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>
            <v>0</v>
          </cell>
          <cell r="EI144"/>
        </row>
        <row r="145">
          <cell r="B145">
            <v>0</v>
          </cell>
          <cell r="C145"/>
          <cell r="E145"/>
          <cell r="F145"/>
          <cell r="G145">
            <v>20</v>
          </cell>
          <cell r="H145">
            <v>34</v>
          </cell>
          <cell r="I145"/>
          <cell r="J145"/>
          <cell r="L145">
            <v>80</v>
          </cell>
          <cell r="M145" t="str">
            <v>±</v>
          </cell>
          <cell r="N145">
            <v>5</v>
          </cell>
          <cell r="R145"/>
          <cell r="T145"/>
          <cell r="U145"/>
          <cell r="V145"/>
          <cell r="X145"/>
          <cell r="Z145"/>
          <cell r="AA145"/>
          <cell r="AB145"/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WSWT2021750UV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BZ145" t="str">
            <v>WRWT200750/WRWT21750</v>
          </cell>
          <cell r="CA145">
            <v>0</v>
          </cell>
          <cell r="DL145"/>
          <cell r="DM145"/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>
            <v>0</v>
          </cell>
          <cell r="EI145"/>
        </row>
        <row r="146">
          <cell r="B146">
            <v>0</v>
          </cell>
          <cell r="C146"/>
          <cell r="E146"/>
          <cell r="F146"/>
          <cell r="G146">
            <v>21</v>
          </cell>
          <cell r="H146">
            <v>39</v>
          </cell>
          <cell r="I146"/>
          <cell r="J146"/>
          <cell r="L146">
            <v>78</v>
          </cell>
          <cell r="M146" t="str">
            <v>±</v>
          </cell>
          <cell r="N146">
            <v>3</v>
          </cell>
          <cell r="R146"/>
          <cell r="T146"/>
          <cell r="U146"/>
          <cell r="V146"/>
          <cell r="X146"/>
          <cell r="Z146"/>
          <cell r="AA146"/>
          <cell r="AB146"/>
          <cell r="AC146">
            <v>0</v>
          </cell>
          <cell r="AD146"/>
          <cell r="AG146"/>
          <cell r="AI146" t="str">
            <v>ระบุในSD</v>
          </cell>
          <cell r="AJ146"/>
          <cell r="AL146">
            <v>0</v>
          </cell>
          <cell r="AM146"/>
          <cell r="AN146">
            <v>0</v>
          </cell>
          <cell r="AO146" t="str">
            <v>WSWT2125700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BZ146" t="str">
            <v>WRWT210800/WRWT25650</v>
          </cell>
          <cell r="CA146">
            <v>0</v>
          </cell>
          <cell r="DL146"/>
          <cell r="DM146"/>
          <cell r="DN146"/>
          <cell r="DP146"/>
          <cell r="DQ146"/>
          <cell r="DR146"/>
          <cell r="DS146"/>
          <cell r="DT146"/>
          <cell r="DU146"/>
          <cell r="DW146"/>
          <cell r="DX146"/>
          <cell r="DY146"/>
          <cell r="DZ146"/>
          <cell r="EA146"/>
          <cell r="EB146"/>
          <cell r="EC146"/>
          <cell r="ED146"/>
          <cell r="EG146"/>
          <cell r="EH146">
            <v>0</v>
          </cell>
          <cell r="EI146"/>
        </row>
        <row r="147">
          <cell r="B147" t="str">
            <v>MK68-000712</v>
          </cell>
          <cell r="C147">
            <v>45803</v>
          </cell>
          <cell r="E147" t="str">
            <v>บจก.ไลม์มาสเตอร์</v>
          </cell>
          <cell r="F147" t="str">
            <v>LMC 20 kg</v>
          </cell>
          <cell r="G147">
            <v>21</v>
          </cell>
          <cell r="H147">
            <v>34</v>
          </cell>
          <cell r="I147" t="str">
            <v>ขาว</v>
          </cell>
          <cell r="J147"/>
          <cell r="L147">
            <v>60</v>
          </cell>
          <cell r="M147" t="str">
            <v>±</v>
          </cell>
          <cell r="N147">
            <v>5</v>
          </cell>
          <cell r="R147" t="str">
            <v>ไม่</v>
          </cell>
          <cell r="T147">
            <v>22</v>
          </cell>
          <cell r="U147">
            <v>36</v>
          </cell>
          <cell r="V147">
            <v>40</v>
          </cell>
          <cell r="X147">
            <v>45820</v>
          </cell>
          <cell r="Z147" t="str">
            <v>500กระสอบแบน</v>
          </cell>
          <cell r="AA147">
            <v>10000</v>
          </cell>
          <cell r="AB147">
            <v>195.39367372799995</v>
          </cell>
          <cell r="AC147">
            <v>0</v>
          </cell>
          <cell r="AD147">
            <v>195.39367372799995</v>
          </cell>
          <cell r="AG147"/>
          <cell r="AI147"/>
          <cell r="AJ147">
            <v>0</v>
          </cell>
          <cell r="AL147">
            <v>10000</v>
          </cell>
          <cell r="AM147"/>
          <cell r="AN147">
            <v>10500</v>
          </cell>
          <cell r="AO147" t="str">
            <v>WSWT2125650</v>
          </cell>
          <cell r="AQ147">
            <v>9918.7000000000007</v>
          </cell>
          <cell r="AR147">
            <v>7700</v>
          </cell>
          <cell r="AS147">
            <v>2218.7000000000007</v>
          </cell>
          <cell r="AT147">
            <v>0</v>
          </cell>
          <cell r="AU147">
            <v>0</v>
          </cell>
          <cell r="BZ147" t="str">
            <v>WRWT25650/WRWT25650</v>
          </cell>
          <cell r="CA147">
            <v>151.42627500000006</v>
          </cell>
          <cell r="DL147" t="str">
            <v>P9</v>
          </cell>
          <cell r="DM147">
            <v>3</v>
          </cell>
          <cell r="DN147">
            <v>45820</v>
          </cell>
          <cell r="DP147">
            <v>45815</v>
          </cell>
          <cell r="DQ147"/>
          <cell r="DR147">
            <v>45810</v>
          </cell>
          <cell r="DS147">
            <v>45817</v>
          </cell>
          <cell r="DT147">
            <v>45818</v>
          </cell>
          <cell r="DU147">
            <v>45818</v>
          </cell>
          <cell r="DW147">
            <v>45819</v>
          </cell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ใบรับคำสั่งซื้อ</v>
          </cell>
          <cell r="C148">
            <v>45818</v>
          </cell>
          <cell r="E148" t="str">
            <v>บจก.ทีเจทีเทรดเดอร์</v>
          </cell>
          <cell r="F148" t="str">
            <v>ไม่พิมพ์</v>
          </cell>
          <cell r="G148">
            <v>21</v>
          </cell>
          <cell r="H148">
            <v>40</v>
          </cell>
          <cell r="I148" t="str">
            <v>ขาว</v>
          </cell>
          <cell r="J148"/>
          <cell r="L148">
            <v>73</v>
          </cell>
          <cell r="M148" t="str">
            <v>±</v>
          </cell>
          <cell r="N148">
            <v>5</v>
          </cell>
          <cell r="R148" t="str">
            <v>ไม่</v>
          </cell>
          <cell r="T148">
            <v>22</v>
          </cell>
          <cell r="U148">
            <v>42</v>
          </cell>
          <cell r="V148">
            <v>40</v>
          </cell>
          <cell r="X148">
            <v>45819</v>
          </cell>
          <cell r="Z148" t="str">
            <v>500กระสอบ</v>
          </cell>
          <cell r="AA148">
            <v>2000</v>
          </cell>
          <cell r="AB148">
            <v>45.591857203199993</v>
          </cell>
          <cell r="AC148">
            <v>0</v>
          </cell>
          <cell r="AD148">
            <v>45.591857203199993</v>
          </cell>
          <cell r="AG148"/>
          <cell r="AI148"/>
          <cell r="AJ148">
            <v>0</v>
          </cell>
          <cell r="AL148">
            <v>2000</v>
          </cell>
          <cell r="AM148"/>
          <cell r="AN148">
            <v>0</v>
          </cell>
          <cell r="AO148" t="str">
            <v>WSWT2125650</v>
          </cell>
          <cell r="AQ148">
            <v>2319.0200000000004</v>
          </cell>
          <cell r="AR148">
            <v>0</v>
          </cell>
          <cell r="AS148">
            <v>2319.0200000000004</v>
          </cell>
          <cell r="AT148">
            <v>0</v>
          </cell>
          <cell r="AU148">
            <v>0</v>
          </cell>
          <cell r="BZ148" t="str">
            <v>WRWT25650/WRWT25650</v>
          </cell>
          <cell r="CA148">
            <v>158.27311499999999</v>
          </cell>
          <cell r="DL148" t="str">
            <v>P13</v>
          </cell>
          <cell r="DM148">
            <v>2</v>
          </cell>
          <cell r="DN148">
            <v>45819</v>
          </cell>
          <cell r="DP148">
            <v>45814</v>
          </cell>
          <cell r="DQ148"/>
          <cell r="DR148"/>
          <cell r="DS148"/>
          <cell r="DT148"/>
          <cell r="DU148">
            <v>45817</v>
          </cell>
          <cell r="DW148">
            <v>45818</v>
          </cell>
          <cell r="DX148"/>
          <cell r="DY148"/>
          <cell r="DZ148"/>
          <cell r="EA148"/>
          <cell r="EB148"/>
          <cell r="EC148" t="str">
            <v>ตัด</v>
          </cell>
          <cell r="ED148"/>
          <cell r="EG148"/>
          <cell r="EH148"/>
          <cell r="EI148"/>
        </row>
        <row r="149">
          <cell r="B149" t="str">
            <v>MK68-000751</v>
          </cell>
          <cell r="C149">
            <v>45813</v>
          </cell>
          <cell r="E149" t="str">
            <v>บจก.หนองบัวฟีดมิลล์</v>
          </cell>
          <cell r="F149" t="str">
            <v>ไม่พิมพ์</v>
          </cell>
          <cell r="G149">
            <v>21</v>
          </cell>
          <cell r="H149">
            <v>38</v>
          </cell>
          <cell r="I149" t="str">
            <v>ขาว</v>
          </cell>
          <cell r="J149"/>
          <cell r="L149">
            <v>69</v>
          </cell>
          <cell r="M149" t="str">
            <v>±</v>
          </cell>
          <cell r="N149">
            <v>5</v>
          </cell>
          <cell r="R149" t="str">
            <v>ไม่</v>
          </cell>
          <cell r="T149" t="str">
            <v>ไม่สวมถุงใน</v>
          </cell>
          <cell r="U149"/>
          <cell r="V149"/>
          <cell r="X149">
            <v>45820</v>
          </cell>
          <cell r="Z149" t="str">
            <v>500กระสอบ</v>
          </cell>
          <cell r="AA149">
            <v>4000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4000</v>
          </cell>
          <cell r="AM149"/>
          <cell r="AN149">
            <v>0</v>
          </cell>
          <cell r="AO149" t="str">
            <v>WSWT2125650</v>
          </cell>
          <cell r="AQ149">
            <v>4414.5199999999995</v>
          </cell>
          <cell r="AR149">
            <v>0</v>
          </cell>
          <cell r="AS149">
            <v>4414.5199999999995</v>
          </cell>
          <cell r="AT149">
            <v>0</v>
          </cell>
          <cell r="AU149">
            <v>0</v>
          </cell>
          <cell r="BZ149" t="str">
            <v>WRWT25650/WRWT25650</v>
          </cell>
          <cell r="CA149">
            <v>301.29098999999991</v>
          </cell>
          <cell r="DL149" t="str">
            <v>P3</v>
          </cell>
          <cell r="DM149">
            <v>2</v>
          </cell>
          <cell r="DN149">
            <v>45820</v>
          </cell>
          <cell r="DP149">
            <v>45815</v>
          </cell>
          <cell r="DQ149"/>
          <cell r="DR149"/>
          <cell r="DS149"/>
          <cell r="DT149"/>
          <cell r="DU149">
            <v>45818</v>
          </cell>
          <cell r="DW149"/>
          <cell r="DX149"/>
          <cell r="DY149"/>
          <cell r="DZ149"/>
          <cell r="EA149"/>
          <cell r="EB149"/>
          <cell r="EC149" t="str">
            <v>ตัด</v>
          </cell>
          <cell r="ED149"/>
          <cell r="EG149"/>
          <cell r="EH149"/>
          <cell r="EI149"/>
        </row>
        <row r="150">
          <cell r="B150" t="str">
            <v>ใบรับคำสั่งซื้อ</v>
          </cell>
          <cell r="C150"/>
          <cell r="E150" t="str">
            <v>บจก.หนองบัวฟีดมิลล์</v>
          </cell>
          <cell r="F150" t="str">
            <v>ไม่พิมพ์</v>
          </cell>
          <cell r="G150">
            <v>21</v>
          </cell>
          <cell r="H150">
            <v>38</v>
          </cell>
          <cell r="I150" t="str">
            <v>ขาว</v>
          </cell>
          <cell r="J150"/>
          <cell r="L150">
            <v>69</v>
          </cell>
          <cell r="M150" t="str">
            <v>±</v>
          </cell>
          <cell r="N150">
            <v>5</v>
          </cell>
          <cell r="R150" t="str">
            <v>ไม่</v>
          </cell>
          <cell r="T150">
            <v>22</v>
          </cell>
          <cell r="U150">
            <v>41</v>
          </cell>
          <cell r="V150">
            <v>40</v>
          </cell>
          <cell r="X150">
            <v>45824</v>
          </cell>
          <cell r="Z150" t="str">
            <v>500กระสอบ</v>
          </cell>
          <cell r="AA150">
            <v>15000</v>
          </cell>
          <cell r="AB150">
            <v>333.79752595199994</v>
          </cell>
          <cell r="AC150">
            <v>0</v>
          </cell>
          <cell r="AD150">
            <v>333.79752595199994</v>
          </cell>
          <cell r="AG150"/>
          <cell r="AI150"/>
          <cell r="AJ150">
            <v>0</v>
          </cell>
          <cell r="AL150">
            <v>15000</v>
          </cell>
          <cell r="AM150"/>
          <cell r="AN150">
            <v>0</v>
          </cell>
          <cell r="AO150" t="str">
            <v>WSWT2125650</v>
          </cell>
          <cell r="AQ150">
            <v>16554.45</v>
          </cell>
          <cell r="AR150">
            <v>0</v>
          </cell>
          <cell r="AS150">
            <v>16554.45</v>
          </cell>
          <cell r="AT150">
            <v>0</v>
          </cell>
          <cell r="AU150">
            <v>0</v>
          </cell>
          <cell r="BZ150" t="str">
            <v>WRWT25650/WRWT25650</v>
          </cell>
          <cell r="CA150">
            <v>1129.8412125</v>
          </cell>
          <cell r="DL150" t="str">
            <v>P13</v>
          </cell>
          <cell r="DM150">
            <v>2</v>
          </cell>
          <cell r="DN150">
            <v>45824</v>
          </cell>
          <cell r="DP150">
            <v>45819</v>
          </cell>
          <cell r="DQ150"/>
          <cell r="DR150"/>
          <cell r="DS150"/>
          <cell r="DT150"/>
          <cell r="DU150">
            <v>45822</v>
          </cell>
          <cell r="DW150">
            <v>45823</v>
          </cell>
          <cell r="DX150"/>
          <cell r="DY150"/>
          <cell r="DZ150"/>
          <cell r="EA150"/>
          <cell r="EB150"/>
          <cell r="EC150" t="str">
            <v>ตัด</v>
          </cell>
          <cell r="ED150"/>
          <cell r="EG150"/>
          <cell r="EH150"/>
          <cell r="EI150"/>
        </row>
        <row r="151">
          <cell r="B151">
            <v>0</v>
          </cell>
          <cell r="C151"/>
          <cell r="E151"/>
          <cell r="F151"/>
          <cell r="G151">
            <v>21</v>
          </cell>
          <cell r="H151">
            <v>37</v>
          </cell>
          <cell r="I151" t="str">
            <v>ขาว</v>
          </cell>
          <cell r="J151"/>
          <cell r="L151">
            <v>67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>
            <v>0</v>
          </cell>
          <cell r="AC151">
            <v>0</v>
          </cell>
          <cell r="AD151"/>
          <cell r="AG151"/>
          <cell r="AI151" t="str">
            <v>ระบุในSD</v>
          </cell>
          <cell r="AJ151"/>
          <cell r="AL151">
            <v>0</v>
          </cell>
          <cell r="AM151"/>
          <cell r="AN151">
            <v>0</v>
          </cell>
          <cell r="AO151" t="str">
            <v>WSWT2125650</v>
          </cell>
          <cell r="AQ151">
            <v>33206.69</v>
          </cell>
          <cell r="AR151">
            <v>7700</v>
          </cell>
          <cell r="AS151">
            <v>25506.690000000002</v>
          </cell>
          <cell r="AT151">
            <v>0</v>
          </cell>
          <cell r="AU151">
            <v>0</v>
          </cell>
          <cell r="BZ151" t="str">
            <v>WRWT25650/WRWT25650</v>
          </cell>
          <cell r="CA151">
            <v>0</v>
          </cell>
          <cell r="DL151"/>
          <cell r="DM151" t="str">
            <v>Lead time</v>
          </cell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/>
          <cell r="EI151">
            <v>0</v>
          </cell>
        </row>
        <row r="152">
          <cell r="B152">
            <v>0</v>
          </cell>
          <cell r="C152"/>
          <cell r="E152"/>
          <cell r="F152"/>
          <cell r="G152">
            <v>21</v>
          </cell>
          <cell r="H152">
            <v>37</v>
          </cell>
          <cell r="I152" t="str">
            <v>ขาวแถบใส5</v>
          </cell>
          <cell r="J152"/>
          <cell r="L152">
            <v>67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>
            <v>0</v>
          </cell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WSWTSCL052125650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BZ152" t="str">
            <v>WRWT25650/WRCL25680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>
            <v>0</v>
          </cell>
        </row>
        <row r="153">
          <cell r="B153" t="str">
            <v>ใบรับคำสั่งซื้อ</v>
          </cell>
          <cell r="C153">
            <v>45818</v>
          </cell>
          <cell r="E153" t="str">
            <v>บจก.ทีเจทีเทรดเดอร์</v>
          </cell>
          <cell r="F153" t="str">
            <v>ไม่พิมพ์</v>
          </cell>
          <cell r="G153">
            <v>21</v>
          </cell>
          <cell r="H153">
            <v>40</v>
          </cell>
          <cell r="I153" t="str">
            <v>ขาว</v>
          </cell>
          <cell r="J153"/>
          <cell r="L153">
            <v>73</v>
          </cell>
          <cell r="M153" t="str">
            <v>±</v>
          </cell>
          <cell r="N153">
            <v>5</v>
          </cell>
          <cell r="R153" t="str">
            <v>ไม่</v>
          </cell>
          <cell r="T153">
            <v>22</v>
          </cell>
          <cell r="U153">
            <v>42</v>
          </cell>
          <cell r="V153">
            <v>40</v>
          </cell>
          <cell r="X153">
            <v>45819</v>
          </cell>
          <cell r="Z153" t="str">
            <v>500กระสอบ</v>
          </cell>
          <cell r="AA153">
            <v>2000</v>
          </cell>
          <cell r="AB153">
            <v>45.591857203199993</v>
          </cell>
          <cell r="AC153">
            <v>0</v>
          </cell>
          <cell r="AD153">
            <v>45.591857203199993</v>
          </cell>
          <cell r="AG153"/>
          <cell r="AI153"/>
          <cell r="AJ153">
            <v>0</v>
          </cell>
          <cell r="AL153">
            <v>2000</v>
          </cell>
          <cell r="AM153"/>
          <cell r="AN153">
            <v>0</v>
          </cell>
          <cell r="AO153" t="str">
            <v>WSWT2125800</v>
          </cell>
          <cell r="AQ153">
            <v>2319.0200000000004</v>
          </cell>
          <cell r="AR153">
            <v>2319.0200000000004</v>
          </cell>
          <cell r="AS153">
            <v>0</v>
          </cell>
          <cell r="AT153">
            <v>0</v>
          </cell>
          <cell r="AU153">
            <v>0</v>
          </cell>
          <cell r="BZ153" t="str">
            <v>WRWT25800/WRWT25800</v>
          </cell>
          <cell r="CA153">
            <v>0</v>
          </cell>
          <cell r="DL153" t="str">
            <v>P13</v>
          </cell>
          <cell r="DM153">
            <v>2</v>
          </cell>
          <cell r="DN153">
            <v>45819</v>
          </cell>
          <cell r="DP153">
            <v>45814</v>
          </cell>
          <cell r="DQ153"/>
          <cell r="DR153"/>
          <cell r="DS153"/>
          <cell r="DT153"/>
          <cell r="DU153">
            <v>45817</v>
          </cell>
          <cell r="DW153">
            <v>45818</v>
          </cell>
          <cell r="DX153"/>
          <cell r="DY153"/>
          <cell r="DZ153"/>
          <cell r="EA153"/>
          <cell r="EB153"/>
          <cell r="EC153" t="str">
            <v>ตัด</v>
          </cell>
          <cell r="ED153"/>
          <cell r="EG153"/>
          <cell r="EH153"/>
          <cell r="EI153"/>
        </row>
        <row r="154">
          <cell r="B154" t="str">
            <v>MK68-000762</v>
          </cell>
          <cell r="C154">
            <v>45815</v>
          </cell>
          <cell r="E154" t="str">
            <v>ร้านสมคิดพันธุ์ข้าว</v>
          </cell>
          <cell r="F154" t="str">
            <v>ทองทั้งทุ่ง</v>
          </cell>
          <cell r="G154">
            <v>21</v>
          </cell>
          <cell r="H154">
            <v>34</v>
          </cell>
          <cell r="I154" t="str">
            <v>ขาว</v>
          </cell>
          <cell r="J154"/>
          <cell r="L154">
            <v>76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45822</v>
          </cell>
          <cell r="Z154" t="str">
            <v>500กระสอบ</v>
          </cell>
          <cell r="AA154">
            <v>8000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8000</v>
          </cell>
          <cell r="AM154"/>
          <cell r="AN154">
            <v>8400</v>
          </cell>
          <cell r="AO154" t="str">
            <v>WSWT2125800</v>
          </cell>
          <cell r="AQ154">
            <v>7934.96</v>
          </cell>
          <cell r="AR154">
            <v>7934.96</v>
          </cell>
          <cell r="AS154">
            <v>0</v>
          </cell>
          <cell r="AT154">
            <v>0</v>
          </cell>
          <cell r="AU154">
            <v>0</v>
          </cell>
          <cell r="BZ154" t="str">
            <v>WRWT25800/WRWT25800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45822</v>
          </cell>
          <cell r="DP154">
            <v>45817</v>
          </cell>
          <cell r="DQ154"/>
          <cell r="DR154">
            <v>45813</v>
          </cell>
          <cell r="DS154">
            <v>45820</v>
          </cell>
          <cell r="DT154">
            <v>45821</v>
          </cell>
          <cell r="DU154">
            <v>45821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>รอART</v>
          </cell>
          <cell r="EG154"/>
          <cell r="EH154"/>
          <cell r="EI154"/>
        </row>
        <row r="155">
          <cell r="B155">
            <v>0</v>
          </cell>
          <cell r="C155"/>
          <cell r="E155"/>
          <cell r="F155"/>
          <cell r="G155">
            <v>21</v>
          </cell>
          <cell r="H155">
            <v>37</v>
          </cell>
          <cell r="I155" t="str">
            <v>ขาว</v>
          </cell>
          <cell r="J155"/>
          <cell r="L155">
            <v>83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/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WSWT2125800</v>
          </cell>
          <cell r="AQ155">
            <v>10253.98</v>
          </cell>
          <cell r="AR155">
            <v>10253.98</v>
          </cell>
          <cell r="AS155">
            <v>0</v>
          </cell>
          <cell r="AT155">
            <v>0</v>
          </cell>
          <cell r="AU155">
            <v>0</v>
          </cell>
          <cell r="BZ155" t="str">
            <v>WRWT210800/WRWT25800</v>
          </cell>
          <cell r="CA155">
            <v>0</v>
          </cell>
          <cell r="DL155"/>
          <cell r="DM155"/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/>
          <cell r="EI155"/>
        </row>
        <row r="156">
          <cell r="B156" t="str">
            <v>MK68-000695</v>
          </cell>
          <cell r="C156">
            <v>45799</v>
          </cell>
          <cell r="E156" t="str">
            <v>บจก.แอมโก้เวท</v>
          </cell>
          <cell r="F156" t="str">
            <v>แดนโกรว20(เขียวเข้ม)</v>
          </cell>
          <cell r="G156">
            <v>21</v>
          </cell>
          <cell r="H156">
            <v>37</v>
          </cell>
          <cell r="I156" t="str">
            <v>ขาว</v>
          </cell>
          <cell r="J156" t="str">
            <v>ใส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45819</v>
          </cell>
          <cell r="Z156" t="str">
            <v>500กระสอบแบน</v>
          </cell>
          <cell r="AA156">
            <v>50000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30455</v>
          </cell>
          <cell r="AL156">
            <v>19545</v>
          </cell>
          <cell r="AM156">
            <v>31500</v>
          </cell>
          <cell r="AN156">
            <v>19425</v>
          </cell>
          <cell r="AO156" t="str">
            <v>WSWT2121670SM</v>
          </cell>
          <cell r="AQ156">
            <v>20895.278250000003</v>
          </cell>
          <cell r="AR156">
            <v>20895.278250000003</v>
          </cell>
          <cell r="AS156">
            <v>0</v>
          </cell>
          <cell r="AT156">
            <v>0</v>
          </cell>
          <cell r="AU156">
            <v>20895.278250000003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>
            <v>45819</v>
          </cell>
          <cell r="DP156">
            <v>45814</v>
          </cell>
          <cell r="DQ156">
            <v>45815</v>
          </cell>
          <cell r="DR156">
            <v>45809</v>
          </cell>
          <cell r="DS156">
            <v>45816</v>
          </cell>
          <cell r="DT156">
            <v>45817</v>
          </cell>
          <cell r="DU156">
            <v>45817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MK68-000695</v>
          </cell>
          <cell r="C157">
            <v>45799</v>
          </cell>
          <cell r="E157" t="str">
            <v>บจก.แอมโก้เวท</v>
          </cell>
          <cell r="F157" t="str">
            <v>แดนโกรว10P-L</v>
          </cell>
          <cell r="G157">
            <v>21</v>
          </cell>
          <cell r="H157">
            <v>37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45819</v>
          </cell>
          <cell r="Z157" t="str">
            <v>500กระสอบแบน</v>
          </cell>
          <cell r="AA157">
            <v>25000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25858</v>
          </cell>
          <cell r="AL157">
            <v>0</v>
          </cell>
          <cell r="AM157">
            <v>52800</v>
          </cell>
          <cell r="AN157">
            <v>0</v>
          </cell>
          <cell r="AO157" t="str">
            <v>WSWT2121670SM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>
            <v>45819</v>
          </cell>
          <cell r="DP157">
            <v>45814</v>
          </cell>
          <cell r="DQ157">
            <v>45815</v>
          </cell>
          <cell r="DR157">
            <v>45809</v>
          </cell>
          <cell r="DS157">
            <v>45816</v>
          </cell>
          <cell r="DT157">
            <v>45817</v>
          </cell>
          <cell r="DU157">
            <v>45817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MK68-000723</v>
          </cell>
          <cell r="C158">
            <v>45808</v>
          </cell>
          <cell r="E158" t="str">
            <v>บจก.เอพีเอ็ม อะโกร</v>
          </cell>
          <cell r="F158" t="str">
            <v>ฟีล กู๊ด 802</v>
          </cell>
          <cell r="G158">
            <v>21</v>
          </cell>
          <cell r="H158">
            <v>38</v>
          </cell>
          <cell r="I158" t="str">
            <v>ขาว</v>
          </cell>
          <cell r="J158" t="str">
            <v>ใส</v>
          </cell>
          <cell r="L158">
            <v>102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22</v>
          </cell>
          <cell r="U158">
            <v>40</v>
          </cell>
          <cell r="V158">
            <v>40</v>
          </cell>
          <cell r="X158">
            <v>45821</v>
          </cell>
          <cell r="Z158" t="str">
            <v>500กระสอบแบน</v>
          </cell>
          <cell r="AA158">
            <v>5000</v>
          </cell>
          <cell r="AB158">
            <v>108.55204095999999</v>
          </cell>
          <cell r="AC158">
            <v>0</v>
          </cell>
          <cell r="AD158">
            <v>108.55204095999999</v>
          </cell>
          <cell r="AG158"/>
          <cell r="AI158"/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WSWT2121670SM</v>
          </cell>
          <cell r="AQ158">
            <v>5518.15</v>
          </cell>
          <cell r="AR158">
            <v>5518.15</v>
          </cell>
          <cell r="AS158">
            <v>0</v>
          </cell>
          <cell r="AT158">
            <v>0</v>
          </cell>
          <cell r="AU158">
            <v>5518.15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>
            <v>45821</v>
          </cell>
          <cell r="DP158">
            <v>45816</v>
          </cell>
          <cell r="DQ158">
            <v>45817</v>
          </cell>
          <cell r="DR158">
            <v>45811</v>
          </cell>
          <cell r="DS158">
            <v>45818</v>
          </cell>
          <cell r="DT158">
            <v>45819</v>
          </cell>
          <cell r="DU158">
            <v>45819</v>
          </cell>
          <cell r="DW158">
            <v>45820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MK68-000696</v>
          </cell>
          <cell r="C159">
            <v>45799</v>
          </cell>
          <cell r="E159" t="str">
            <v>บจก.แอมโก้เวท</v>
          </cell>
          <cell r="F159" t="str">
            <v>แดนโกรวบรีดเดอร์80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45821</v>
          </cell>
          <cell r="Z159" t="str">
            <v>500กระสอบแบน</v>
          </cell>
          <cell r="AA159">
            <v>30000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17467</v>
          </cell>
          <cell r="AL159">
            <v>12533</v>
          </cell>
          <cell r="AM159">
            <v>18428</v>
          </cell>
          <cell r="AN159">
            <v>12150.6</v>
          </cell>
          <cell r="AO159" t="str">
            <v>WSWT2121670SM</v>
          </cell>
          <cell r="AQ159">
            <v>13070.278914</v>
          </cell>
          <cell r="AR159">
            <v>13070.278914</v>
          </cell>
          <cell r="AS159">
            <v>0</v>
          </cell>
          <cell r="AT159">
            <v>0</v>
          </cell>
          <cell r="AU159">
            <v>13070.278914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>
            <v>45821</v>
          </cell>
          <cell r="DP159">
            <v>45816</v>
          </cell>
          <cell r="DQ159">
            <v>45817</v>
          </cell>
          <cell r="DR159">
            <v>45811</v>
          </cell>
          <cell r="DS159">
            <v>45818</v>
          </cell>
          <cell r="DT159">
            <v>45819</v>
          </cell>
          <cell r="DU159">
            <v>45819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MK68-000696</v>
          </cell>
          <cell r="C160">
            <v>45799</v>
          </cell>
          <cell r="E160" t="str">
            <v>บจก.แอมโก้เวท</v>
          </cell>
          <cell r="F160" t="str">
            <v>วีโว่ 200</v>
          </cell>
          <cell r="G160">
            <v>21</v>
          </cell>
          <cell r="H160">
            <v>37</v>
          </cell>
          <cell r="I160" t="str">
            <v>ขาว</v>
          </cell>
          <cell r="J160" t="str">
            <v>ใส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45821</v>
          </cell>
          <cell r="Z160" t="str">
            <v>500กระสอบแบน</v>
          </cell>
          <cell r="AA160">
            <v>30000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30000</v>
          </cell>
          <cell r="AM160"/>
          <cell r="AN160">
            <v>31500</v>
          </cell>
          <cell r="AO160" t="str">
            <v>WSWT2121670SM</v>
          </cell>
          <cell r="AQ160">
            <v>32270.700000000004</v>
          </cell>
          <cell r="AR160">
            <v>8071</v>
          </cell>
          <cell r="AS160">
            <v>24199.700000000004</v>
          </cell>
          <cell r="AT160">
            <v>0</v>
          </cell>
          <cell r="AU160">
            <v>32270.700000000004</v>
          </cell>
          <cell r="BZ160" t="str">
            <v>WRWT21670/WRWT21670</v>
          </cell>
          <cell r="CA160">
            <v>1740.2810926666666</v>
          </cell>
          <cell r="DL160" t="str">
            <v>P8</v>
          </cell>
          <cell r="DM160">
            <v>4</v>
          </cell>
          <cell r="DN160">
            <v>45821</v>
          </cell>
          <cell r="DP160">
            <v>45816</v>
          </cell>
          <cell r="DQ160">
            <v>45817</v>
          </cell>
          <cell r="DR160">
            <v>45811</v>
          </cell>
          <cell r="DS160">
            <v>45818</v>
          </cell>
          <cell r="DT160">
            <v>45819</v>
          </cell>
          <cell r="DU160">
            <v>45819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MK68-000696</v>
          </cell>
          <cell r="C161">
            <v>45799</v>
          </cell>
          <cell r="E161" t="str">
            <v>บจก.แอมโก้เวท</v>
          </cell>
          <cell r="F161" t="str">
            <v>วีโว่ 400</v>
          </cell>
          <cell r="G161">
            <v>21</v>
          </cell>
          <cell r="H161">
            <v>37</v>
          </cell>
          <cell r="I161" t="str">
            <v>ขาว</v>
          </cell>
          <cell r="J161" t="str">
            <v>ใส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45821</v>
          </cell>
          <cell r="Z161" t="str">
            <v>500กระสอบแบน</v>
          </cell>
          <cell r="AA161">
            <v>20000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20000</v>
          </cell>
          <cell r="AM161"/>
          <cell r="AN161">
            <v>21000</v>
          </cell>
          <cell r="AO161" t="str">
            <v>WSWT2121670SM</v>
          </cell>
          <cell r="AQ161">
            <v>21513.800000000003</v>
          </cell>
          <cell r="AR161">
            <v>0</v>
          </cell>
          <cell r="AS161">
            <v>21513.800000000003</v>
          </cell>
          <cell r="AT161">
            <v>0</v>
          </cell>
          <cell r="AU161">
            <v>21513.800000000003</v>
          </cell>
          <cell r="BZ161" t="str">
            <v>WRWT21670/WRWT21670</v>
          </cell>
          <cell r="CA161">
            <v>1547.1290706666666</v>
          </cell>
          <cell r="DL161" t="str">
            <v>P8</v>
          </cell>
          <cell r="DM161">
            <v>4</v>
          </cell>
          <cell r="DN161">
            <v>45821</v>
          </cell>
          <cell r="DP161">
            <v>45816</v>
          </cell>
          <cell r="DQ161">
            <v>45817</v>
          </cell>
          <cell r="DR161">
            <v>45811</v>
          </cell>
          <cell r="DS161">
            <v>45818</v>
          </cell>
          <cell r="DT161">
            <v>45819</v>
          </cell>
          <cell r="DU161">
            <v>45819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MK68-000760</v>
          </cell>
          <cell r="C162">
            <v>45814</v>
          </cell>
          <cell r="E162" t="str">
            <v>บจก.เอพีเอ็ม อะโกร</v>
          </cell>
          <cell r="F162" t="str">
            <v>มาซู ฟีดพี040</v>
          </cell>
          <cell r="G162">
            <v>21</v>
          </cell>
          <cell r="H162">
            <v>38</v>
          </cell>
          <cell r="I162" t="str">
            <v>ขาว</v>
          </cell>
          <cell r="J162" t="str">
            <v>ด้าน</v>
          </cell>
          <cell r="L162">
            <v>102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22</v>
          </cell>
          <cell r="U162">
            <v>40</v>
          </cell>
          <cell r="V162">
            <v>40</v>
          </cell>
          <cell r="X162">
            <v>45821</v>
          </cell>
          <cell r="Z162" t="str">
            <v>500กระสอบแบน</v>
          </cell>
          <cell r="AA162">
            <v>3000</v>
          </cell>
          <cell r="AB162">
            <v>65.13122457599998</v>
          </cell>
          <cell r="AC162">
            <v>0</v>
          </cell>
          <cell r="AD162">
            <v>65.13122457599998</v>
          </cell>
          <cell r="AG162"/>
          <cell r="AI162"/>
          <cell r="AJ162">
            <v>0</v>
          </cell>
          <cell r="AL162">
            <v>3000</v>
          </cell>
          <cell r="AM162"/>
          <cell r="AN162">
            <v>3150</v>
          </cell>
          <cell r="AO162" t="str">
            <v>WSWT2121670SM</v>
          </cell>
          <cell r="AQ162">
            <v>3310.89</v>
          </cell>
          <cell r="AR162">
            <v>3310.89</v>
          </cell>
          <cell r="AS162">
            <v>0</v>
          </cell>
          <cell r="AT162">
            <v>3310.89</v>
          </cell>
          <cell r="AU162">
            <v>0</v>
          </cell>
          <cell r="BZ162" t="str">
            <v>WRWT21670/WRWT21670</v>
          </cell>
          <cell r="CA162">
            <v>0</v>
          </cell>
          <cell r="DL162" t="str">
            <v>P8</v>
          </cell>
          <cell r="DM162">
            <v>4</v>
          </cell>
          <cell r="DN162">
            <v>45821</v>
          </cell>
          <cell r="DP162">
            <v>45816</v>
          </cell>
          <cell r="DQ162">
            <v>45817</v>
          </cell>
          <cell r="DR162">
            <v>45811</v>
          </cell>
          <cell r="DS162">
            <v>45818</v>
          </cell>
          <cell r="DT162">
            <v>45819</v>
          </cell>
          <cell r="DU162">
            <v>45819</v>
          </cell>
          <cell r="DW162">
            <v>45820</v>
          </cell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>รอART</v>
          </cell>
          <cell r="EG162"/>
          <cell r="EH162"/>
          <cell r="EI162"/>
        </row>
        <row r="163">
          <cell r="B163" t="str">
            <v>MK68-000759</v>
          </cell>
          <cell r="C163">
            <v>45814</v>
          </cell>
          <cell r="E163" t="str">
            <v>บจก.เอพีเอ็ม อะโกร</v>
          </cell>
          <cell r="F163" t="str">
            <v>มาซู ฟีดบี0434</v>
          </cell>
          <cell r="G163">
            <v>21</v>
          </cell>
          <cell r="H163">
            <v>40</v>
          </cell>
          <cell r="I163" t="str">
            <v>ขาว</v>
          </cell>
          <cell r="J163" t="str">
            <v>ด้าน</v>
          </cell>
          <cell r="L163">
            <v>108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22</v>
          </cell>
          <cell r="U163">
            <v>42</v>
          </cell>
          <cell r="V163">
            <v>40</v>
          </cell>
          <cell r="X163">
            <v>45821</v>
          </cell>
          <cell r="Z163" t="str">
            <v>500กระสอบแบน</v>
          </cell>
          <cell r="AA163">
            <v>3000</v>
          </cell>
          <cell r="AB163">
            <v>68.387785804799989</v>
          </cell>
          <cell r="AC163">
            <v>0</v>
          </cell>
          <cell r="AD163">
            <v>68.387785804799989</v>
          </cell>
          <cell r="AG163"/>
          <cell r="AI163"/>
          <cell r="AJ163">
            <v>0</v>
          </cell>
          <cell r="AL163">
            <v>3000</v>
          </cell>
          <cell r="AM163"/>
          <cell r="AN163">
            <v>3150</v>
          </cell>
          <cell r="AO163" t="str">
            <v>WSWT2121670SM</v>
          </cell>
          <cell r="AQ163">
            <v>3478.5300000000007</v>
          </cell>
          <cell r="AR163">
            <v>2062</v>
          </cell>
          <cell r="AS163">
            <v>1416.5300000000007</v>
          </cell>
          <cell r="AT163">
            <v>2062</v>
          </cell>
          <cell r="AU163">
            <v>1416.5300000000007</v>
          </cell>
          <cell r="BZ163" t="str">
            <v>WRWT21670/WRWT21670</v>
          </cell>
          <cell r="CA163">
            <v>101.86739406666671</v>
          </cell>
          <cell r="DL163" t="str">
            <v>P8</v>
          </cell>
          <cell r="DM163">
            <v>4</v>
          </cell>
          <cell r="DN163">
            <v>45821</v>
          </cell>
          <cell r="DP163">
            <v>45816</v>
          </cell>
          <cell r="DQ163">
            <v>45817</v>
          </cell>
          <cell r="DR163">
            <v>45811</v>
          </cell>
          <cell r="DS163">
            <v>45818</v>
          </cell>
          <cell r="DT163">
            <v>45819</v>
          </cell>
          <cell r="DU163">
            <v>45819</v>
          </cell>
          <cell r="DW163">
            <v>45820</v>
          </cell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>รอART</v>
          </cell>
          <cell r="EG163"/>
          <cell r="EH163"/>
          <cell r="EI163"/>
        </row>
        <row r="164">
          <cell r="B164" t="str">
            <v>MK68-000752</v>
          </cell>
          <cell r="C164">
            <v>45814</v>
          </cell>
          <cell r="E164" t="str">
            <v>คุณนพวินทร์ รัตนเศรษฐ์เมธา</v>
          </cell>
          <cell r="F164" t="str">
            <v>ลุงนัย ฟาร์ม104</v>
          </cell>
          <cell r="G164">
            <v>21</v>
          </cell>
          <cell r="H164">
            <v>37</v>
          </cell>
          <cell r="I164" t="str">
            <v>ขาว</v>
          </cell>
          <cell r="J164" t="str">
            <v>ด้าน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45822</v>
          </cell>
          <cell r="Z164" t="str">
            <v>500กระสอบ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5000</v>
          </cell>
          <cell r="AM164"/>
          <cell r="AN164">
            <v>5250</v>
          </cell>
          <cell r="AO164" t="str">
            <v>WSWT2121670SM</v>
          </cell>
          <cell r="AQ164">
            <v>5378.4500000000007</v>
          </cell>
          <cell r="AR164">
            <v>5378.4500000000007</v>
          </cell>
          <cell r="AS164">
            <v>0</v>
          </cell>
          <cell r="AT164">
            <v>5378.4500000000007</v>
          </cell>
          <cell r="AU164">
            <v>0</v>
          </cell>
          <cell r="BZ164" t="str">
            <v>WRWT21670/WRWT21670</v>
          </cell>
          <cell r="CA164">
            <v>0</v>
          </cell>
          <cell r="DL164" t="str">
            <v>P8</v>
          </cell>
          <cell r="DM164">
            <v>4</v>
          </cell>
          <cell r="DN164">
            <v>45822</v>
          </cell>
          <cell r="DP164">
            <v>45817</v>
          </cell>
          <cell r="DQ164">
            <v>45818</v>
          </cell>
          <cell r="DR164">
            <v>45812</v>
          </cell>
          <cell r="DS164">
            <v>45819</v>
          </cell>
          <cell r="DT164">
            <v>45820</v>
          </cell>
          <cell r="DU164">
            <v>45820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MK68-000758</v>
          </cell>
          <cell r="C165">
            <v>45815</v>
          </cell>
          <cell r="E165" t="str">
            <v>บจก.เอ็นบี ดิสทริบิวชั่น</v>
          </cell>
          <cell r="F165" t="str">
            <v>กัสโซ่ฟีด101-102</v>
          </cell>
          <cell r="G165">
            <v>21</v>
          </cell>
          <cell r="H165">
            <v>37</v>
          </cell>
          <cell r="I165" t="str">
            <v>ขาว</v>
          </cell>
          <cell r="J165" t="str">
            <v>ใส</v>
          </cell>
          <cell r="L165">
            <v>100</v>
          </cell>
          <cell r="M165" t="str">
            <v>±</v>
          </cell>
          <cell r="N165">
            <v>5</v>
          </cell>
          <cell r="R165" t="str">
            <v>บิด</v>
          </cell>
          <cell r="T165">
            <v>22</v>
          </cell>
          <cell r="U165">
            <v>40</v>
          </cell>
          <cell r="V165">
            <v>40</v>
          </cell>
          <cell r="X165">
            <v>45825</v>
          </cell>
          <cell r="Z165" t="str">
            <v>500กระสอบ</v>
          </cell>
          <cell r="AA165">
            <v>10000</v>
          </cell>
          <cell r="AB165">
            <v>217.10408191999997</v>
          </cell>
          <cell r="AC165">
            <v>0</v>
          </cell>
          <cell r="AD165">
            <v>217.10408191999997</v>
          </cell>
          <cell r="AG165"/>
          <cell r="AI165"/>
          <cell r="AJ165">
            <v>0</v>
          </cell>
          <cell r="AL165">
            <v>10000</v>
          </cell>
          <cell r="AM165"/>
          <cell r="AN165">
            <v>10500</v>
          </cell>
          <cell r="AO165" t="str">
            <v>WSWT2121670SM</v>
          </cell>
          <cell r="AQ165">
            <v>10756.900000000001</v>
          </cell>
          <cell r="AR165">
            <v>0</v>
          </cell>
          <cell r="AS165">
            <v>10756.900000000001</v>
          </cell>
          <cell r="AT165">
            <v>0</v>
          </cell>
          <cell r="AU165">
            <v>10756.900000000001</v>
          </cell>
          <cell r="BZ165" t="str">
            <v>WRWT21670/WRWT21670</v>
          </cell>
          <cell r="CA165">
            <v>773.56453533333331</v>
          </cell>
          <cell r="DL165" t="str">
            <v>P8</v>
          </cell>
          <cell r="DM165">
            <v>4</v>
          </cell>
          <cell r="DN165">
            <v>45825</v>
          </cell>
          <cell r="DP165">
            <v>45820</v>
          </cell>
          <cell r="DQ165">
            <v>45821</v>
          </cell>
          <cell r="DR165">
            <v>45815</v>
          </cell>
          <cell r="DS165">
            <v>45822</v>
          </cell>
          <cell r="DT165">
            <v>45823</v>
          </cell>
          <cell r="DU165">
            <v>45823</v>
          </cell>
          <cell r="DW165">
            <v>45824</v>
          </cell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>รอART</v>
          </cell>
          <cell r="EG165"/>
          <cell r="EH165"/>
          <cell r="EI165"/>
        </row>
        <row r="166">
          <cell r="B166" t="str">
            <v>ใบรับคำสั่งซื้อ</v>
          </cell>
          <cell r="C166">
            <v>45817</v>
          </cell>
          <cell r="E166" t="str">
            <v>บจก.หนองบัวฟีดมิลล์</v>
          </cell>
          <cell r="F166" t="str">
            <v>ยูนิคอร์นฟิช202</v>
          </cell>
          <cell r="G166">
            <v>21</v>
          </cell>
          <cell r="H166">
            <v>37</v>
          </cell>
          <cell r="I166" t="str">
            <v>ขาว</v>
          </cell>
          <cell r="J166" t="str">
            <v>ใส</v>
          </cell>
          <cell r="L166">
            <v>100</v>
          </cell>
          <cell r="M166" t="str">
            <v>±</v>
          </cell>
          <cell r="N166">
            <v>5</v>
          </cell>
          <cell r="R166" t="str">
            <v>บิด</v>
          </cell>
          <cell r="T166">
            <v>22</v>
          </cell>
          <cell r="U166">
            <v>40</v>
          </cell>
          <cell r="V166">
            <v>40</v>
          </cell>
          <cell r="X166">
            <v>45829</v>
          </cell>
          <cell r="Z166" t="str">
            <v>500กระสอบ</v>
          </cell>
          <cell r="AA166">
            <v>10000</v>
          </cell>
          <cell r="AB166">
            <v>217.10408191999997</v>
          </cell>
          <cell r="AC166">
            <v>0</v>
          </cell>
          <cell r="AD166">
            <v>217.10408191999997</v>
          </cell>
          <cell r="AG166"/>
          <cell r="AI166"/>
          <cell r="AJ166">
            <v>0</v>
          </cell>
          <cell r="AL166">
            <v>10000</v>
          </cell>
          <cell r="AM166"/>
          <cell r="AN166">
            <v>10500</v>
          </cell>
          <cell r="AO166" t="str">
            <v>WSWT2121670SM</v>
          </cell>
          <cell r="AQ166">
            <v>10756.900000000001</v>
          </cell>
          <cell r="AR166">
            <v>0</v>
          </cell>
          <cell r="AS166">
            <v>10756.900000000001</v>
          </cell>
          <cell r="AT166">
            <v>0</v>
          </cell>
          <cell r="AU166">
            <v>10756.900000000001</v>
          </cell>
          <cell r="BZ166" t="str">
            <v>WRWT21670/WRWT21670</v>
          </cell>
          <cell r="CA166">
            <v>773.56453533333331</v>
          </cell>
          <cell r="DL166" t="str">
            <v>P8</v>
          </cell>
          <cell r="DM166">
            <v>4</v>
          </cell>
          <cell r="DN166">
            <v>45829</v>
          </cell>
          <cell r="DP166">
            <v>45824</v>
          </cell>
          <cell r="DQ166">
            <v>45825</v>
          </cell>
          <cell r="DR166">
            <v>45819</v>
          </cell>
          <cell r="DS166">
            <v>45826</v>
          </cell>
          <cell r="DT166">
            <v>45827</v>
          </cell>
          <cell r="DU166">
            <v>45827</v>
          </cell>
          <cell r="DW166">
            <v>45828</v>
          </cell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>รอART</v>
          </cell>
          <cell r="EG166"/>
          <cell r="EH166"/>
          <cell r="EI166"/>
        </row>
        <row r="167">
          <cell r="B167" t="str">
            <v>MK68-000709</v>
          </cell>
          <cell r="C167">
            <v>45803</v>
          </cell>
          <cell r="E167" t="str">
            <v>บจก.เอพีเอ็ม อะโกร</v>
          </cell>
          <cell r="F167" t="str">
            <v>โมโม่4132</v>
          </cell>
          <cell r="G167">
            <v>21</v>
          </cell>
          <cell r="H167">
            <v>40</v>
          </cell>
          <cell r="I167" t="str">
            <v>ขาว</v>
          </cell>
          <cell r="J167" t="str">
            <v>ใส</v>
          </cell>
          <cell r="L167">
            <v>108</v>
          </cell>
          <cell r="M167" t="str">
            <v>±</v>
          </cell>
          <cell r="N167">
            <v>5</v>
          </cell>
          <cell r="R167" t="str">
            <v>จับจีบ</v>
          </cell>
          <cell r="T167">
            <v>22</v>
          </cell>
          <cell r="U167">
            <v>42</v>
          </cell>
          <cell r="V167">
            <v>40</v>
          </cell>
          <cell r="X167">
            <v>45831</v>
          </cell>
          <cell r="Z167" t="str">
            <v>500กระสอบแบน</v>
          </cell>
          <cell r="AA167">
            <v>5000</v>
          </cell>
          <cell r="AB167">
            <v>113.97964300799998</v>
          </cell>
          <cell r="AC167">
            <v>0</v>
          </cell>
          <cell r="AD167">
            <v>113.97964300799998</v>
          </cell>
          <cell r="AG167"/>
          <cell r="AI167"/>
          <cell r="AJ167">
            <v>0</v>
          </cell>
          <cell r="AL167">
            <v>5000</v>
          </cell>
          <cell r="AM167"/>
          <cell r="AN167">
            <v>5250</v>
          </cell>
          <cell r="AO167" t="str">
            <v>WSWT2121670SM</v>
          </cell>
          <cell r="AQ167">
            <v>5797.55</v>
          </cell>
          <cell r="AR167">
            <v>0</v>
          </cell>
          <cell r="AS167">
            <v>5797.55</v>
          </cell>
          <cell r="AT167">
            <v>0</v>
          </cell>
          <cell r="AU167">
            <v>5797.55</v>
          </cell>
          <cell r="BZ167" t="str">
            <v>WRWT21670/WRWT21670</v>
          </cell>
          <cell r="CA167">
            <v>416.92114566666663</v>
          </cell>
          <cell r="DL167" t="str">
            <v>P8</v>
          </cell>
          <cell r="DM167">
            <v>4</v>
          </cell>
          <cell r="DN167">
            <v>45831</v>
          </cell>
          <cell r="DP167">
            <v>45826</v>
          </cell>
          <cell r="DQ167">
            <v>45827</v>
          </cell>
          <cell r="DR167">
            <v>45821</v>
          </cell>
          <cell r="DS167">
            <v>45828</v>
          </cell>
          <cell r="DT167">
            <v>45829</v>
          </cell>
          <cell r="DU167">
            <v>45829</v>
          </cell>
          <cell r="DW167">
            <v>45830</v>
          </cell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ใบรับคำสั่งซื้อ</v>
          </cell>
          <cell r="C168">
            <v>45817</v>
          </cell>
          <cell r="E168" t="str">
            <v>บจก.บลูฟาโล่</v>
          </cell>
          <cell r="F168" t="str">
            <v>เมอร์รี่882M</v>
          </cell>
          <cell r="G168">
            <v>21</v>
          </cell>
          <cell r="H168">
            <v>37</v>
          </cell>
          <cell r="I168" t="str">
            <v>ขาว</v>
          </cell>
          <cell r="J168" t="str">
            <v>ใส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บิด</v>
          </cell>
          <cell r="T168">
            <v>22</v>
          </cell>
          <cell r="U168">
            <v>40</v>
          </cell>
          <cell r="V168">
            <v>40</v>
          </cell>
          <cell r="X168">
            <v>45831</v>
          </cell>
          <cell r="Z168" t="str">
            <v>500กระสอบ</v>
          </cell>
          <cell r="AA168">
            <v>5000</v>
          </cell>
          <cell r="AB168">
            <v>108.55204095999999</v>
          </cell>
          <cell r="AC168">
            <v>0</v>
          </cell>
          <cell r="AD168">
            <v>108.55204095999999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WSWT2121670SM</v>
          </cell>
          <cell r="AQ168">
            <v>5378.4500000000007</v>
          </cell>
          <cell r="AR168">
            <v>0</v>
          </cell>
          <cell r="AS168">
            <v>5378.4500000000007</v>
          </cell>
          <cell r="AT168">
            <v>0</v>
          </cell>
          <cell r="AU168">
            <v>5378.4500000000007</v>
          </cell>
          <cell r="BZ168" t="str">
            <v>WRWT21670/WRWT21670</v>
          </cell>
          <cell r="CA168">
            <v>386.78226766666666</v>
          </cell>
          <cell r="DL168" t="str">
            <v>P8</v>
          </cell>
          <cell r="DM168">
            <v>4</v>
          </cell>
          <cell r="DN168">
            <v>45831</v>
          </cell>
          <cell r="DP168">
            <v>45826</v>
          </cell>
          <cell r="DQ168">
            <v>45827</v>
          </cell>
          <cell r="DR168">
            <v>45821</v>
          </cell>
          <cell r="DS168">
            <v>45828</v>
          </cell>
          <cell r="DT168">
            <v>45829</v>
          </cell>
          <cell r="DU168">
            <v>45829</v>
          </cell>
          <cell r="DW168">
            <v>45830</v>
          </cell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>รอART</v>
          </cell>
          <cell r="EG168"/>
          <cell r="EH168"/>
          <cell r="EI168"/>
        </row>
        <row r="169">
          <cell r="B169" t="str">
            <v>ใบรับคำสั่งซื้อ</v>
          </cell>
          <cell r="C169">
            <v>45817</v>
          </cell>
          <cell r="E169" t="str">
            <v>บจก.บลูฟาโล่</v>
          </cell>
          <cell r="F169" t="str">
            <v>เมอร์รี่882L</v>
          </cell>
          <cell r="G169">
            <v>21</v>
          </cell>
          <cell r="H169">
            <v>37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>
            <v>22</v>
          </cell>
          <cell r="U169">
            <v>40</v>
          </cell>
          <cell r="V169">
            <v>40</v>
          </cell>
          <cell r="X169">
            <v>45831</v>
          </cell>
          <cell r="Z169" t="str">
            <v>500กระสอบ</v>
          </cell>
          <cell r="AA169">
            <v>5000</v>
          </cell>
          <cell r="AB169">
            <v>108.55204095999999</v>
          </cell>
          <cell r="AC169">
            <v>0</v>
          </cell>
          <cell r="AD169">
            <v>108.55204095999999</v>
          </cell>
          <cell r="AG169"/>
          <cell r="AI169"/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WSWT2121670SM</v>
          </cell>
          <cell r="AQ169">
            <v>5378.4500000000007</v>
          </cell>
          <cell r="AR169">
            <v>0</v>
          </cell>
          <cell r="AS169">
            <v>5378.4500000000007</v>
          </cell>
          <cell r="AT169">
            <v>0</v>
          </cell>
          <cell r="AU169">
            <v>5378.4500000000007</v>
          </cell>
          <cell r="BZ169" t="str">
            <v>WRWT21670/WRWT21670</v>
          </cell>
          <cell r="CA169">
            <v>386.78226766666666</v>
          </cell>
          <cell r="DL169" t="str">
            <v>P8</v>
          </cell>
          <cell r="DM169">
            <v>4</v>
          </cell>
          <cell r="DN169">
            <v>45831</v>
          </cell>
          <cell r="DP169">
            <v>45826</v>
          </cell>
          <cell r="DQ169">
            <v>45827</v>
          </cell>
          <cell r="DR169">
            <v>45821</v>
          </cell>
          <cell r="DS169">
            <v>45828</v>
          </cell>
          <cell r="DT169">
            <v>45829</v>
          </cell>
          <cell r="DU169">
            <v>45829</v>
          </cell>
          <cell r="DW169">
            <v>45830</v>
          </cell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>รอART</v>
          </cell>
          <cell r="EG169"/>
          <cell r="EH169"/>
          <cell r="EI169"/>
        </row>
        <row r="170">
          <cell r="B170" t="str">
            <v>ประมาณการ</v>
          </cell>
          <cell r="C170" t="str">
            <v>ประมาณการ</v>
          </cell>
          <cell r="E170" t="str">
            <v>บจก.แอมโก้เวท</v>
          </cell>
          <cell r="F170" t="str">
            <v>รอแบบ</v>
          </cell>
          <cell r="G170">
            <v>21</v>
          </cell>
          <cell r="H170">
            <v>37</v>
          </cell>
          <cell r="I170" t="str">
            <v>ขาว</v>
          </cell>
          <cell r="J170" t="str">
            <v>ใส</v>
          </cell>
          <cell r="L170">
            <v>100</v>
          </cell>
          <cell r="M170" t="str">
            <v>±</v>
          </cell>
          <cell r="N170">
            <v>5</v>
          </cell>
          <cell r="R170" t="str">
            <v>ไม่</v>
          </cell>
          <cell r="T170" t="str">
            <v>ไม่สวมถุงใน</v>
          </cell>
          <cell r="U170"/>
          <cell r="V170"/>
          <cell r="X170">
            <v>45838</v>
          </cell>
          <cell r="Z170" t="str">
            <v xml:space="preserve">300กระสอบแบนเต็มใบ </v>
          </cell>
          <cell r="AA170">
            <v>130000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130000</v>
          </cell>
          <cell r="AM170"/>
          <cell r="AN170">
            <v>136500</v>
          </cell>
          <cell r="AO170" t="str">
            <v>WSWT2121670SM</v>
          </cell>
          <cell r="AQ170">
            <v>139839.70000000001</v>
          </cell>
          <cell r="AR170">
            <v>0</v>
          </cell>
          <cell r="AS170">
            <v>139839.70000000001</v>
          </cell>
          <cell r="AT170">
            <v>0</v>
          </cell>
          <cell r="AU170">
            <v>139839.70000000001</v>
          </cell>
          <cell r="BZ170" t="str">
            <v>WRWT21670/WRWT21670</v>
          </cell>
          <cell r="CA170">
            <v>10056.338959333332</v>
          </cell>
          <cell r="DL170" t="str">
            <v>P8</v>
          </cell>
          <cell r="DM170">
            <v>4</v>
          </cell>
          <cell r="DN170">
            <v>45838</v>
          </cell>
          <cell r="DP170">
            <v>45833</v>
          </cell>
          <cell r="DQ170">
            <v>45834</v>
          </cell>
          <cell r="DR170">
            <v>45828</v>
          </cell>
          <cell r="DS170">
            <v>45835</v>
          </cell>
          <cell r="DT170">
            <v>45836</v>
          </cell>
          <cell r="DU170">
            <v>45836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MK67-001617</v>
          </cell>
          <cell r="C171">
            <v>45628</v>
          </cell>
          <cell r="E171" t="str">
            <v>บจก.ที.ซี.ยูเนี่ยน อโกรเทค</v>
          </cell>
          <cell r="F171" t="str">
            <v>Zhejiang UN</v>
          </cell>
          <cell r="G171">
            <v>21</v>
          </cell>
          <cell r="H171">
            <v>37</v>
          </cell>
          <cell r="I171" t="str">
            <v>ขาว</v>
          </cell>
          <cell r="J171" t="str">
            <v>ใส</v>
          </cell>
          <cell r="L171">
            <v>100</v>
          </cell>
          <cell r="M171" t="str">
            <v>±</v>
          </cell>
          <cell r="N171">
            <v>5</v>
          </cell>
          <cell r="R171" t="str">
            <v>ไม่</v>
          </cell>
          <cell r="T171" t="str">
            <v>ไม่สวมถุงใน</v>
          </cell>
          <cell r="U171"/>
          <cell r="V171"/>
          <cell r="X171">
            <v>45838</v>
          </cell>
          <cell r="Z171" t="str">
            <v xml:space="preserve">300กระสอบแบนเต็มใบ </v>
          </cell>
          <cell r="AA171">
            <v>8000</v>
          </cell>
          <cell r="AB171">
            <v>0</v>
          </cell>
          <cell r="AC171">
            <v>0</v>
          </cell>
          <cell r="AD171">
            <v>0</v>
          </cell>
          <cell r="AG171" t="str">
            <v>20/1--5/3 ลูกค้าแจ้งเลื่อน</v>
          </cell>
          <cell r="AI171"/>
          <cell r="AJ171">
            <v>0</v>
          </cell>
          <cell r="AL171">
            <v>8000</v>
          </cell>
          <cell r="AM171">
            <v>0</v>
          </cell>
          <cell r="AN171">
            <v>8400</v>
          </cell>
          <cell r="AO171" t="str">
            <v>WSWT2121670SM</v>
          </cell>
          <cell r="AQ171">
            <v>8605.52</v>
          </cell>
          <cell r="AR171">
            <v>0</v>
          </cell>
          <cell r="AS171">
            <v>8605.52</v>
          </cell>
          <cell r="AT171">
            <v>0</v>
          </cell>
          <cell r="AU171">
            <v>8605.52</v>
          </cell>
          <cell r="BZ171" t="str">
            <v>WRWT21670/WRWT21670</v>
          </cell>
          <cell r="CA171">
            <v>618.85162826666658</v>
          </cell>
          <cell r="DL171" t="str">
            <v>P8</v>
          </cell>
          <cell r="DM171">
            <v>4</v>
          </cell>
          <cell r="DN171">
            <v>45838</v>
          </cell>
          <cell r="DP171">
            <v>45833</v>
          </cell>
          <cell r="DQ171">
            <v>45834</v>
          </cell>
          <cell r="DR171">
            <v>45828</v>
          </cell>
          <cell r="DS171">
            <v>45835</v>
          </cell>
          <cell r="DT171">
            <v>45836</v>
          </cell>
          <cell r="DU171">
            <v>45836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MK68-000703</v>
          </cell>
          <cell r="C172">
            <v>45800</v>
          </cell>
          <cell r="E172" t="str">
            <v>บจก.เอสพีเอ็ม อาหารสัตว์</v>
          </cell>
          <cell r="F172" t="str">
            <v>มาซู ฟีดบี0434</v>
          </cell>
          <cell r="G172">
            <v>21</v>
          </cell>
          <cell r="H172">
            <v>40</v>
          </cell>
          <cell r="I172" t="str">
            <v>ขาว</v>
          </cell>
          <cell r="J172" t="str">
            <v>ด้าน</v>
          </cell>
          <cell r="L172">
            <v>108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22</v>
          </cell>
          <cell r="U172">
            <v>42</v>
          </cell>
          <cell r="V172">
            <v>40</v>
          </cell>
          <cell r="X172">
            <v>45838</v>
          </cell>
          <cell r="Z172" t="str">
            <v>500กระสอบแบน</v>
          </cell>
          <cell r="AA172">
            <v>5000</v>
          </cell>
          <cell r="AB172">
            <v>5.2886554355711999</v>
          </cell>
          <cell r="AC172">
            <v>0</v>
          </cell>
          <cell r="AD172">
            <v>5.2886554355711999</v>
          </cell>
          <cell r="AG172"/>
          <cell r="AI172"/>
          <cell r="AJ172">
            <v>4768</v>
          </cell>
          <cell r="AL172">
            <v>232</v>
          </cell>
          <cell r="AM172">
            <v>10420</v>
          </cell>
          <cell r="AN172">
            <v>0</v>
          </cell>
          <cell r="AO172" t="str">
            <v>WSWT2121670SM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WRWT21670/WRWT21670</v>
          </cell>
          <cell r="CA172">
            <v>0</v>
          </cell>
          <cell r="DL172" t="str">
            <v>P8</v>
          </cell>
          <cell r="DM172">
            <v>4</v>
          </cell>
          <cell r="DN172">
            <v>45838</v>
          </cell>
          <cell r="DP172">
            <v>45833</v>
          </cell>
          <cell r="DQ172">
            <v>45834</v>
          </cell>
          <cell r="DR172">
            <v>45828</v>
          </cell>
          <cell r="DS172">
            <v>45835</v>
          </cell>
          <cell r="DT172">
            <v>45836</v>
          </cell>
          <cell r="DU172">
            <v>45836</v>
          </cell>
          <cell r="DW172">
            <v>45837</v>
          </cell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MK68-000691</v>
          </cell>
          <cell r="C173">
            <v>45798</v>
          </cell>
          <cell r="E173" t="str">
            <v>บจก.เอพีเอ็ม อะโกร</v>
          </cell>
          <cell r="F173" t="str">
            <v>ฟีล กู๊ด 821</v>
          </cell>
          <cell r="G173">
            <v>21</v>
          </cell>
          <cell r="H173">
            <v>38</v>
          </cell>
          <cell r="I173" t="str">
            <v>ขาว</v>
          </cell>
          <cell r="J173" t="str">
            <v>ใส</v>
          </cell>
          <cell r="L173">
            <v>102</v>
          </cell>
          <cell r="M173" t="str">
            <v>±</v>
          </cell>
          <cell r="N173">
            <v>5</v>
          </cell>
          <cell r="R173" t="str">
            <v>บิด</v>
          </cell>
          <cell r="T173">
            <v>22</v>
          </cell>
          <cell r="U173">
            <v>40</v>
          </cell>
          <cell r="V173">
            <v>40</v>
          </cell>
          <cell r="X173" t="str">
            <v>รอแจ้ง</v>
          </cell>
          <cell r="Z173" t="str">
            <v>500กระสอบแบน</v>
          </cell>
          <cell r="AA173">
            <v>3000</v>
          </cell>
          <cell r="AB173">
            <v>65.13122457599998</v>
          </cell>
          <cell r="AC173">
            <v>0</v>
          </cell>
          <cell r="AD173">
            <v>65.13122457599998</v>
          </cell>
          <cell r="AG173"/>
          <cell r="AI173"/>
          <cell r="AJ173">
            <v>0</v>
          </cell>
          <cell r="AL173">
            <v>3000</v>
          </cell>
          <cell r="AM173"/>
          <cell r="AN173">
            <v>3150</v>
          </cell>
          <cell r="AO173" t="str">
            <v>WSWT2121670SM</v>
          </cell>
          <cell r="AQ173">
            <v>3310.89</v>
          </cell>
          <cell r="AR173">
            <v>0</v>
          </cell>
          <cell r="AS173">
            <v>3310.89</v>
          </cell>
          <cell r="AT173">
            <v>0</v>
          </cell>
          <cell r="AU173">
            <v>3310.89</v>
          </cell>
          <cell r="BZ173" t="str">
            <v>WRWT21670/WRWT21670</v>
          </cell>
          <cell r="CA173">
            <v>238.09713619999999</v>
          </cell>
          <cell r="DL173" t="str">
            <v>P8</v>
          </cell>
          <cell r="DM173">
            <v>4</v>
          </cell>
          <cell r="DN173" t="str">
            <v>รอแจ้ง</v>
          </cell>
          <cell r="DP173" t="e">
            <v>#VALUE!</v>
          </cell>
          <cell r="DQ173" t="e">
            <v>#VALUE!</v>
          </cell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 t="e">
            <v>#VALUE!</v>
          </cell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MK67-001642</v>
          </cell>
          <cell r="C174">
            <v>45631</v>
          </cell>
          <cell r="E174" t="str">
            <v>บจก.ที.ซี.ยูเนี่ยน อโกรเทค</v>
          </cell>
          <cell r="F174" t="str">
            <v>Zhejiang UN</v>
          </cell>
          <cell r="G174">
            <v>21</v>
          </cell>
          <cell r="H174">
            <v>37</v>
          </cell>
          <cell r="I174" t="str">
            <v>ขาว</v>
          </cell>
          <cell r="J174" t="str">
            <v>ใส</v>
          </cell>
          <cell r="L174">
            <v>100</v>
          </cell>
          <cell r="M174" t="str">
            <v>±</v>
          </cell>
          <cell r="N174">
            <v>5</v>
          </cell>
          <cell r="R174" t="str">
            <v>ไม่</v>
          </cell>
          <cell r="T174" t="str">
            <v>ไม่สวมถุงใน</v>
          </cell>
          <cell r="U174"/>
          <cell r="V174"/>
          <cell r="X174" t="str">
            <v>รอแจ้ง</v>
          </cell>
          <cell r="Z174" t="str">
            <v xml:space="preserve">300กระสอบแบนเต็มใบ </v>
          </cell>
          <cell r="AA174">
            <v>16000</v>
          </cell>
          <cell r="AB174">
            <v>0</v>
          </cell>
          <cell r="AC174">
            <v>0</v>
          </cell>
          <cell r="AD174">
            <v>0</v>
          </cell>
          <cell r="AG174" t="str">
            <v>3/2---19/3 ลูกค้าแจ้งเลื่อน</v>
          </cell>
          <cell r="AI174"/>
          <cell r="AJ174">
            <v>0</v>
          </cell>
          <cell r="AL174">
            <v>16000</v>
          </cell>
          <cell r="AM174"/>
          <cell r="AN174">
            <v>16800</v>
          </cell>
          <cell r="AO174" t="str">
            <v>WSWT2121670SM</v>
          </cell>
          <cell r="AQ174">
            <v>17211.04</v>
          </cell>
          <cell r="AR174">
            <v>0</v>
          </cell>
          <cell r="AS174">
            <v>17211.04</v>
          </cell>
          <cell r="AT174">
            <v>0</v>
          </cell>
          <cell r="AU174">
            <v>17211.04</v>
          </cell>
          <cell r="BZ174" t="str">
            <v>WRWT21670/WRWT21670</v>
          </cell>
          <cell r="CA174">
            <v>1237.7032565333332</v>
          </cell>
          <cell r="DL174" t="str">
            <v>P8</v>
          </cell>
          <cell r="DM174">
            <v>4</v>
          </cell>
          <cell r="DN174" t="str">
            <v>รอแจ้ง</v>
          </cell>
          <cell r="DP174" t="e">
            <v>#VALUE!</v>
          </cell>
          <cell r="DQ174" t="e">
            <v>#VALUE!</v>
          </cell>
          <cell r="DR174" t="e">
            <v>#VALUE!</v>
          </cell>
          <cell r="DS174" t="e">
            <v>#VALUE!</v>
          </cell>
          <cell r="DT174" t="e">
            <v>#VALUE!</v>
          </cell>
          <cell r="DU174" t="e">
            <v>#VALUE!</v>
          </cell>
          <cell r="DW174"/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MK67-001643</v>
          </cell>
          <cell r="C175">
            <v>45631</v>
          </cell>
          <cell r="E175" t="str">
            <v>บจก.ที.ซี.ยูเนี่ยน อโกรเทค</v>
          </cell>
          <cell r="F175" t="str">
            <v>Zhejiang UN</v>
          </cell>
          <cell r="G175">
            <v>21</v>
          </cell>
          <cell r="H175">
            <v>37</v>
          </cell>
          <cell r="I175" t="str">
            <v>ขาว</v>
          </cell>
          <cell r="J175" t="str">
            <v>ใส</v>
          </cell>
          <cell r="L175">
            <v>100</v>
          </cell>
          <cell r="M175" t="str">
            <v>±</v>
          </cell>
          <cell r="N175">
            <v>5</v>
          </cell>
          <cell r="R175" t="str">
            <v>ไม่</v>
          </cell>
          <cell r="T175" t="str">
            <v>ไม่สวมถุงใน</v>
          </cell>
          <cell r="U175"/>
          <cell r="V175"/>
          <cell r="X175" t="str">
            <v>รอแจ้ง</v>
          </cell>
          <cell r="Z175" t="str">
            <v xml:space="preserve">300กระสอบแบนเต็มใบ </v>
          </cell>
          <cell r="AA175">
            <v>16000</v>
          </cell>
          <cell r="AB175">
            <v>0</v>
          </cell>
          <cell r="AC175">
            <v>0</v>
          </cell>
          <cell r="AD175">
            <v>0</v>
          </cell>
          <cell r="AG175" t="str">
            <v>17/2---28/3 ลูกค้าแจ้งเลื่อน</v>
          </cell>
          <cell r="AI175"/>
          <cell r="AJ175">
            <v>0</v>
          </cell>
          <cell r="AL175">
            <v>16000</v>
          </cell>
          <cell r="AM175"/>
          <cell r="AN175">
            <v>16800</v>
          </cell>
          <cell r="AO175" t="str">
            <v>WSWT2121670SM</v>
          </cell>
          <cell r="AQ175">
            <v>17211.04</v>
          </cell>
          <cell r="AR175">
            <v>0</v>
          </cell>
          <cell r="AS175">
            <v>17211.04</v>
          </cell>
          <cell r="AT175">
            <v>0</v>
          </cell>
          <cell r="AU175">
            <v>17211.04</v>
          </cell>
          <cell r="BZ175" t="str">
            <v>WRWT21670/WRWT21670</v>
          </cell>
          <cell r="CA175">
            <v>1237.7032565333332</v>
          </cell>
          <cell r="DL175" t="str">
            <v>P8</v>
          </cell>
          <cell r="DM175">
            <v>4</v>
          </cell>
          <cell r="DN175" t="str">
            <v>รอแจ้ง</v>
          </cell>
          <cell r="DP175" t="e">
            <v>#VALUE!</v>
          </cell>
          <cell r="DQ175" t="e">
            <v>#VALUE!</v>
          </cell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/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ประมาณการ</v>
          </cell>
          <cell r="C176" t="str">
            <v>ประมาณการ</v>
          </cell>
          <cell r="E176" t="str">
            <v>บจก.ที.ซี.ยูเนี่ยน อโกรเทค</v>
          </cell>
          <cell r="F176" t="str">
            <v>Zhejiang UN</v>
          </cell>
          <cell r="G176">
            <v>21</v>
          </cell>
          <cell r="H176">
            <v>37</v>
          </cell>
          <cell r="I176" t="str">
            <v>ขาว</v>
          </cell>
          <cell r="J176" t="str">
            <v>ใส</v>
          </cell>
          <cell r="L176">
            <v>100</v>
          </cell>
          <cell r="M176" t="str">
            <v>±</v>
          </cell>
          <cell r="N176">
            <v>5</v>
          </cell>
          <cell r="R176" t="str">
            <v>ไม่</v>
          </cell>
          <cell r="T176" t="str">
            <v>ไม่สวมถุงใน</v>
          </cell>
          <cell r="U176"/>
          <cell r="V176"/>
          <cell r="X176" t="str">
            <v>รอแจ้ง</v>
          </cell>
          <cell r="Z176" t="str">
            <v xml:space="preserve">300กระสอบแบนเต็มใบ </v>
          </cell>
          <cell r="AA176">
            <v>10000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10000</v>
          </cell>
          <cell r="AM176"/>
          <cell r="AN176">
            <v>10500</v>
          </cell>
          <cell r="AO176" t="str">
            <v>WSWT2121670SM</v>
          </cell>
          <cell r="AQ176">
            <v>10756.900000000001</v>
          </cell>
          <cell r="AR176">
            <v>0</v>
          </cell>
          <cell r="AS176">
            <v>10756.900000000001</v>
          </cell>
          <cell r="AT176">
            <v>0</v>
          </cell>
          <cell r="AU176">
            <v>10756.900000000001</v>
          </cell>
          <cell r="BZ176" t="str">
            <v>WRWT21670/WRWT21670</v>
          </cell>
          <cell r="CA176">
            <v>773.56453533333331</v>
          </cell>
          <cell r="DL176" t="str">
            <v>P8</v>
          </cell>
          <cell r="DM176">
            <v>4</v>
          </cell>
          <cell r="DN176" t="str">
            <v>รอแจ้ง</v>
          </cell>
          <cell r="DP176" t="e">
            <v>#VALUE!</v>
          </cell>
          <cell r="DQ176" t="e">
            <v>#VALUE!</v>
          </cell>
          <cell r="DR176" t="e">
            <v>#VALUE!</v>
          </cell>
          <cell r="DS176" t="e">
            <v>#VALUE!</v>
          </cell>
          <cell r="DT176" t="e">
            <v>#VALUE!</v>
          </cell>
          <cell r="DU176" t="e">
            <v>#VALUE!</v>
          </cell>
          <cell r="DW176"/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ประมาณการ</v>
          </cell>
          <cell r="C177" t="str">
            <v>ประมาณการ</v>
          </cell>
          <cell r="E177" t="str">
            <v>บจก.เอพีเอ็ม อะโกร</v>
          </cell>
          <cell r="F177" t="str">
            <v>รอแบบ</v>
          </cell>
          <cell r="G177">
            <v>21</v>
          </cell>
          <cell r="H177">
            <v>40</v>
          </cell>
          <cell r="I177" t="str">
            <v>ขาว</v>
          </cell>
          <cell r="J177" t="str">
            <v>ใส</v>
          </cell>
          <cell r="L177">
            <v>108</v>
          </cell>
          <cell r="M177" t="str">
            <v>±</v>
          </cell>
          <cell r="N177">
            <v>5</v>
          </cell>
          <cell r="R177" t="str">
            <v>จับจีบ</v>
          </cell>
          <cell r="T177">
            <v>22</v>
          </cell>
          <cell r="U177">
            <v>42</v>
          </cell>
          <cell r="V177">
            <v>40</v>
          </cell>
          <cell r="X177" t="str">
            <v>รอแจ้ง</v>
          </cell>
          <cell r="Z177" t="str">
            <v>500กระสอบแบน</v>
          </cell>
          <cell r="AA177">
            <v>10000</v>
          </cell>
          <cell r="AB177">
            <v>227.95928601599996</v>
          </cell>
          <cell r="AC177">
            <v>0</v>
          </cell>
          <cell r="AD177">
            <v>227.95928601599996</v>
          </cell>
          <cell r="AG177"/>
          <cell r="AI177"/>
          <cell r="AJ177">
            <v>0</v>
          </cell>
          <cell r="AL177">
            <v>10000</v>
          </cell>
          <cell r="AM177"/>
          <cell r="AN177">
            <v>10500</v>
          </cell>
          <cell r="AO177" t="str">
            <v>WSWT2121670SM</v>
          </cell>
          <cell r="AQ177">
            <v>11595.1</v>
          </cell>
          <cell r="AR177">
            <v>0</v>
          </cell>
          <cell r="AS177">
            <v>11595.1</v>
          </cell>
          <cell r="AT177">
            <v>0</v>
          </cell>
          <cell r="AU177">
            <v>11595.1</v>
          </cell>
          <cell r="BZ177" t="str">
            <v>WRWT21670/WRWT21670</v>
          </cell>
          <cell r="CA177">
            <v>833.84229133333326</v>
          </cell>
          <cell r="DL177" t="str">
            <v>P8</v>
          </cell>
          <cell r="DM177">
            <v>4</v>
          </cell>
          <cell r="DN177" t="str">
            <v>รอแจ้ง</v>
          </cell>
          <cell r="DP177" t="e">
            <v>#VALUE!</v>
          </cell>
          <cell r="DQ177" t="e">
            <v>#VALUE!</v>
          </cell>
          <cell r="DR177" t="e">
            <v>#VALUE!</v>
          </cell>
          <cell r="DS177" t="e">
            <v>#VALUE!</v>
          </cell>
          <cell r="DT177" t="e">
            <v>#VALUE!</v>
          </cell>
          <cell r="DU177" t="e">
            <v>#VALUE!</v>
          </cell>
          <cell r="DW177" t="e">
            <v>#VALUE!</v>
          </cell>
          <cell r="DX177"/>
          <cell r="DY177"/>
          <cell r="DZ177"/>
          <cell r="EA177"/>
          <cell r="EB177"/>
          <cell r="EC177" t="str">
            <v>งานเคลือบ+พิมพ์</v>
          </cell>
          <cell r="ED177" t="str">
            <v>รอART</v>
          </cell>
          <cell r="EG177"/>
          <cell r="EH177"/>
          <cell r="EI177"/>
        </row>
        <row r="178">
          <cell r="B178" t="str">
            <v>MK66-000701</v>
          </cell>
          <cell r="C178">
            <v>45066</v>
          </cell>
          <cell r="E178" t="str">
            <v>บจก.เอสพีเอ็ม อาหารสัตว์</v>
          </cell>
          <cell r="F178" t="str">
            <v>มาซูฟีด ซี041</v>
          </cell>
          <cell r="G178">
            <v>21</v>
          </cell>
          <cell r="H178">
            <v>38</v>
          </cell>
          <cell r="I178" t="str">
            <v>ขาว</v>
          </cell>
          <cell r="J178" t="str">
            <v>ด้าน</v>
          </cell>
          <cell r="L178">
            <v>102</v>
          </cell>
          <cell r="M178" t="str">
            <v>±</v>
          </cell>
          <cell r="N178">
            <v>5</v>
          </cell>
          <cell r="R178" t="str">
            <v>บิด</v>
          </cell>
          <cell r="T178">
            <v>22</v>
          </cell>
          <cell r="U178">
            <v>40</v>
          </cell>
          <cell r="V178">
            <v>40</v>
          </cell>
          <cell r="X178" t="str">
            <v>รอแจ้ง</v>
          </cell>
          <cell r="Z178" t="str">
            <v>500กระสอบแบน</v>
          </cell>
          <cell r="AA178">
            <v>5000</v>
          </cell>
          <cell r="AB178">
            <v>108.55204095999999</v>
          </cell>
          <cell r="AC178">
            <v>0</v>
          </cell>
          <cell r="AD178">
            <v>108.55204095999999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WSWT2121670SM</v>
          </cell>
          <cell r="AQ178">
            <v>5518.15</v>
          </cell>
          <cell r="AR178">
            <v>0</v>
          </cell>
          <cell r="AS178">
            <v>5518.15</v>
          </cell>
          <cell r="AT178">
            <v>0</v>
          </cell>
          <cell r="AU178">
            <v>5518.15</v>
          </cell>
          <cell r="BZ178" t="str">
            <v>WRWT21670/WRWT21670</v>
          </cell>
          <cell r="CA178">
            <v>396.82856033333326</v>
          </cell>
          <cell r="DL178" t="str">
            <v>P8</v>
          </cell>
          <cell r="DM178">
            <v>4</v>
          </cell>
          <cell r="DN178" t="str">
            <v>รอแจ้ง</v>
          </cell>
          <cell r="DP178" t="e">
            <v>#VALUE!</v>
          </cell>
          <cell r="DQ178" t="e">
            <v>#VALUE!</v>
          </cell>
          <cell r="DR178" t="e">
            <v>#VALUE!</v>
          </cell>
          <cell r="DS178" t="e">
            <v>#VALUE!</v>
          </cell>
          <cell r="DT178" t="e">
            <v>#VALUE!</v>
          </cell>
          <cell r="DU178" t="e">
            <v>#VALUE!</v>
          </cell>
          <cell r="DW178" t="e">
            <v>#VALUE!</v>
          </cell>
          <cell r="DX178"/>
          <cell r="DY178"/>
          <cell r="DZ178"/>
          <cell r="EA178"/>
          <cell r="EB178"/>
          <cell r="EC178" t="str">
            <v>งานเคลือบ+พิมพ์</v>
          </cell>
          <cell r="ED178" t="str">
            <v xml:space="preserve"> /</v>
          </cell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21</v>
          </cell>
          <cell r="H179">
            <v>37</v>
          </cell>
          <cell r="I179"/>
          <cell r="J179"/>
          <cell r="L179">
            <v>74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/>
          <cell r="AC179" t="str">
            <v>ว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WSWT2121670SM</v>
          </cell>
          <cell r="AQ179">
            <v>357552.66716400004</v>
          </cell>
          <cell r="AR179">
            <v>58306.047164000003</v>
          </cell>
          <cell r="AS179">
            <v>299246.62000000005</v>
          </cell>
          <cell r="AT179">
            <v>10751.34</v>
          </cell>
          <cell r="AU179">
            <v>346801.32716400002</v>
          </cell>
          <cell r="BZ179" t="str">
            <v>WRWT210670/WRWT21670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>
            <v>0</v>
          </cell>
          <cell r="EI179">
            <v>0</v>
          </cell>
        </row>
        <row r="180">
          <cell r="B180" t="str">
            <v>MK68-000640</v>
          </cell>
          <cell r="C180">
            <v>9</v>
          </cell>
          <cell r="E180" t="str">
            <v>กรมการข้าว</v>
          </cell>
          <cell r="F180" t="str">
            <v>เมล็ดพันธุ์ข้าว</v>
          </cell>
          <cell r="G180">
            <v>22</v>
          </cell>
          <cell r="H180">
            <v>34</v>
          </cell>
          <cell r="I180" t="str">
            <v>ขาว</v>
          </cell>
          <cell r="J180" t="str">
            <v>ใส</v>
          </cell>
          <cell r="L180">
            <v>115</v>
          </cell>
          <cell r="M180" t="str">
            <v>+</v>
          </cell>
          <cell r="N180">
            <v>5</v>
          </cell>
          <cell r="R180" t="str">
            <v>ไม่</v>
          </cell>
          <cell r="T180" t="str">
            <v>ไม่สวมถุงใน</v>
          </cell>
          <cell r="U180"/>
          <cell r="V180"/>
          <cell r="X180">
            <v>45833</v>
          </cell>
          <cell r="Z180" t="str">
            <v>300กระสอบแบนเต็มใบ</v>
          </cell>
          <cell r="AA180">
            <v>239700</v>
          </cell>
          <cell r="AB180">
            <v>0</v>
          </cell>
          <cell r="AC180">
            <v>0</v>
          </cell>
          <cell r="AD180">
            <v>0</v>
          </cell>
          <cell r="AG180"/>
          <cell r="AI180" t="str">
            <v>ห้ามขาด-ผลิตเกิน 300</v>
          </cell>
          <cell r="AJ180">
            <v>0</v>
          </cell>
          <cell r="AL180">
            <v>239700</v>
          </cell>
          <cell r="AM180">
            <v>117200</v>
          </cell>
          <cell r="AN180">
            <v>128625</v>
          </cell>
          <cell r="AO180" t="str">
            <v>WSWT2221940</v>
          </cell>
          <cell r="AQ180">
            <v>127579.27875</v>
          </cell>
          <cell r="AR180">
            <v>37618</v>
          </cell>
          <cell r="AS180">
            <v>89961.278749999998</v>
          </cell>
          <cell r="AT180">
            <v>7900</v>
          </cell>
          <cell r="AU180">
            <v>119679.27875</v>
          </cell>
          <cell r="BZ180" t="str">
            <v>WRWT21940/WRWT21940</v>
          </cell>
          <cell r="CA180">
            <v>9612.0627635083347</v>
          </cell>
          <cell r="DL180" t="str">
            <v>P8</v>
          </cell>
          <cell r="DM180">
            <v>4</v>
          </cell>
          <cell r="DN180">
            <v>45833</v>
          </cell>
          <cell r="DP180">
            <v>45828</v>
          </cell>
          <cell r="DQ180">
            <v>45829</v>
          </cell>
          <cell r="DR180">
            <v>45823</v>
          </cell>
          <cell r="DS180">
            <v>45830</v>
          </cell>
          <cell r="DT180">
            <v>45831</v>
          </cell>
          <cell r="DU180">
            <v>45831</v>
          </cell>
          <cell r="DW180"/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 t="str">
            <v xml:space="preserve"> /</v>
          </cell>
          <cell r="EG180"/>
          <cell r="EH180"/>
          <cell r="EI180"/>
        </row>
        <row r="181">
          <cell r="B181">
            <v>0</v>
          </cell>
          <cell r="C181"/>
          <cell r="E181"/>
          <cell r="F181"/>
          <cell r="G181">
            <v>21.6</v>
          </cell>
          <cell r="H181">
            <v>34</v>
          </cell>
          <cell r="I181"/>
          <cell r="J181"/>
          <cell r="L181">
            <v>97</v>
          </cell>
          <cell r="M181" t="str">
            <v>±</v>
          </cell>
          <cell r="N181">
            <v>5</v>
          </cell>
          <cell r="R181"/>
          <cell r="T181"/>
          <cell r="U181"/>
          <cell r="V181"/>
          <cell r="X181"/>
          <cell r="Z181"/>
          <cell r="AA181"/>
          <cell r="AB181">
            <v>0</v>
          </cell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WSWT2221940</v>
          </cell>
          <cell r="AQ181">
            <v>127579.27875</v>
          </cell>
          <cell r="AR181">
            <v>37618</v>
          </cell>
          <cell r="AS181">
            <v>89961.278749999998</v>
          </cell>
          <cell r="AT181">
            <v>7900</v>
          </cell>
          <cell r="AU181">
            <v>119679.27875</v>
          </cell>
          <cell r="BZ181" t="str">
            <v>WRWT21940/WRWT21940</v>
          </cell>
          <cell r="CA181">
            <v>0</v>
          </cell>
          <cell r="DL181"/>
          <cell r="DM181" t="str">
            <v>Lead time</v>
          </cell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/>
          <cell r="EI181">
            <v>0</v>
          </cell>
        </row>
        <row r="182">
          <cell r="B182" t="str">
            <v>ประมาณการ</v>
          </cell>
          <cell r="C182" t="str">
            <v>ประมาณการ</v>
          </cell>
          <cell r="E182" t="str">
            <v>บจก.ซิเบลโก้(สบปราบ)</v>
          </cell>
          <cell r="F182" t="str">
            <v>รอแบบ</v>
          </cell>
          <cell r="G182">
            <v>23</v>
          </cell>
          <cell r="H182">
            <v>34</v>
          </cell>
          <cell r="I182" t="str">
            <v>ขาว</v>
          </cell>
          <cell r="J182" t="str">
            <v>ใส</v>
          </cell>
          <cell r="L182">
            <v>92</v>
          </cell>
          <cell r="M182" t="str">
            <v>±</v>
          </cell>
          <cell r="N182">
            <v>5</v>
          </cell>
          <cell r="R182" t="str">
            <v>ไม่</v>
          </cell>
          <cell r="T182" t="str">
            <v>ไม่สวมถุงใน</v>
          </cell>
          <cell r="U182"/>
          <cell r="V182"/>
          <cell r="X182">
            <v>45838</v>
          </cell>
          <cell r="Z182" t="str">
            <v>มัด100</v>
          </cell>
          <cell r="AA182">
            <v>10000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10000</v>
          </cell>
          <cell r="AM182">
            <v>0</v>
          </cell>
          <cell r="AN182">
            <v>10500</v>
          </cell>
          <cell r="AO182" t="str">
            <v>WSWT2325650</v>
          </cell>
          <cell r="AQ182">
            <v>9918.7000000000007</v>
          </cell>
          <cell r="AR182">
            <v>9918.7000000000007</v>
          </cell>
          <cell r="AS182">
            <v>0</v>
          </cell>
          <cell r="AT182">
            <v>0</v>
          </cell>
          <cell r="AU182">
            <v>9918.7000000000007</v>
          </cell>
          <cell r="BZ182" t="str">
            <v>WRWT25650/WRWT25650</v>
          </cell>
          <cell r="CA182">
            <v>0</v>
          </cell>
          <cell r="DL182" t="str">
            <v>P8</v>
          </cell>
          <cell r="DM182">
            <v>4</v>
          </cell>
          <cell r="DN182">
            <v>45838</v>
          </cell>
          <cell r="DP182">
            <v>45833</v>
          </cell>
          <cell r="DQ182">
            <v>45834</v>
          </cell>
          <cell r="DR182">
            <v>45828</v>
          </cell>
          <cell r="DS182">
            <v>45835</v>
          </cell>
          <cell r="DT182">
            <v>45836</v>
          </cell>
          <cell r="DU182">
            <v>45836</v>
          </cell>
          <cell r="DW182"/>
          <cell r="DX182"/>
          <cell r="DY182"/>
          <cell r="DZ182"/>
          <cell r="EA182"/>
          <cell r="EB182"/>
          <cell r="EC182" t="str">
            <v>งานเคลือบ+พิมพ์</v>
          </cell>
          <cell r="ED182" t="str">
            <v>รอART</v>
          </cell>
          <cell r="EG182"/>
          <cell r="EH182"/>
          <cell r="EI182"/>
        </row>
        <row r="183">
          <cell r="B183" t="str">
            <v>ประมาณการ</v>
          </cell>
          <cell r="C183" t="str">
            <v>ประมาณการ</v>
          </cell>
          <cell r="E183" t="str">
            <v>บจก.ซิเบลโก้(สบปราบ)</v>
          </cell>
          <cell r="F183" t="str">
            <v>รอแบบ</v>
          </cell>
          <cell r="G183">
            <v>23</v>
          </cell>
          <cell r="H183">
            <v>34</v>
          </cell>
          <cell r="I183" t="str">
            <v>ขาว</v>
          </cell>
          <cell r="J183"/>
          <cell r="L183">
            <v>68</v>
          </cell>
          <cell r="M183" t="str">
            <v>±</v>
          </cell>
          <cell r="N183">
            <v>5</v>
          </cell>
          <cell r="R183" t="str">
            <v>ไม่</v>
          </cell>
          <cell r="T183">
            <v>24</v>
          </cell>
          <cell r="U183">
            <v>37</v>
          </cell>
          <cell r="V183">
            <v>50</v>
          </cell>
          <cell r="X183">
            <v>45838</v>
          </cell>
          <cell r="Z183" t="str">
            <v>มัด100</v>
          </cell>
          <cell r="AA183">
            <v>10000</v>
          </cell>
          <cell r="AB183">
            <v>273.84719423999996</v>
          </cell>
          <cell r="AC183">
            <v>0</v>
          </cell>
          <cell r="AD183">
            <v>273.84719423999996</v>
          </cell>
          <cell r="AG183"/>
          <cell r="AI183"/>
          <cell r="AJ183">
            <v>0</v>
          </cell>
          <cell r="AL183">
            <v>10000</v>
          </cell>
          <cell r="AM183"/>
          <cell r="AN183">
            <v>10500</v>
          </cell>
          <cell r="AO183" t="str">
            <v>WSWT2325650</v>
          </cell>
          <cell r="AQ183">
            <v>9918.7000000000007</v>
          </cell>
          <cell r="AR183">
            <v>9918.7000000000007</v>
          </cell>
          <cell r="AS183">
            <v>0</v>
          </cell>
          <cell r="AT183">
            <v>0</v>
          </cell>
          <cell r="AU183">
            <v>0</v>
          </cell>
          <cell r="BZ183" t="str">
            <v>WRWT25650/WRWT25650</v>
          </cell>
          <cell r="CA183">
            <v>0</v>
          </cell>
          <cell r="DL183" t="str">
            <v>P9</v>
          </cell>
          <cell r="DM183">
            <v>3</v>
          </cell>
          <cell r="DN183">
            <v>45838</v>
          </cell>
          <cell r="DP183">
            <v>45833</v>
          </cell>
          <cell r="DQ183"/>
          <cell r="DR183">
            <v>45828</v>
          </cell>
          <cell r="DS183">
            <v>45835</v>
          </cell>
          <cell r="DT183">
            <v>45836</v>
          </cell>
          <cell r="DU183">
            <v>45836</v>
          </cell>
          <cell r="DW183">
            <v>45837</v>
          </cell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>รอART</v>
          </cell>
          <cell r="EG183"/>
          <cell r="EH183"/>
          <cell r="EI183"/>
        </row>
        <row r="184">
          <cell r="B184">
            <v>0</v>
          </cell>
          <cell r="C184"/>
          <cell r="E184"/>
          <cell r="F184"/>
          <cell r="G184">
            <v>23</v>
          </cell>
          <cell r="H184">
            <v>34</v>
          </cell>
          <cell r="I184" t="str">
            <v>ขาว</v>
          </cell>
          <cell r="J184"/>
          <cell r="L184">
            <v>68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>
            <v>0</v>
          </cell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WSWT2325650</v>
          </cell>
          <cell r="AQ184">
            <v>19837.400000000001</v>
          </cell>
          <cell r="AR184">
            <v>19837.400000000001</v>
          </cell>
          <cell r="AS184">
            <v>0</v>
          </cell>
          <cell r="AT184">
            <v>0</v>
          </cell>
          <cell r="AU184">
            <v>9918.7000000000007</v>
          </cell>
          <cell r="BZ184" t="str">
            <v>WRWT25650/WRWT25650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>
            <v>0</v>
          </cell>
        </row>
        <row r="185">
          <cell r="B185" t="str">
            <v>ประมาณการ</v>
          </cell>
          <cell r="C185" t="str">
            <v>ประมาณการ</v>
          </cell>
          <cell r="E185" t="str">
            <v>พันธุ์ข้าว</v>
          </cell>
          <cell r="F185" t="str">
            <v>รอแบบ</v>
          </cell>
          <cell r="G185">
            <v>23</v>
          </cell>
          <cell r="H185">
            <v>34</v>
          </cell>
          <cell r="I185" t="str">
            <v>ขาวแถบใส5</v>
          </cell>
          <cell r="J185"/>
          <cell r="L185">
            <v>68</v>
          </cell>
          <cell r="M185" t="str">
            <v>±</v>
          </cell>
          <cell r="N185">
            <v>5</v>
          </cell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45838</v>
          </cell>
          <cell r="Z185" t="str">
            <v>500กระสอบ</v>
          </cell>
          <cell r="AA185">
            <v>10000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/>
          <cell r="AL185">
            <v>10000</v>
          </cell>
          <cell r="AM185"/>
          <cell r="AN185">
            <v>10500</v>
          </cell>
          <cell r="AO185" t="str">
            <v>WSWTSCL052325650</v>
          </cell>
          <cell r="AQ185">
            <v>9918.7000000000007</v>
          </cell>
          <cell r="AR185">
            <v>0</v>
          </cell>
          <cell r="AS185">
            <v>9918.7000000000007</v>
          </cell>
          <cell r="AT185">
            <v>0</v>
          </cell>
          <cell r="AU185">
            <v>0</v>
          </cell>
          <cell r="BZ185" t="str">
            <v>WRWT25650/WRCL25680</v>
          </cell>
          <cell r="CA185">
            <v>800.41704844444439</v>
          </cell>
          <cell r="DL185" t="str">
            <v>P7</v>
          </cell>
          <cell r="DM185">
            <v>2</v>
          </cell>
          <cell r="DN185">
            <v>45838</v>
          </cell>
          <cell r="DP185">
            <v>45833</v>
          </cell>
          <cell r="DQ185"/>
          <cell r="DR185">
            <v>45829</v>
          </cell>
          <cell r="DS185">
            <v>45836</v>
          </cell>
          <cell r="DT185">
            <v>45837</v>
          </cell>
          <cell r="DU185">
            <v>45837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>รอART</v>
          </cell>
          <cell r="EG185"/>
          <cell r="EH185"/>
          <cell r="EI185"/>
        </row>
        <row r="186">
          <cell r="B186">
            <v>0</v>
          </cell>
          <cell r="C186"/>
          <cell r="E186"/>
          <cell r="F186"/>
          <cell r="G186">
            <v>23</v>
          </cell>
          <cell r="H186">
            <v>34</v>
          </cell>
          <cell r="I186" t="str">
            <v>ขาวแถบใส5</v>
          </cell>
          <cell r="J186"/>
          <cell r="L186">
            <v>68</v>
          </cell>
          <cell r="M186" t="str">
            <v>±</v>
          </cell>
          <cell r="N186">
            <v>5</v>
          </cell>
          <cell r="R186"/>
          <cell r="T186"/>
          <cell r="U186"/>
          <cell r="V186"/>
          <cell r="X186"/>
          <cell r="Z186"/>
          <cell r="AA186"/>
          <cell r="AB186">
            <v>0</v>
          </cell>
          <cell r="AC186">
            <v>0</v>
          </cell>
          <cell r="AD186"/>
          <cell r="AG186"/>
          <cell r="AI186"/>
          <cell r="AJ186"/>
          <cell r="AL186">
            <v>0</v>
          </cell>
          <cell r="AM186"/>
          <cell r="AN186">
            <v>0</v>
          </cell>
          <cell r="AO186" t="str">
            <v>WSWTSCL052325650</v>
          </cell>
          <cell r="AQ186">
            <v>9918.7000000000007</v>
          </cell>
          <cell r="AR186">
            <v>0</v>
          </cell>
          <cell r="AS186">
            <v>9918.7000000000007</v>
          </cell>
          <cell r="AT186">
            <v>0</v>
          </cell>
          <cell r="AU186">
            <v>0</v>
          </cell>
          <cell r="BZ186" t="str">
            <v>WRWT25650/WRCL25680</v>
          </cell>
          <cell r="CA186">
            <v>0</v>
          </cell>
          <cell r="DL186"/>
          <cell r="DM186" t="str">
            <v>Lead time</v>
          </cell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/>
          <cell r="EI186">
            <v>0</v>
          </cell>
        </row>
        <row r="187">
          <cell r="B187">
            <v>0</v>
          </cell>
          <cell r="C187"/>
          <cell r="E187"/>
          <cell r="F187"/>
          <cell r="G187">
            <v>23</v>
          </cell>
          <cell r="H187">
            <v>34</v>
          </cell>
          <cell r="I187" t="str">
            <v>ขาวแถบใส2</v>
          </cell>
          <cell r="J187"/>
          <cell r="L187">
            <v>68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>
            <v>0</v>
          </cell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WSWTFCL022325650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BZ187" t="str">
            <v>WRWT25650/WRCL25680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>
            <v>0</v>
          </cell>
          <cell r="EI187">
            <v>0</v>
          </cell>
        </row>
        <row r="188">
          <cell r="B188">
            <v>0</v>
          </cell>
          <cell r="C188"/>
          <cell r="E188"/>
          <cell r="F188"/>
          <cell r="G188">
            <v>23</v>
          </cell>
          <cell r="H188">
            <v>37</v>
          </cell>
          <cell r="I188" t="str">
            <v>ขาว</v>
          </cell>
          <cell r="J188"/>
          <cell r="L188">
            <v>85</v>
          </cell>
          <cell r="M188" t="str">
            <v>±</v>
          </cell>
          <cell r="N188">
            <v>5</v>
          </cell>
          <cell r="R188"/>
          <cell r="T188"/>
          <cell r="U188"/>
          <cell r="V188"/>
          <cell r="X188"/>
          <cell r="Z188"/>
          <cell r="AA188"/>
          <cell r="AB188">
            <v>0</v>
          </cell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WSWT2325800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WRWT25800/WRWT28750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>
            <v>0</v>
          </cell>
          <cell r="EI188">
            <v>0</v>
          </cell>
        </row>
        <row r="189">
          <cell r="B189" t="str">
            <v>MK68-000378</v>
          </cell>
          <cell r="C189">
            <v>45727</v>
          </cell>
          <cell r="E189" t="str">
            <v>บจก.แอมโก้เวท</v>
          </cell>
          <cell r="F189" t="str">
            <v>ไม่พิมพ์</v>
          </cell>
          <cell r="G189">
            <v>23</v>
          </cell>
          <cell r="H189">
            <v>40</v>
          </cell>
          <cell r="I189" t="str">
            <v>ขาว</v>
          </cell>
          <cell r="J189" t="str">
            <v>ใส</v>
          </cell>
          <cell r="L189">
            <v>125</v>
          </cell>
          <cell r="M189" t="str">
            <v>±</v>
          </cell>
          <cell r="N189">
            <v>5</v>
          </cell>
          <cell r="R189" t="str">
            <v>จับจีบ4"</v>
          </cell>
          <cell r="T189" t="str">
            <v>ไม่สวมถุงใน</v>
          </cell>
          <cell r="U189"/>
          <cell r="V189"/>
          <cell r="X189" t="str">
            <v>รอแจ้ง</v>
          </cell>
          <cell r="Z189" t="str">
            <v>500กระสอบแบน</v>
          </cell>
          <cell r="AA189">
            <v>1000</v>
          </cell>
          <cell r="AB189">
            <v>0</v>
          </cell>
          <cell r="AC189">
            <v>0</v>
          </cell>
          <cell r="AD189">
            <v>0</v>
          </cell>
          <cell r="AG189"/>
          <cell r="AI189" t="str">
            <v>ห้ามขาด-เกินได้5%</v>
          </cell>
          <cell r="AJ189">
            <v>0</v>
          </cell>
          <cell r="AL189">
            <v>1000</v>
          </cell>
          <cell r="AM189"/>
          <cell r="AN189">
            <v>0</v>
          </cell>
          <cell r="AO189" t="str">
            <v>WSWT2321750</v>
          </cell>
          <cell r="AQ189">
            <v>1159.5100000000002</v>
          </cell>
          <cell r="AR189">
            <v>1159.5100000000002</v>
          </cell>
          <cell r="AS189">
            <v>0</v>
          </cell>
          <cell r="AT189">
            <v>1159.5100000000002</v>
          </cell>
          <cell r="AU189">
            <v>0</v>
          </cell>
          <cell r="BZ189" t="str">
            <v>WRWT21750/WRWT21750</v>
          </cell>
          <cell r="CA189">
            <v>0</v>
          </cell>
          <cell r="DL189" t="str">
            <v>P11</v>
          </cell>
          <cell r="DM189">
            <v>2</v>
          </cell>
          <cell r="DN189" t="str">
            <v>รอแจ้ง</v>
          </cell>
          <cell r="DP189" t="e">
            <v>#VALUE!</v>
          </cell>
          <cell r="DQ189" t="e">
            <v>#VALUE!</v>
          </cell>
          <cell r="DR189"/>
          <cell r="DS189"/>
          <cell r="DT189"/>
          <cell r="DU189" t="e">
            <v>#VALUE!</v>
          </cell>
          <cell r="DW189"/>
          <cell r="DX189"/>
          <cell r="DY189"/>
          <cell r="DZ189"/>
          <cell r="EA189"/>
          <cell r="EB189"/>
          <cell r="EC189" t="str">
            <v>งานเคลือบ+ตัด</v>
          </cell>
          <cell r="ED189"/>
          <cell r="EG189"/>
          <cell r="EH189"/>
          <cell r="EI189"/>
        </row>
        <row r="190">
          <cell r="B190">
            <v>0</v>
          </cell>
          <cell r="C190"/>
          <cell r="E190"/>
          <cell r="F190"/>
          <cell r="G190">
            <v>23</v>
          </cell>
          <cell r="H190">
            <v>37</v>
          </cell>
          <cell r="I190"/>
          <cell r="J190"/>
          <cell r="L190">
            <v>85</v>
          </cell>
          <cell r="M190" t="str">
            <v>±</v>
          </cell>
          <cell r="N190">
            <v>5</v>
          </cell>
          <cell r="R190"/>
          <cell r="T190"/>
          <cell r="U190"/>
          <cell r="V190"/>
          <cell r="X190"/>
          <cell r="Z190"/>
          <cell r="AA190"/>
          <cell r="AB190"/>
          <cell r="AC190">
            <v>0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WSWT2321750</v>
          </cell>
          <cell r="AQ190">
            <v>1159.5100000000002</v>
          </cell>
          <cell r="AR190">
            <v>1159.5100000000002</v>
          </cell>
          <cell r="AS190">
            <v>0</v>
          </cell>
          <cell r="AT190">
            <v>1159.5100000000002</v>
          </cell>
          <cell r="AU190">
            <v>0</v>
          </cell>
          <cell r="BZ190" t="str">
            <v>WRWT230750/WRWT21750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>
            <v>0</v>
          </cell>
          <cell r="EI190">
            <v>0</v>
          </cell>
        </row>
        <row r="191">
          <cell r="B191">
            <v>0</v>
          </cell>
          <cell r="C191"/>
          <cell r="E191"/>
          <cell r="F191"/>
          <cell r="G191">
            <v>23</v>
          </cell>
          <cell r="H191">
            <v>34</v>
          </cell>
          <cell r="I191"/>
          <cell r="J191"/>
          <cell r="L191">
            <v>68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/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WSWTSCL1R042325650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BZ191" t="str">
            <v>WRWT230650/WRWT25680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>
            <v>0</v>
          </cell>
          <cell r="C192"/>
          <cell r="E192"/>
          <cell r="F192"/>
          <cell r="G192">
            <v>23</v>
          </cell>
          <cell r="H192">
            <v>37</v>
          </cell>
          <cell r="I192" t="str">
            <v>ขาว</v>
          </cell>
          <cell r="J192"/>
          <cell r="L192">
            <v>90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>
            <v>0</v>
          </cell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WSWT2325800SM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WRWT21800/WRWT21800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>
            <v>0</v>
          </cell>
        </row>
        <row r="193">
          <cell r="B193">
            <v>0</v>
          </cell>
          <cell r="C193"/>
          <cell r="E193"/>
          <cell r="F193"/>
          <cell r="G193">
            <v>23</v>
          </cell>
          <cell r="H193">
            <v>37</v>
          </cell>
          <cell r="I193"/>
          <cell r="J193"/>
          <cell r="L193">
            <v>120</v>
          </cell>
          <cell r="M193" t="str">
            <v>+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/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WSWT23211125120SMFX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BZ193" t="str">
            <v>WROP2301125/WRBR21940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>
            <v>0</v>
          </cell>
        </row>
        <row r="194">
          <cell r="B194">
            <v>0</v>
          </cell>
          <cell r="C194"/>
          <cell r="E194"/>
          <cell r="F194" t="str">
            <v xml:space="preserve">  </v>
          </cell>
          <cell r="G194">
            <v>23</v>
          </cell>
          <cell r="H194">
            <v>37</v>
          </cell>
          <cell r="I194" t="str">
            <v>ขาว</v>
          </cell>
          <cell r="J194"/>
          <cell r="L194">
            <v>130</v>
          </cell>
          <cell r="M194" t="str">
            <v>+</v>
          </cell>
          <cell r="N194">
            <v>3</v>
          </cell>
          <cell r="R194"/>
          <cell r="T194"/>
          <cell r="U194"/>
          <cell r="V194"/>
          <cell r="X194"/>
          <cell r="Z194"/>
          <cell r="AA194"/>
          <cell r="AB194">
            <v>0</v>
          </cell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WSWT23211125130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BZ194" t="str">
            <v>WRWT211125/WRWT251080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/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23</v>
          </cell>
          <cell r="H195">
            <v>37</v>
          </cell>
          <cell r="I195"/>
          <cell r="J195"/>
          <cell r="L195">
            <v>120</v>
          </cell>
          <cell r="M195" t="str">
            <v>±</v>
          </cell>
          <cell r="N195">
            <v>3</v>
          </cell>
          <cell r="R195"/>
          <cell r="T195"/>
          <cell r="U195"/>
          <cell r="V195"/>
          <cell r="X195"/>
          <cell r="Z195"/>
          <cell r="AA195"/>
          <cell r="AB195">
            <v>0</v>
          </cell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WSWT2321112512051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WRWT211125/WRWT21900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>
            <v>0</v>
          </cell>
        </row>
        <row r="196">
          <cell r="B196" t="str">
            <v>MK67-001490</v>
          </cell>
          <cell r="C196">
            <v>45601</v>
          </cell>
          <cell r="E196" t="str">
            <v>บจก.น้ำตาลทิพย์สุโขทัย</v>
          </cell>
          <cell r="F196" t="str">
            <v>Blue for Refine sugar</v>
          </cell>
          <cell r="G196">
            <v>23</v>
          </cell>
          <cell r="H196">
            <v>37</v>
          </cell>
          <cell r="I196" t="str">
            <v>ขาว</v>
          </cell>
          <cell r="J196"/>
          <cell r="L196">
            <v>130</v>
          </cell>
          <cell r="M196" t="str">
            <v>±</v>
          </cell>
          <cell r="N196">
            <v>5</v>
          </cell>
          <cell r="R196" t="str">
            <v>บิด</v>
          </cell>
          <cell r="T196">
            <v>24</v>
          </cell>
          <cell r="U196">
            <v>40</v>
          </cell>
          <cell r="V196">
            <v>55</v>
          </cell>
          <cell r="X196">
            <v>45831</v>
          </cell>
          <cell r="Z196" t="str">
            <v>400แบน</v>
          </cell>
          <cell r="AA196">
            <v>54000</v>
          </cell>
          <cell r="AB196">
            <v>1758.5430635519999</v>
          </cell>
          <cell r="AC196">
            <v>0</v>
          </cell>
          <cell r="AD196">
            <v>1758.5430635519999</v>
          </cell>
          <cell r="AG196"/>
          <cell r="AI196"/>
          <cell r="AJ196">
            <v>0</v>
          </cell>
          <cell r="AL196">
            <v>54000</v>
          </cell>
          <cell r="AM196"/>
          <cell r="AN196">
            <v>56700</v>
          </cell>
          <cell r="AO196" t="str">
            <v>WSWT2321112512551</v>
          </cell>
          <cell r="AQ196">
            <v>58087.26</v>
          </cell>
          <cell r="AR196">
            <v>58087.26</v>
          </cell>
          <cell r="AS196">
            <v>0</v>
          </cell>
          <cell r="AT196">
            <v>0</v>
          </cell>
          <cell r="AU196">
            <v>0</v>
          </cell>
          <cell r="BZ196" t="str">
            <v>WRWT211125/WRWT251030</v>
          </cell>
          <cell r="CA196">
            <v>0</v>
          </cell>
          <cell r="DL196" t="str">
            <v>P9</v>
          </cell>
          <cell r="DM196">
            <v>3</v>
          </cell>
          <cell r="DN196">
            <v>45831</v>
          </cell>
          <cell r="DP196">
            <v>45826</v>
          </cell>
          <cell r="DQ196"/>
          <cell r="DR196">
            <v>45821</v>
          </cell>
          <cell r="DS196">
            <v>45828</v>
          </cell>
          <cell r="DT196">
            <v>45829</v>
          </cell>
          <cell r="DU196">
            <v>45829</v>
          </cell>
          <cell r="DW196">
            <v>45830</v>
          </cell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MK67-001490</v>
          </cell>
          <cell r="C197">
            <v>45601</v>
          </cell>
          <cell r="E197" t="str">
            <v>บจก.น้ำตาลทิพย์สุโขทัย</v>
          </cell>
          <cell r="F197" t="str">
            <v>Blue for Refine sugar</v>
          </cell>
          <cell r="G197">
            <v>23</v>
          </cell>
          <cell r="H197">
            <v>37</v>
          </cell>
          <cell r="I197" t="str">
            <v>ขาว</v>
          </cell>
          <cell r="J197"/>
          <cell r="L197">
            <v>130</v>
          </cell>
          <cell r="M197" t="str">
            <v>±</v>
          </cell>
          <cell r="N197">
            <v>5</v>
          </cell>
          <cell r="R197" t="str">
            <v>บิด</v>
          </cell>
          <cell r="T197">
            <v>24</v>
          </cell>
          <cell r="U197">
            <v>40</v>
          </cell>
          <cell r="V197">
            <v>55</v>
          </cell>
          <cell r="X197">
            <v>45835</v>
          </cell>
          <cell r="Z197" t="str">
            <v>400แบน</v>
          </cell>
          <cell r="AA197">
            <v>54000</v>
          </cell>
          <cell r="AB197">
            <v>1758.5430635519999</v>
          </cell>
          <cell r="AC197">
            <v>0</v>
          </cell>
          <cell r="AD197">
            <v>1758.5430635519999</v>
          </cell>
          <cell r="AG197"/>
          <cell r="AI197"/>
          <cell r="AJ197">
            <v>0</v>
          </cell>
          <cell r="AL197">
            <v>54000</v>
          </cell>
          <cell r="AM197"/>
          <cell r="AN197">
            <v>56700</v>
          </cell>
          <cell r="AO197" t="str">
            <v>WSWT2321112512551</v>
          </cell>
          <cell r="AQ197">
            <v>58087.26</v>
          </cell>
          <cell r="AR197">
            <v>4678</v>
          </cell>
          <cell r="AS197">
            <v>53409.26</v>
          </cell>
          <cell r="AT197">
            <v>0</v>
          </cell>
          <cell r="AU197">
            <v>0</v>
          </cell>
          <cell r="BZ197" t="str">
            <v>WRWT211125/WRWT251030</v>
          </cell>
          <cell r="CA197">
            <v>6841.9190727722225</v>
          </cell>
          <cell r="DL197" t="str">
            <v>P9</v>
          </cell>
          <cell r="DM197">
            <v>3</v>
          </cell>
          <cell r="DN197">
            <v>45835</v>
          </cell>
          <cell r="DP197">
            <v>45830</v>
          </cell>
          <cell r="DQ197"/>
          <cell r="DR197">
            <v>45825</v>
          </cell>
          <cell r="DS197">
            <v>45832</v>
          </cell>
          <cell r="DT197">
            <v>45833</v>
          </cell>
          <cell r="DU197">
            <v>45833</v>
          </cell>
          <cell r="DW197">
            <v>45834</v>
          </cell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MK67-001490</v>
          </cell>
          <cell r="C198">
            <v>45601</v>
          </cell>
          <cell r="E198" t="str">
            <v>บจก.น้ำตาลทิพย์สุโขทัย</v>
          </cell>
          <cell r="F198" t="str">
            <v>Blue for Refine sugar</v>
          </cell>
          <cell r="G198">
            <v>23</v>
          </cell>
          <cell r="H198">
            <v>37</v>
          </cell>
          <cell r="I198" t="str">
            <v>ขาว</v>
          </cell>
          <cell r="J198"/>
          <cell r="L198">
            <v>130</v>
          </cell>
          <cell r="M198" t="str">
            <v>±</v>
          </cell>
          <cell r="N198">
            <v>5</v>
          </cell>
          <cell r="R198" t="str">
            <v>บิด</v>
          </cell>
          <cell r="T198">
            <v>24</v>
          </cell>
          <cell r="U198">
            <v>40</v>
          </cell>
          <cell r="V198">
            <v>55</v>
          </cell>
          <cell r="X198">
            <v>45842</v>
          </cell>
          <cell r="Z198" t="str">
            <v>400แบน</v>
          </cell>
          <cell r="AA198">
            <v>50800</v>
          </cell>
          <cell r="AB198">
            <v>1396.4134549094399</v>
          </cell>
          <cell r="AC198">
            <v>0</v>
          </cell>
          <cell r="AD198">
            <v>1396.4134549094399</v>
          </cell>
          <cell r="AG198"/>
          <cell r="AI198"/>
          <cell r="AJ198">
            <v>7920</v>
          </cell>
          <cell r="AL198">
            <v>42880</v>
          </cell>
          <cell r="AM198"/>
          <cell r="AN198">
            <v>45024</v>
          </cell>
          <cell r="AO198" t="str">
            <v>WSWT2321112512551</v>
          </cell>
          <cell r="AQ198">
            <v>46125.587200000002</v>
          </cell>
          <cell r="AR198">
            <v>0</v>
          </cell>
          <cell r="AS198">
            <v>46125.587200000002</v>
          </cell>
          <cell r="AT198">
            <v>0</v>
          </cell>
          <cell r="AU198">
            <v>0</v>
          </cell>
          <cell r="BZ198" t="str">
            <v>WRWT211125/WRWT251030</v>
          </cell>
          <cell r="CA198">
            <v>5908.8542849404448</v>
          </cell>
          <cell r="DL198" t="str">
            <v>P9</v>
          </cell>
          <cell r="DM198">
            <v>3</v>
          </cell>
          <cell r="DN198">
            <v>45842</v>
          </cell>
          <cell r="DP198">
            <v>45837</v>
          </cell>
          <cell r="DQ198"/>
          <cell r="DR198">
            <v>45832</v>
          </cell>
          <cell r="DS198">
            <v>45839</v>
          </cell>
          <cell r="DT198">
            <v>45840</v>
          </cell>
          <cell r="DU198">
            <v>45840</v>
          </cell>
          <cell r="DW198">
            <v>45841</v>
          </cell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MK67-001490</v>
          </cell>
          <cell r="C199">
            <v>45601</v>
          </cell>
          <cell r="E199" t="str">
            <v>บจก.น้ำตาลทิพย์สุโขทัย</v>
          </cell>
          <cell r="F199" t="str">
            <v>Green for white sugar</v>
          </cell>
          <cell r="G199">
            <v>23</v>
          </cell>
          <cell r="H199">
            <v>37</v>
          </cell>
          <cell r="I199" t="str">
            <v>ขาว</v>
          </cell>
          <cell r="J199"/>
          <cell r="L199">
            <v>130</v>
          </cell>
          <cell r="M199" t="str">
            <v>±</v>
          </cell>
          <cell r="N199">
            <v>5</v>
          </cell>
          <cell r="R199" t="str">
            <v>บิด</v>
          </cell>
          <cell r="T199">
            <v>24</v>
          </cell>
          <cell r="U199">
            <v>40</v>
          </cell>
          <cell r="V199">
            <v>55</v>
          </cell>
          <cell r="X199" t="str">
            <v>รอแจ้ง</v>
          </cell>
          <cell r="Z199" t="str">
            <v>400แบน</v>
          </cell>
          <cell r="AA199">
            <v>200000</v>
          </cell>
          <cell r="AB199">
            <v>4070.701536</v>
          </cell>
          <cell r="AC199">
            <v>264</v>
          </cell>
          <cell r="AD199">
            <v>3806.701536</v>
          </cell>
          <cell r="AG199" t="str">
            <v>FG   20/6</v>
          </cell>
          <cell r="AI199" t="str">
            <v>สั่งเวียดนามสำเร็จรูปทั้งหมด</v>
          </cell>
          <cell r="AJ199">
            <v>75000</v>
          </cell>
          <cell r="AL199">
            <v>125000</v>
          </cell>
          <cell r="AM199"/>
          <cell r="AN199">
            <v>131250</v>
          </cell>
          <cell r="AO199" t="str">
            <v>WSWT2321112512551VN</v>
          </cell>
          <cell r="AQ199">
            <v>134461.25</v>
          </cell>
          <cell r="AR199">
            <v>0</v>
          </cell>
          <cell r="AS199">
            <v>134461.25</v>
          </cell>
          <cell r="AT199">
            <v>0</v>
          </cell>
          <cell r="AU199">
            <v>0</v>
          </cell>
          <cell r="BZ199" t="str">
            <v>WRWT211125/WRWT251030</v>
          </cell>
          <cell r="CA199">
            <v>17224.971679513892</v>
          </cell>
          <cell r="DL199" t="str">
            <v>P9</v>
          </cell>
          <cell r="DM199">
            <v>3</v>
          </cell>
          <cell r="DN199" t="str">
            <v>รอแจ้ง</v>
          </cell>
          <cell r="DP199" t="e">
            <v>#VALUE!</v>
          </cell>
          <cell r="DQ199"/>
          <cell r="DR199" t="e">
            <v>#VALUE!</v>
          </cell>
          <cell r="DS199" t="e">
            <v>#VALUE!</v>
          </cell>
          <cell r="DT199" t="e">
            <v>#VALUE!</v>
          </cell>
          <cell r="DU199" t="e">
            <v>#VALUE!</v>
          </cell>
          <cell r="DW199" t="e">
            <v>#VALUE!</v>
          </cell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MK67-001490</v>
          </cell>
          <cell r="C200">
            <v>45601</v>
          </cell>
          <cell r="E200" t="str">
            <v>บจก.น้ำตาลทิพย์สุโขทัย</v>
          </cell>
          <cell r="F200" t="str">
            <v>Green for white sugar</v>
          </cell>
          <cell r="G200">
            <v>23</v>
          </cell>
          <cell r="H200">
            <v>37</v>
          </cell>
          <cell r="I200" t="str">
            <v>ขาว</v>
          </cell>
          <cell r="J200"/>
          <cell r="L200">
            <v>130</v>
          </cell>
          <cell r="M200" t="str">
            <v>±</v>
          </cell>
          <cell r="N200">
            <v>5</v>
          </cell>
          <cell r="R200" t="str">
            <v>บิด</v>
          </cell>
          <cell r="T200">
            <v>24</v>
          </cell>
          <cell r="U200">
            <v>40</v>
          </cell>
          <cell r="V200">
            <v>55</v>
          </cell>
          <cell r="X200" t="str">
            <v>รอแจ้ง</v>
          </cell>
          <cell r="Z200" t="str">
            <v>400แบน</v>
          </cell>
          <cell r="AA200">
            <v>200000</v>
          </cell>
          <cell r="AB200">
            <v>6513.1224575999995</v>
          </cell>
          <cell r="AC200">
            <v>0</v>
          </cell>
          <cell r="AD200">
            <v>6513.1224575999995</v>
          </cell>
          <cell r="AG200">
            <v>45858</v>
          </cell>
          <cell r="AI200" t="str">
            <v>สั่งเวียดนามสำเร็จรูปทั้งหมด</v>
          </cell>
          <cell r="AJ200">
            <v>0</v>
          </cell>
          <cell r="AL200">
            <v>200000</v>
          </cell>
          <cell r="AM200"/>
          <cell r="AN200">
            <v>210000</v>
          </cell>
          <cell r="AO200" t="str">
            <v>WSWT2321112512551VN</v>
          </cell>
          <cell r="AQ200">
            <v>215138.00000000003</v>
          </cell>
          <cell r="AR200">
            <v>0</v>
          </cell>
          <cell r="AS200">
            <v>215138.00000000003</v>
          </cell>
          <cell r="AT200">
            <v>0</v>
          </cell>
          <cell r="AU200">
            <v>0</v>
          </cell>
          <cell r="BZ200" t="str">
            <v>WRWT211125/WRWT251030</v>
          </cell>
          <cell r="CA200">
            <v>27559.954687222227</v>
          </cell>
          <cell r="DL200" t="str">
            <v>P9</v>
          </cell>
          <cell r="DM200">
            <v>3</v>
          </cell>
          <cell r="DN200" t="str">
            <v>รอแจ้ง</v>
          </cell>
          <cell r="DP200" t="e">
            <v>#VALUE!</v>
          </cell>
          <cell r="DQ200"/>
          <cell r="DR200" t="e">
            <v>#VALUE!</v>
          </cell>
          <cell r="DS200" t="e">
            <v>#VALUE!</v>
          </cell>
          <cell r="DT200" t="e">
            <v>#VALUE!</v>
          </cell>
          <cell r="DU200" t="e">
            <v>#VALUE!</v>
          </cell>
          <cell r="DW200" t="e">
            <v>#VALUE!</v>
          </cell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MK67-001490</v>
          </cell>
          <cell r="C201">
            <v>45601</v>
          </cell>
          <cell r="E201" t="str">
            <v>บจก.น้ำตาลทิพย์สุโขทัย</v>
          </cell>
          <cell r="F201" t="str">
            <v>Green for white sugar</v>
          </cell>
          <cell r="G201">
            <v>23</v>
          </cell>
          <cell r="H201">
            <v>37</v>
          </cell>
          <cell r="I201" t="str">
            <v>ขาว</v>
          </cell>
          <cell r="J201"/>
          <cell r="L201">
            <v>130</v>
          </cell>
          <cell r="M201" t="str">
            <v>±</v>
          </cell>
          <cell r="N201">
            <v>5</v>
          </cell>
          <cell r="R201" t="str">
            <v>บิด</v>
          </cell>
          <cell r="T201">
            <v>24</v>
          </cell>
          <cell r="U201">
            <v>40</v>
          </cell>
          <cell r="V201">
            <v>55</v>
          </cell>
          <cell r="X201" t="str">
            <v>รอแจ้ง</v>
          </cell>
          <cell r="Z201" t="str">
            <v>400แบน</v>
          </cell>
          <cell r="AA201">
            <v>200000</v>
          </cell>
          <cell r="AB201">
            <v>6513.1224575999995</v>
          </cell>
          <cell r="AC201">
            <v>0</v>
          </cell>
          <cell r="AD201">
            <v>6513.1224575999995</v>
          </cell>
          <cell r="AG201">
            <v>45889</v>
          </cell>
          <cell r="AI201" t="str">
            <v>สั่งเวียดนามสำเร็จรูปทั้งหมด</v>
          </cell>
          <cell r="AJ201">
            <v>0</v>
          </cell>
          <cell r="AL201">
            <v>200000</v>
          </cell>
          <cell r="AM201"/>
          <cell r="AN201">
            <v>210000</v>
          </cell>
          <cell r="AO201" t="str">
            <v>WSWT2321112512551</v>
          </cell>
          <cell r="AQ201">
            <v>215138.00000000003</v>
          </cell>
          <cell r="AR201">
            <v>0</v>
          </cell>
          <cell r="AS201">
            <v>215138.00000000003</v>
          </cell>
          <cell r="AT201">
            <v>0</v>
          </cell>
          <cell r="AU201">
            <v>0</v>
          </cell>
          <cell r="BZ201" t="str">
            <v>WRWT211125/WRWT251030</v>
          </cell>
          <cell r="CA201">
            <v>27559.954687222227</v>
          </cell>
          <cell r="DL201" t="str">
            <v>P9</v>
          </cell>
          <cell r="DM201">
            <v>3</v>
          </cell>
          <cell r="DN201" t="str">
            <v>รอแจ้ง</v>
          </cell>
          <cell r="DP201" t="e">
            <v>#VALUE!</v>
          </cell>
          <cell r="DQ201"/>
          <cell r="DR201" t="e">
            <v>#VALUE!</v>
          </cell>
          <cell r="DS201" t="e">
            <v>#VALUE!</v>
          </cell>
          <cell r="DT201" t="e">
            <v>#VALUE!</v>
          </cell>
          <cell r="DU201" t="e">
            <v>#VALUE!</v>
          </cell>
          <cell r="DW201" t="e">
            <v>#VALUE!</v>
          </cell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MK67-001490</v>
          </cell>
          <cell r="C202">
            <v>45601</v>
          </cell>
          <cell r="E202" t="str">
            <v>บจก.น้ำตาลทิพย์สุโขทัย</v>
          </cell>
          <cell r="F202" t="str">
            <v>Green for white sugar</v>
          </cell>
          <cell r="G202">
            <v>23</v>
          </cell>
          <cell r="H202">
            <v>37</v>
          </cell>
          <cell r="I202" t="str">
            <v>ขาว</v>
          </cell>
          <cell r="J202"/>
          <cell r="L202">
            <v>130</v>
          </cell>
          <cell r="M202" t="str">
            <v>±</v>
          </cell>
          <cell r="N202">
            <v>5</v>
          </cell>
          <cell r="R202" t="str">
            <v>บิด</v>
          </cell>
          <cell r="T202">
            <v>24</v>
          </cell>
          <cell r="U202">
            <v>40</v>
          </cell>
          <cell r="V202">
            <v>55</v>
          </cell>
          <cell r="X202" t="str">
            <v>รอแจ้ง</v>
          </cell>
          <cell r="Z202" t="str">
            <v>400แบน</v>
          </cell>
          <cell r="AA202">
            <v>106278</v>
          </cell>
          <cell r="AB202">
            <v>3461.0081427440637</v>
          </cell>
          <cell r="AC202">
            <v>0</v>
          </cell>
          <cell r="AD202">
            <v>3461.0081427440637</v>
          </cell>
          <cell r="AG202"/>
          <cell r="AI202" t="str">
            <v>สั่งเวียดนามสำเร็จรูปทั้งหมด</v>
          </cell>
          <cell r="AJ202">
            <v>0</v>
          </cell>
          <cell r="AL202">
            <v>106278</v>
          </cell>
          <cell r="AM202"/>
          <cell r="AN202">
            <v>111591.90000000001</v>
          </cell>
          <cell r="AO202" t="str">
            <v>WSWT2321112512551</v>
          </cell>
          <cell r="AQ202">
            <v>114322.18182000001</v>
          </cell>
          <cell r="AR202">
            <v>0</v>
          </cell>
          <cell r="AS202">
            <v>114322.18182000001</v>
          </cell>
          <cell r="AT202">
            <v>0</v>
          </cell>
          <cell r="AU202">
            <v>0</v>
          </cell>
          <cell r="BZ202" t="str">
            <v>WRWT211125/WRWT251030</v>
          </cell>
          <cell r="CA202">
            <v>14645.084321243019</v>
          </cell>
          <cell r="DL202" t="str">
            <v>P9</v>
          </cell>
          <cell r="DM202">
            <v>3</v>
          </cell>
          <cell r="DN202" t="str">
            <v>รอแจ้ง</v>
          </cell>
          <cell r="DP202" t="e">
            <v>#VALUE!</v>
          </cell>
          <cell r="DQ202"/>
          <cell r="DR202" t="e">
            <v>#VALUE!</v>
          </cell>
          <cell r="DS202" t="e">
            <v>#VALUE!</v>
          </cell>
          <cell r="DT202" t="e">
            <v>#VALUE!</v>
          </cell>
          <cell r="DU202" t="e">
            <v>#VALUE!</v>
          </cell>
          <cell r="DW202" t="e">
            <v>#VALUE!</v>
          </cell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MK67-001490</v>
          </cell>
          <cell r="C203">
            <v>45601</v>
          </cell>
          <cell r="E203" t="str">
            <v>บจก.น้ำตาลทิพย์สุโขทัย</v>
          </cell>
          <cell r="F203" t="str">
            <v>Green for white sugar</v>
          </cell>
          <cell r="G203">
            <v>23</v>
          </cell>
          <cell r="H203">
            <v>37</v>
          </cell>
          <cell r="I203" t="str">
            <v>ขาว</v>
          </cell>
          <cell r="J203"/>
          <cell r="L203">
            <v>130</v>
          </cell>
          <cell r="M203" t="str">
            <v>±</v>
          </cell>
          <cell r="N203">
            <v>5</v>
          </cell>
          <cell r="R203" t="str">
            <v>บิด</v>
          </cell>
          <cell r="T203">
            <v>24</v>
          </cell>
          <cell r="U203">
            <v>40</v>
          </cell>
          <cell r="V203">
            <v>55</v>
          </cell>
          <cell r="X203" t="str">
            <v>รอส่ง</v>
          </cell>
          <cell r="Z203" t="str">
            <v>400แบน</v>
          </cell>
          <cell r="AA203">
            <v>10000</v>
          </cell>
          <cell r="AB203">
            <v>0</v>
          </cell>
          <cell r="AC203">
            <v>0</v>
          </cell>
          <cell r="AD203">
            <v>0</v>
          </cell>
          <cell r="AG203" t="str">
            <v>ผ้าเข้า 25-26/2</v>
          </cell>
          <cell r="AI203"/>
          <cell r="AJ203">
            <v>12607</v>
          </cell>
          <cell r="AL203">
            <v>0</v>
          </cell>
          <cell r="AM203">
            <v>56730</v>
          </cell>
          <cell r="AN203">
            <v>0</v>
          </cell>
          <cell r="AO203" t="str">
            <v>WSWT2321112512551VN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BZ203" t="str">
            <v>WRWT211125/WRWT251030</v>
          </cell>
          <cell r="CA203">
            <v>0</v>
          </cell>
          <cell r="DL203" t="str">
            <v>P9</v>
          </cell>
          <cell r="DM203">
            <v>3</v>
          </cell>
          <cell r="DN203" t="str">
            <v>รอส่ง</v>
          </cell>
          <cell r="DP203" t="e">
            <v>#VALUE!</v>
          </cell>
          <cell r="DQ203"/>
          <cell r="DR203" t="e">
            <v>#VALUE!</v>
          </cell>
          <cell r="DS203" t="e">
            <v>#VALUE!</v>
          </cell>
          <cell r="DT203" t="e">
            <v>#VALUE!</v>
          </cell>
          <cell r="DU203" t="e">
            <v>#VALUE!</v>
          </cell>
          <cell r="DW203" t="e">
            <v>#VALUE!</v>
          </cell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23</v>
          </cell>
          <cell r="H204">
            <v>37</v>
          </cell>
          <cell r="I204"/>
          <cell r="J204"/>
          <cell r="L204">
            <v>128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WSWT2321112512551</v>
          </cell>
          <cell r="AQ204">
            <v>841359.53902000003</v>
          </cell>
          <cell r="AR204">
            <v>62765.26</v>
          </cell>
          <cell r="AS204">
            <v>778594.27902000013</v>
          </cell>
          <cell r="AT204">
            <v>0</v>
          </cell>
          <cell r="AU204">
            <v>0</v>
          </cell>
          <cell r="BZ204" t="str">
            <v>WRWT2301125/WRWT251030</v>
          </cell>
          <cell r="CA204">
            <v>0</v>
          </cell>
          <cell r="DL204"/>
          <cell r="DM204"/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>
            <v>0</v>
          </cell>
          <cell r="EI204">
            <v>0</v>
          </cell>
        </row>
        <row r="205">
          <cell r="B205">
            <v>0</v>
          </cell>
          <cell r="C205"/>
          <cell r="E205"/>
          <cell r="F205"/>
          <cell r="G205">
            <v>24</v>
          </cell>
          <cell r="H205">
            <v>37</v>
          </cell>
          <cell r="I205"/>
          <cell r="J205"/>
          <cell r="L205">
            <v>120</v>
          </cell>
          <cell r="M205" t="str">
            <v>+</v>
          </cell>
          <cell r="N205">
            <v>3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WSWT24211125120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WRWT2401125/WRWT25850</v>
          </cell>
          <cell r="CA205">
            <v>0</v>
          </cell>
          <cell r="DL205"/>
          <cell r="DM205"/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>
            <v>0</v>
          </cell>
          <cell r="EI205">
            <v>0</v>
          </cell>
        </row>
        <row r="206">
          <cell r="B206">
            <v>0</v>
          </cell>
          <cell r="C206"/>
          <cell r="E206"/>
          <cell r="F206" t="str">
            <v xml:space="preserve"> </v>
          </cell>
          <cell r="G206">
            <v>24</v>
          </cell>
          <cell r="H206">
            <v>37</v>
          </cell>
          <cell r="I206"/>
          <cell r="J206"/>
          <cell r="L206">
            <v>125</v>
          </cell>
          <cell r="M206" t="str">
            <v>+</v>
          </cell>
          <cell r="N206">
            <v>3</v>
          </cell>
          <cell r="R206"/>
          <cell r="T206"/>
          <cell r="U206"/>
          <cell r="V206"/>
          <cell r="X206"/>
          <cell r="Z206"/>
          <cell r="AA206"/>
          <cell r="AB206"/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WSWT2421112512551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WRWT2401125/WRWT25960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>
            <v>0</v>
          </cell>
          <cell r="EI206">
            <v>0</v>
          </cell>
        </row>
        <row r="207">
          <cell r="B207">
            <v>0</v>
          </cell>
          <cell r="C207"/>
          <cell r="E207"/>
          <cell r="F207"/>
          <cell r="G207">
            <v>26</v>
          </cell>
          <cell r="H207">
            <v>38</v>
          </cell>
          <cell r="I207" t="str">
            <v>เหลือง</v>
          </cell>
          <cell r="J207"/>
          <cell r="L207">
            <v>105</v>
          </cell>
          <cell r="M207" t="str">
            <v>±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>
            <v>0</v>
          </cell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WSYL2625850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BZ207" t="str">
            <v>WRYL25850/WRYL25850</v>
          </cell>
          <cell r="CA207">
            <v>0</v>
          </cell>
          <cell r="DL207"/>
          <cell r="DM207" t="str">
            <v>Lead time</v>
          </cell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>
            <v>0</v>
          </cell>
        </row>
        <row r="208">
          <cell r="B208" t="str">
            <v>MK68-000714</v>
          </cell>
          <cell r="C208">
            <v>45804</v>
          </cell>
          <cell r="E208" t="str">
            <v>คุณธนนท์ อุทัยไพศาลวงศ์</v>
          </cell>
          <cell r="F208" t="str">
            <v>ไม่พิมพ์</v>
          </cell>
          <cell r="G208">
            <v>26</v>
          </cell>
          <cell r="H208">
            <v>39</v>
          </cell>
          <cell r="I208" t="str">
            <v>ขาว</v>
          </cell>
          <cell r="J208"/>
          <cell r="L208">
            <v>93</v>
          </cell>
          <cell r="M208" t="str">
            <v>±</v>
          </cell>
          <cell r="N208">
            <v>5</v>
          </cell>
          <cell r="R208" t="str">
            <v>ไม่</v>
          </cell>
          <cell r="T208" t="str">
            <v>ไม่สวมถุงใน</v>
          </cell>
          <cell r="U208"/>
          <cell r="V208"/>
          <cell r="X208">
            <v>45821</v>
          </cell>
          <cell r="Z208" t="str">
            <v>มัด100</v>
          </cell>
          <cell r="AA208">
            <v>8800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3500</v>
          </cell>
          <cell r="AL208">
            <v>5300</v>
          </cell>
          <cell r="AM208"/>
          <cell r="AN208">
            <v>0</v>
          </cell>
          <cell r="AO208" t="str">
            <v>WSWT2625650</v>
          </cell>
          <cell r="AQ208">
            <v>5997.3209999999999</v>
          </cell>
          <cell r="AR208">
            <v>0</v>
          </cell>
          <cell r="AS208">
            <v>5997.3209999999999</v>
          </cell>
          <cell r="AT208">
            <v>0</v>
          </cell>
          <cell r="AU208">
            <v>0</v>
          </cell>
          <cell r="BZ208" t="str">
            <v>WRWT25650/WRWT25650</v>
          </cell>
          <cell r="CA208">
            <v>484.25035229999992</v>
          </cell>
          <cell r="DL208" t="str">
            <v>P3</v>
          </cell>
          <cell r="DM208">
            <v>1</v>
          </cell>
          <cell r="DN208">
            <v>45821</v>
          </cell>
          <cell r="DP208">
            <v>45816</v>
          </cell>
          <cell r="DQ208"/>
          <cell r="DR208"/>
          <cell r="DS208"/>
          <cell r="DT208"/>
          <cell r="DU208">
            <v>45820</v>
          </cell>
          <cell r="DW208"/>
          <cell r="DX208"/>
          <cell r="DY208"/>
          <cell r="DZ208"/>
          <cell r="EA208"/>
          <cell r="EB208"/>
          <cell r="EC208" t="str">
            <v>ตัด</v>
          </cell>
          <cell r="ED208"/>
          <cell r="EG208"/>
          <cell r="EH208"/>
          <cell r="EI208"/>
        </row>
        <row r="209">
          <cell r="B209" t="str">
            <v>ประมาณการ</v>
          </cell>
          <cell r="C209" t="str">
            <v>ประมาณการ</v>
          </cell>
          <cell r="E209" t="str">
            <v>บจก.โอเชี่ยนฟีด</v>
          </cell>
          <cell r="F209" t="str">
            <v>ไม่พิมพ์</v>
          </cell>
          <cell r="G209">
            <v>26</v>
          </cell>
          <cell r="H209">
            <v>42</v>
          </cell>
          <cell r="I209" t="str">
            <v>ขาว</v>
          </cell>
          <cell r="J209"/>
          <cell r="L209">
            <v>100</v>
          </cell>
          <cell r="M209" t="str">
            <v>±</v>
          </cell>
          <cell r="N209">
            <v>5</v>
          </cell>
          <cell r="R209" t="str">
            <v>ไม่</v>
          </cell>
          <cell r="T209" t="str">
            <v>ไม่สวมถุงใน</v>
          </cell>
          <cell r="U209"/>
          <cell r="V209"/>
          <cell r="X209">
            <v>45838</v>
          </cell>
          <cell r="Z209" t="str">
            <v>500กระสอบ</v>
          </cell>
          <cell r="AA209">
            <v>40000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40000</v>
          </cell>
          <cell r="AM209"/>
          <cell r="AN209">
            <v>0</v>
          </cell>
          <cell r="AO209" t="str">
            <v>WSWT2625650</v>
          </cell>
          <cell r="AQ209">
            <v>48615.600000000006</v>
          </cell>
          <cell r="AR209">
            <v>0</v>
          </cell>
          <cell r="AS209">
            <v>48615.600000000006</v>
          </cell>
          <cell r="AT209">
            <v>0</v>
          </cell>
          <cell r="AU209">
            <v>0</v>
          </cell>
          <cell r="BZ209" t="str">
            <v>WRWT25650/WRWT25650</v>
          </cell>
          <cell r="CA209">
            <v>3925.4396133333335</v>
          </cell>
          <cell r="DL209" t="str">
            <v>P3</v>
          </cell>
          <cell r="DM209">
            <v>1</v>
          </cell>
          <cell r="DN209">
            <v>45838</v>
          </cell>
          <cell r="DP209">
            <v>45833</v>
          </cell>
          <cell r="DQ209"/>
          <cell r="DR209"/>
          <cell r="DS209"/>
          <cell r="DT209"/>
          <cell r="DU209">
            <v>45837</v>
          </cell>
          <cell r="DW209"/>
          <cell r="DX209"/>
          <cell r="DY209"/>
          <cell r="DZ209"/>
          <cell r="EA209"/>
          <cell r="EB209"/>
          <cell r="EC209" t="str">
            <v>ตัด</v>
          </cell>
          <cell r="ED209"/>
          <cell r="EG209"/>
          <cell r="EH209"/>
          <cell r="EI209"/>
        </row>
        <row r="210">
          <cell r="B210" t="str">
            <v>ประมาณการ</v>
          </cell>
          <cell r="C210" t="str">
            <v>ประมาณการ</v>
          </cell>
          <cell r="E210" t="str">
            <v>บจก.กบินทร์อินทรีย์</v>
          </cell>
          <cell r="F210" t="str">
            <v>รอแบบ</v>
          </cell>
          <cell r="G210">
            <v>26</v>
          </cell>
          <cell r="H210">
            <v>41</v>
          </cell>
          <cell r="I210" t="str">
            <v>ขาว</v>
          </cell>
          <cell r="J210"/>
          <cell r="L210">
            <v>97</v>
          </cell>
          <cell r="M210" t="str">
            <v>±</v>
          </cell>
          <cell r="N210">
            <v>5</v>
          </cell>
          <cell r="R210" t="str">
            <v>บิด</v>
          </cell>
          <cell r="T210">
            <v>27</v>
          </cell>
          <cell r="U210">
            <v>43</v>
          </cell>
          <cell r="V210">
            <v>40</v>
          </cell>
          <cell r="X210">
            <v>45838</v>
          </cell>
          <cell r="Z210" t="str">
            <v>300กระสอบ</v>
          </cell>
          <cell r="AA210">
            <v>10000</v>
          </cell>
          <cell r="AB210">
            <v>286.42936262399996</v>
          </cell>
          <cell r="AC210">
            <v>0</v>
          </cell>
          <cell r="AD210">
            <v>286.42936262399996</v>
          </cell>
          <cell r="AG210"/>
          <cell r="AI210"/>
          <cell r="AJ210">
            <v>0</v>
          </cell>
          <cell r="AL210">
            <v>10000</v>
          </cell>
          <cell r="AM210"/>
          <cell r="AN210">
            <v>10500</v>
          </cell>
          <cell r="AO210" t="str">
            <v>WSWT2625650</v>
          </cell>
          <cell r="AQ210">
            <v>11874.499999999998</v>
          </cell>
          <cell r="AR210">
            <v>0</v>
          </cell>
          <cell r="AS210">
            <v>11874.499999999998</v>
          </cell>
          <cell r="AT210">
            <v>0</v>
          </cell>
          <cell r="AU210">
            <v>0</v>
          </cell>
          <cell r="BZ210" t="str">
            <v>WRWT25650/WRWT25650</v>
          </cell>
          <cell r="CA210">
            <v>958.79990555555537</v>
          </cell>
          <cell r="DL210" t="str">
            <v>P9</v>
          </cell>
          <cell r="DM210">
            <v>3</v>
          </cell>
          <cell r="DN210">
            <v>45838</v>
          </cell>
          <cell r="DP210">
            <v>45833</v>
          </cell>
          <cell r="DQ210"/>
          <cell r="DR210">
            <v>45828</v>
          </cell>
          <cell r="DS210">
            <v>45835</v>
          </cell>
          <cell r="DT210">
            <v>45836</v>
          </cell>
          <cell r="DU210">
            <v>45836</v>
          </cell>
          <cell r="DW210">
            <v>45837</v>
          </cell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>รอART</v>
          </cell>
          <cell r="EG210"/>
          <cell r="EH210"/>
          <cell r="EI210"/>
        </row>
        <row r="211">
          <cell r="B211">
            <v>0</v>
          </cell>
          <cell r="C211"/>
          <cell r="E211"/>
          <cell r="F211"/>
          <cell r="G211">
            <v>26</v>
          </cell>
          <cell r="H211">
            <v>43</v>
          </cell>
          <cell r="I211" t="str">
            <v>ขาว</v>
          </cell>
          <cell r="J211"/>
          <cell r="L211">
            <v>102</v>
          </cell>
          <cell r="M211" t="str">
            <v>±</v>
          </cell>
          <cell r="N211">
            <v>5</v>
          </cell>
          <cell r="R211"/>
          <cell r="T211"/>
          <cell r="U211"/>
          <cell r="V211"/>
          <cell r="X211"/>
          <cell r="Z211"/>
          <cell r="AA211"/>
          <cell r="AB211">
            <v>0</v>
          </cell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>WSWT2625650</v>
          </cell>
          <cell r="AQ211">
            <v>66487.421000000002</v>
          </cell>
          <cell r="AR211">
            <v>0</v>
          </cell>
          <cell r="AS211">
            <v>66487.421000000002</v>
          </cell>
          <cell r="AT211">
            <v>0</v>
          </cell>
          <cell r="AU211">
            <v>0</v>
          </cell>
          <cell r="BZ211" t="str">
            <v>WRWT25650/WRWT25650</v>
          </cell>
          <cell r="CA211">
            <v>0</v>
          </cell>
          <cell r="DL211"/>
          <cell r="DM211" t="str">
            <v>Lead time</v>
          </cell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>
            <v>0</v>
          </cell>
        </row>
        <row r="212">
          <cell r="B212" t="str">
            <v>MK68-000719</v>
          </cell>
          <cell r="C212">
            <v>45806</v>
          </cell>
          <cell r="E212" t="str">
            <v>บจก.กบินทร์อินทรีย์</v>
          </cell>
          <cell r="F212" t="str">
            <v>ไก่เหยียบศรแสงสิริ</v>
          </cell>
          <cell r="G212">
            <v>26</v>
          </cell>
          <cell r="H212">
            <v>41</v>
          </cell>
          <cell r="I212" t="str">
            <v>ขาว</v>
          </cell>
          <cell r="J212"/>
          <cell r="L212">
            <v>97</v>
          </cell>
          <cell r="M212" t="str">
            <v>±</v>
          </cell>
          <cell r="N212">
            <v>5</v>
          </cell>
          <cell r="R212" t="str">
            <v>บิด</v>
          </cell>
          <cell r="T212">
            <v>27</v>
          </cell>
          <cell r="U212">
            <v>43</v>
          </cell>
          <cell r="V212">
            <v>40</v>
          </cell>
          <cell r="X212">
            <v>45819</v>
          </cell>
          <cell r="Z212" t="str">
            <v>300กระสอบ</v>
          </cell>
          <cell r="AA212">
            <v>4000</v>
          </cell>
          <cell r="AB212">
            <v>114.57174504959998</v>
          </cell>
          <cell r="AC212">
            <v>0</v>
          </cell>
          <cell r="AD212">
            <v>114.57174504959998</v>
          </cell>
          <cell r="AG212" t="str">
            <v>สวมถุงในไม่ทัน</v>
          </cell>
          <cell r="AI212"/>
          <cell r="AJ212">
            <v>0</v>
          </cell>
          <cell r="AL212">
            <v>4000</v>
          </cell>
          <cell r="AM212">
            <v>4300</v>
          </cell>
          <cell r="AN212">
            <v>0</v>
          </cell>
          <cell r="AO212" t="str">
            <v>WSWT262575051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BZ212" t="str">
            <v>WRWT25800/WRWT25650</v>
          </cell>
          <cell r="CA212">
            <v>0</v>
          </cell>
          <cell r="DL212" t="str">
            <v>P9</v>
          </cell>
          <cell r="DM212">
            <v>3</v>
          </cell>
          <cell r="DN212">
            <v>45819</v>
          </cell>
          <cell r="DP212">
            <v>45814</v>
          </cell>
          <cell r="DQ212"/>
          <cell r="DR212">
            <v>45809</v>
          </cell>
          <cell r="DS212">
            <v>45816</v>
          </cell>
          <cell r="DT212">
            <v>45817</v>
          </cell>
          <cell r="DU212">
            <v>45817</v>
          </cell>
          <cell r="DW212">
            <v>45818</v>
          </cell>
          <cell r="DX212"/>
          <cell r="DY212"/>
          <cell r="DZ212"/>
          <cell r="EA212"/>
          <cell r="EB212"/>
          <cell r="EC212" t="str">
            <v>งานพิมพ์</v>
          </cell>
          <cell r="ED212"/>
          <cell r="EG212"/>
          <cell r="EH212"/>
          <cell r="EI212"/>
        </row>
        <row r="213">
          <cell r="B213" t="str">
            <v>MK68-000719</v>
          </cell>
          <cell r="C213">
            <v>45806</v>
          </cell>
          <cell r="E213" t="str">
            <v>บจก.กบินทร์อินทรีย์</v>
          </cell>
          <cell r="F213" t="str">
            <v>ช้างเผือก</v>
          </cell>
          <cell r="G213">
            <v>26</v>
          </cell>
          <cell r="H213">
            <v>41</v>
          </cell>
          <cell r="I213" t="str">
            <v>ขาว</v>
          </cell>
          <cell r="J213"/>
          <cell r="L213">
            <v>97</v>
          </cell>
          <cell r="M213" t="str">
            <v>±</v>
          </cell>
          <cell r="N213">
            <v>5</v>
          </cell>
          <cell r="R213" t="str">
            <v>บิด</v>
          </cell>
          <cell r="T213">
            <v>27</v>
          </cell>
          <cell r="U213">
            <v>43</v>
          </cell>
          <cell r="V213">
            <v>40</v>
          </cell>
          <cell r="X213">
            <v>45819</v>
          </cell>
          <cell r="Z213" t="str">
            <v>300กระสอบ</v>
          </cell>
          <cell r="AA213">
            <v>4000</v>
          </cell>
          <cell r="AB213">
            <v>114.57174504959998</v>
          </cell>
          <cell r="AC213">
            <v>0</v>
          </cell>
          <cell r="AD213">
            <v>114.57174504959998</v>
          </cell>
          <cell r="AG213" t="str">
            <v>สวมถุงในไม่ทัน</v>
          </cell>
          <cell r="AI213"/>
          <cell r="AJ213">
            <v>0</v>
          </cell>
          <cell r="AL213">
            <v>4000</v>
          </cell>
          <cell r="AM213">
            <v>4405</v>
          </cell>
          <cell r="AN213">
            <v>0</v>
          </cell>
          <cell r="AO213" t="str">
            <v>WSWT262575051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WRWT25800/WRWT25650</v>
          </cell>
          <cell r="CA213">
            <v>0</v>
          </cell>
          <cell r="DL213" t="str">
            <v>P9</v>
          </cell>
          <cell r="DM213">
            <v>3</v>
          </cell>
          <cell r="DN213">
            <v>45819</v>
          </cell>
          <cell r="DP213">
            <v>45814</v>
          </cell>
          <cell r="DQ213"/>
          <cell r="DR213">
            <v>45809</v>
          </cell>
          <cell r="DS213">
            <v>45816</v>
          </cell>
          <cell r="DT213">
            <v>45817</v>
          </cell>
          <cell r="DU213">
            <v>45817</v>
          </cell>
          <cell r="DW213">
            <v>45818</v>
          </cell>
          <cell r="DX213"/>
          <cell r="DY213"/>
          <cell r="DZ213"/>
          <cell r="EA213"/>
          <cell r="EB213"/>
          <cell r="EC213" t="str">
            <v>งานพิมพ์</v>
          </cell>
          <cell r="ED213"/>
          <cell r="EG213"/>
          <cell r="EH213"/>
          <cell r="EI213"/>
        </row>
        <row r="214">
          <cell r="B214" t="str">
            <v>ใบรับคำสั่งซื้อ</v>
          </cell>
          <cell r="C214">
            <v>45817</v>
          </cell>
          <cell r="E214" t="str">
            <v>บจก.กบินทร์อินทรีย์</v>
          </cell>
          <cell r="F214" t="str">
            <v>หลอดไฟ</v>
          </cell>
          <cell r="G214">
            <v>26</v>
          </cell>
          <cell r="H214">
            <v>41</v>
          </cell>
          <cell r="I214" t="str">
            <v>ขาว</v>
          </cell>
          <cell r="J214"/>
          <cell r="L214">
            <v>97</v>
          </cell>
          <cell r="M214" t="str">
            <v>±</v>
          </cell>
          <cell r="N214">
            <v>5</v>
          </cell>
          <cell r="R214" t="str">
            <v>บิด</v>
          </cell>
          <cell r="T214">
            <v>27</v>
          </cell>
          <cell r="U214">
            <v>43</v>
          </cell>
          <cell r="V214">
            <v>40</v>
          </cell>
          <cell r="X214">
            <v>45828</v>
          </cell>
          <cell r="Z214" t="str">
            <v>300กระสอบ</v>
          </cell>
          <cell r="AA214">
            <v>4000</v>
          </cell>
          <cell r="AB214">
            <v>114.57174504959998</v>
          </cell>
          <cell r="AC214">
            <v>0</v>
          </cell>
          <cell r="AD214">
            <v>114.57174504959998</v>
          </cell>
          <cell r="AG214"/>
          <cell r="AI214"/>
          <cell r="AJ214">
            <v>0</v>
          </cell>
          <cell r="AL214">
            <v>4000</v>
          </cell>
          <cell r="AM214"/>
          <cell r="AN214">
            <v>4200</v>
          </cell>
          <cell r="AO214" t="str">
            <v>WSWT262575051</v>
          </cell>
          <cell r="AQ214">
            <v>4749.8</v>
          </cell>
          <cell r="AR214">
            <v>4749.8</v>
          </cell>
          <cell r="AS214">
            <v>0</v>
          </cell>
          <cell r="AT214">
            <v>0</v>
          </cell>
          <cell r="AU214">
            <v>0</v>
          </cell>
          <cell r="BZ214" t="str">
            <v>WRWT25800/WRWT25650</v>
          </cell>
          <cell r="CA214">
            <v>0</v>
          </cell>
          <cell r="DL214" t="str">
            <v>P9</v>
          </cell>
          <cell r="DM214">
            <v>3</v>
          </cell>
          <cell r="DN214">
            <v>45828</v>
          </cell>
          <cell r="DP214">
            <v>45823</v>
          </cell>
          <cell r="DQ214"/>
          <cell r="DR214">
            <v>45818</v>
          </cell>
          <cell r="DS214">
            <v>45825</v>
          </cell>
          <cell r="DT214">
            <v>45826</v>
          </cell>
          <cell r="DU214">
            <v>45826</v>
          </cell>
          <cell r="DW214">
            <v>45827</v>
          </cell>
          <cell r="DX214"/>
          <cell r="DY214"/>
          <cell r="DZ214"/>
          <cell r="EA214"/>
          <cell r="EB214"/>
          <cell r="EC214" t="str">
            <v>งานพิมพ์</v>
          </cell>
          <cell r="ED214"/>
          <cell r="EG214"/>
          <cell r="EH214"/>
          <cell r="EI214"/>
        </row>
        <row r="215">
          <cell r="B215" t="str">
            <v>ใบรับคำสั่งซื้อ</v>
          </cell>
          <cell r="C215">
            <v>45817</v>
          </cell>
          <cell r="E215" t="str">
            <v>บจก.กบินทร์อินทรีย์</v>
          </cell>
          <cell r="F215" t="str">
            <v>ไก่เยียบศรกบินทร์</v>
          </cell>
          <cell r="G215">
            <v>26</v>
          </cell>
          <cell r="H215">
            <v>41</v>
          </cell>
          <cell r="I215" t="str">
            <v>ขาว</v>
          </cell>
          <cell r="J215"/>
          <cell r="L215">
            <v>97</v>
          </cell>
          <cell r="M215" t="str">
            <v>±</v>
          </cell>
          <cell r="N215">
            <v>5</v>
          </cell>
          <cell r="R215" t="str">
            <v>บิด</v>
          </cell>
          <cell r="T215">
            <v>27</v>
          </cell>
          <cell r="U215">
            <v>43</v>
          </cell>
          <cell r="V215">
            <v>40</v>
          </cell>
          <cell r="X215">
            <v>45828</v>
          </cell>
          <cell r="Z215" t="str">
            <v>300กระสอบ</v>
          </cell>
          <cell r="AA215">
            <v>4000</v>
          </cell>
          <cell r="AB215">
            <v>114.57174504959998</v>
          </cell>
          <cell r="AC215">
            <v>0</v>
          </cell>
          <cell r="AD215">
            <v>114.57174504959998</v>
          </cell>
          <cell r="AG215"/>
          <cell r="AI215"/>
          <cell r="AJ215">
            <v>0</v>
          </cell>
          <cell r="AL215">
            <v>4000</v>
          </cell>
          <cell r="AM215"/>
          <cell r="AN215">
            <v>4200</v>
          </cell>
          <cell r="AO215" t="str">
            <v>WSWT262575051</v>
          </cell>
          <cell r="AQ215">
            <v>4749.8</v>
          </cell>
          <cell r="AR215">
            <v>4749.8</v>
          </cell>
          <cell r="AS215">
            <v>0</v>
          </cell>
          <cell r="AT215">
            <v>0</v>
          </cell>
          <cell r="AU215">
            <v>0</v>
          </cell>
          <cell r="BZ215" t="str">
            <v>WRWT25800/WRWT25650</v>
          </cell>
          <cell r="CA215">
            <v>0</v>
          </cell>
          <cell r="DL215" t="str">
            <v>P9</v>
          </cell>
          <cell r="DM215">
            <v>3</v>
          </cell>
          <cell r="DN215">
            <v>45828</v>
          </cell>
          <cell r="DP215">
            <v>45823</v>
          </cell>
          <cell r="DQ215"/>
          <cell r="DR215">
            <v>45818</v>
          </cell>
          <cell r="DS215">
            <v>45825</v>
          </cell>
          <cell r="DT215">
            <v>45826</v>
          </cell>
          <cell r="DU215">
            <v>45826</v>
          </cell>
          <cell r="DW215">
            <v>45827</v>
          </cell>
          <cell r="DX215"/>
          <cell r="DY215"/>
          <cell r="DZ215"/>
          <cell r="EA215"/>
          <cell r="EB215"/>
          <cell r="EC215" t="str">
            <v>งานพิมพ์</v>
          </cell>
          <cell r="ED215"/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26</v>
          </cell>
          <cell r="H216">
            <v>43</v>
          </cell>
          <cell r="I216"/>
          <cell r="J216"/>
          <cell r="L216">
            <v>100</v>
          </cell>
          <cell r="M216" t="str">
            <v>±</v>
          </cell>
          <cell r="N216">
            <v>5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WSWT262575051</v>
          </cell>
          <cell r="AQ216">
            <v>9499.6</v>
          </cell>
          <cell r="AR216">
            <v>9499.6</v>
          </cell>
          <cell r="AS216">
            <v>0</v>
          </cell>
          <cell r="AT216">
            <v>0</v>
          </cell>
          <cell r="AU216">
            <v>0</v>
          </cell>
          <cell r="BZ216" t="str">
            <v>WRWT25800/WRWT25650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>
            <v>0</v>
          </cell>
          <cell r="EI216">
            <v>0</v>
          </cell>
        </row>
        <row r="217">
          <cell r="B217">
            <v>0</v>
          </cell>
          <cell r="C217"/>
          <cell r="E217"/>
          <cell r="F217"/>
          <cell r="G217">
            <v>26</v>
          </cell>
          <cell r="H217">
            <v>43</v>
          </cell>
          <cell r="I217"/>
          <cell r="J217"/>
          <cell r="L217">
            <v>113</v>
          </cell>
          <cell r="M217" t="str">
            <v>±</v>
          </cell>
          <cell r="N217">
            <v>5</v>
          </cell>
          <cell r="R217"/>
          <cell r="T217"/>
          <cell r="U217"/>
          <cell r="V217"/>
          <cell r="X217"/>
          <cell r="Z217"/>
          <cell r="AA217"/>
          <cell r="AB217"/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WSWT2625700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BZ217" t="str">
            <v>WRWT260800/WRWT25650</v>
          </cell>
          <cell r="CA217">
            <v>0</v>
          </cell>
          <cell r="DL217"/>
          <cell r="DM217" t="str">
            <v>Lead time</v>
          </cell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>
            <v>0</v>
          </cell>
          <cell r="EI217">
            <v>0</v>
          </cell>
        </row>
        <row r="218">
          <cell r="B218">
            <v>0</v>
          </cell>
          <cell r="C218"/>
          <cell r="E218"/>
          <cell r="F218"/>
          <cell r="G218">
            <v>26</v>
          </cell>
          <cell r="H218">
            <v>41</v>
          </cell>
          <cell r="I218"/>
          <cell r="J218"/>
          <cell r="L218">
            <v>90</v>
          </cell>
          <cell r="M218" t="str">
            <v>±</v>
          </cell>
          <cell r="N218">
            <v>5</v>
          </cell>
          <cell r="R218"/>
          <cell r="T218"/>
          <cell r="U218"/>
          <cell r="V218"/>
          <cell r="X218"/>
          <cell r="Z218"/>
          <cell r="AA218"/>
          <cell r="AB218"/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WSWT2625800SM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BZ218" t="str">
            <v>WRWT260800/WRWT25650</v>
          </cell>
          <cell r="CA218">
            <v>0</v>
          </cell>
          <cell r="DL218"/>
          <cell r="DM218" t="str">
            <v>Lead time</v>
          </cell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>
            <v>0</v>
          </cell>
          <cell r="EI218">
            <v>0</v>
          </cell>
        </row>
        <row r="219">
          <cell r="B219" t="str">
            <v>MK68-000749</v>
          </cell>
          <cell r="C219">
            <v>45813</v>
          </cell>
          <cell r="E219" t="str">
            <v>บจก.แลบอินเตอร์</v>
          </cell>
          <cell r="F219" t="str">
            <v>Soybean Meal</v>
          </cell>
          <cell r="G219">
            <v>26</v>
          </cell>
          <cell r="H219">
            <v>40</v>
          </cell>
          <cell r="I219" t="str">
            <v>ขาว</v>
          </cell>
          <cell r="J219"/>
          <cell r="L219">
            <v>108</v>
          </cell>
          <cell r="M219" t="str">
            <v>±</v>
          </cell>
          <cell r="N219">
            <v>5</v>
          </cell>
          <cell r="R219" t="str">
            <v>ไม่</v>
          </cell>
          <cell r="T219">
            <v>27</v>
          </cell>
          <cell r="U219">
            <v>43</v>
          </cell>
          <cell r="V219">
            <v>40</v>
          </cell>
          <cell r="X219">
            <v>45825</v>
          </cell>
          <cell r="Z219" t="str">
            <v>มัด80ใช้สายรัด</v>
          </cell>
          <cell r="AA219">
            <v>10000</v>
          </cell>
          <cell r="AB219">
            <v>286.42936262399996</v>
          </cell>
          <cell r="AC219">
            <v>0</v>
          </cell>
          <cell r="AD219">
            <v>286.42936262399996</v>
          </cell>
          <cell r="AG219"/>
          <cell r="AI219"/>
          <cell r="AJ219">
            <v>0</v>
          </cell>
          <cell r="AL219">
            <v>10000</v>
          </cell>
          <cell r="AM219"/>
          <cell r="AN219">
            <v>10500</v>
          </cell>
          <cell r="AO219" t="str">
            <v xml:space="preserve">WSWT2625800 </v>
          </cell>
          <cell r="AQ219">
            <v>11595.1</v>
          </cell>
          <cell r="AR219">
            <v>11595.1</v>
          </cell>
          <cell r="AS219">
            <v>0</v>
          </cell>
          <cell r="AT219">
            <v>0</v>
          </cell>
          <cell r="AU219">
            <v>0</v>
          </cell>
          <cell r="BZ219" t="str">
            <v>WRWT25800/WRWT25800</v>
          </cell>
          <cell r="CA219">
            <v>0</v>
          </cell>
          <cell r="DL219" t="str">
            <v>P9</v>
          </cell>
          <cell r="DM219">
            <v>3</v>
          </cell>
          <cell r="DN219">
            <v>45825</v>
          </cell>
          <cell r="DP219">
            <v>45820</v>
          </cell>
          <cell r="DQ219"/>
          <cell r="DR219">
            <v>45815</v>
          </cell>
          <cell r="DS219">
            <v>45822</v>
          </cell>
          <cell r="DT219">
            <v>45823</v>
          </cell>
          <cell r="DU219">
            <v>45823</v>
          </cell>
          <cell r="DW219">
            <v>45824</v>
          </cell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>รอART</v>
          </cell>
          <cell r="EG219"/>
          <cell r="EH219"/>
          <cell r="EI219"/>
        </row>
        <row r="220">
          <cell r="B220" t="str">
            <v>ประมาณการ</v>
          </cell>
          <cell r="C220" t="str">
            <v>ประมาณการ</v>
          </cell>
          <cell r="E220" t="str">
            <v>บจก.ที.ซี.ยูเนี่ยน อโกรเทค</v>
          </cell>
          <cell r="F220" t="str">
            <v>ไม่พิมพ์</v>
          </cell>
          <cell r="G220">
            <v>26</v>
          </cell>
          <cell r="H220">
            <v>43</v>
          </cell>
          <cell r="I220" t="str">
            <v>ขาว</v>
          </cell>
          <cell r="J220"/>
          <cell r="L220">
            <v>116</v>
          </cell>
          <cell r="M220" t="str">
            <v>±</v>
          </cell>
          <cell r="N220">
            <v>5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45838</v>
          </cell>
          <cell r="Z220" t="str">
            <v xml:space="preserve">300กระสอบแบนเต็มใบ </v>
          </cell>
          <cell r="AA220">
            <v>20000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20000</v>
          </cell>
          <cell r="AM220"/>
          <cell r="AN220">
            <v>0</v>
          </cell>
          <cell r="AO220" t="str">
            <v xml:space="preserve">WSWT2625800 </v>
          </cell>
          <cell r="AQ220">
            <v>24866.6</v>
          </cell>
          <cell r="AR220">
            <v>3896</v>
          </cell>
          <cell r="AS220">
            <v>20970.599999999999</v>
          </cell>
          <cell r="AT220">
            <v>0</v>
          </cell>
          <cell r="AU220">
            <v>0</v>
          </cell>
          <cell r="BZ220" t="str">
            <v>WRWT25800/WRWT25800</v>
          </cell>
          <cell r="CA220">
            <v>2084.0116266666669</v>
          </cell>
          <cell r="DL220" t="str">
            <v>P3</v>
          </cell>
          <cell r="DM220">
            <v>1</v>
          </cell>
          <cell r="DN220">
            <v>45838</v>
          </cell>
          <cell r="DP220">
            <v>45833</v>
          </cell>
          <cell r="DQ220"/>
          <cell r="DR220"/>
          <cell r="DS220"/>
          <cell r="DT220"/>
          <cell r="DU220">
            <v>45837</v>
          </cell>
          <cell r="DW220"/>
          <cell r="DX220"/>
          <cell r="DY220"/>
          <cell r="DZ220"/>
          <cell r="EA220"/>
          <cell r="EB220"/>
          <cell r="EC220" t="str">
            <v>ตัด</v>
          </cell>
          <cell r="ED220"/>
          <cell r="EG220"/>
          <cell r="EH220"/>
          <cell r="EI220"/>
        </row>
        <row r="221">
          <cell r="B221">
            <v>0</v>
          </cell>
          <cell r="C221"/>
          <cell r="E221"/>
          <cell r="F221"/>
          <cell r="G221">
            <v>26</v>
          </cell>
          <cell r="H221">
            <v>43</v>
          </cell>
          <cell r="I221"/>
          <cell r="J221"/>
          <cell r="L221">
            <v>116</v>
          </cell>
          <cell r="M221" t="str">
            <v>±</v>
          </cell>
          <cell r="N221">
            <v>5</v>
          </cell>
          <cell r="R221"/>
          <cell r="T221"/>
          <cell r="U221"/>
          <cell r="V221"/>
          <cell r="X221"/>
          <cell r="Z221"/>
          <cell r="AA221"/>
          <cell r="AB221"/>
          <cell r="AC221">
            <v>0</v>
          </cell>
          <cell r="AD221"/>
          <cell r="AG221"/>
          <cell r="AI221" t="str">
            <v>ระบุในSD</v>
          </cell>
          <cell r="AJ221"/>
          <cell r="AL221">
            <v>0</v>
          </cell>
          <cell r="AM221"/>
          <cell r="AN221">
            <v>0</v>
          </cell>
          <cell r="AO221" t="str">
            <v xml:space="preserve">WSWT2625800 </v>
          </cell>
          <cell r="AQ221">
            <v>36461.699999999997</v>
          </cell>
          <cell r="AR221">
            <v>15491.1</v>
          </cell>
          <cell r="AS221">
            <v>20970.599999999999</v>
          </cell>
          <cell r="AT221">
            <v>0</v>
          </cell>
          <cell r="AU221">
            <v>0</v>
          </cell>
          <cell r="BZ221" t="str">
            <v>WRWT260800/WRWT25800</v>
          </cell>
          <cell r="CA221">
            <v>0</v>
          </cell>
          <cell r="DL221"/>
          <cell r="DM221" t="str">
            <v>Lead time</v>
          </cell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>
            <v>0</v>
          </cell>
          <cell r="EI221">
            <v>0</v>
          </cell>
        </row>
        <row r="222">
          <cell r="B222" t="str">
            <v>MK68-000699</v>
          </cell>
          <cell r="C222">
            <v>45799</v>
          </cell>
          <cell r="E222" t="str">
            <v>บจก.ที.ซี.ยูเนี่ยน อโกรเทค</v>
          </cell>
          <cell r="F222" t="str">
            <v>ไม่พิมพ์</v>
          </cell>
          <cell r="G222">
            <v>26</v>
          </cell>
          <cell r="H222">
            <v>43</v>
          </cell>
          <cell r="I222" t="str">
            <v>ขาว</v>
          </cell>
          <cell r="J222" t="str">
            <v>ใส</v>
          </cell>
          <cell r="L222">
            <v>150</v>
          </cell>
          <cell r="M222" t="str">
            <v>±</v>
          </cell>
          <cell r="N222">
            <v>5</v>
          </cell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45825</v>
          </cell>
          <cell r="Z222" t="str">
            <v xml:space="preserve">300กระสอบแบนเต็มใบ </v>
          </cell>
          <cell r="AA222">
            <v>15000</v>
          </cell>
          <cell r="AB222">
            <v>0</v>
          </cell>
          <cell r="AC222">
            <v>0</v>
          </cell>
          <cell r="AD222">
            <v>0</v>
          </cell>
          <cell r="AG222"/>
          <cell r="AI222" t="str">
            <v>ห้ามขาด-เกินได้5%</v>
          </cell>
          <cell r="AJ222">
            <v>0</v>
          </cell>
          <cell r="AL222">
            <v>15000</v>
          </cell>
          <cell r="AM222"/>
          <cell r="AN222">
            <v>0</v>
          </cell>
          <cell r="AO222" t="str">
            <v>WSWT2625850SM</v>
          </cell>
          <cell r="AQ222">
            <v>18649.949999999997</v>
          </cell>
          <cell r="AR222">
            <v>18649.949999999997</v>
          </cell>
          <cell r="AS222">
            <v>0</v>
          </cell>
          <cell r="AT222">
            <v>0</v>
          </cell>
          <cell r="AU222">
            <v>18649.949999999997</v>
          </cell>
          <cell r="BZ222" t="str">
            <v>WRWT25850/WRWT25850</v>
          </cell>
          <cell r="CA222">
            <v>0</v>
          </cell>
          <cell r="DL222" t="str">
            <v>P13</v>
          </cell>
          <cell r="DM222">
            <v>2</v>
          </cell>
          <cell r="DN222">
            <v>45825</v>
          </cell>
          <cell r="DP222">
            <v>45820</v>
          </cell>
          <cell r="DQ222"/>
          <cell r="DR222"/>
          <cell r="DS222"/>
          <cell r="DT222"/>
          <cell r="DU222">
            <v>45823</v>
          </cell>
          <cell r="DW222">
            <v>45824</v>
          </cell>
          <cell r="DX222"/>
          <cell r="DY222"/>
          <cell r="DZ222"/>
          <cell r="EA222"/>
          <cell r="EB222"/>
          <cell r="EC222" t="str">
            <v>งานเคลือบ+ตัด</v>
          </cell>
          <cell r="ED222"/>
          <cell r="EG222"/>
          <cell r="EH222"/>
          <cell r="EI222"/>
        </row>
        <row r="223">
          <cell r="B223" t="str">
            <v>MK68-000761</v>
          </cell>
          <cell r="C223">
            <v>45815</v>
          </cell>
          <cell r="E223" t="str">
            <v>บจก.ที.ซี.ยูเนี่ยน อโกรเทค</v>
          </cell>
          <cell r="F223" t="str">
            <v>ไม่พิมพ์</v>
          </cell>
          <cell r="G223">
            <v>26</v>
          </cell>
          <cell r="H223">
            <v>43</v>
          </cell>
          <cell r="I223" t="str">
            <v>ขาว</v>
          </cell>
          <cell r="J223" t="str">
            <v>ใส</v>
          </cell>
          <cell r="L223">
            <v>150</v>
          </cell>
          <cell r="M223" t="str">
            <v>±</v>
          </cell>
          <cell r="N223">
            <v>5</v>
          </cell>
          <cell r="R223" t="str">
            <v>บิด</v>
          </cell>
          <cell r="T223" t="str">
            <v>ไม่สวมถุงใน</v>
          </cell>
          <cell r="U223"/>
          <cell r="V223"/>
          <cell r="X223">
            <v>45835</v>
          </cell>
          <cell r="Z223" t="str">
            <v xml:space="preserve">300กระสอบแบนเต็มใบ </v>
          </cell>
          <cell r="AA223">
            <v>15000</v>
          </cell>
          <cell r="AB223">
            <v>0</v>
          </cell>
          <cell r="AC223">
            <v>0</v>
          </cell>
          <cell r="AD223">
            <v>0</v>
          </cell>
          <cell r="AG223"/>
          <cell r="AI223" t="str">
            <v>ห้ามขาด-เกินได้5%</v>
          </cell>
          <cell r="AJ223">
            <v>0</v>
          </cell>
          <cell r="AL223">
            <v>15000</v>
          </cell>
          <cell r="AM223"/>
          <cell r="AN223">
            <v>0</v>
          </cell>
          <cell r="AO223" t="str">
            <v>WSWT2625850SM</v>
          </cell>
          <cell r="AQ223">
            <v>18649.949999999997</v>
          </cell>
          <cell r="AR223">
            <v>18649.949999999997</v>
          </cell>
          <cell r="AS223">
            <v>0</v>
          </cell>
          <cell r="AT223">
            <v>0</v>
          </cell>
          <cell r="AU223">
            <v>18649.949999999997</v>
          </cell>
          <cell r="BZ223" t="str">
            <v>WRWT25850/WRWT25850</v>
          </cell>
          <cell r="CA223">
            <v>0</v>
          </cell>
          <cell r="DL223" t="str">
            <v>P13</v>
          </cell>
          <cell r="DM223">
            <v>2</v>
          </cell>
          <cell r="DN223">
            <v>45835</v>
          </cell>
          <cell r="DP223">
            <v>45830</v>
          </cell>
          <cell r="DQ223"/>
          <cell r="DR223"/>
          <cell r="DS223"/>
          <cell r="DT223"/>
          <cell r="DU223">
            <v>45833</v>
          </cell>
          <cell r="DW223">
            <v>45834</v>
          </cell>
          <cell r="DX223"/>
          <cell r="DY223"/>
          <cell r="DZ223"/>
          <cell r="EA223"/>
          <cell r="EB223"/>
          <cell r="EC223" t="str">
            <v>งานเคลือบ+ตัด</v>
          </cell>
          <cell r="ED223"/>
          <cell r="EG223"/>
          <cell r="EH223"/>
          <cell r="EI223"/>
        </row>
        <row r="224">
          <cell r="B224">
            <v>0</v>
          </cell>
          <cell r="C224"/>
          <cell r="E224"/>
          <cell r="F224"/>
          <cell r="G224">
            <v>26</v>
          </cell>
          <cell r="H224">
            <v>43</v>
          </cell>
          <cell r="I224"/>
          <cell r="J224"/>
          <cell r="L224">
            <v>120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/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WSWT2625850SM</v>
          </cell>
          <cell r="AQ224">
            <v>37299.899999999994</v>
          </cell>
          <cell r="AR224">
            <v>37299.899999999994</v>
          </cell>
          <cell r="AS224">
            <v>0</v>
          </cell>
          <cell r="AT224">
            <v>0</v>
          </cell>
          <cell r="AU224">
            <v>37299.899999999994</v>
          </cell>
          <cell r="BZ224" t="str">
            <v>WRWT260850/WRWT25850</v>
          </cell>
          <cell r="CA224">
            <v>0</v>
          </cell>
          <cell r="DL224"/>
          <cell r="DM224" t="str">
            <v>Lead time</v>
          </cell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>
            <v>0</v>
          </cell>
          <cell r="EI224">
            <v>0</v>
          </cell>
        </row>
        <row r="225">
          <cell r="B225">
            <v>0</v>
          </cell>
          <cell r="C225"/>
          <cell r="E225"/>
          <cell r="F225"/>
          <cell r="G225">
            <v>28</v>
          </cell>
          <cell r="H225">
            <v>41</v>
          </cell>
          <cell r="I225" t="str">
            <v>ขาว</v>
          </cell>
          <cell r="J225"/>
          <cell r="L225">
            <v>122</v>
          </cell>
          <cell r="M225" t="str">
            <v>+</v>
          </cell>
          <cell r="N225">
            <v>3</v>
          </cell>
          <cell r="R225"/>
          <cell r="T225"/>
          <cell r="U225"/>
          <cell r="V225"/>
          <cell r="X225"/>
          <cell r="Z225"/>
          <cell r="AA225"/>
          <cell r="AB225">
            <v>0</v>
          </cell>
          <cell r="AC225">
            <v>0</v>
          </cell>
          <cell r="AD225"/>
          <cell r="AG225"/>
          <cell r="AI225" t="str">
            <v>ระบุในSD</v>
          </cell>
          <cell r="AJ225"/>
          <cell r="AL225">
            <v>0</v>
          </cell>
          <cell r="AM225"/>
          <cell r="AN225">
            <v>0</v>
          </cell>
          <cell r="AO225" t="str">
            <v>WSWT2825800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BZ225" t="str">
            <v>WRWT25850/WRWT25800</v>
          </cell>
          <cell r="CA225">
            <v>0</v>
          </cell>
          <cell r="DL225"/>
          <cell r="DM225" t="str">
            <v>Lead time</v>
          </cell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>
            <v>0</v>
          </cell>
        </row>
        <row r="226">
          <cell r="B226" t="str">
            <v>MK68-000702</v>
          </cell>
          <cell r="C226">
            <v>45800</v>
          </cell>
          <cell r="E226" t="str">
            <v>บจก.ไทยร่วมใจน้ำมันพืช</v>
          </cell>
          <cell r="F226" t="str">
            <v>TRJ</v>
          </cell>
          <cell r="G226">
            <v>28</v>
          </cell>
          <cell r="H226">
            <v>41</v>
          </cell>
          <cell r="I226" t="str">
            <v>ขาว</v>
          </cell>
          <cell r="J226"/>
          <cell r="L226">
            <v>120</v>
          </cell>
          <cell r="M226" t="str">
            <v>±</v>
          </cell>
          <cell r="N226">
            <v>3</v>
          </cell>
          <cell r="R226" t="str">
            <v>ไม่</v>
          </cell>
          <cell r="T226" t="str">
            <v>ไม่สวมถุงใน</v>
          </cell>
          <cell r="U226"/>
          <cell r="V226"/>
          <cell r="X226">
            <v>45824</v>
          </cell>
          <cell r="Z226" t="str">
            <v>500กระสอบ</v>
          </cell>
          <cell r="AA226">
            <v>50000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8339</v>
          </cell>
          <cell r="AL226">
            <v>41661</v>
          </cell>
          <cell r="AM226">
            <v>27330</v>
          </cell>
          <cell r="AN226">
            <v>23803.5</v>
          </cell>
          <cell r="AO226" t="str">
            <v>WSWT2825850</v>
          </cell>
          <cell r="AQ226">
            <v>28265.466075</v>
          </cell>
          <cell r="AR226">
            <v>5880</v>
          </cell>
          <cell r="AS226">
            <v>22385.466075</v>
          </cell>
          <cell r="AT226">
            <v>0</v>
          </cell>
          <cell r="AU226">
            <v>0</v>
          </cell>
          <cell r="BZ226" t="str">
            <v>WRWT25850/WRWT25850</v>
          </cell>
          <cell r="CA226">
            <v>2515.8776594291671</v>
          </cell>
          <cell r="DL226" t="str">
            <v>P1</v>
          </cell>
          <cell r="DM226">
            <v>2</v>
          </cell>
          <cell r="DN226">
            <v>45824</v>
          </cell>
          <cell r="DP226">
            <v>45819</v>
          </cell>
          <cell r="DQ226"/>
          <cell r="DR226">
            <v>45815</v>
          </cell>
          <cell r="DS226">
            <v>45822</v>
          </cell>
          <cell r="DT226"/>
          <cell r="DU226">
            <v>45823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ประมาณการ</v>
          </cell>
          <cell r="C227" t="str">
            <v>ประมาณการ</v>
          </cell>
          <cell r="E227" t="str">
            <v>บจก.ที.ซี.ยูเนี่ยน อโกรเทค</v>
          </cell>
          <cell r="F227" t="str">
            <v>ไม่พิมพ์</v>
          </cell>
          <cell r="G227">
            <v>28</v>
          </cell>
          <cell r="H227">
            <v>47</v>
          </cell>
          <cell r="I227" t="str">
            <v>ขาว</v>
          </cell>
          <cell r="J227" t="str">
            <v>ใส</v>
          </cell>
          <cell r="L227">
            <v>180</v>
          </cell>
          <cell r="M227" t="str">
            <v>±</v>
          </cell>
          <cell r="N227">
            <v>5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45838</v>
          </cell>
          <cell r="Z227" t="str">
            <v xml:space="preserve">300กระสอบแบนเต็มใบ </v>
          </cell>
          <cell r="AA227">
            <v>10000</v>
          </cell>
          <cell r="AB227">
            <v>0</v>
          </cell>
          <cell r="AC227">
            <v>0</v>
          </cell>
          <cell r="AD227">
            <v>0</v>
          </cell>
          <cell r="AG227" t="str">
            <v>TUN+F233ARIN TRUST</v>
          </cell>
          <cell r="AI227"/>
          <cell r="AJ227">
            <v>0</v>
          </cell>
          <cell r="AL227">
            <v>10000</v>
          </cell>
          <cell r="AM227"/>
          <cell r="AN227">
            <v>0</v>
          </cell>
          <cell r="AO227" t="str">
            <v>WSWT2825850</v>
          </cell>
          <cell r="AQ227">
            <v>13550.900000000001</v>
          </cell>
          <cell r="AR227">
            <v>0</v>
          </cell>
          <cell r="AS227">
            <v>13550.900000000001</v>
          </cell>
          <cell r="AT227">
            <v>0</v>
          </cell>
          <cell r="AU227">
            <v>13550.900000000001</v>
          </cell>
          <cell r="BZ227" t="str">
            <v>WRWT25850/WRWT25850</v>
          </cell>
          <cell r="CA227">
            <v>1522.9705944444447</v>
          </cell>
          <cell r="DL227" t="str">
            <v>P3</v>
          </cell>
          <cell r="DM227">
            <v>1</v>
          </cell>
          <cell r="DN227">
            <v>45838</v>
          </cell>
          <cell r="DP227">
            <v>45833</v>
          </cell>
          <cell r="DQ227"/>
          <cell r="DR227"/>
          <cell r="DS227"/>
          <cell r="DT227"/>
          <cell r="DU227">
            <v>45837</v>
          </cell>
          <cell r="DW227"/>
          <cell r="DX227"/>
          <cell r="DY227"/>
          <cell r="DZ227"/>
          <cell r="EA227"/>
          <cell r="EB227"/>
          <cell r="EC227" t="str">
            <v>ตัด</v>
          </cell>
          <cell r="ED227"/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28</v>
          </cell>
          <cell r="H228">
            <v>43</v>
          </cell>
          <cell r="I228"/>
          <cell r="J228"/>
          <cell r="L228">
            <v>130</v>
          </cell>
          <cell r="M228" t="str">
            <v>±</v>
          </cell>
          <cell r="N228">
            <v>3</v>
          </cell>
          <cell r="R228"/>
          <cell r="T228"/>
          <cell r="U228"/>
          <cell r="V228"/>
          <cell r="X228"/>
          <cell r="Z228"/>
          <cell r="AA228"/>
          <cell r="AB228"/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>WSWT2825850</v>
          </cell>
          <cell r="AQ228">
            <v>41816.366074999998</v>
          </cell>
          <cell r="AR228">
            <v>5880</v>
          </cell>
          <cell r="AS228">
            <v>35936.366074999998</v>
          </cell>
          <cell r="AT228">
            <v>0</v>
          </cell>
          <cell r="AU228">
            <v>13550.900000000001</v>
          </cell>
          <cell r="BZ228" t="str">
            <v>WRWT280850/WRWT25850</v>
          </cell>
          <cell r="CA228">
            <v>0</v>
          </cell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>
            <v>0</v>
          </cell>
          <cell r="C229"/>
          <cell r="E229"/>
          <cell r="F229"/>
          <cell r="G229">
            <v>30</v>
          </cell>
          <cell r="H229">
            <v>41</v>
          </cell>
          <cell r="I229"/>
          <cell r="J229"/>
          <cell r="L229">
            <v>122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>
            <v>0</v>
          </cell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WSWT3025800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BZ229" t="str">
            <v>WRWT25800/WRWT28750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>
            <v>0</v>
          </cell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 t="str">
            <v>ค้างส่งทั้งหมด</v>
          </cell>
          <cell r="Z230"/>
          <cell r="AA230">
            <v>4574495</v>
          </cell>
          <cell r="AB230"/>
          <cell r="AC230"/>
          <cell r="AD230"/>
          <cell r="AG230"/>
          <cell r="AI230"/>
          <cell r="AJ230">
            <v>290663</v>
          </cell>
          <cell r="AL230"/>
          <cell r="AM230"/>
          <cell r="AN230"/>
          <cell r="AO230"/>
          <cell r="AQ230" t="e">
            <v>#REF!</v>
          </cell>
          <cell r="AR230" t="e">
            <v>#REF!</v>
          </cell>
          <cell r="AS230" t="e">
            <v>#REF!</v>
          </cell>
          <cell r="AT230"/>
          <cell r="AU230"/>
          <cell r="BZ230"/>
          <cell r="CA230">
            <v>252693.52722564666</v>
          </cell>
          <cell r="DL230"/>
          <cell r="DM230" t="str">
            <v>Lead time</v>
          </cell>
          <cell r="DN230"/>
          <cell r="DP230">
            <v>-5</v>
          </cell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>
            <v>140000</v>
          </cell>
          <cell r="AA231">
            <v>32.674964285714289</v>
          </cell>
          <cell r="AB231"/>
          <cell r="AC231"/>
          <cell r="AD231"/>
          <cell r="AG231"/>
          <cell r="AI231"/>
          <cell r="AJ231"/>
          <cell r="AL231">
            <v>0</v>
          </cell>
          <cell r="AM231"/>
          <cell r="AN231">
            <v>0</v>
          </cell>
          <cell r="AO231"/>
          <cell r="AQ231" t="e">
            <v>#REF!</v>
          </cell>
          <cell r="AR231"/>
          <cell r="AS231" t="e">
            <v>#REF!</v>
          </cell>
          <cell r="AT231"/>
          <cell r="AU231"/>
          <cell r="BZ231"/>
          <cell r="CA231" t="str">
            <v>ห้ามลบ</v>
          </cell>
          <cell r="DL231" t="str">
            <v>P1</v>
          </cell>
          <cell r="DM231">
            <v>2</v>
          </cell>
          <cell r="DN231">
            <v>0</v>
          </cell>
          <cell r="DP231">
            <v>-5</v>
          </cell>
          <cell r="DQ231"/>
          <cell r="DR231">
            <v>-9</v>
          </cell>
          <cell r="DS231">
            <v>-2</v>
          </cell>
          <cell r="DT231"/>
          <cell r="DU231">
            <v>-1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>รอART</v>
          </cell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 t="str">
            <v>ประมาณการ</v>
          </cell>
          <cell r="Z232"/>
          <cell r="AA232">
            <v>900000</v>
          </cell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>
            <v>0</v>
          </cell>
          <cell r="AT232"/>
          <cell r="AU232"/>
          <cell r="BZ232"/>
          <cell r="CA232"/>
          <cell r="DL232" t="str">
            <v>P3</v>
          </cell>
          <cell r="DM232">
            <v>1</v>
          </cell>
          <cell r="DN232" t="str">
            <v>ประมาณการ</v>
          </cell>
          <cell r="DP232" t="e">
            <v>#VALUE!</v>
          </cell>
          <cell r="DQ232"/>
          <cell r="DR232"/>
          <cell r="DS232"/>
          <cell r="DT232"/>
          <cell r="DU232" t="e">
            <v>#VALUE!</v>
          </cell>
          <cell r="DW232"/>
          <cell r="DX232"/>
          <cell r="DY232"/>
          <cell r="DZ232"/>
          <cell r="EA232"/>
          <cell r="EB232"/>
          <cell r="EC232" t="str">
            <v>ตัด</v>
          </cell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 t="str">
            <v>รอแจ้ง</v>
          </cell>
          <cell r="Z233"/>
          <cell r="AA233">
            <v>809853</v>
          </cell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>
            <v>784560.87182000012</v>
          </cell>
          <cell r="AT233"/>
          <cell r="AU233"/>
          <cell r="BZ233"/>
          <cell r="CA233"/>
          <cell r="DL233" t="str">
            <v>P2</v>
          </cell>
          <cell r="DM233">
            <v>3</v>
          </cell>
          <cell r="DN233" t="str">
            <v>รอแจ้ง</v>
          </cell>
          <cell r="DP233" t="e">
            <v>#VALUE!</v>
          </cell>
          <cell r="DQ233" t="e">
            <v>#VALUE!</v>
          </cell>
          <cell r="DR233" t="e">
            <v>#VALUE!</v>
          </cell>
          <cell r="DS233" t="e">
            <v>#VALUE!</v>
          </cell>
          <cell r="DT233"/>
          <cell r="DU233" t="e">
            <v>#VALUE!</v>
          </cell>
          <cell r="DW233"/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 t="str">
            <v>รอส่ง</v>
          </cell>
          <cell r="Z234"/>
          <cell r="AA234">
            <v>29500</v>
          </cell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>
            <v>0</v>
          </cell>
          <cell r="AT234"/>
          <cell r="AU234"/>
          <cell r="BZ234"/>
          <cell r="CA234"/>
          <cell r="DL234" t="str">
            <v>P6</v>
          </cell>
          <cell r="DM234">
            <v>4</v>
          </cell>
          <cell r="DN234" t="str">
            <v>รอส่ง</v>
          </cell>
          <cell r="DP234" t="e">
            <v>#VALUE!</v>
          </cell>
          <cell r="DQ234" t="e">
            <v>#VALUE!</v>
          </cell>
          <cell r="DR234" t="e">
            <v>#VALUE!</v>
          </cell>
          <cell r="DS234" t="e">
            <v>#VALUE!</v>
          </cell>
          <cell r="DT234" t="e">
            <v>#VALUE!</v>
          </cell>
          <cell r="DU234" t="e">
            <v>#VALUE!</v>
          </cell>
          <cell r="DW234"/>
          <cell r="DX234"/>
          <cell r="DY234"/>
          <cell r="DZ234"/>
          <cell r="EA234"/>
          <cell r="EB234"/>
          <cell r="EC234" t="str">
            <v>งานเคลือบ+พิมพ์</v>
          </cell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 t="str">
            <v>มีกำหนดส่ง</v>
          </cell>
          <cell r="Z235"/>
          <cell r="AA235">
            <v>2835142</v>
          </cell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 t="e">
            <v>#REF!</v>
          </cell>
          <cell r="AT235" t="e">
            <v>#REF!</v>
          </cell>
          <cell r="AU235"/>
          <cell r="BZ235"/>
          <cell r="CA235"/>
          <cell r="DL235" t="str">
            <v>P11</v>
          </cell>
          <cell r="DM235">
            <v>2</v>
          </cell>
          <cell r="DN235" t="str">
            <v>มีกำหนดส่ง</v>
          </cell>
          <cell r="DP235" t="e">
            <v>#VALUE!</v>
          </cell>
          <cell r="DQ235" t="e">
            <v>#VALUE!</v>
          </cell>
          <cell r="DR235"/>
          <cell r="DS235"/>
          <cell r="DT235"/>
          <cell r="DU235" t="e">
            <v>#VALUE!</v>
          </cell>
          <cell r="DW235"/>
          <cell r="DX235"/>
          <cell r="DY235"/>
          <cell r="DZ235"/>
          <cell r="EA235"/>
          <cell r="EB235"/>
          <cell r="EC235" t="str">
            <v>งานเคลือบ+ตัด</v>
          </cell>
          <cell r="ED235"/>
          <cell r="EG235"/>
          <cell r="EH235"/>
          <cell r="EI235"/>
        </row>
        <row r="236">
          <cell r="B236"/>
          <cell r="C236"/>
          <cell r="E236" t="str">
            <v>ผู้สั่งผลิต..................................................</v>
          </cell>
          <cell r="F236"/>
          <cell r="G236"/>
          <cell r="H236"/>
          <cell r="I236" t="str">
            <v xml:space="preserve"> </v>
          </cell>
          <cell r="J236"/>
          <cell r="L236"/>
          <cell r="M236" t="str">
            <v xml:space="preserve"> </v>
          </cell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 t="str">
            <v>P9</v>
          </cell>
          <cell r="DM236">
            <v>3</v>
          </cell>
          <cell r="DN236">
            <v>0</v>
          </cell>
          <cell r="DP236">
            <v>-5</v>
          </cell>
          <cell r="DQ236"/>
          <cell r="DR236">
            <v>-10</v>
          </cell>
          <cell r="DS236">
            <v>-3</v>
          </cell>
          <cell r="DT236">
            <v>-2</v>
          </cell>
          <cell r="DU236">
            <v>-1</v>
          </cell>
          <cell r="DW236">
            <v>0</v>
          </cell>
          <cell r="DX236"/>
          <cell r="DY236"/>
          <cell r="DZ236"/>
          <cell r="EA236"/>
          <cell r="EB236"/>
          <cell r="EC236" t="str">
            <v>งานพิมพ์</v>
          </cell>
          <cell r="ED236"/>
          <cell r="EG236"/>
          <cell r="EH236"/>
          <cell r="EI236"/>
        </row>
        <row r="237">
          <cell r="B237"/>
          <cell r="C237"/>
          <cell r="E237" t="str">
            <v>เจ้าหน้าที่วางแผนการผลิต</v>
          </cell>
          <cell r="F237"/>
          <cell r="G237"/>
          <cell r="H237"/>
          <cell r="I237"/>
          <cell r="J237"/>
          <cell r="L237"/>
          <cell r="M237" t="str">
            <v>ผู้อนุมัติ..................................................</v>
          </cell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 t="str">
            <v xml:space="preserve"> </v>
          </cell>
          <cell r="AU237"/>
          <cell r="BZ237"/>
          <cell r="CA237"/>
          <cell r="DL237" t="str">
            <v>P4</v>
          </cell>
          <cell r="DM237">
            <v>3</v>
          </cell>
          <cell r="DN237">
            <v>0</v>
          </cell>
          <cell r="DP237">
            <v>-5</v>
          </cell>
          <cell r="DQ237"/>
          <cell r="DR237">
            <v>-10</v>
          </cell>
          <cell r="DS237">
            <v>-3</v>
          </cell>
          <cell r="DT237"/>
          <cell r="DU237">
            <v>-2</v>
          </cell>
          <cell r="DW237">
            <v>-1</v>
          </cell>
          <cell r="DX237"/>
          <cell r="DY237"/>
          <cell r="DZ237"/>
          <cell r="EA237"/>
          <cell r="EB237"/>
          <cell r="EC237" t="str">
            <v>งานพิมพ์</v>
          </cell>
          <cell r="ED237"/>
          <cell r="EG237"/>
          <cell r="EH237"/>
          <cell r="EI237"/>
        </row>
        <row r="238">
          <cell r="B238"/>
          <cell r="C238"/>
          <cell r="E238" t="str">
            <v xml:space="preserve">        /         /        .</v>
          </cell>
          <cell r="F238"/>
          <cell r="G238"/>
          <cell r="H238"/>
          <cell r="I238"/>
          <cell r="J238"/>
          <cell r="L238"/>
          <cell r="M238" t="str">
            <v>ผู้จัดการฝ่ายผลิต</v>
          </cell>
          <cell r="N238"/>
          <cell r="R238"/>
          <cell r="T238"/>
          <cell r="U238"/>
          <cell r="V238" t="str">
            <v xml:space="preserve"> </v>
          </cell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 t="str">
            <v>P7</v>
          </cell>
          <cell r="DM238">
            <v>2</v>
          </cell>
          <cell r="DN238">
            <v>0</v>
          </cell>
          <cell r="DP238">
            <v>-5</v>
          </cell>
          <cell r="DQ238"/>
          <cell r="DR238">
            <v>-9</v>
          </cell>
          <cell r="DS238">
            <v>-2</v>
          </cell>
          <cell r="DT238">
            <v>-1</v>
          </cell>
          <cell r="DU238">
            <v>-1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 t="str">
            <v xml:space="preserve">        /         /        .</v>
          </cell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 t="str">
            <v>P8</v>
          </cell>
          <cell r="DM239">
            <v>4</v>
          </cell>
          <cell r="DN239">
            <v>0</v>
          </cell>
          <cell r="DP239">
            <v>-5</v>
          </cell>
          <cell r="DQ239">
            <v>-4</v>
          </cell>
          <cell r="DR239">
            <v>-10</v>
          </cell>
          <cell r="DS239">
            <v>-3</v>
          </cell>
          <cell r="DT239">
            <v>-2</v>
          </cell>
          <cell r="DU239">
            <v>-2</v>
          </cell>
          <cell r="DW239">
            <v>-1</v>
          </cell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/>
          <cell r="EG239"/>
          <cell r="EH239"/>
          <cell r="EI239"/>
        </row>
        <row r="240">
          <cell r="B240"/>
          <cell r="C240"/>
          <cell r="E240"/>
          <cell r="F240" t="str">
            <v xml:space="preserve"> </v>
          </cell>
          <cell r="G240" t="str">
            <v xml:space="preserve"> </v>
          </cell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 t="str">
            <v>P13</v>
          </cell>
          <cell r="DM240">
            <v>2</v>
          </cell>
          <cell r="DN240">
            <v>0</v>
          </cell>
          <cell r="DP240">
            <v>-5</v>
          </cell>
          <cell r="DQ240"/>
          <cell r="DR240"/>
          <cell r="DS240"/>
          <cell r="DT240"/>
          <cell r="DU240">
            <v>-2</v>
          </cell>
          <cell r="DW240">
            <v>-1</v>
          </cell>
          <cell r="DX240"/>
          <cell r="DY240"/>
          <cell r="DZ240"/>
          <cell r="EA240"/>
          <cell r="EB240"/>
          <cell r="EC240" t="str">
            <v>ตัด</v>
          </cell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 t="str">
            <v xml:space="preserve"> </v>
          </cell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 t="str">
            <v>P10</v>
          </cell>
          <cell r="DM241">
            <v>3</v>
          </cell>
          <cell r="DN241">
            <v>0</v>
          </cell>
          <cell r="DP241">
            <v>-5</v>
          </cell>
          <cell r="DQ241">
            <v>-3</v>
          </cell>
          <cell r="DR241">
            <v>-9</v>
          </cell>
          <cell r="DS241">
            <v>-2</v>
          </cell>
          <cell r="DT241"/>
          <cell r="DU241">
            <v>-1</v>
          </cell>
          <cell r="DW241">
            <v>0</v>
          </cell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 t="str">
            <v xml:space="preserve"> </v>
          </cell>
          <cell r="AB242"/>
          <cell r="AC242"/>
          <cell r="AD242"/>
          <cell r="AG242"/>
          <cell r="AI242"/>
          <cell r="AJ242" t="str">
            <v>.</v>
          </cell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 t="str">
            <v>Lead time</v>
          </cell>
          <cell r="DN242"/>
          <cell r="DP242">
            <v>-5</v>
          </cell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 t="str">
            <v>P5.2</v>
          </cell>
          <cell r="DM243">
            <v>4</v>
          </cell>
          <cell r="DN243">
            <v>0</v>
          </cell>
          <cell r="DP243">
            <v>-15</v>
          </cell>
          <cell r="DQ243"/>
          <cell r="DR243">
            <v>-11</v>
          </cell>
          <cell r="DS243">
            <v>-4</v>
          </cell>
          <cell r="DT243">
            <v>-3</v>
          </cell>
          <cell r="DU243">
            <v>-3</v>
          </cell>
          <cell r="DW243">
            <v>-2</v>
          </cell>
          <cell r="DX243">
            <v>-1</v>
          </cell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 t="str">
            <v>P5.3</v>
          </cell>
          <cell r="DM244">
            <v>6</v>
          </cell>
          <cell r="DN244">
            <v>0</v>
          </cell>
          <cell r="DP244">
            <v>-15</v>
          </cell>
          <cell r="DQ244">
            <v>-6</v>
          </cell>
          <cell r="DR244">
            <v>-12</v>
          </cell>
          <cell r="DS244">
            <v>-5</v>
          </cell>
          <cell r="DT244">
            <v>-4</v>
          </cell>
          <cell r="DU244">
            <v>-3</v>
          </cell>
          <cell r="DW244">
            <v>-2</v>
          </cell>
          <cell r="DX244">
            <v>-1</v>
          </cell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 t="str">
            <v xml:space="preserve"> </v>
          </cell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ยังไม่ได้พิมพ์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พร้อมส่ง</v>
          </cell>
        </row>
        <row r="29">
          <cell r="DC29" t="str">
            <v>พร้อมส่ง</v>
          </cell>
        </row>
        <row r="30">
          <cell r="DC30" t="str">
            <v>รอตัด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รอตัด</v>
          </cell>
        </row>
        <row r="35">
          <cell r="DC35" t="str">
            <v>รอตัด</v>
          </cell>
        </row>
        <row r="36">
          <cell r="DC36" t="str">
            <v>รอตัด</v>
          </cell>
        </row>
        <row r="37">
          <cell r="DC37" t="str">
            <v>รอตัด</v>
          </cell>
        </row>
        <row r="38">
          <cell r="DC38" t="str">
            <v>รอตัด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ผ้าขาว</v>
          </cell>
        </row>
        <row r="44">
          <cell r="DC44" t="str">
            <v>ยังไม่ได้พิมพ์</v>
          </cell>
        </row>
        <row r="45">
          <cell r="DC45" t="str">
            <v>รอตัด</v>
          </cell>
        </row>
        <row r="46">
          <cell r="DC46" t="str">
            <v>ผ้าขาว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รอตัด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รอตัด</v>
          </cell>
        </row>
        <row r="61">
          <cell r="DC61" t="str">
            <v>รอแบบ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พร้อมส่ง</v>
          </cell>
        </row>
        <row r="66">
          <cell r="DC66" t="str">
            <v>ยังไม่ได้พิมพ์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รอตัด</v>
          </cell>
        </row>
        <row r="70">
          <cell r="DC70" t="str">
            <v>รอตัด</v>
          </cell>
        </row>
        <row r="71">
          <cell r="DC71" t="str">
            <v>ยังไม่ได้พิมพ์</v>
          </cell>
        </row>
        <row r="72">
          <cell r="DC72" t="str">
            <v>รอตัด</v>
          </cell>
        </row>
        <row r="73">
          <cell r="DC73" t="str">
            <v>รอตัด</v>
          </cell>
        </row>
        <row r="74">
          <cell r="DC74" t="str">
            <v>พร้อมส่ง</v>
          </cell>
        </row>
        <row r="75">
          <cell r="DC75" t="str">
            <v>พิมพ์ไม่ครบ</v>
          </cell>
        </row>
        <row r="76">
          <cell r="DC76" t="str">
            <v>ยังไม่ได้พิมพ์</v>
          </cell>
        </row>
        <row r="77">
          <cell r="DC77" t="str">
            <v>รอตัด</v>
          </cell>
        </row>
        <row r="78">
          <cell r="DC78" t="str">
            <v>รอตัด</v>
          </cell>
        </row>
        <row r="79">
          <cell r="DC79" t="str">
            <v>ยังไม่ได้พิมพ์</v>
          </cell>
        </row>
        <row r="80">
          <cell r="DC80" t="str">
            <v>พร้อมส่ง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รอแบบ</v>
          </cell>
        </row>
        <row r="93">
          <cell r="DC93" t="str">
            <v>พร้อมส่ง</v>
          </cell>
        </row>
        <row r="94">
          <cell r="DC94" t="str">
            <v>พร้อมส่ง</v>
          </cell>
        </row>
        <row r="95">
          <cell r="DC95" t="str">
            <v>พร้อมส่ง</v>
          </cell>
        </row>
        <row r="96">
          <cell r="DC96" t="str">
            <v>รอตัด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พร้อมส่ง</v>
          </cell>
        </row>
        <row r="104">
          <cell r="DC104" t="str">
            <v>รอแบบ</v>
          </cell>
        </row>
        <row r="105">
          <cell r="DC105" t="str">
            <v>รอแบบ</v>
          </cell>
        </row>
        <row r="106">
          <cell r="DC106" t="str">
            <v>ยังไม่ได้พิมพ์</v>
          </cell>
        </row>
        <row r="107">
          <cell r="DC107" t="str">
            <v>รอตัด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รอตัด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พร้อมส่ง</v>
          </cell>
        </row>
        <row r="126">
          <cell r="DC126" t="str">
            <v>ยังไม่ได้พิมพ์</v>
          </cell>
        </row>
        <row r="127">
          <cell r="DC127" t="str">
            <v>ยังไม่ได้พิมพ์</v>
          </cell>
        </row>
        <row r="128">
          <cell r="DC128" t="str">
            <v>รอตัด</v>
          </cell>
        </row>
        <row r="129">
          <cell r="DC129" t="str">
            <v>รอตัด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พร้อมส่ง</v>
          </cell>
        </row>
        <row r="136">
          <cell r="DC136" t="str">
            <v>รอแบบ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พิมพ์ไม่ครบ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ยังไม่ได้พิมพ์</v>
          </cell>
        </row>
        <row r="148">
          <cell r="DC148" t="str">
            <v>ผ้าขาว</v>
          </cell>
        </row>
        <row r="149">
          <cell r="DC149" t="str">
            <v>ผ้าขาว</v>
          </cell>
        </row>
        <row r="150">
          <cell r="DC150" t="str">
            <v>ผ้าขาว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ผ้าขาว</v>
          </cell>
        </row>
        <row r="154">
          <cell r="DC154" t="str">
            <v>ยังไม่ได้พิมพ์</v>
          </cell>
        </row>
        <row r="155">
          <cell r="DC155" t="str">
            <v>พร้อมส่ง</v>
          </cell>
        </row>
        <row r="156">
          <cell r="DC156" t="str">
            <v>พิมพ์ไม่ครบ</v>
          </cell>
        </row>
        <row r="157">
          <cell r="DC157" t="str">
            <v>พร้อมส่ง</v>
          </cell>
        </row>
        <row r="158">
          <cell r="DC158" t="str">
            <v>ยังไม่ได้พิมพ์</v>
          </cell>
        </row>
        <row r="159">
          <cell r="DC159" t="str">
            <v>พิมพ์ไม่ครบ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รอแบบ</v>
          </cell>
        </row>
        <row r="171">
          <cell r="DC171" t="str">
            <v>ยังไม่ได้พิมพ์</v>
          </cell>
        </row>
        <row r="172">
          <cell r="DC172" t="str">
            <v>พร้อมส่ง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รอแบบ</v>
          </cell>
        </row>
        <row r="178">
          <cell r="DC178" t="str">
            <v>ยังไม่ได้พิมพ์</v>
          </cell>
        </row>
        <row r="179">
          <cell r="DC179" t="str">
            <v>พร้อมส่ง</v>
          </cell>
        </row>
        <row r="180">
          <cell r="DC180" t="str">
            <v>พิมพ์ไม่ครบ</v>
          </cell>
        </row>
        <row r="181">
          <cell r="DC181" t="str">
            <v>พร้อมส่ง</v>
          </cell>
        </row>
        <row r="182">
          <cell r="DC182" t="str">
            <v>รอแบบ</v>
          </cell>
        </row>
        <row r="183">
          <cell r="DC183" t="str">
            <v>รอแบบ</v>
          </cell>
        </row>
        <row r="184">
          <cell r="DC184" t="str">
            <v>พร้อมส่ง</v>
          </cell>
        </row>
        <row r="185">
          <cell r="DC185" t="str">
            <v>รอแบบ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ผ้าขาว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ผ้าขาว</v>
          </cell>
        </row>
        <row r="209">
          <cell r="DC209" t="str">
            <v>ผ้าขาว</v>
          </cell>
        </row>
        <row r="210">
          <cell r="DC210" t="str">
            <v>รอแบบ</v>
          </cell>
        </row>
        <row r="211">
          <cell r="DC211" t="str">
            <v>พร้อมส่ง</v>
          </cell>
        </row>
        <row r="212">
          <cell r="DC212" t="str">
            <v>รอตัด</v>
          </cell>
        </row>
        <row r="213">
          <cell r="DC213" t="str">
            <v>รอตัด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พร้อมส่ง</v>
          </cell>
        </row>
        <row r="217">
          <cell r="DC217" t="str">
            <v>พร้อมส่ง</v>
          </cell>
        </row>
        <row r="218">
          <cell r="DC218" t="str">
            <v>พร้อมส่ง</v>
          </cell>
        </row>
        <row r="219">
          <cell r="DC219" t="str">
            <v>ยังไม่ได้พิมพ์</v>
          </cell>
        </row>
        <row r="220">
          <cell r="DC220" t="str">
            <v>ผ้าขาว</v>
          </cell>
        </row>
        <row r="221">
          <cell r="DC221" t="str">
            <v>พร้อมส่ง</v>
          </cell>
        </row>
        <row r="222">
          <cell r="DC222" t="str">
            <v>ผ้าขาว</v>
          </cell>
        </row>
        <row r="223">
          <cell r="DC223" t="str">
            <v>ผ้าขาว</v>
          </cell>
        </row>
        <row r="224">
          <cell r="DC224" t="str">
            <v>พร้อมส่ง</v>
          </cell>
        </row>
        <row r="225">
          <cell r="DC225" t="str">
            <v>พร้อมส่ง</v>
          </cell>
        </row>
        <row r="226">
          <cell r="DC226" t="str">
            <v>พิมพ์ไม่ครบ</v>
          </cell>
        </row>
        <row r="227">
          <cell r="DC227" t="str">
            <v>ผ้าขาว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/>
        </row>
        <row r="231">
          <cell r="DC231"/>
        </row>
        <row r="232">
          <cell r="DC232"/>
        </row>
        <row r="233">
          <cell r="DC233" t="str">
            <v xml:space="preserve"> </v>
          </cell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9.568195717591" createdVersion="8" refreshedVersion="8" minRefreshableVersion="3" recordCount="232" xr:uid="{7FE22DE0-2C13-4CA4-9AEC-0C4F6996D8D3}">
  <cacheSource type="worksheet">
    <worksheetSource ref="B5:AF237" sheet="12-4-68" r:id="rId2"/>
  </cacheSource>
  <cacheFields count="31">
    <cacheField name="เลขที่ SO" numFmtId="0">
      <sharedItems containsMixedTypes="1" containsNumber="1" containsInteger="1" minValue="0" maxValue="0" count="118">
        <s v="ประมาณการ"/>
        <n v="0"/>
        <s v="MK68-000511"/>
        <s v="MK68-000515"/>
        <s v="MK68-000485"/>
        <s v="MK68-000486"/>
        <s v="MK68-000418"/>
        <s v="MK68-000517"/>
        <s v="MK68-000525"/>
        <s v="MK68-000524"/>
        <s v="MK68-000526"/>
        <s v="MK68-000507"/>
        <s v="MK68-000506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456"/>
        <s v="MK68-000523"/>
        <s v="MK68-000522"/>
        <s v="MK68-000498"/>
        <s v="MK68-000440"/>
        <s v="MK67-001679"/>
        <s v="MK68-000494"/>
        <s v="MK68-000496"/>
        <s v="ใบรับคำสั่งซื้อ"/>
        <s v="MK68-000527"/>
        <s v="MK68-000088"/>
        <s v="MK68-000336"/>
        <s v="MK68-000335"/>
        <s v="MK68-000529"/>
        <s v="MK68-000531"/>
        <s v="MK68-000514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247"/>
        <s v="MK68-000093"/>
        <s v="MK67-001537"/>
        <s v="MK67-001532"/>
        <s v="MK67-001535"/>
        <s v="MK67-001153"/>
        <s v="MK68-000324"/>
        <s v="MK68-000450"/>
        <s v="MK68-000452"/>
        <s v="MK68-000064"/>
        <s v="MK67-001682"/>
        <s v="MK67-001624"/>
        <s v="MK67-001236"/>
        <s v="MK67-001272"/>
        <s v="MK67-001396"/>
        <s v="MK68-000521"/>
        <s v="MK68-000484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516"/>
        <s v="MK68-000493"/>
        <s v="MK68-000183"/>
        <s v="MK68-000520"/>
        <s v="MK68-000538"/>
        <s v="MK67-001617"/>
        <s v="MK68-000528"/>
        <s v="MK68-000530"/>
        <s v="MK67-001642"/>
        <s v="MK67-001643"/>
        <s v="MK68-000184"/>
        <s v="MK68-000058"/>
        <s v="MK67-001273"/>
        <s v="MK66-000701"/>
        <s v="MK68-000332"/>
        <s v="MK68-000533"/>
        <s v="MK68-000534"/>
        <s v="MK68-000532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7">
        <s v="บจก.ซัน ซีเมนต์ โพรเซส"/>
        <n v="0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คุณสมบัติ นิมวชิรวัฒนา"/>
        <s v="โรงสีข้าวธัญญาวัฒน์"/>
        <s v="บจก.เอ็นบี ดิสทริบิวชั่น"/>
        <s v="บจก.ที.ซี.ยูเนี่ยน อโกรเทค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12T00:00:00" maxDate="2025-08-21T00:00:00" count="32">
        <s v="รอแจ้ง"/>
        <m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25T00:00:00"/>
        <d v="2025-04-28T00:00:00"/>
        <d v="2025-05-03T00:00:00"/>
        <d v="2025-04-17T00:00:00"/>
        <d v="2025-05-30T00:00:00"/>
        <d v="2025-04-18T00:00:00"/>
        <s v="รอส่ง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4-12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5"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476261.9865654996"/>
    </cacheField>
    <cacheField name="Stock" numFmtId="3">
      <sharedItems containsSemiMixedTypes="0" containsString="0" containsNumber="1" minValue="0" maxValue="114815.36615999999"/>
    </cacheField>
    <cacheField name="ค้างทอ" numFmtId="3">
      <sharedItems containsSemiMixedTypes="0" containsString="0" containsNumber="1" minValue="0" maxValue="3422432.9865654996"/>
    </cacheField>
    <cacheField name="Stock2" numFmtId="3">
      <sharedItems containsSemiMixedTypes="0" containsString="0" containsNumber="1" minValue="0" maxValue="54622.34"/>
    </cacheField>
    <cacheField name="ค้างเคลือบ" numFmtId="3">
      <sharedItems containsSemiMixedTypes="0" containsString="0" containsNumber="1" minValue="0" maxValue="3476261.986565499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2.571553472226" createdVersion="8" refreshedVersion="8" minRefreshableVersion="3" recordCount="246" xr:uid="{0FADFFED-ECB1-4611-BB96-C9E1CDD3F7B8}">
  <cacheSource type="worksheet">
    <worksheetSource ref="A5:AF251" sheet="25-4-68" r:id="rId2"/>
  </cacheSource>
  <cacheFields count="32">
    <cacheField name="วันรับออร์เดอร์/แบบ" numFmtId="187">
      <sharedItems containsDate="1" containsMixedTypes="1" minDate="1899-12-30T00:00:00" maxDate="2025-04-25T00:00:00"/>
    </cacheField>
    <cacheField name="เลขที่ SO" numFmtId="0">
      <sharedItems containsMixedTypes="1" containsNumber="1" containsInteger="1" minValue="0" maxValue="0" count="105">
        <s v="ประมาณการ"/>
        <n v="0"/>
        <s v="MK68-000511"/>
        <s v="ใบรับคำสั่งซื้อ"/>
        <s v="MK68-000564"/>
        <s v="MK68-000525"/>
        <s v="MK68-000524"/>
        <s v="MK68-000418"/>
        <s v="MK68-000575"/>
        <s v="MK68-000576"/>
        <s v="MK68-000517"/>
        <s v="MK68-000526"/>
        <s v="MK68-000506"/>
        <s v="MK68-000535"/>
        <s v="MK68-000536"/>
        <s v="MK68-000578"/>
        <s v="MK68-000537"/>
        <s v="MK68-000579"/>
        <s v="MK68-000337"/>
        <s v="MK68-000549"/>
        <s v="MK68-000440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14"/>
        <s v="MK67-001679"/>
        <s v="MK68-000522"/>
        <s v="MK68-000543"/>
        <s v="MK68-000544"/>
        <s v="MK68-000531"/>
        <s v="MK68-000325"/>
        <s v="MK68-000324"/>
        <s v="MK68-000275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65"/>
        <s v="MK68-000183"/>
        <s v="MK68-000563"/>
        <s v="MK68-000561"/>
        <s v="MK68-000571"/>
        <s v="MK68-000572"/>
        <s v="MK68-000528"/>
        <s v="MK68-000058"/>
        <s v="MK67-001617"/>
        <s v="MK67-001642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39">
        <s v="บจก.ซัน ซีเมนต์ โพรเซส"/>
        <n v="0"/>
        <s v="บจก.เคอรี่ฟลาวมิลล์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อินเทคค์ โกลบอล"/>
        <s v="บจก.หนองบัวฟีดมิลล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ร้านกัลยาพาณิชย์"/>
        <s v="บจก.เอเซียอควาเซอร์วิสเซส"/>
        <s v="คุณนพวินทร์ รัตนเศรษฐ์เมธา"/>
        <s v="บจก.เอ็นบี ดิสทริบิวชั่น"/>
        <s v="บจก.แอมโก้เวท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1T00:00:00" maxDate="2025-08-21T00:00:00" count="31">
        <s v="รอแจ้ง"/>
        <m/>
        <d v="2025-04-26T00:00:00"/>
        <d v="2025-05-10T00:00:00"/>
        <d v="2025-04-30T00:00:00"/>
        <d v="2025-05-30T00:00:00"/>
        <d v="2025-04-28T00:00:00"/>
        <d v="2025-04-24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7T00:00:00"/>
        <d v="2025-05-14T00:00:00"/>
        <d v="2025-05-16T00:00:00"/>
        <d v="2025-05-21T00:00:00"/>
        <d v="2025-05-26T00:00:00"/>
        <d v="2025-05-02T00:00:00"/>
        <d v="2025-05-05T00:00:00"/>
        <d v="2025-05-09T00:00:00"/>
        <d v="2025-04-21T00:00:00"/>
        <d v="2025-04-25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30">
        <s v="WSWT1625800SM"/>
        <s v="WSWT1625800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2643.3913375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19.395720486114" createdVersion="8" refreshedVersion="8" minRefreshableVersion="3" recordCount="185" xr:uid="{F32B4AA5-4E35-4B8A-B6D0-8D8005BA0A11}">
  <cacheSource type="worksheet">
    <worksheetSource ref="A5:AF190" sheet="10-6-68"/>
  </cacheSource>
  <cacheFields count="32">
    <cacheField name="วันรับออร์เดอร์/แบบ" numFmtId="187">
      <sharedItems containsDate="1" containsMixedTypes="1" minDate="1899-12-30T00:00:00" maxDate="2025-06-11T00:00:00"/>
    </cacheField>
    <cacheField name="เลขที่ SO" numFmtId="0">
      <sharedItems containsMixedTypes="1" containsNumber="1" containsInteger="1" minValue="0" maxValue="0" count="83">
        <s v="MK68-000701"/>
        <n v="0"/>
        <s v="ประมาณการ"/>
        <s v="MK68-000754"/>
        <s v="MK68-000716"/>
        <s v="MK68-000687"/>
        <s v="MK68-000683"/>
        <s v="MK68-000682"/>
        <s v="MK68-000726"/>
        <s v="MK68-000727"/>
        <s v="MK68-000743"/>
        <s v="MK68-000744"/>
        <s v="MK68-000745"/>
        <s v="MK68-000747"/>
        <s v="MK68-000748"/>
        <s v="MK68-000680"/>
        <s v="ใบรับคำสั่งซื้อ"/>
        <s v="MK68-000671"/>
        <s v="MK68-000672"/>
        <s v="MK68-000675"/>
        <s v="MK68-000676"/>
        <s v="MK68-000555"/>
        <s v="MK68-000694"/>
        <s v="MK68-000740"/>
        <s v="MK68-000609"/>
        <s v="MK68-000531"/>
        <s v="MK68-000440"/>
        <s v="MK68-000514"/>
        <s v="MK68-000722"/>
        <s v="MK68-000728"/>
        <s v="MK68-000707"/>
        <s v="MK68-000706"/>
        <s v="MK68-000755"/>
        <s v="MK68-000756"/>
        <s v="MK68-000673"/>
        <s v="MK68-000674"/>
        <s v="MK68-000693"/>
        <s v="MK68-000742"/>
        <s v="MK68-000741"/>
        <s v="MK68-000334"/>
        <s v="MK67-001533"/>
        <s v="MK68-000341"/>
        <s v="MK68-000122"/>
        <s v="MK68-000247"/>
        <s v="MK68-000093"/>
        <s v="MK67-001532"/>
        <s v="MK67-001153"/>
        <s v="MK68-000452"/>
        <s v="MK67-001236"/>
        <s v="MK67-001272"/>
        <s v="MK67-001396"/>
        <s v="MK68-000746"/>
        <s v="MK68-000646"/>
        <s v="MK68-000750"/>
        <s v="MK68-000718"/>
        <s v="MK68-000678"/>
        <s v="MK68-000753"/>
        <s v="MK68-000712"/>
        <s v="MK68-000751"/>
        <s v="MK68-000762"/>
        <s v="MK68-000695"/>
        <s v="MK68-000723"/>
        <s v="MK68-000696"/>
        <s v="MK68-000760"/>
        <s v="MK68-000759"/>
        <s v="MK68-000752"/>
        <s v="MK68-000758"/>
        <s v="MK68-000709"/>
        <s v="MK67-001617"/>
        <s v="MK68-000703"/>
        <s v="MK68-000691"/>
        <s v="MK67-001642"/>
        <s v="MK67-001643"/>
        <s v="MK66-000701"/>
        <s v="MK68-000640"/>
        <s v="MK68-000378"/>
        <s v="MK67-001490"/>
        <s v="MK68-000714"/>
        <s v="MK68-000719"/>
        <s v="MK68-000749"/>
        <s v="MK68-000699"/>
        <s v="MK68-000761"/>
        <s v="MK68-000702"/>
      </sharedItems>
    </cacheField>
    <cacheField name="ชื่อลูกค้า" numFmtId="0">
      <sharedItems containsMixedTypes="1" containsNumber="1" containsInteger="1" minValue="0" maxValue="0" count="40">
        <s v="หจก.ปึงเป้งน้ำ"/>
        <n v="0"/>
        <s v="บจก.ซัน ซีเมนต์ โพรเซส"/>
        <s v="โรงสีลิ้มย่งฮวด"/>
        <s v="บจก.ฟาร์เธอร์ส วิง ซัพพลาย"/>
        <s v="  "/>
        <s v="บจก.ไบโอกรีนนิค"/>
        <s v="บจก.ซิเบลโก้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เอเชียเหมืองแร่"/>
        <s v="บจก.เอ.เจ.ฟาร์ม่าแล็บ"/>
        <s v="คุณชายชล จันทร์สว่างกูล"/>
        <s v="บจก.เอสพีเอ็ม อาหารสัตว์"/>
        <s v="บจก.มารีน หรีดเดอร์"/>
        <s v="บจก.เอพีเอ็ม อะโกร"/>
        <s v="บจก.วีซีเอฟ"/>
        <s v="บจก.ไทยธรรมดี"/>
        <s v="บจก.เบทาโกร"/>
        <s v="กองระบบท่อระบายน้ำสำนักการระบายน้ำ"/>
        <s v="บจก.หนองบัวฟีดมิลล์"/>
        <s v="บจก.ทีเจทีเทรดเดอร์"/>
        <s v="ร้านสมคิดพันธุ์ข้าว"/>
        <s v="บจก.แอมโก้เวท"/>
        <s v="คุณนพวินทร์ รัตนเศรษฐ์เมธา"/>
        <s v="บจก.เอ็นบี ดิสทริบิวชั่น"/>
        <s v="บจก.บลูฟาโล่"/>
        <s v="บจก.ที.ซี.ยูเนี่ยน อโกรเทค"/>
        <s v="กรมการข้าว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โอเชี่ยนฟีด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6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6-11T00:00:00" maxDate="2025-07-22T00:00:00" count="23">
        <d v="2025-06-13T00:00:00"/>
        <m/>
        <s v="รอแจ้ง"/>
        <d v="2025-06-21T00:00:00"/>
        <d v="2025-06-30T00:00:00"/>
        <d v="2025-06-12T00:00:00"/>
        <d v="2025-07-03T00:00:00"/>
        <d v="2025-06-11T00:00:00"/>
        <d v="2025-06-17T00:00:00"/>
        <d v="2025-06-14T00:00:00"/>
        <d v="2025-06-19T00:00:00"/>
        <d v="2025-06-20T00:00:00"/>
        <d v="2025-06-23T00:00:00"/>
        <d v="2025-06-27T00:00:00"/>
        <s v="รอส่ง"/>
        <d v="2025-06-18T00:00:00"/>
        <d v="2025-07-04T00:00:00"/>
        <d v="2025-07-07T00:00:00"/>
        <d v="2025-07-09T00:00:00"/>
        <d v="2025-07-11T00:00:00"/>
        <d v="2025-07-21T00:00:00"/>
        <d v="2025-06-16T00:00:00"/>
        <d v="2025-06-25T00:00:00"/>
      </sharedItems>
    </cacheField>
    <cacheField name="จำนวนส่ง" numFmtId="188">
      <sharedItems containsSemiMixedTypes="0" containsString="0" containsNumber="1" containsInteger="1" minValue="0" maxValue="1345000"/>
    </cacheField>
    <cacheField name="StockFG" numFmtId="41">
      <sharedItems containsSemiMixedTypes="0" containsString="0" containsNumber="1" containsInteger="1" minValue="0" maxValue="75000"/>
    </cacheField>
    <cacheField name="ค้างตัด" numFmtId="41">
      <sharedItems containsSemiMixedTypes="0" containsString="0" containsNumber="1" containsInteger="1" minValue="0" maxValue="1345000"/>
    </cacheField>
    <cacheField name="พิมพ์แล้ว" numFmtId="41">
      <sharedItems containsSemiMixedTypes="0" containsString="0" containsNumber="1" containsInteger="1" minValue="0" maxValue="756311"/>
    </cacheField>
    <cacheField name="ค้างพิมพ์" numFmtId="41">
      <sharedItems containsSemiMixedTypes="0" containsString="0" containsNumber="1" minValue="0" maxValue="618123.45000000007"/>
    </cacheField>
    <cacheField name="ประเภท" numFmtId="0">
      <sharedItems count="26">
        <s v="WSWT1425800"/>
        <s v="WSWT1625800SM"/>
        <s v="WSWT1621720SMFX"/>
        <s v="WSWT1825800"/>
        <s v="WSWT1825800SM"/>
        <s v="WSWT1925800"/>
        <s v="WSWT1921720"/>
        <s v="WSWT19251000SM"/>
        <s v="WSWT2025650"/>
        <s v="WSWT2025800SM"/>
        <s v="WSWT2025800"/>
        <s v="WSWT2021850UV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841359.53902000003"/>
    </cacheField>
    <cacheField name="Stock" numFmtId="3">
      <sharedItems containsSemiMixedTypes="0" containsString="0" containsNumber="1" minValue="0" maxValue="207241.80000000005"/>
    </cacheField>
    <cacheField name="ค้างทอ" numFmtId="3">
      <sharedItems containsSemiMixedTypes="0" containsString="0" containsNumber="1" minValue="0" maxValue="778594.27902000013"/>
    </cacheField>
    <cacheField name="Stock2" numFmtId="3">
      <sharedItems containsSemiMixedTypes="0" containsString="0" containsNumber="1" minValue="0" maxValue="14435.8331425"/>
    </cacheField>
    <cacheField name="ค้างเคลือบ" numFmtId="3">
      <sharedItems containsSemiMixedTypes="0" containsString="0" containsNumber="1" minValue="0" maxValue="346801.32716400002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x v="3"/>
    <x v="3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3"/>
    <n v="5000"/>
    <n v="0"/>
    <n v="5000"/>
    <n v="0"/>
    <n v="5250"/>
    <x v="2"/>
    <n v="4121.1500000000005"/>
    <n v="4121.1500000000005"/>
    <n v="0"/>
    <n v="0"/>
    <n v="0"/>
    <n v="0"/>
  </r>
  <r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7949"/>
    <n v="5252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7322.8"/>
    <n v="12070.150000000001"/>
    <n v="5252.65"/>
    <n v="0"/>
    <n v="0"/>
    <s v="ระบุในSD"/>
  </r>
  <r>
    <x v="4"/>
    <x v="6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5"/>
    <x v="6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3198"/>
    <n v="5603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7602.2"/>
    <n v="11999.1"/>
    <n v="5603.1"/>
    <n v="0"/>
    <n v="17602.2"/>
    <s v="ระบุในSD"/>
  </r>
  <r>
    <x v="6"/>
    <x v="8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6"/>
    <n v="20000"/>
    <n v="0"/>
    <n v="20000"/>
    <n v="0"/>
    <n v="21000"/>
    <x v="4"/>
    <n v="16484.600000000002"/>
    <n v="7500"/>
    <n v="8984.6000000000022"/>
    <n v="0"/>
    <n v="0"/>
    <n v="0"/>
  </r>
  <r>
    <x v="7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4"/>
    <n v="17602.2"/>
    <n v="0"/>
    <n v="17602.2"/>
    <n v="0"/>
    <n v="0"/>
    <n v="0"/>
  </r>
  <r>
    <x v="7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4"/>
    <n v="8801.1"/>
    <n v="0"/>
    <n v="8801.1"/>
    <n v="0"/>
    <n v="0"/>
    <n v="0"/>
  </r>
  <r>
    <x v="8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4"/>
    <n v="17602.2"/>
    <n v="0"/>
    <n v="17602.2"/>
    <n v="0"/>
    <n v="0"/>
    <n v="0"/>
  </r>
  <r>
    <x v="10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4"/>
    <n v="17602.2"/>
    <n v="0"/>
    <n v="17602.2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4"/>
    <n v="17602.2"/>
    <n v="0"/>
    <n v="17602.2"/>
    <n v="0"/>
    <n v="0"/>
    <n v="0"/>
  </r>
  <r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0"/>
    <n v="10000"/>
    <n v="0"/>
    <n v="10000"/>
    <n v="0"/>
    <n v="10500"/>
    <x v="4"/>
    <n v="9359.9000000000015"/>
    <n v="0"/>
    <n v="9359.9000000000015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4"/>
    <n v="7500"/>
    <n v="185565.4"/>
    <n v="0"/>
    <n v="0"/>
    <s v="ระบุในSD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50"/>
    <n v="0"/>
    <x v="5"/>
    <n v="0"/>
    <n v="0"/>
    <n v="0"/>
    <n v="0"/>
    <n v="0"/>
    <s v="PDR250112"/>
  </r>
  <r>
    <x v="11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5"/>
    <n v="0"/>
    <n v="0"/>
    <n v="0"/>
    <n v="0"/>
    <n v="0"/>
    <s v="PDR250112"/>
  </r>
  <r>
    <x v="11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54"/>
    <n v="4946"/>
    <n v="5200"/>
    <n v="0"/>
    <x v="5"/>
    <n v="0"/>
    <n v="0"/>
    <n v="0"/>
    <n v="0"/>
    <n v="0"/>
    <s v="PDR250112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10300"/>
    <n v="0"/>
    <x v="5"/>
    <n v="0"/>
    <n v="0"/>
    <n v="0"/>
    <n v="0"/>
    <n v="0"/>
    <s v="PDR250112"/>
  </r>
  <r>
    <x v="12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5"/>
    <n v="0"/>
    <n v="0"/>
    <n v="0"/>
    <n v="0"/>
    <n v="0"/>
    <s v="PDR250113"/>
  </r>
  <r>
    <x v="12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113"/>
  </r>
  <r>
    <x v="12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400"/>
    <n v="0"/>
    <x v="5"/>
    <n v="0"/>
    <n v="0"/>
    <n v="0"/>
    <n v="0"/>
    <n v="0"/>
    <s v="PDR250113"/>
  </r>
  <r>
    <x v="13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4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1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10400"/>
    <n v="0"/>
    <x v="5"/>
    <n v="0"/>
    <n v="0"/>
    <n v="0"/>
    <n v="0"/>
    <n v="0"/>
    <s v="PDR250114"/>
  </r>
  <r>
    <x v="11"/>
    <x v="2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300"/>
    <n v="0"/>
    <x v="5"/>
    <n v="0"/>
    <n v="0"/>
    <n v="0"/>
    <n v="0"/>
    <n v="0"/>
    <s v="PDR250114"/>
  </r>
  <r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580"/>
    <n v="0"/>
    <x v="5"/>
    <n v="0"/>
    <n v="0"/>
    <n v="0"/>
    <n v="0"/>
    <n v="0"/>
    <s v="PDR250114"/>
  </r>
  <r>
    <x v="15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66"/>
    <n v="0"/>
    <n v="5300"/>
    <n v="0"/>
    <x v="5"/>
    <n v="0"/>
    <n v="0"/>
    <n v="0"/>
    <n v="0"/>
    <n v="0"/>
    <s v="PDR250114"/>
  </r>
  <r>
    <x v="12"/>
    <x v="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15"/>
  </r>
  <r>
    <x v="12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10"/>
    <n v="4490"/>
    <n v="0"/>
    <n v="4714.5"/>
    <x v="5"/>
    <n v="3951.6938999999998"/>
    <n v="3951.6938999999998"/>
    <n v="0"/>
    <n v="0"/>
    <n v="0"/>
    <s v="PDR250115"/>
  </r>
  <r>
    <x v="12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115"/>
  </r>
  <r>
    <x v="12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15"/>
  </r>
  <r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5"/>
    <n v="5238.75"/>
    <n v="0"/>
    <n v="5238.75"/>
    <n v="0"/>
    <n v="0"/>
    <s v="PDR250115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5"/>
    <n v="0"/>
    <n v="0"/>
    <n v="0"/>
    <n v="0"/>
    <n v="0"/>
    <s v="PDR250116"/>
  </r>
  <r>
    <x v="11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680"/>
    <n v="0"/>
    <x v="5"/>
    <n v="0"/>
    <n v="0"/>
    <n v="0"/>
    <n v="0"/>
    <n v="0"/>
    <s v="PDR250116"/>
  </r>
  <r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s v="PDR250117"/>
  </r>
  <r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5"/>
    <n v="0"/>
    <n v="0"/>
    <n v="0"/>
    <n v="0"/>
    <n v="0"/>
    <s v="PDR250117"/>
  </r>
  <r>
    <x v="17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118"/>
  </r>
  <r>
    <x v="18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350"/>
    <n v="4650"/>
    <n v="5300"/>
    <n v="0"/>
    <x v="5"/>
    <n v="0"/>
    <n v="0"/>
    <n v="0"/>
    <n v="0"/>
    <n v="0"/>
    <s v="PDR250118"/>
  </r>
  <r>
    <x v="18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5"/>
    <n v="0"/>
    <n v="0"/>
    <n v="0"/>
    <n v="0"/>
    <n v="0"/>
    <s v="PDR250118"/>
  </r>
  <r>
    <x v="18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8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7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5"/>
    <n v="4381.1875799999998"/>
    <n v="0"/>
    <n v="4381.1875799999998"/>
    <n v="0"/>
    <n v="0"/>
    <s v="PDR250119"/>
  </r>
  <r>
    <x v="17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2880"/>
    <n v="2226"/>
    <x v="5"/>
    <n v="1959.1248599999999"/>
    <n v="0"/>
    <n v="1959.1248599999999"/>
    <n v="0"/>
    <n v="0"/>
    <s v="PDR250119"/>
  </r>
  <r>
    <x v="19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5"/>
    <n v="5238.75"/>
    <n v="0"/>
    <n v="5238.75"/>
    <n v="0"/>
    <n v="0"/>
    <s v="PDR250119"/>
  </r>
  <r>
    <x v="17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7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8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120"/>
  </r>
  <r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600000"/>
    <n v="0"/>
    <n v="600000"/>
    <n v="0"/>
    <n v="630000"/>
    <x v="5"/>
    <n v="528066"/>
    <n v="0"/>
    <n v="528066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55286.90633999999"/>
    <n v="8352.2438999999995"/>
    <n v="646934.66243999999"/>
    <n v="0"/>
    <n v="0"/>
    <s v="ระบุในSD"/>
  </r>
  <r>
    <x v="20"/>
    <x v="12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5"/>
    <n v="10000"/>
    <n v="10000"/>
    <n v="0"/>
    <n v="10500"/>
    <n v="0"/>
    <x v="6"/>
    <n v="0"/>
    <n v="0"/>
    <n v="0"/>
    <n v="0"/>
    <n v="0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x v="21"/>
    <x v="13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x v="22"/>
    <x v="13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6250"/>
    <n v="0"/>
    <x v="7"/>
    <n v="0"/>
    <n v="0"/>
    <n v="0"/>
    <n v="0"/>
    <n v="0"/>
    <n v="0"/>
  </r>
  <r>
    <x v="22"/>
    <x v="13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400"/>
    <n v="4872"/>
    <x v="7"/>
    <n v="4832.3906399999996"/>
    <n v="4832.3906399999996"/>
    <n v="0"/>
    <n v="4832.3906399999996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832.3906399999996"/>
    <n v="4832.3906399999996"/>
    <n v="0"/>
    <n v="4832.3906399999996"/>
    <n v="0"/>
    <s v="ระบุในSD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8"/>
    <n v="4400.55"/>
    <n v="0"/>
    <n v="4400.55"/>
    <n v="0"/>
    <n v="0"/>
    <n v="0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4"/>
    <n v="10000"/>
    <n v="0"/>
    <n v="10000"/>
    <n v="0"/>
    <n v="0"/>
    <x v="8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13201.650000000001"/>
    <n v="0"/>
    <n v="13201.650000000001"/>
    <n v="0"/>
    <n v="0"/>
    <s v="ระบุในSD"/>
  </r>
  <r>
    <x v="23"/>
    <x v="15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600"/>
    <n v="0"/>
    <x v="9"/>
    <n v="0"/>
    <n v="0"/>
    <n v="0"/>
    <n v="0"/>
    <n v="0"/>
    <n v="0"/>
  </r>
  <r>
    <x v="0"/>
    <x v="16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0"/>
    <n v="50000"/>
    <n v="0"/>
    <n v="50000"/>
    <n v="0"/>
    <n v="0"/>
    <x v="9"/>
    <n v="55181.5"/>
    <n v="9009"/>
    <n v="46172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5181.5"/>
    <n v="9009"/>
    <n v="46172.5"/>
    <n v="0"/>
    <n v="0"/>
    <s v="ระบุในSD"/>
  </r>
  <r>
    <x v="24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13300"/>
    <n v="0"/>
    <x v="10"/>
    <n v="0"/>
    <n v="0"/>
    <n v="0"/>
    <n v="0"/>
    <n v="0"/>
    <n v="0"/>
  </r>
  <r>
    <x v="25"/>
    <x v="17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0"/>
    <n v="11036.3"/>
    <n v="11036.3"/>
    <n v="0"/>
    <n v="0"/>
    <n v="11036.3"/>
    <n v="0"/>
  </r>
  <r>
    <x v="26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10000"/>
    <n v="0"/>
    <n v="10000"/>
    <n v="0"/>
    <n v="10500"/>
    <x v="10"/>
    <n v="11036.3"/>
    <n v="11036.3"/>
    <n v="0"/>
    <n v="0"/>
    <n v="11036.3"/>
    <n v="0"/>
  </r>
  <r>
    <x v="27"/>
    <x v="18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10"/>
    <n v="5378.4500000000007"/>
    <n v="5378.4500000000007"/>
    <n v="0"/>
    <n v="0"/>
    <n v="5378.4500000000007"/>
    <s v="ห้ามเกิน "/>
  </r>
  <r>
    <x v="28"/>
    <x v="19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29"/>
    <x v="19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30"/>
    <x v="18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250"/>
    <n v="0"/>
    <x v="10"/>
    <n v="0"/>
    <n v="0"/>
    <n v="0"/>
    <n v="0"/>
    <n v="0"/>
    <s v="ห้ามเกิน "/>
  </r>
  <r>
    <x v="30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10000"/>
    <n v="0"/>
    <n v="10000"/>
    <n v="9848"/>
    <n v="159.6"/>
    <x v="10"/>
    <n v="171.68012400000001"/>
    <n v="171.68012400000001"/>
    <n v="0"/>
    <n v="0"/>
    <n v="171.68012400000001"/>
    <s v="ห้ามเกิน "/>
  </r>
  <r>
    <x v="31"/>
    <x v="18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1"/>
    <x v="18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2"/>
    <x v="18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10431"/>
    <n v="11082.800000000003"/>
    <n v="0"/>
    <n v="21513.800000000003"/>
    <s v="ห้ามเกิน "/>
  </r>
  <r>
    <x v="32"/>
    <x v="18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s v="ห้ามเกิน "/>
  </r>
  <r>
    <x v="0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00"/>
    <n v="0"/>
    <n v="120000"/>
    <n v="0"/>
    <n v="126000"/>
    <x v="10"/>
    <n v="125730.00000000001"/>
    <n v="0"/>
    <n v="125730.00000000001"/>
    <n v="0"/>
    <n v="125730.00000000001"/>
    <n v="0"/>
  </r>
  <r>
    <x v="33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6000"/>
    <n v="0"/>
    <n v="6000"/>
    <n v="0"/>
    <n v="6300"/>
    <x v="10"/>
    <n v="6621.78"/>
    <n v="6621.78"/>
    <n v="0"/>
    <n v="0"/>
    <n v="6621.78"/>
    <n v="0"/>
  </r>
  <r>
    <x v="34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935"/>
    <n v="0"/>
    <x v="10"/>
    <n v="0"/>
    <n v="0"/>
    <n v="0"/>
    <n v="0"/>
    <n v="0"/>
    <s v="ห้ามขาด-ห้ามเกิน"/>
  </r>
  <r>
    <x v="35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11000"/>
    <n v="0"/>
    <x v="10"/>
    <n v="0"/>
    <n v="0"/>
    <n v="0"/>
    <n v="0"/>
    <n v="0"/>
    <n v="0"/>
  </r>
  <r>
    <x v="36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2087"/>
    <n v="0"/>
    <n v="2087"/>
    <n v="23120"/>
    <n v="0"/>
    <x v="10"/>
    <n v="0"/>
    <n v="0"/>
    <n v="0"/>
    <n v="0"/>
    <n v="0"/>
    <n v="0"/>
  </r>
  <r>
    <x v="37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38"/>
    <x v="19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0"/>
    <n v="6000"/>
    <n v="0"/>
    <n v="6000"/>
    <n v="0"/>
    <n v="6300"/>
    <x v="10"/>
    <n v="6454.14"/>
    <n v="0"/>
    <n v="6454.14"/>
    <n v="0"/>
    <n v="6454.14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0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x v="40"/>
    <x v="13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x v="41"/>
    <x v="13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x v="21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11050"/>
    <n v="0"/>
    <x v="10"/>
    <n v="0"/>
    <n v="0"/>
    <n v="0"/>
    <n v="0"/>
    <n v="0"/>
    <n v="0"/>
  </r>
  <r>
    <x v="42"/>
    <x v="13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6066"/>
    <n v="0"/>
    <x v="10"/>
    <n v="0"/>
    <n v="0"/>
    <n v="0"/>
    <n v="0"/>
    <n v="0"/>
    <n v="0"/>
  </r>
  <r>
    <x v="42"/>
    <x v="13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x v="0"/>
    <x v="19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x v="4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22"/>
    <n v="0"/>
    <n v="122"/>
    <n v="11870"/>
    <n v="0"/>
    <x v="10"/>
    <n v="0"/>
    <n v="0"/>
    <n v="0"/>
    <n v="0"/>
    <n v="0"/>
    <s v="เลาะ 1000+ลบสี400"/>
  </r>
  <r>
    <x v="0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x v="44"/>
    <x v="17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0"/>
    <n v="3310.89"/>
    <n v="0"/>
    <n v="3310.89"/>
    <n v="0"/>
    <n v="3310.89"/>
    <n v="0"/>
  </r>
  <r>
    <x v="45"/>
    <x v="17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46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7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8"/>
    <x v="19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x v="49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x v="50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x v="51"/>
    <x v="13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20900"/>
    <n v="0"/>
    <x v="10"/>
    <n v="0"/>
    <n v="0"/>
    <n v="0"/>
    <n v="0"/>
    <n v="0"/>
    <n v="0"/>
  </r>
  <r>
    <x v="52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x v="53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x v="5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x v="5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x v="55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5300"/>
    <n v="0"/>
    <x v="10"/>
    <n v="0"/>
    <n v="0"/>
    <n v="0"/>
    <n v="0"/>
    <n v="0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0"/>
    <n v="2000"/>
    <n v="5400"/>
    <n v="0"/>
    <x v="10"/>
    <n v="0"/>
    <n v="0"/>
    <n v="0"/>
    <n v="0"/>
    <n v="0"/>
    <n v="0"/>
  </r>
  <r>
    <x v="56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x v="57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0"/>
    <n v="0"/>
    <x v="10"/>
    <n v="0"/>
    <n v="0"/>
    <n v="0"/>
    <n v="0"/>
    <n v="0"/>
    <n v="0"/>
  </r>
  <r>
    <x v="58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x v="59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712"/>
    <n v="288"/>
    <n v="4300"/>
    <n v="0"/>
    <x v="10"/>
    <n v="0"/>
    <n v="0"/>
    <n v="0"/>
    <n v="0"/>
    <n v="0"/>
    <n v="0"/>
  </r>
  <r>
    <x v="3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x v="3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x v="60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600"/>
    <n v="0"/>
    <n v="2800"/>
    <n v="0"/>
    <x v="10"/>
    <n v="0"/>
    <n v="0"/>
    <n v="0"/>
    <n v="0"/>
    <n v="0"/>
    <n v="0"/>
  </r>
  <r>
    <x v="6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x v="62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x v="6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23.05012400018"/>
    <n v="55711.810123999996"/>
    <n v="243711.24000000008"/>
    <n v="0"/>
    <n v="299423.05012400018"/>
    <s v="ระบุในSD"/>
  </r>
  <r>
    <x v="64"/>
    <x v="21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6"/>
    <n v="5000"/>
    <n v="0"/>
    <n v="5000"/>
    <n v="5780"/>
    <n v="0"/>
    <x v="11"/>
    <n v="0"/>
    <n v="0"/>
    <n v="0"/>
    <n v="0"/>
    <n v="0"/>
    <n v="0"/>
  </r>
  <r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x v="65"/>
    <x v="13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3"/>
    <n v="32998"/>
    <n v="30240"/>
    <n v="2758"/>
    <n v="35031"/>
    <n v="0"/>
    <x v="12"/>
    <n v="0"/>
    <n v="0"/>
    <n v="0"/>
    <n v="0"/>
    <n v="0"/>
    <n v="0"/>
  </r>
  <r>
    <x v="66"/>
    <x v="16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14145"/>
    <n v="0"/>
    <n v="14744"/>
    <n v="0"/>
    <x v="12"/>
    <n v="0"/>
    <n v="0"/>
    <n v="0"/>
    <n v="0"/>
    <n v="0"/>
    <s v="หนองบุญมาก"/>
  </r>
  <r>
    <x v="67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10000"/>
    <n v="10084"/>
    <n v="0"/>
    <n v="10600"/>
    <n v="0"/>
    <x v="12"/>
    <n v="0"/>
    <n v="0"/>
    <n v="0"/>
    <n v="0"/>
    <n v="0"/>
    <s v="พระประแดง"/>
  </r>
  <r>
    <x v="68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20000"/>
    <n v="0"/>
    <n v="20000"/>
    <n v="21000"/>
    <n v="0"/>
    <x v="12"/>
    <n v="0"/>
    <n v="0"/>
    <n v="0"/>
    <n v="0"/>
    <n v="0"/>
    <s v="พระประแดง"/>
  </r>
  <r>
    <x v="69"/>
    <x v="2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13"/>
    <n v="5000"/>
    <n v="1422"/>
    <n v="3578"/>
    <n v="5322"/>
    <n v="0"/>
    <x v="12"/>
    <n v="0"/>
    <n v="0"/>
    <n v="0"/>
    <n v="0"/>
    <n v="0"/>
    <n v="0"/>
  </r>
  <r>
    <x v="70"/>
    <x v="16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20000"/>
    <n v="15000"/>
    <n v="5000"/>
    <n v="20800"/>
    <n v="0"/>
    <x v="12"/>
    <n v="0"/>
    <n v="0"/>
    <n v="0"/>
    <n v="0"/>
    <n v="0"/>
    <s v="ลพบุรี 3"/>
  </r>
  <r>
    <x v="71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21420"/>
    <n v="9009"/>
    <x v="12"/>
    <n v="9690.8912099999998"/>
    <n v="9690.8912099999998"/>
    <n v="0"/>
    <n v="0"/>
    <n v="0"/>
    <s v="ลพบุรี 1"/>
  </r>
  <r>
    <x v="72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30370"/>
    <n v="0"/>
    <n v="31585"/>
    <n v="0"/>
    <x v="12"/>
    <n v="0"/>
    <n v="0"/>
    <n v="0"/>
    <n v="0"/>
    <n v="0"/>
    <s v="ลพบุรี 1"/>
  </r>
  <r>
    <x v="73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80000"/>
    <n v="0"/>
    <n v="80000"/>
    <n v="0"/>
    <n v="84000"/>
    <x v="12"/>
    <n v="86055.200000000012"/>
    <n v="37006"/>
    <n v="49049.200000000012"/>
    <n v="0"/>
    <n v="0"/>
    <s v="ลพบุรี 3"/>
  </r>
  <r>
    <x v="74"/>
    <x v="2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12"/>
    <n v="0"/>
    <n v="0"/>
    <n v="0"/>
    <n v="0"/>
    <n v="0"/>
    <s v="PDR250113"/>
  </r>
  <r>
    <x v="75"/>
    <x v="16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0000"/>
    <n v="0"/>
    <n v="10000"/>
    <n v="0"/>
    <n v="10500"/>
    <x v="12"/>
    <n v="10756.900000000001"/>
    <n v="0"/>
    <n v="10756.900000000001"/>
    <n v="0"/>
    <n v="0"/>
    <s v="ลำพูน"/>
  </r>
  <r>
    <x v="76"/>
    <x v="16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ลำพูน"/>
  </r>
  <r>
    <x v="77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7"/>
    <x v="16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8"/>
    <x v="16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ำพูน"/>
  </r>
  <r>
    <x v="79"/>
    <x v="16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พบุรี 3"/>
  </r>
  <r>
    <x v="79"/>
    <x v="16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2"/>
    <n v="32270.700000000004"/>
    <n v="0"/>
    <n v="32270.700000000004"/>
    <n v="0"/>
    <n v="0"/>
    <s v="ลพบุรี 3"/>
  </r>
  <r>
    <x v="80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0"/>
    <n v="31500"/>
    <x v="12"/>
    <n v="32270.700000000004"/>
    <n v="0"/>
    <n v="32270.700000000004"/>
    <n v="0"/>
    <n v="0"/>
    <s v="ลพบุรี 1"/>
  </r>
  <r>
    <x v="81"/>
    <x v="16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3"/>
    <x v="16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2"/>
    <n v="5378.4500000000007"/>
    <n v="0"/>
    <n v="5378.4500000000007"/>
    <n v="0"/>
    <n v="0"/>
    <s v="ลำพูน"/>
  </r>
  <r>
    <x v="84"/>
    <x v="16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2000"/>
    <n v="0"/>
    <n v="12000"/>
    <n v="0"/>
    <n v="12600"/>
    <x v="12"/>
    <n v="12908.28"/>
    <n v="0"/>
    <n v="12908.28"/>
    <n v="0"/>
    <n v="0"/>
    <s v="หนองบุญมาก"/>
  </r>
  <r>
    <x v="85"/>
    <x v="16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4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2"/>
    <n v="21513.800000000003"/>
    <n v="0"/>
    <n v="21513.800000000003"/>
    <n v="0"/>
    <n v="0"/>
    <s v="ลพบุรี 3"/>
  </r>
  <r>
    <x v="85"/>
    <x v="16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3"/>
    <x v="16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2"/>
    <n v="5378.4500000000007"/>
    <n v="0"/>
    <n v="5378.4500000000007"/>
    <n v="0"/>
    <n v="0"/>
    <s v="ลำพูน"/>
  </r>
  <r>
    <x v="86"/>
    <x v="16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40000"/>
    <n v="0"/>
    <n v="40000"/>
    <n v="0"/>
    <n v="42000"/>
    <x v="12"/>
    <n v="43027.600000000006"/>
    <n v="0"/>
    <n v="43027.600000000006"/>
    <n v="0"/>
    <n v="0"/>
    <s v="ลพบุรี 3"/>
  </r>
  <r>
    <x v="87"/>
    <x v="16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2"/>
    <n v="5378.4500000000007"/>
    <n v="0"/>
    <n v="5378.4500000000007"/>
    <n v="0"/>
    <n v="0"/>
    <s v="ลำพูน"/>
  </r>
  <r>
    <x v="81"/>
    <x v="16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0"/>
    <x v="13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10000"/>
    <n v="0"/>
    <n v="110000"/>
    <n v="0"/>
    <n v="115500"/>
    <x v="12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492829.37121000013"/>
    <n v="46696.891210000002"/>
    <n v="446132.4800000001"/>
    <n v="0"/>
    <n v="0"/>
    <s v="ระบุในSD"/>
  </r>
  <r>
    <x v="89"/>
    <x v="14"/>
    <s v="ไม่พิมพ์"/>
    <n v="21"/>
    <n v="38"/>
    <s v="ขาว"/>
    <n v="0"/>
    <n v="69"/>
    <s v="±"/>
    <n v="5"/>
    <s v="ไม่"/>
    <n v="22"/>
    <n v="41"/>
    <n v="40"/>
    <n v="124.61774302207998"/>
    <n v="0"/>
    <n v="124.61774302207998"/>
    <s v="500กระสอบ"/>
    <x v="26"/>
    <n v="4000"/>
    <n v="0"/>
    <n v="4000"/>
    <n v="0"/>
    <n v="0"/>
    <x v="13"/>
    <n v="4100"/>
    <n v="0"/>
    <n v="4100"/>
    <n v="0"/>
    <n v="0"/>
    <n v="0"/>
  </r>
  <r>
    <x v="90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0"/>
    <n v="10000"/>
    <n v="0"/>
    <n v="10000"/>
    <n v="0"/>
    <n v="10500"/>
    <x v="13"/>
    <n v="9918.7000000000007"/>
    <n v="0"/>
    <n v="9918.7000000000007"/>
    <n v="0"/>
    <n v="0"/>
    <s v="ห้ามขาด-ห้ามเกิน"/>
  </r>
  <r>
    <x v="0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5055"/>
    <n v="0"/>
    <n v="25055"/>
    <n v="0"/>
    <n v="0"/>
    <s v="ระบุในSD"/>
  </r>
  <r>
    <x v="91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4"/>
    <n v="3310.89"/>
    <n v="3310.89"/>
    <n v="0"/>
    <n v="3310.89"/>
    <n v="0"/>
    <n v="0"/>
  </r>
  <r>
    <x v="92"/>
    <x v="15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554"/>
    <n v="0"/>
    <x v="14"/>
    <n v="0"/>
    <n v="0"/>
    <n v="0"/>
    <n v="0"/>
    <n v="0"/>
    <n v="0"/>
  </r>
  <r>
    <x v="93"/>
    <x v="23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4"/>
    <n v="5378.4500000000007"/>
    <n v="5378.4500000000007"/>
    <n v="0"/>
    <n v="5378.4500000000007"/>
    <n v="0"/>
    <n v="0"/>
  </r>
  <r>
    <x v="9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x v="0"/>
    <x v="23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x v="0"/>
    <x v="25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60000"/>
    <n v="0"/>
    <n v="60000"/>
    <n v="0"/>
    <n v="63000"/>
    <x v="14"/>
    <n v="64541.400000000009"/>
    <n v="45933"/>
    <n v="18608.400000000009"/>
    <n v="45933"/>
    <n v="18608.400000000009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x v="95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0"/>
    <n v="6000"/>
    <n v="0"/>
    <n v="6000"/>
    <n v="0"/>
    <n v="6300"/>
    <x v="14"/>
    <n v="6621.78"/>
    <n v="0"/>
    <n v="6621.78"/>
    <n v="0"/>
    <n v="6621.78"/>
    <n v="0"/>
  </r>
  <r>
    <x v="96"/>
    <x v="17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9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9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4"/>
    <n v="5797.55"/>
    <n v="0"/>
    <n v="5797.55"/>
    <n v="0"/>
    <n v="5797.55"/>
    <n v="0"/>
  </r>
  <r>
    <x v="100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0"/>
    <n v="4000"/>
    <n v="0"/>
    <n v="4000"/>
    <n v="0"/>
    <n v="4200"/>
    <x v="14"/>
    <n v="4414.5199999999995"/>
    <n v="0"/>
    <n v="4414.5199999999995"/>
    <n v="0"/>
    <n v="4414.5199999999995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4"/>
    <n v="10756.900000000001"/>
    <n v="0"/>
    <n v="10756.900000000001"/>
    <n v="0"/>
    <n v="10756.900000000001"/>
    <n v="0"/>
  </r>
  <r>
    <x v="101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4"/>
    <n v="11036.3"/>
    <n v="0"/>
    <n v="11036.3"/>
    <n v="0"/>
    <n v="11036.3"/>
    <n v="0"/>
  </r>
  <r>
    <x v="102"/>
    <x v="1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213014.56"/>
    <n v="54622.34"/>
    <n v="158392.22"/>
    <n v="54622.34"/>
    <n v="158392.22"/>
    <s v="ระบุในSD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4"/>
    <n v="268368"/>
    <n v="15939"/>
    <n v="252429"/>
    <n v="174315"/>
    <n v="98755.650000000009"/>
    <x v="15"/>
    <n v="97952.766565500016"/>
    <n v="53829"/>
    <n v="44123.766565500016"/>
    <n v="0"/>
    <n v="97952.766565500016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7"/>
    <n v="3406000"/>
    <n v="0"/>
    <n v="3406000"/>
    <n v="0"/>
    <n v="3576300"/>
    <x v="15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3476261.9865654996"/>
    <n v="53829"/>
    <n v="3422432.9865654996"/>
    <n v="0"/>
    <n v="3476261.9865654996"/>
    <s v="ระบุในSD"/>
  </r>
  <r>
    <x v="0"/>
    <x v="27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7000"/>
    <n v="0"/>
    <n v="7000"/>
    <n v="0"/>
    <n v="7350"/>
    <x v="16"/>
    <n v="6943.09"/>
    <n v="6943.09"/>
    <n v="0"/>
    <n v="0"/>
    <n v="0"/>
    <n v="0"/>
  </r>
  <r>
    <x v="104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8000"/>
    <n v="0"/>
    <n v="8000"/>
    <n v="0"/>
    <n v="8400"/>
    <x v="16"/>
    <n v="7934.96"/>
    <n v="7934.96"/>
    <n v="0"/>
    <n v="0"/>
    <n v="7934.96"/>
    <s v="ห้ามเกิน-ขาดได้5%"/>
  </r>
  <r>
    <x v="104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7000"/>
    <n v="0"/>
    <n v="7000"/>
    <n v="0"/>
    <n v="7350"/>
    <x v="16"/>
    <n v="6943.09"/>
    <n v="3540"/>
    <n v="3403.09"/>
    <n v="0"/>
    <n v="6943.09"/>
    <s v="ห้ามเกิน-ขาดได้5%"/>
  </r>
  <r>
    <x v="104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5000"/>
    <n v="0"/>
    <n v="5000"/>
    <n v="0"/>
    <n v="5250"/>
    <x v="16"/>
    <n v="4959.3500000000004"/>
    <n v="0"/>
    <n v="4959.3500000000004"/>
    <n v="0"/>
    <n v="4959.3500000000004"/>
    <s v="ห้ามเกิน-ขาดได้5%"/>
  </r>
  <r>
    <x v="105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2"/>
    <n v="5000"/>
    <n v="0"/>
    <n v="5000"/>
    <n v="0"/>
    <n v="5250"/>
    <x v="16"/>
    <n v="4959.3500000000004"/>
    <n v="0"/>
    <n v="4959.3500000000004"/>
    <n v="0"/>
    <n v="0"/>
    <s v="ห้ามเกิน-ขาดได้5%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106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6"/>
    <n v="4959.3500000000004"/>
    <n v="0"/>
    <n v="4959.3500000000004"/>
    <n v="0"/>
    <n v="4959.3500000000004"/>
    <n v="0"/>
  </r>
  <r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4"/>
    <n v="20000"/>
    <n v="0"/>
    <n v="20000"/>
    <n v="0"/>
    <n v="21000"/>
    <x v="16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87410.290000000008"/>
    <n v="18418.05"/>
    <n v="68992.240000000005"/>
    <n v="0"/>
    <n v="35833.050000000003"/>
    <s v="ระบุในSD"/>
  </r>
  <r>
    <x v="107"/>
    <x v="30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0"/>
    <n v="8400"/>
    <x v="17"/>
    <n v="8605.52"/>
    <n v="8605.52"/>
    <n v="0"/>
    <n v="0"/>
    <n v="8605.52"/>
    <s v="ขาด-เกิน5%"/>
  </r>
  <r>
    <x v="108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7"/>
    <n v="1159.5100000000002"/>
    <n v="1159.5100000000002"/>
    <n v="0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9765.0300000000007"/>
    <n v="9765.0300000000007"/>
    <n v="0"/>
    <n v="0"/>
    <n v="9765.0300000000007"/>
    <s v="ระบุในSD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8"/>
    <n v="100000"/>
    <n v="0"/>
    <n v="100000"/>
    <n v="0"/>
    <n v="105000"/>
    <x v="18"/>
    <n v="107569.00000000001"/>
    <n v="0"/>
    <n v="107569.00000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9"/>
    <n v="200000"/>
    <n v="0"/>
    <n v="200000"/>
    <n v="0"/>
    <n v="210000"/>
    <x v="18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0"/>
    <n v="150000"/>
    <n v="0"/>
    <n v="150000"/>
    <n v="0"/>
    <n v="157500"/>
    <x v="18"/>
    <n v="161353.5"/>
    <n v="0"/>
    <n v="161353.5"/>
    <n v="0"/>
    <n v="0"/>
    <n v="0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1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19"/>
    <n v="114322.18182000001"/>
    <n v="0"/>
    <n v="114322.18182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8"/>
    <n v="0"/>
    <n v="0"/>
    <n v="0"/>
    <n v="0"/>
    <n v="0"/>
    <n v="0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8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1028658.6818200002"/>
    <n v="0"/>
    <n v="1028658.6818200002"/>
    <n v="0"/>
    <n v="0"/>
    <s v="ระบุในSD"/>
  </r>
  <r>
    <x v="110"/>
    <x v="32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4563"/>
    <n v="0"/>
    <n v="4563"/>
    <n v="0"/>
    <n v="0"/>
    <x v="20"/>
    <n v="5163.3539099999998"/>
    <n v="5163.3539099999998"/>
    <n v="0"/>
    <n v="0"/>
    <n v="0"/>
    <n v="0"/>
  </r>
  <r>
    <x v="111"/>
    <x v="33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0"/>
    <n v="4000"/>
    <n v="0"/>
    <n v="4000"/>
    <n v="0"/>
    <n v="4200"/>
    <x v="20"/>
    <n v="4749.8"/>
    <n v="0"/>
    <n v="4749.8"/>
    <n v="0"/>
    <n v="0"/>
    <n v="0"/>
  </r>
  <r>
    <x v="0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0"/>
    <n v="48615.600000000006"/>
    <n v="0"/>
    <n v="48615.600000000006"/>
    <n v="0"/>
    <n v="0"/>
    <n v="0"/>
  </r>
  <r>
    <x v="0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0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70403.253909999999"/>
    <n v="5163.3539099999998"/>
    <n v="65239.900000000009"/>
    <n v="0"/>
    <n v="0"/>
    <s v="ระบุในSD"/>
  </r>
  <r>
    <x v="112"/>
    <x v="35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10000"/>
    <n v="3157"/>
    <n v="6843"/>
    <n v="0"/>
    <n v="7185.1500000000005"/>
    <x v="21"/>
    <n v="8508.1071899999988"/>
    <n v="4000"/>
    <n v="4508.1071899999988"/>
    <n v="0"/>
    <n v="8508.1071899999988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8508.1071899999988"/>
    <n v="4000"/>
    <n v="4508.1071899999988"/>
    <n v="0"/>
    <n v="8508.1071899999988"/>
    <s v="ระบุในSD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2"/>
    <n v="12433.3"/>
    <n v="6278"/>
    <n v="6155.2999999999993"/>
    <n v="0"/>
    <n v="0"/>
    <n v="0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2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37299.899999999994"/>
    <n v="6278"/>
    <n v="31021.899999999998"/>
    <n v="0"/>
    <n v="0"/>
    <s v="ระบุในSD"/>
  </r>
  <r>
    <x v="113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5"/>
    <n v="11000"/>
    <n v="11100"/>
    <n v="0"/>
    <n v="0"/>
    <n v="0"/>
    <x v="23"/>
    <n v="0"/>
    <n v="0"/>
    <n v="0"/>
    <n v="0"/>
    <n v="0"/>
    <s v="ห้ามขาด-เกินได้5%"/>
  </r>
  <r>
    <x v="11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3848"/>
    <n v="26152"/>
    <n v="0"/>
    <n v="27459.600000000002"/>
    <x v="23"/>
    <n v="32515.566159999998"/>
    <n v="32515.566159999998"/>
    <n v="0"/>
    <n v="2567"/>
    <n v="29948.566159999998"/>
    <s v="ห้ามขาด-เกินได้5%"/>
  </r>
  <r>
    <x v="115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116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23"/>
    <n v="24866.6"/>
    <n v="7700"/>
    <n v="17166.599999999999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31981.96615999998"/>
    <n v="114815.36615999999"/>
    <n v="17166.599999999999"/>
    <n v="2567"/>
    <n v="129414.96615999998"/>
    <s v="ระบุในSD"/>
  </r>
  <r>
    <x v="117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0"/>
    <n v="31500"/>
    <n v="3016"/>
    <n v="29908.2"/>
    <x v="24"/>
    <n v="35514.49209"/>
    <n v="4500"/>
    <n v="31014.49209"/>
    <n v="0"/>
    <n v="0"/>
    <n v="0"/>
  </r>
  <r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2616.292090000003"/>
    <n v="4500"/>
    <n v="58116.292090000003"/>
    <n v="0"/>
    <n v="27101.800000000003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04T00:00:00"/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2025-04-04T00:00:00"/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4-22T00:00:00"/>
    <x v="3"/>
    <x v="3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2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2000"/>
    <n v="5404.0999999999995"/>
    <n v="0"/>
    <n v="0"/>
    <s v="ระบุในSD"/>
  </r>
  <r>
    <d v="2025-04-21T00:00:00"/>
    <x v="4"/>
    <x v="4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4"/>
    <n v="24200"/>
    <n v="0"/>
    <n v="24200"/>
    <n v="0"/>
    <n v="25410"/>
    <x v="3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3"/>
    <n v="18594.070000000003"/>
    <n v="15615"/>
    <n v="2979.0700000000033"/>
    <n v="0"/>
    <n v="0"/>
    <s v="ระบุในSD"/>
  </r>
  <r>
    <s v="ประมาณการ"/>
    <x v="0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5"/>
    <n v="15000"/>
    <n v="0"/>
    <n v="15000"/>
    <n v="0"/>
    <n v="15750"/>
    <x v="4"/>
    <n v="13201.65"/>
    <n v="7949"/>
    <n v="5252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3201.65"/>
    <n v="7949"/>
    <n v="5252.65"/>
    <n v="0"/>
    <n v="0"/>
    <s v="ระบุในSD"/>
  </r>
  <r>
    <s v="ประมาณการ"/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8801.1"/>
    <n v="5198"/>
    <n v="3603.1000000000004"/>
    <n v="0"/>
    <n v="8801.1"/>
    <s v="ระบุในSD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37743"/>
    <n v="12869.85"/>
    <x v="6"/>
    <n v="11326.8836835"/>
    <n v="0"/>
    <n v="11326.8836835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10000"/>
    <n v="0"/>
    <n v="10000"/>
    <n v="41504"/>
    <n v="0"/>
    <x v="6"/>
    <n v="0"/>
    <n v="0"/>
    <n v="0"/>
    <n v="0"/>
    <n v="0"/>
    <n v="0"/>
  </r>
  <r>
    <d v="2025-03-18T00:00:00"/>
    <x v="7"/>
    <x v="9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6"/>
    <n v="10000"/>
    <n v="0"/>
    <n v="10000"/>
    <n v="2081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116.57008943999998"/>
    <n v="0"/>
    <n v="116.57008943999998"/>
    <s v="มัด100"/>
    <x v="7"/>
    <n v="3500"/>
    <n v="0"/>
    <n v="3500"/>
    <n v="540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4"/>
    <n v="10000"/>
    <n v="0"/>
    <n v="10000"/>
    <n v="0"/>
    <n v="10500"/>
    <x v="6"/>
    <n v="8242.3000000000011"/>
    <n v="8242.3000000000011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3"/>
    <n v="25000"/>
    <n v="0"/>
    <n v="25000"/>
    <n v="0"/>
    <n v="26250"/>
    <x v="6"/>
    <n v="20605.75"/>
    <n v="0"/>
    <n v="20605.75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149.87582927999998"/>
    <n v="0"/>
    <n v="149.87582927999998"/>
    <s v="มัด100"/>
    <x v="7"/>
    <n v="4500"/>
    <n v="0"/>
    <n v="4500"/>
    <n v="5570"/>
    <n v="0"/>
    <x v="6"/>
    <n v="0"/>
    <n v="0"/>
    <n v="0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3"/>
    <n v="15000"/>
    <n v="0"/>
    <n v="15000"/>
    <n v="0"/>
    <n v="15750"/>
    <x v="6"/>
    <n v="12363.45"/>
    <n v="0"/>
    <n v="12363.45"/>
    <n v="0"/>
    <n v="0"/>
    <n v="0"/>
  </r>
  <r>
    <d v="2025-04-07T00:00:00"/>
    <x v="10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6"/>
    <n v="17602.2"/>
    <n v="0"/>
    <n v="17602.2"/>
    <n v="0"/>
    <n v="0"/>
    <n v="0"/>
  </r>
  <r>
    <d v="2025-04-07T00:00:00"/>
    <x v="10"/>
    <x v="10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6"/>
    <n v="8801.1"/>
    <n v="0"/>
    <n v="8801.1"/>
    <n v="0"/>
    <n v="0"/>
    <n v="0"/>
  </r>
  <r>
    <d v="2025-04-08T00:00:00"/>
    <x v="11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6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6"/>
    <n v="17602.2"/>
    <n v="0"/>
    <n v="17602.2"/>
    <n v="0"/>
    <n v="0"/>
    <n v="0"/>
  </r>
  <r>
    <s v="ประมาณการ"/>
    <x v="0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5"/>
    <n v="10000"/>
    <n v="0"/>
    <n v="10000"/>
    <n v="0"/>
    <n v="10500"/>
    <x v="6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237920.28368349999"/>
    <n v="8242.3000000000011"/>
    <n v="229677.9836835"/>
    <n v="0"/>
    <n v="0"/>
    <s v="ระบุในSD"/>
  </r>
  <r>
    <d v="2025-04-04T00:00:00"/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10400"/>
    <n v="0"/>
    <x v="7"/>
    <n v="0"/>
    <n v="0"/>
    <n v="0"/>
    <n v="0"/>
    <n v="0"/>
    <s v="PDR250117"/>
  </r>
  <r>
    <d v="2025-04-04T00:00:00"/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7"/>
    <n v="0"/>
    <n v="0"/>
    <n v="0"/>
    <n v="0"/>
    <n v="0"/>
    <s v="PDR250117"/>
  </r>
  <r>
    <d v="2025-04-09T00:00:00"/>
    <x v="13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4400.55"/>
    <n v="0"/>
    <n v="0"/>
    <n v="0"/>
    <s v="PDR250118"/>
  </r>
  <r>
    <d v="2025-04-09T00:00:00"/>
    <x v="14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350"/>
    <n v="4650"/>
    <n v="5300"/>
    <n v="0"/>
    <x v="7"/>
    <n v="0"/>
    <n v="0"/>
    <n v="0"/>
    <n v="0"/>
    <n v="0"/>
    <s v="PDR250118"/>
  </r>
  <r>
    <d v="2025-04-09T00:00:00"/>
    <x v="14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225"/>
    <n v="0"/>
    <n v="0"/>
    <n v="0"/>
    <x v="7"/>
    <n v="0"/>
    <n v="0"/>
    <n v="0"/>
    <n v="0"/>
    <n v="0"/>
    <s v="PDR250118"/>
  </r>
  <r>
    <d v="2025-04-09T00:00:00"/>
    <x v="14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62"/>
    <n v="0"/>
    <x v="7"/>
    <n v="0"/>
    <n v="0"/>
    <n v="0"/>
    <n v="0"/>
    <n v="0"/>
    <s v="PDR250118"/>
  </r>
  <r>
    <d v="2025-04-09T00:00:00"/>
    <x v="14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7"/>
    <n v="0"/>
    <n v="0"/>
    <n v="0"/>
    <n v="0"/>
    <n v="0"/>
    <s v="PDR250118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5000"/>
    <n v="0"/>
    <n v="15000"/>
    <n v="0"/>
    <n v="15750"/>
    <x v="7"/>
    <n v="13201.65"/>
    <n v="0"/>
    <n v="13201.65"/>
    <n v="0"/>
    <n v="0"/>
    <s v="PDR250130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4400.55"/>
    <n v="0"/>
    <n v="0"/>
    <n v="0"/>
    <s v="PDR250130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30"/>
  </r>
  <r>
    <d v="2025-04-09T00:00:00"/>
    <x v="13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7"/>
    <n v="4381.1875799999998"/>
    <n v="0"/>
    <n v="4381.1875799999998"/>
    <n v="0"/>
    <n v="0"/>
    <s v="PDR250119"/>
  </r>
  <r>
    <d v="2025-04-09T00:00:00"/>
    <x v="13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9"/>
  </r>
  <r>
    <d v="2025-04-09T00:00:00"/>
    <x v="13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5104"/>
    <n v="0"/>
    <n v="5100"/>
    <n v="0"/>
    <x v="7"/>
    <n v="0"/>
    <n v="0"/>
    <n v="0"/>
    <n v="0"/>
    <n v="0"/>
    <s v="PDR250119"/>
  </r>
  <r>
    <d v="2025-04-09T00:00:00"/>
    <x v="13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4800"/>
    <n v="200"/>
    <n v="5000"/>
    <n v="0"/>
    <x v="7"/>
    <n v="0"/>
    <n v="0"/>
    <n v="0"/>
    <n v="0"/>
    <n v="0"/>
    <s v="PDR250119"/>
  </r>
  <r>
    <d v="2025-04-09T00:00:00"/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7"/>
    <n v="5238.75"/>
    <n v="0"/>
    <n v="5238.75"/>
    <n v="0"/>
    <n v="0"/>
    <s v="PDR250119"/>
  </r>
  <r>
    <d v="2025-04-09T00:00:00"/>
    <x v="13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3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4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679.9500000000007"/>
    <n v="0"/>
    <n v="4679.9500000000007"/>
    <n v="0"/>
    <n v="0"/>
    <s v="PDR250120"/>
  </r>
  <r>
    <d v="2025-04-22T00:00:00"/>
    <x v="15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31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7"/>
    <n v="8801.1"/>
    <n v="0"/>
    <n v="8801.1"/>
    <n v="0"/>
    <n v="0"/>
    <s v="PDR250132"/>
  </r>
  <r>
    <d v="2025-04-22T00:00:00"/>
    <x v="15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33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7"/>
    <n v="8801.1"/>
    <n v="0"/>
    <n v="8801.1"/>
    <n v="0"/>
    <n v="0"/>
    <s v="PDR250134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7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3"/>
    <n v="10000"/>
    <n v="0"/>
    <n v="10000"/>
    <n v="0"/>
    <n v="0"/>
    <x v="7"/>
    <n v="10477.5"/>
    <n v="0"/>
    <n v="10477.5"/>
    <n v="0"/>
    <n v="0"/>
    <s v="PDR250135"/>
  </r>
  <r>
    <s v="ประมาณการ"/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7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570445.58757999993"/>
    <n v="8801.1"/>
    <n v="561644.48757999996"/>
    <n v="0"/>
    <n v="0"/>
    <s v="ระบุในSD"/>
  </r>
  <r>
    <d v="2025-03-05T00:00:00"/>
    <x v="18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4-24T00:00:00"/>
    <x v="3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9"/>
    <n v="10000"/>
    <n v="0"/>
    <n v="10000"/>
    <n v="0"/>
    <n v="0"/>
    <x v="9"/>
    <n v="8801.1"/>
    <n v="0"/>
    <n v="8801.1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0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7602.2"/>
    <n v="0"/>
    <n v="17602.2"/>
    <n v="0"/>
    <n v="0"/>
    <s v="ระบุในSD"/>
  </r>
  <r>
    <d v="2025-04-19T00:00:00"/>
    <x v="19"/>
    <x v="14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3"/>
    <n v="5000"/>
    <n v="0"/>
    <n v="5000"/>
    <n v="0"/>
    <n v="0"/>
    <x v="9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657.85"/>
    <n v="5657.85"/>
    <n v="0"/>
    <n v="0"/>
    <n v="0"/>
    <s v="ระบุในSD"/>
  </r>
  <r>
    <d v="2025-03-24T00:00:00"/>
    <x v="20"/>
    <x v="15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0"/>
    <n v="2500"/>
    <n v="5688"/>
    <n v="0"/>
    <x v="11"/>
    <n v="0"/>
    <n v="0"/>
    <n v="0"/>
    <n v="0"/>
    <n v="0"/>
    <n v="0"/>
  </r>
  <r>
    <d v="2025-04-19T00:00:00"/>
    <x v="21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9920"/>
    <n v="0"/>
    <n v="9920"/>
    <n v="21495"/>
    <n v="0"/>
    <x v="11"/>
    <n v="0"/>
    <n v="0"/>
    <n v="0"/>
    <n v="0"/>
    <n v="0"/>
    <s v="ห้ามขาด-ห้ามเกิน"/>
  </r>
  <r>
    <d v="2025-04-19T00:00:00"/>
    <x v="22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10477.5"/>
    <n v="0"/>
    <n v="0"/>
    <n v="10477.5"/>
    <s v="ห้ามขาด-ห้ามเกิน"/>
  </r>
  <r>
    <d v="2025-04-19T00:00:00"/>
    <x v="22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5-04-19T00:00:00"/>
    <x v="23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2351"/>
    <n v="2823.4500000000003"/>
    <x v="11"/>
    <n v="2958.2697375000007"/>
    <n v="2958.2697375000007"/>
    <n v="0"/>
    <n v="0"/>
    <n v="2958.2697375000007"/>
    <s v="ห้ามขาด-ห้ามเกิน"/>
  </r>
  <r>
    <d v="2025-04-19T00:00:00"/>
    <x v="23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4-11-15T00:00:00"/>
    <x v="24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0"/>
    <n v="2436"/>
    <x v="11"/>
    <n v="2430.7800000000002"/>
    <n v="2430.7800000000002"/>
    <n v="0"/>
    <n v="2430.7800000000002"/>
    <n v="0"/>
    <n v="0"/>
  </r>
  <r>
    <d v="2025-04-19T00:00:00"/>
    <x v="25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000"/>
    <n v="0"/>
    <n v="50000"/>
    <n v="0"/>
    <n v="52500"/>
    <x v="11"/>
    <n v="52387.500000000007"/>
    <n v="50608"/>
    <n v="1779.5000000000073"/>
    <n v="0"/>
    <n v="52387.500000000007"/>
    <s v="ห้ามขาด-ห้ามเกิน"/>
  </r>
  <r>
    <d v="2025-04-19T00:00:00"/>
    <x v="26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20000"/>
    <n v="0"/>
    <n v="20000"/>
    <n v="0"/>
    <n v="21000"/>
    <x v="11"/>
    <n v="20955"/>
    <n v="0"/>
    <n v="20955"/>
    <n v="0"/>
    <n v="20955"/>
    <s v="ห้ามขาด-ห้ามเกิน"/>
  </r>
  <r>
    <d v="2025-01-17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0"/>
    <n v="851.55000000000007"/>
    <x v="11"/>
    <n v="849.72525000000007"/>
    <n v="0"/>
    <n v="849.72525000000007"/>
    <n v="0"/>
    <n v="849.72525000000007"/>
    <s v="ห้ามขาด-ห้ามเกิน"/>
  </r>
  <r>
    <d v="2025-03-05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0"/>
    <n v="183.75"/>
    <x v="11"/>
    <n v="183.35625000000002"/>
    <n v="0"/>
    <n v="183.35625000000002"/>
    <n v="0"/>
    <n v="183.35625000000002"/>
    <n v="0"/>
  </r>
  <r>
    <d v="2025-04-19T00:00:00"/>
    <x v="26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0"/>
    <n v="10477.5"/>
    <n v="0"/>
    <n v="10477.5"/>
    <s v="ห้ามขาด-ห้ามเกิน"/>
  </r>
  <r>
    <d v="2025-03-05T00:00:00"/>
    <x v="18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0"/>
    <n v="414.75"/>
    <x v="11"/>
    <n v="413.86125000000004"/>
    <n v="0"/>
    <n v="413.86125000000004"/>
    <n v="0"/>
    <n v="413.86125000000004"/>
    <n v="0"/>
  </r>
  <r>
    <d v="2025-04-19T00:00:00"/>
    <x v="29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3-05T00:00:00"/>
    <x v="30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0"/>
    <n v="246.75"/>
    <x v="11"/>
    <n v="246.22125000000003"/>
    <n v="0"/>
    <n v="246.22125000000003"/>
    <n v="0"/>
    <n v="246.22125000000003"/>
    <n v="0"/>
  </r>
  <r>
    <d v="2025-04-19T00:00:00"/>
    <x v="29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19T00:00:00"/>
    <x v="29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09T00:00:00"/>
    <x v="31"/>
    <x v="16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895"/>
    <n v="105"/>
    <n v="6500"/>
    <n v="0"/>
    <x v="11"/>
    <n v="0"/>
    <n v="0"/>
    <n v="0"/>
    <n v="0"/>
    <n v="0"/>
    <n v="0"/>
  </r>
  <r>
    <d v="2025-04-24T00:00:00"/>
    <x v="3"/>
    <x v="17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1"/>
    <n v="5518.15"/>
    <n v="0"/>
    <n v="5518.15"/>
    <n v="0"/>
    <n v="5518.15"/>
    <n v="0"/>
  </r>
  <r>
    <d v="1899-12-30T00:00:00"/>
    <x v="33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1"/>
    <n v="5518.15"/>
    <n v="0"/>
    <n v="5518.15"/>
    <n v="0"/>
    <n v="5518.15"/>
    <n v="0"/>
  </r>
  <r>
    <d v="2025-04-09T00:00:00"/>
    <x v="34"/>
    <x v="16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21"/>
    <n v="0"/>
    <n v="10500"/>
    <n v="0"/>
    <x v="11"/>
    <n v="0"/>
    <n v="0"/>
    <n v="0"/>
    <n v="0"/>
    <n v="0"/>
    <n v="0"/>
  </r>
  <r>
    <d v="2025-04-17T00:00:00"/>
    <x v="35"/>
    <x v="14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35"/>
    <n v="0"/>
    <x v="11"/>
    <n v="0"/>
    <n v="0"/>
    <n v="0"/>
    <n v="0"/>
    <n v="0"/>
    <s v="พระประแดง"/>
  </r>
  <r>
    <d v="2025-04-17T00:00:00"/>
    <x v="35"/>
    <x v="14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17T00:00:00"/>
    <x v="35"/>
    <x v="14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3106"/>
    <n v="0"/>
    <n v="3300"/>
    <n v="0"/>
    <x v="11"/>
    <n v="0"/>
    <n v="0"/>
    <n v="0"/>
    <n v="0"/>
    <n v="0"/>
    <s v="พระประแดง"/>
  </r>
  <r>
    <d v="2025-04-17T00:00:00"/>
    <x v="36"/>
    <x v="14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09T00:00:00"/>
    <x v="37"/>
    <x v="15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3"/>
    <n v="6000"/>
    <n v="0"/>
    <n v="6000"/>
    <n v="0"/>
    <n v="6300"/>
    <x v="11"/>
    <n v="6454.14"/>
    <n v="6454.14"/>
    <n v="0"/>
    <n v="0"/>
    <n v="6454.14"/>
    <n v="0"/>
  </r>
  <r>
    <d v="2025-03-04T00:00:00"/>
    <x v="38"/>
    <x v="16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5297"/>
    <n v="0"/>
    <n v="5297"/>
    <n v="0"/>
    <n v="5561.85"/>
    <x v="11"/>
    <n v="5845.9281099999989"/>
    <n v="0"/>
    <n v="5845.9281099999989"/>
    <n v="0"/>
    <n v="5845.9281099999989"/>
    <n v="0"/>
  </r>
  <r>
    <d v="2025-03-04T00:00:00"/>
    <x v="39"/>
    <x v="16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3047"/>
    <n v="0"/>
    <n v="5300"/>
    <n v="0"/>
    <x v="11"/>
    <n v="0"/>
    <n v="0"/>
    <n v="0"/>
    <n v="0"/>
    <n v="0"/>
    <n v="0"/>
  </r>
  <r>
    <d v="2025-02-24T00:00:00"/>
    <x v="40"/>
    <x v="16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11"/>
    <n v="5518.15"/>
    <n v="0"/>
    <n v="5518.15"/>
    <n v="0"/>
    <n v="5518.15"/>
    <n v="0"/>
  </r>
  <r>
    <d v="2025-04-09T00:00:00"/>
    <x v="41"/>
    <x v="16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1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1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1"/>
    <n v="0"/>
    <n v="0"/>
    <n v="0"/>
    <n v="0"/>
    <n v="0"/>
    <n v="0"/>
  </r>
  <r>
    <d v="2025-03-05T00:00:00"/>
    <x v="30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1"/>
    <n v="0"/>
    <n v="0"/>
    <n v="0"/>
    <n v="0"/>
    <n v="0"/>
    <n v="0"/>
  </r>
  <r>
    <d v="2025-04-22T00:00:00"/>
    <x v="44"/>
    <x v="15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50000"/>
    <n v="0"/>
    <n v="150000"/>
    <n v="0"/>
    <n v="157500"/>
    <x v="11"/>
    <n v="157162.5"/>
    <n v="0"/>
    <n v="157162.5"/>
    <n v="0"/>
    <n v="157162.5"/>
    <n v="0"/>
  </r>
  <r>
    <s v="ประมาณการ"/>
    <x v="0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11"/>
    <n v="22072.6"/>
    <n v="0"/>
    <n v="22072.6"/>
    <n v="0"/>
    <n v="22072.6"/>
    <n v="0"/>
  </r>
  <r>
    <s v="ประมาณการ"/>
    <x v="0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45"/>
    <x v="16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1-24T00:00:00"/>
    <x v="46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1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1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1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1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1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1"/>
    <n v="0"/>
    <n v="0"/>
    <n v="0"/>
    <n v="0"/>
    <n v="0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"/>
    <n v="2000"/>
    <n v="0"/>
    <n v="5400"/>
    <n v="0"/>
    <x v="11"/>
    <n v="0"/>
    <n v="0"/>
    <n v="0"/>
    <n v="0"/>
    <n v="0"/>
    <n v="0"/>
  </r>
  <r>
    <d v="2025-03-25T00:00:00"/>
    <x v="52"/>
    <x v="16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2500"/>
    <n v="1500"/>
    <n v="4209"/>
    <n v="0"/>
    <x v="11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11"/>
    <n v="0"/>
    <n v="0"/>
    <n v="0"/>
    <n v="0"/>
    <n v="0"/>
    <n v="0"/>
  </r>
  <r>
    <d v="2025-01-10T00:00:00"/>
    <x v="54"/>
    <x v="16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432"/>
    <n v="2432"/>
    <n v="0"/>
    <n v="0"/>
    <n v="0"/>
    <x v="11"/>
    <n v="0"/>
    <n v="0"/>
    <n v="0"/>
    <n v="0"/>
    <n v="0"/>
    <n v="0"/>
  </r>
  <r>
    <d v="2024-12-17T00:00:00"/>
    <x v="55"/>
    <x v="16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712"/>
    <n v="288"/>
    <n v="4300"/>
    <n v="0"/>
    <x v="11"/>
    <n v="0"/>
    <n v="0"/>
    <n v="0"/>
    <n v="0"/>
    <n v="0"/>
    <n v="0"/>
  </r>
  <r>
    <d v="2025-03-04T00:00:00"/>
    <x v="3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11"/>
    <n v="0"/>
    <n v="0"/>
    <n v="0"/>
    <n v="0"/>
    <n v="0"/>
    <n v="0"/>
  </r>
  <r>
    <d v="2025-03-04T00:00:00"/>
    <x v="3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11"/>
    <n v="0"/>
    <n v="0"/>
    <n v="0"/>
    <n v="0"/>
    <n v="0"/>
    <n v="0"/>
  </r>
  <r>
    <d v="2024-09-06T00:00:00"/>
    <x v="56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57"/>
    <x v="16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2364"/>
    <n v="136"/>
    <n v="5500"/>
    <n v="0"/>
    <x v="11"/>
    <n v="0"/>
    <n v="0"/>
    <n v="0"/>
    <n v="0"/>
    <n v="0"/>
    <n v="0"/>
  </r>
  <r>
    <d v="2024-10-16T00:00:00"/>
    <x v="58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11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1"/>
    <n v="397606.06184750004"/>
    <n v="83490.009737500004"/>
    <n v="314116.05211000005"/>
    <n v="2430.7800000000002"/>
    <n v="395175.28184750001"/>
    <s v="ระบุในSD"/>
  </r>
  <r>
    <d v="2025-04-21T00:00:00"/>
    <x v="3"/>
    <x v="18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5"/>
    <n v="25000"/>
    <n v="0"/>
    <n v="25000"/>
    <n v="0"/>
    <n v="0"/>
    <x v="12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2"/>
    <n v="26892.250000000004"/>
    <n v="0"/>
    <n v="26892.250000000004"/>
    <n v="0"/>
    <n v="0"/>
    <s v="ระบุในSD"/>
  </r>
  <r>
    <d v="2025-03-27T00:00:00"/>
    <x v="59"/>
    <x v="14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30900"/>
    <n v="0"/>
    <x v="13"/>
    <n v="0"/>
    <n v="0"/>
    <n v="0"/>
    <n v="0"/>
    <n v="0"/>
    <s v="ลพบุรี 3"/>
  </r>
  <r>
    <d v="2025-04-19T00:00:00"/>
    <x v="19"/>
    <x v="14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5390"/>
    <n v="0"/>
    <x v="13"/>
    <n v="0"/>
    <n v="0"/>
    <n v="0"/>
    <n v="0"/>
    <n v="0"/>
    <s v="ลำพูน"/>
  </r>
  <r>
    <d v="2025-04-04T00:00:00"/>
    <x v="6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30900"/>
    <n v="0"/>
    <x v="13"/>
    <n v="0"/>
    <n v="0"/>
    <n v="0"/>
    <n v="0"/>
    <n v="0"/>
    <s v="ลพบุรี 1"/>
  </r>
  <r>
    <d v="2025-04-19T00:00:00"/>
    <x v="6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8960"/>
    <n v="0"/>
    <n v="58960"/>
    <n v="73245"/>
    <n v="0"/>
    <x v="13"/>
    <n v="0"/>
    <n v="0"/>
    <n v="0"/>
    <n v="0"/>
    <n v="0"/>
    <s v="ห้ามขาด-ห้ามเกิน"/>
  </r>
  <r>
    <d v="2025-04-19T00:00:00"/>
    <x v="62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70000"/>
    <n v="0"/>
    <n v="70000"/>
    <n v="2679"/>
    <n v="70687.05"/>
    <x v="13"/>
    <n v="74062.356637500008"/>
    <n v="50571"/>
    <n v="23491.356637500008"/>
    <n v="0"/>
    <n v="0"/>
    <s v="ห้ามขาด-ห้ามเกิน"/>
  </r>
  <r>
    <d v="2025-03-15T00:00:00"/>
    <x v="63"/>
    <x v="14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400"/>
    <n v="0"/>
    <x v="13"/>
    <n v="0"/>
    <n v="0"/>
    <n v="0"/>
    <n v="0"/>
    <n v="0"/>
    <s v="ลำพูน"/>
  </r>
  <r>
    <d v="2025-03-15T00:00:00"/>
    <x v="64"/>
    <x v="14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397"/>
    <n v="0"/>
    <x v="13"/>
    <n v="0"/>
    <n v="0"/>
    <n v="0"/>
    <n v="0"/>
    <n v="0"/>
    <s v="ลำพูน"/>
  </r>
  <r>
    <d v="2025-03-15T00:00:00"/>
    <x v="65"/>
    <x v="14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64"/>
    <x v="14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6"/>
    <x v="14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2000"/>
    <n v="0"/>
    <n v="12000"/>
    <n v="0"/>
    <n v="12600"/>
    <x v="13"/>
    <n v="12908.28"/>
    <n v="0"/>
    <n v="12908.28"/>
    <n v="0"/>
    <n v="0"/>
    <s v="หนองบุญมาก"/>
  </r>
  <r>
    <d v="2025-04-17T00:00:00"/>
    <x v="67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30000"/>
    <n v="0"/>
    <n v="30000"/>
    <n v="0"/>
    <n v="31500"/>
    <x v="13"/>
    <n v="32270.700000000004"/>
    <n v="0"/>
    <n v="32270.700000000004"/>
    <n v="0"/>
    <n v="0"/>
    <s v="ลพบุรี 1"/>
  </r>
  <r>
    <d v="2025-04-17T00:00:00"/>
    <x v="67"/>
    <x v="14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20000"/>
    <n v="0"/>
    <n v="20000"/>
    <n v="0"/>
    <n v="21000"/>
    <x v="13"/>
    <n v="21513.800000000003"/>
    <n v="0"/>
    <n v="21513.800000000003"/>
    <n v="0"/>
    <n v="0"/>
    <s v="ลพบุรี 1"/>
  </r>
  <r>
    <d v="2025-04-04T00:00:00"/>
    <x v="66"/>
    <x v="14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0"/>
    <n v="21000"/>
    <x v="13"/>
    <n v="21513.800000000003"/>
    <n v="0"/>
    <n v="21513.800000000003"/>
    <n v="0"/>
    <n v="0"/>
    <s v="ลพบุรี 3"/>
  </r>
  <r>
    <d v="2025-03-15T00:00:00"/>
    <x v="65"/>
    <x v="14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8"/>
    <x v="14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40000"/>
    <n v="0"/>
    <n v="40000"/>
    <n v="0"/>
    <n v="42000"/>
    <x v="13"/>
    <n v="43027.600000000006"/>
    <n v="0"/>
    <n v="43027.600000000006"/>
    <n v="0"/>
    <n v="0"/>
    <s v="ลพบุรี 3"/>
  </r>
  <r>
    <d v="2025-03-15T00:00:00"/>
    <x v="69"/>
    <x v="14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3"/>
    <n v="5378.4500000000007"/>
    <n v="0"/>
    <n v="5378.4500000000007"/>
    <n v="0"/>
    <n v="0"/>
    <s v="ลำพูน"/>
  </r>
  <r>
    <d v="2025-04-17T00:00:00"/>
    <x v="7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20000"/>
    <n v="0"/>
    <n v="20000"/>
    <n v="0"/>
    <n v="21000"/>
    <x v="13"/>
    <n v="21513.800000000003"/>
    <n v="0"/>
    <n v="21513.800000000003"/>
    <n v="0"/>
    <n v="0"/>
    <s v="ลพบุรี 1"/>
  </r>
  <r>
    <d v="2025-03-15T00:00:00"/>
    <x v="63"/>
    <x v="14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269837.93663750007"/>
    <n v="50571"/>
    <n v="219266.93663750007"/>
    <n v="0"/>
    <n v="0"/>
    <s v="ระบุในSD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11036.3"/>
    <n v="0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22072.6"/>
    <n v="11036.3"/>
    <n v="11036.3"/>
    <n v="0"/>
    <n v="0"/>
    <s v="ระบุในSD"/>
  </r>
  <r>
    <d v="1899-12-30T00:00:00"/>
    <x v="3"/>
    <x v="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8"/>
    <n v="8000"/>
    <n v="0"/>
    <n v="8000"/>
    <n v="0"/>
    <n v="8400"/>
    <x v="15"/>
    <n v="7934.96"/>
    <n v="0"/>
    <n v="7934.96"/>
    <n v="0"/>
    <n v="0"/>
    <n v="0"/>
  </r>
  <r>
    <d v="2025-04-21T00:00:00"/>
    <x v="72"/>
    <x v="4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2025-04-21T00:00:00"/>
    <x v="72"/>
    <x v="4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5"/>
    <n v="7934.96"/>
    <n v="0"/>
    <n v="7934.96"/>
    <n v="0"/>
    <n v="0"/>
    <s v="ระบุในSD"/>
  </r>
  <r>
    <d v="2025-02-05T00:00:00"/>
    <x v="73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24"/>
    <n v="3000"/>
    <n v="3280"/>
    <n v="0"/>
    <n v="3500"/>
    <n v="0"/>
    <x v="16"/>
    <n v="0"/>
    <n v="0"/>
    <n v="0"/>
    <n v="0"/>
    <n v="0"/>
    <n v="0"/>
  </r>
  <r>
    <d v="2025-04-21T00:00:00"/>
    <x v="74"/>
    <x v="19"/>
    <s v="กินรี"/>
    <n v="21"/>
    <n v="34"/>
    <s v="ขาว"/>
    <s v="ใส"/>
    <n v="90"/>
    <s v="±"/>
    <n v="5"/>
    <s v="ไม่"/>
    <s v="ไม่สวมถุงใน"/>
    <n v="0"/>
    <n v="0"/>
    <n v="0"/>
    <n v="0"/>
    <n v="0"/>
    <s v="500กระสอบ"/>
    <x v="25"/>
    <n v="6000"/>
    <n v="0"/>
    <n v="6000"/>
    <n v="6320"/>
    <n v="0"/>
    <x v="16"/>
    <n v="0"/>
    <n v="0"/>
    <n v="0"/>
    <n v="0"/>
    <n v="0"/>
    <n v="0"/>
  </r>
  <r>
    <d v="2025-04-19T00:00:00"/>
    <x v="75"/>
    <x v="20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9"/>
    <n v="3000"/>
    <n v="0"/>
    <n v="3000"/>
    <n v="0"/>
    <n v="3150"/>
    <x v="16"/>
    <n v="3227.07"/>
    <n v="3227.07"/>
    <n v="0"/>
    <n v="3227.07"/>
    <n v="0"/>
    <n v="0"/>
  </r>
  <r>
    <d v="2025-04-24T00:00:00"/>
    <x v="3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6"/>
    <n v="10756.900000000001"/>
    <n v="0"/>
    <n v="10756.900000000001"/>
    <n v="0"/>
    <n v="10756.900000000001"/>
    <n v="0"/>
  </r>
  <r>
    <d v="1899-12-30T00:00:00"/>
    <x v="3"/>
    <x v="21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22"/>
    <n v="5000"/>
    <n v="0"/>
    <n v="5000"/>
    <n v="0"/>
    <n v="5250"/>
    <x v="16"/>
    <n v="5378.4500000000007"/>
    <n v="0"/>
    <n v="5378.4500000000007"/>
    <n v="0"/>
    <n v="5378.4500000000007"/>
    <n v="0"/>
  </r>
  <r>
    <s v="ประมาณการ"/>
    <x v="0"/>
    <x v="22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5"/>
    <n v="60000"/>
    <n v="0"/>
    <n v="60000"/>
    <n v="0"/>
    <n v="63000"/>
    <x v="16"/>
    <n v="64541.400000000009"/>
    <n v="0"/>
    <n v="64541.400000000009"/>
    <n v="0"/>
    <n v="64541.400000000009"/>
    <n v="0"/>
  </r>
  <r>
    <d v="2025-04-21T00:00:00"/>
    <x v="76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30000"/>
    <n v="0"/>
    <n v="30000"/>
    <n v="0"/>
    <n v="31500"/>
    <x v="16"/>
    <n v="32270.700000000004"/>
    <n v="4772"/>
    <n v="27498.700000000004"/>
    <n v="0"/>
    <n v="32270.700000000004"/>
    <n v="0"/>
  </r>
  <r>
    <d v="2025-04-21T00:00:00"/>
    <x v="77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20000"/>
    <n v="0"/>
    <n v="20000"/>
    <n v="16425"/>
    <n v="3753.75"/>
    <x v="16"/>
    <n v="4037.8713375000002"/>
    <n v="4037.8713375000002"/>
    <n v="0"/>
    <n v="4037.8713375000002"/>
    <n v="0"/>
    <n v="0"/>
  </r>
  <r>
    <d v="2025-04-21T00:00:00"/>
    <x v="77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5400"/>
    <n v="0"/>
    <x v="16"/>
    <n v="0"/>
    <n v="0"/>
    <n v="0"/>
    <n v="0"/>
    <n v="0"/>
    <n v="0"/>
  </r>
  <r>
    <d v="2025-04-21T00:00:00"/>
    <x v="77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378.4500000000007"/>
    <n v="5378.4500000000007"/>
    <n v="0"/>
    <n v="5378.4500000000007"/>
    <n v="0"/>
    <n v="0"/>
  </r>
  <r>
    <d v="2025-04-09T00:00:00"/>
    <x v="78"/>
    <x v="16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7"/>
    <n v="6000"/>
    <n v="0"/>
    <n v="6000"/>
    <n v="0"/>
    <n v="6300"/>
    <x v="16"/>
    <n v="6621.78"/>
    <n v="0"/>
    <n v="6621.78"/>
    <n v="0"/>
    <n v="6621.78"/>
    <n v="0"/>
  </r>
  <r>
    <d v="2025-01-10T00:00:00"/>
    <x v="79"/>
    <x v="16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5"/>
    <n v="4000"/>
    <n v="0"/>
    <n v="4000"/>
    <n v="0"/>
    <n v="4200"/>
    <x v="16"/>
    <n v="4414.5199999999995"/>
    <n v="0"/>
    <n v="4414.5199999999995"/>
    <n v="0"/>
    <n v="4414.5199999999995"/>
    <n v="0"/>
  </r>
  <r>
    <d v="2024-12-02T00:00:00"/>
    <x v="8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6"/>
    <n v="21513.800000000003"/>
    <n v="0"/>
    <n v="21513.800000000003"/>
    <n v="0"/>
    <n v="21513.800000000003"/>
    <n v="0"/>
  </r>
  <r>
    <s v="ประมาณการ"/>
    <x v="0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6"/>
    <n v="11595.1"/>
    <n v="0"/>
    <n v="11595.1"/>
    <n v="0"/>
    <n v="11595.1"/>
    <n v="0"/>
  </r>
  <r>
    <d v="2024-12-05T00:00:00"/>
    <x v="8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d v="2024-12-05T00:00:00"/>
    <x v="8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6"/>
    <n v="10756.900000000001"/>
    <n v="0"/>
    <n v="10756.900000000001"/>
    <n v="0"/>
    <n v="10756.900000000001"/>
    <n v="0"/>
  </r>
  <r>
    <d v="2024-09-13T00:00:00"/>
    <x v="83"/>
    <x v="16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6"/>
    <n v="11036.3"/>
    <n v="0"/>
    <n v="11036.3"/>
    <n v="0"/>
    <n v="11036.3"/>
    <n v="0"/>
  </r>
  <r>
    <d v="2023-05-20T00:00:00"/>
    <x v="84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6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6"/>
    <n v="248680.51133750004"/>
    <n v="17415.391337500001"/>
    <n v="231265.12000000002"/>
    <n v="12643.391337500001"/>
    <n v="236037.12000000002"/>
    <s v="ระบุในSD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4"/>
    <n v="325632"/>
    <n v="325632"/>
    <n v="0"/>
    <n v="329710"/>
    <n v="0"/>
    <x v="17"/>
    <n v="0"/>
    <n v="0"/>
    <n v="0"/>
    <n v="0"/>
    <n v="0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482368"/>
    <n v="141049"/>
    <n v="341319"/>
    <n v="274233"/>
    <n v="218541.75"/>
    <x v="17"/>
    <n v="216765.0055725"/>
    <n v="21869"/>
    <n v="194896.0055725"/>
    <n v="0"/>
    <n v="216765.0055725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1192000"/>
    <n v="0"/>
    <n v="1192000"/>
    <n v="0"/>
    <n v="1251600"/>
    <x v="17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7"/>
    <n v="1399074.0455725"/>
    <n v="21869"/>
    <n v="1377205.0455725"/>
    <n v="0"/>
    <n v="1399074.0455725"/>
    <s v="ระบุในSD"/>
  </r>
  <r>
    <d v="2025-04-21T00:00:00"/>
    <x v="86"/>
    <x v="26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20900"/>
    <n v="0"/>
    <x v="18"/>
    <n v="0"/>
    <n v="0"/>
    <n v="0"/>
    <n v="0"/>
    <n v="0"/>
    <n v="0"/>
  </r>
  <r>
    <d v="2025-04-21T00:00:00"/>
    <x v="86"/>
    <x v="26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10540"/>
    <n v="0"/>
    <x v="18"/>
    <n v="0"/>
    <n v="0"/>
    <n v="0"/>
    <n v="0"/>
    <n v="0"/>
    <n v="0"/>
  </r>
  <r>
    <d v="2025-04-21T00:00:00"/>
    <x v="87"/>
    <x v="26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52"/>
    <n v="0"/>
    <x v="18"/>
    <n v="0"/>
    <n v="0"/>
    <n v="0"/>
    <n v="0"/>
    <n v="0"/>
    <n v="0"/>
  </r>
  <r>
    <d v="2025-04-21T00:00:00"/>
    <x v="87"/>
    <x v="26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26"/>
    <n v="0"/>
    <x v="18"/>
    <n v="0"/>
    <n v="0"/>
    <n v="0"/>
    <n v="0"/>
    <n v="0"/>
    <n v="0"/>
  </r>
  <r>
    <d v="2025-04-09T00:00:00"/>
    <x v="88"/>
    <x v="27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8000"/>
    <n v="0"/>
    <n v="8000"/>
    <n v="0"/>
    <n v="8400"/>
    <x v="18"/>
    <n v="7934.96"/>
    <n v="7934.96"/>
    <n v="0"/>
    <n v="0"/>
    <n v="7934.96"/>
    <s v="ห้ามเกิน-ขาดได้5%"/>
  </r>
  <r>
    <d v="2025-04-09T00:00:00"/>
    <x v="88"/>
    <x v="27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7000"/>
    <n v="0"/>
    <n v="7000"/>
    <n v="0"/>
    <n v="7350"/>
    <x v="18"/>
    <n v="6943.09"/>
    <n v="4763"/>
    <n v="2180.09"/>
    <n v="0"/>
    <n v="6943.09"/>
    <s v="ห้ามเกิน-ขาดได้5%"/>
  </r>
  <r>
    <d v="2025-04-09T00:00:00"/>
    <x v="88"/>
    <x v="27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5000"/>
    <n v="0"/>
    <n v="5000"/>
    <n v="0"/>
    <n v="5250"/>
    <x v="18"/>
    <n v="4959.3500000000004"/>
    <n v="0"/>
    <n v="4959.3500000000004"/>
    <n v="0"/>
    <n v="4959.3500000000004"/>
    <s v="ห้ามเกิน-ขาดได้5%"/>
  </r>
  <r>
    <d v="2025-04-09T00:00:00"/>
    <x v="89"/>
    <x v="27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0"/>
    <n v="5000"/>
    <n v="0"/>
    <n v="5000"/>
    <n v="0"/>
    <n v="5250"/>
    <x v="18"/>
    <n v="4959.3500000000004"/>
    <n v="0"/>
    <n v="4959.3500000000004"/>
    <n v="0"/>
    <n v="0"/>
    <s v="ห้ามเกิน-ขาดได้5%"/>
  </r>
  <r>
    <d v="2025-04-09T00:00:00"/>
    <x v="90"/>
    <x v="2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d v="2025-04-09T00:00:00"/>
    <x v="90"/>
    <x v="2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s v="ประมาณการ"/>
    <x v="0"/>
    <x v="29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18"/>
    <n v="49593.500000000007"/>
    <n v="0"/>
    <n v="49593.500000000007"/>
    <n v="0"/>
    <n v="0"/>
    <n v="0"/>
  </r>
  <r>
    <s v="ประมาณการ"/>
    <x v="0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5250"/>
    <x v="18"/>
    <n v="4959.3500000000004"/>
    <n v="0"/>
    <n v="4959.3500000000004"/>
    <n v="0"/>
    <n v="4959.3500000000004"/>
    <n v="0"/>
  </r>
  <r>
    <s v="ประมาณการ"/>
    <x v="0"/>
    <x v="27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5"/>
    <n v="20000"/>
    <n v="0"/>
    <n v="20000"/>
    <n v="0"/>
    <n v="21000"/>
    <x v="18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130060.70000000001"/>
    <n v="12697.96"/>
    <n v="117362.74000000002"/>
    <n v="0"/>
    <n v="35833.050000000003"/>
    <s v="ระบุในSD"/>
  </r>
  <r>
    <s v="ประมาณการ"/>
    <x v="0"/>
    <x v="29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0"/>
    <n v="9918.7000000000007"/>
    <n v="0"/>
    <n v="0"/>
    <n v="0"/>
  </r>
  <r>
    <d v="2025-04-21T00:00:00"/>
    <x v="91"/>
    <x v="26"/>
    <s v="ถุงเขียว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2640"/>
    <n v="2319.3500000000004"/>
    <n v="0"/>
    <n v="0"/>
    <n v="0"/>
  </r>
  <r>
    <d v="2025-04-21T00:00:00"/>
    <x v="91"/>
    <x v="26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2025-04-21T00:00:00"/>
    <x v="91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20"/>
    <n v="14878.050000000001"/>
    <n v="2640"/>
    <n v="12238.050000000001"/>
    <n v="0"/>
    <n v="0"/>
    <s v="ระบุในSD"/>
  </r>
  <r>
    <d v="2025-04-18T00:00:00"/>
    <x v="92"/>
    <x v="30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21"/>
    <n v="10000"/>
    <n v="0"/>
    <n v="10000"/>
    <n v="0"/>
    <n v="10500"/>
    <x v="21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0477.5"/>
    <n v="10477.5"/>
    <n v="0"/>
    <n v="0"/>
    <n v="0"/>
    <s v="ระบุในSD"/>
  </r>
  <r>
    <d v="2025-04-02T00:00:00"/>
    <x v="93"/>
    <x v="31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4"/>
    <n v="8000"/>
    <n v="0"/>
    <n v="8000"/>
    <n v="8400"/>
    <n v="0"/>
    <x v="22"/>
    <n v="0"/>
    <n v="0"/>
    <n v="0"/>
    <n v="0"/>
    <n v="0"/>
    <s v="ขาด-เกิน5%"/>
  </r>
  <r>
    <s v="ประมาณการ"/>
    <x v="0"/>
    <x v="32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23"/>
    <n v="10000"/>
    <n v="0"/>
    <n v="10000"/>
    <n v="0"/>
    <n v="10500"/>
    <x v="22"/>
    <n v="10756.900000000001"/>
    <n v="2061"/>
    <n v="8695.9000000000015"/>
    <n v="0"/>
    <n v="0"/>
    <n v="0"/>
  </r>
  <r>
    <d v="2025-03-11T00:00:00"/>
    <x v="94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2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2"/>
    <n v="11916.410000000002"/>
    <n v="2061"/>
    <n v="9855.4100000000017"/>
    <n v="0"/>
    <n v="1159.5100000000002"/>
    <s v="ระบุในSD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7"/>
    <n v="100000"/>
    <n v="0"/>
    <n v="100000"/>
    <n v="0"/>
    <n v="105000"/>
    <x v="23"/>
    <n v="107569.00000000001"/>
    <n v="107569.00000000001"/>
    <n v="0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8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9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9"/>
    <n v="150000"/>
    <n v="0"/>
    <n v="150000"/>
    <n v="0"/>
    <n v="157500"/>
    <x v="23"/>
    <n v="161353.5"/>
    <n v="0"/>
    <n v="161353.5"/>
    <n v="0"/>
    <n v="0"/>
    <n v="0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4"/>
    <n v="114322.18182000001"/>
    <n v="0"/>
    <n v="114322.18182000001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10000"/>
    <n v="12607"/>
    <n v="0"/>
    <n v="56730"/>
    <n v="0"/>
    <x v="23"/>
    <n v="0"/>
    <n v="0"/>
    <n v="0"/>
    <n v="0"/>
    <n v="0"/>
    <n v="0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7920"/>
    <n v="7920"/>
    <n v="0"/>
    <n v="12600"/>
    <n v="0"/>
    <x v="23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4"/>
    <n v="1028658.6818200002"/>
    <n v="107569.00000000001"/>
    <n v="921089.68182000006"/>
    <n v="0"/>
    <n v="0"/>
    <s v="ระบุในSD"/>
  </r>
  <r>
    <d v="2025-03-22T00:00:00"/>
    <x v="96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4563"/>
    <n v="5018"/>
    <n v="0"/>
    <n v="0"/>
    <n v="0"/>
    <x v="25"/>
    <n v="0"/>
    <n v="0"/>
    <n v="0"/>
    <n v="0"/>
    <n v="0"/>
    <n v="0"/>
  </r>
  <r>
    <d v="2025-04-21T00:00:00"/>
    <x v="97"/>
    <x v="35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4749.8"/>
    <n v="0"/>
    <n v="0"/>
    <n v="0"/>
    <n v="0"/>
  </r>
  <r>
    <d v="2025-03-27T00:00:00"/>
    <x v="98"/>
    <x v="35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2000"/>
    <n v="2749.8"/>
    <n v="0"/>
    <n v="0"/>
    <n v="0"/>
  </r>
  <r>
    <s v="ประมาณการ"/>
    <x v="0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0"/>
    <x v="25"/>
    <n v="5657.85"/>
    <n v="0"/>
    <n v="5657.85"/>
    <n v="0"/>
    <n v="0"/>
    <n v="0"/>
  </r>
  <r>
    <s v="ประมาณการ"/>
    <x v="0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5"/>
    <n v="48615.600000000006"/>
    <n v="0"/>
    <n v="48615.600000000006"/>
    <n v="0"/>
    <n v="0"/>
    <n v="0"/>
  </r>
  <r>
    <s v="ประมาณการ"/>
    <x v="0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5"/>
    <n v="10000"/>
    <n v="0"/>
    <n v="10000"/>
    <n v="0"/>
    <n v="10500"/>
    <x v="25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5"/>
    <n v="75647.55"/>
    <n v="6749.8"/>
    <n v="68897.75"/>
    <n v="0"/>
    <n v="0"/>
    <s v="ระบุในSD"/>
  </r>
  <r>
    <s v="ประมาณการ"/>
    <x v="0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20000"/>
    <n v="0"/>
    <n v="20000"/>
    <n v="0"/>
    <n v="21000"/>
    <x v="26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6"/>
    <n v="24866.6"/>
    <n v="0"/>
    <n v="24866.6"/>
    <n v="0"/>
    <n v="24866.6"/>
    <s v="ระบุในSD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7"/>
    <n v="12433.3"/>
    <n v="6978"/>
    <n v="5455.2999999999993"/>
    <n v="0"/>
    <n v="0"/>
    <n v="0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7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7"/>
    <n v="37299.899999999994"/>
    <n v="6978"/>
    <n v="30321.899999999998"/>
    <n v="0"/>
    <n v="0"/>
    <s v="ระบุในSD"/>
  </r>
  <r>
    <d v="2025-03-07T00:00:00"/>
    <x v="99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3848"/>
    <n v="26152"/>
    <n v="0"/>
    <n v="27459.600000000002"/>
    <x v="28"/>
    <n v="32515.566159999998"/>
    <n v="32515.566159999998"/>
    <n v="0"/>
    <n v="2567"/>
    <n v="29948.566159999998"/>
    <s v="ห้ามขาด-เกินได้5%"/>
  </r>
  <r>
    <d v="2025-04-21T00:00:00"/>
    <x v="100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11600"/>
    <n v="0"/>
    <x v="28"/>
    <n v="0"/>
    <n v="0"/>
    <n v="0"/>
    <n v="0"/>
    <n v="0"/>
    <n v="0"/>
  </r>
  <r>
    <d v="2025-03-07T00:00:00"/>
    <x v="101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d v="2025-03-07T00:00:00"/>
    <x v="102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7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s v="ประมาณการ"/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28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8"/>
    <n v="131981.96615999998"/>
    <n v="107115.36615999999"/>
    <n v="24866.6"/>
    <n v="2567"/>
    <n v="129414.96615999998"/>
    <s v="ระบุในSD"/>
  </r>
  <r>
    <d v="2025-04-02T00:00:00"/>
    <x v="103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21000"/>
    <n v="10500"/>
    <n v="37576"/>
    <n v="0"/>
    <x v="29"/>
    <n v="0"/>
    <n v="0"/>
    <n v="0"/>
    <n v="0"/>
    <n v="0"/>
    <n v="0"/>
  </r>
  <r>
    <d v="2025-04-21T00:00:00"/>
    <x v="104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7"/>
    <n v="50000"/>
    <n v="0"/>
    <n v="50000"/>
    <n v="0"/>
    <n v="52500"/>
    <x v="29"/>
    <n v="59372.5"/>
    <n v="5501"/>
    <n v="53871.5"/>
    <n v="0"/>
    <n v="0"/>
    <n v="0"/>
  </r>
  <r>
    <s v="ประมาณการ"/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9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9"/>
    <n v="86474.3"/>
    <n v="5501"/>
    <n v="80973.3"/>
    <n v="0"/>
    <n v="27101.800000000003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d v="2025-05-23T00:00:00"/>
    <x v="0"/>
    <x v="0"/>
    <s v="เกลือตรามือ 10กก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เต็มใบ"/>
    <x v="0"/>
    <n v="10000"/>
    <n v="0"/>
    <n v="10000"/>
    <n v="0"/>
    <n v="10500"/>
    <x v="0"/>
    <n v="6565.9000000000005"/>
    <n v="5557"/>
    <n v="1008.9000000000005"/>
    <n v="1220"/>
    <n v="534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5557"/>
    <n v="1008.9000000000005"/>
    <n v="1220"/>
    <n v="5345.9000000000005"/>
    <s v="ระบุในSD"/>
  </r>
  <r>
    <s v="ประมาณการ"/>
    <x v="2"/>
    <x v="2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2"/>
    <n v="5000"/>
    <n v="0"/>
    <n v="5000"/>
    <n v="0"/>
    <n v="5250"/>
    <x v="1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d v="2025-06-06T00:00:00"/>
    <x v="3"/>
    <x v="3"/>
    <s v="ข้าวหอมมะลิสร้อยฟ้า"/>
    <n v="16"/>
    <n v="25"/>
    <s v="ขาว"/>
    <n v="0"/>
    <n v="45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5250"/>
    <x v="2"/>
    <n v="3702.0499999999997"/>
    <n v="3702.0499999999997"/>
    <n v="0"/>
    <n v="0"/>
    <n v="0"/>
    <s v="ขาด-เกินได้5%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2"/>
    <n v="3702.0499999999997"/>
    <n v="3702.0499999999997"/>
    <n v="0"/>
    <n v="0"/>
    <n v="0"/>
    <s v="ระบุในSD"/>
  </r>
  <r>
    <s v="ประมาณการ"/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5-28T00:00:00"/>
    <x v="4"/>
    <x v="6"/>
    <s v="หนุมานเทอร์โบ"/>
    <n v="18"/>
    <n v="28"/>
    <s v="ขาว"/>
    <s v="ใส"/>
    <n v="69"/>
    <s v="±"/>
    <n v="5"/>
    <s v="จับจีบ4&quot;"/>
    <n v="19"/>
    <n v="31"/>
    <n v="60"/>
    <n v="217.96756406399999"/>
    <n v="0"/>
    <n v="217.96756406399999"/>
    <s v="500กระสอบ"/>
    <x v="5"/>
    <n v="10000"/>
    <n v="0"/>
    <n v="10000"/>
    <n v="0"/>
    <n v="10500"/>
    <x v="4"/>
    <n v="8242.3000000000011"/>
    <n v="8242.3000000000011"/>
    <n v="0"/>
    <n v="0"/>
    <n v="8242.3000000000011"/>
    <s v="ขาด-เกินได้5%"/>
  </r>
  <r>
    <d v="2025-05-20T00:00:00"/>
    <x v="5"/>
    <x v="7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6"/>
    <n v="10000"/>
    <n v="0"/>
    <n v="10000"/>
    <n v="0"/>
    <n v="10500"/>
    <x v="4"/>
    <n v="8801.1"/>
    <n v="4000"/>
    <n v="4801.1000000000004"/>
    <n v="0"/>
    <n v="88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17043.400000000001"/>
    <n v="12242.300000000001"/>
    <n v="4801.1000000000004"/>
    <n v="0"/>
    <n v="17043.400000000001"/>
    <s v="ระบุในSD"/>
  </r>
  <r>
    <d v="2025-05-20T00:00:00"/>
    <x v="6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39710"/>
    <n v="290"/>
    <n v="43885"/>
    <n v="0"/>
    <x v="5"/>
    <n v="0"/>
    <n v="0"/>
    <n v="0"/>
    <n v="0"/>
    <n v="0"/>
    <n v="0"/>
  </r>
  <r>
    <d v="2025-05-20T00:00:00"/>
    <x v="7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30000"/>
    <n v="15500"/>
    <n v="14500"/>
    <n v="30955"/>
    <n v="0"/>
    <x v="5"/>
    <n v="0"/>
    <n v="0"/>
    <n v="0"/>
    <n v="0"/>
    <n v="0"/>
    <n v="0"/>
  </r>
  <r>
    <s v="ประมาณการ"/>
    <x v="2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30000"/>
    <n v="0"/>
    <n v="30000"/>
    <n v="0"/>
    <n v="31500"/>
    <x v="5"/>
    <n v="26403.3"/>
    <n v="0"/>
    <n v="26403.3"/>
    <n v="0"/>
    <n v="0"/>
    <n v="0"/>
  </r>
  <r>
    <s v="ประมาณการ"/>
    <x v="2"/>
    <x v="10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4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35763.199999999997"/>
    <n v="0"/>
    <n v="35763.199999999997"/>
    <n v="0"/>
    <n v="0"/>
    <s v="ระบุในSD"/>
  </r>
  <r>
    <d v="2025-05-31T00:00:00"/>
    <x v="8"/>
    <x v="11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50"/>
    <n v="0"/>
    <x v="6"/>
    <n v="0"/>
    <n v="0"/>
    <n v="0"/>
    <n v="0"/>
    <n v="0"/>
    <n v="0"/>
  </r>
  <r>
    <d v="2025-05-31T00:00:00"/>
    <x v="8"/>
    <x v="11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6"/>
    <n v="0"/>
    <n v="0"/>
    <n v="0"/>
    <n v="0"/>
    <n v="0"/>
    <n v="0"/>
  </r>
  <r>
    <d v="2025-05-31T00:00:00"/>
    <x v="9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8"/>
    <n v="15000"/>
    <n v="0"/>
    <n v="15000"/>
    <n v="15750"/>
    <n v="0"/>
    <x v="6"/>
    <n v="0"/>
    <n v="0"/>
    <n v="0"/>
    <n v="0"/>
    <n v="0"/>
    <n v="0"/>
  </r>
  <r>
    <d v="2025-06-04T00:00:00"/>
    <x v="10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5"/>
    <n v="10000"/>
    <n v="0"/>
    <n v="10000"/>
    <n v="10200"/>
    <n v="0"/>
    <x v="6"/>
    <n v="0"/>
    <n v="0"/>
    <n v="0"/>
    <n v="0"/>
    <n v="0"/>
    <s v="PDR250181"/>
  </r>
  <r>
    <d v="2025-06-04T00:00:00"/>
    <x v="10"/>
    <x v="11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5"/>
    <n v="10000"/>
    <n v="0"/>
    <n v="10000"/>
    <n v="10400"/>
    <n v="0"/>
    <x v="6"/>
    <n v="0"/>
    <n v="0"/>
    <n v="0"/>
    <n v="0"/>
    <n v="0"/>
    <s v="PDR250181"/>
  </r>
  <r>
    <d v="2025-06-04T00:00:00"/>
    <x v="10"/>
    <x v="11"/>
    <s v="แปดแต้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5"/>
    <n v="5000"/>
    <n v="0"/>
    <n v="5000"/>
    <n v="0"/>
    <n v="5250"/>
    <x v="6"/>
    <n v="4400.55"/>
    <n v="2854"/>
    <n v="1546.5500000000002"/>
    <n v="0"/>
    <n v="0"/>
    <s v="PDR250181"/>
  </r>
  <r>
    <d v="2025-06-04T00:00:00"/>
    <x v="10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6"/>
    <n v="4400.55"/>
    <n v="0"/>
    <n v="4400.55"/>
    <n v="0"/>
    <n v="0"/>
    <s v="PDR250182"/>
  </r>
  <r>
    <d v="2025-06-04T00:00:00"/>
    <x v="10"/>
    <x v="11"/>
    <s v="บลูทีม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6"/>
    <n v="4400.55"/>
    <n v="0"/>
    <n v="4400.55"/>
    <n v="0"/>
    <n v="0"/>
    <s v="PDR250182"/>
  </r>
  <r>
    <d v="2025-06-04T00:00:00"/>
    <x v="10"/>
    <x v="11"/>
    <s v="KFM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6"/>
    <n v="4400.55"/>
    <n v="0"/>
    <n v="4400.55"/>
    <n v="0"/>
    <n v="0"/>
    <s v="PDR250182"/>
  </r>
  <r>
    <d v="2025-06-04T00:00:00"/>
    <x v="11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10000"/>
    <n v="0"/>
    <n v="10000"/>
    <n v="0"/>
    <n v="0"/>
    <x v="6"/>
    <n v="10477.5"/>
    <n v="0"/>
    <n v="10477.5"/>
    <n v="0"/>
    <n v="0"/>
    <s v="PDR250182"/>
  </r>
  <r>
    <d v="2025-06-04T00:00:00"/>
    <x v="10"/>
    <x v="11"/>
    <s v="ปาท่องโก๋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3000"/>
    <n v="0"/>
    <n v="3000"/>
    <n v="0"/>
    <n v="3150"/>
    <x v="6"/>
    <n v="2640.33"/>
    <n v="0"/>
    <n v="2640.33"/>
    <n v="0"/>
    <n v="0"/>
    <s v="PDR250183"/>
  </r>
  <r>
    <d v="2025-06-04T00:00:00"/>
    <x v="10"/>
    <x v="11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8"/>
    <n v="10000"/>
    <n v="0"/>
    <n v="10000"/>
    <n v="10400"/>
    <n v="0"/>
    <x v="6"/>
    <n v="0"/>
    <n v="0"/>
    <n v="0"/>
    <n v="0"/>
    <n v="0"/>
    <s v="PDR250183"/>
  </r>
  <r>
    <d v="2025-06-04T00:00:00"/>
    <x v="12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8"/>
    <n v="10000"/>
    <n v="0"/>
    <n v="10000"/>
    <n v="0"/>
    <n v="0"/>
    <x v="6"/>
    <n v="10477.5"/>
    <n v="0"/>
    <n v="10477.5"/>
    <n v="0"/>
    <n v="0"/>
    <s v="PDR250183"/>
  </r>
  <r>
    <d v="2025-06-04T00:00:00"/>
    <x v="10"/>
    <x v="11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6"/>
    <n v="4400.55"/>
    <n v="0"/>
    <n v="4400.55"/>
    <n v="0"/>
    <n v="0"/>
    <s v="PDR250184"/>
  </r>
  <r>
    <d v="2025-06-04T00:00:00"/>
    <x v="10"/>
    <x v="11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6"/>
    <n v="4400.55"/>
    <n v="0"/>
    <n v="4400.55"/>
    <n v="0"/>
    <n v="0"/>
    <s v="PDR250184"/>
  </r>
  <r>
    <d v="2025-06-04T00:00:00"/>
    <x v="10"/>
    <x v="11"/>
    <s v="ดอกไม้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10"/>
    <n v="10000"/>
    <n v="0"/>
    <n v="10000"/>
    <n v="0"/>
    <n v="10500"/>
    <x v="6"/>
    <n v="8801.1"/>
    <n v="0"/>
    <n v="8801.1"/>
    <n v="0"/>
    <n v="0"/>
    <s v="PDR250184"/>
  </r>
  <r>
    <d v="2025-06-04T00:00:00"/>
    <x v="13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6"/>
    <n v="4400.55"/>
    <n v="0"/>
    <n v="4400.55"/>
    <n v="0"/>
    <n v="0"/>
    <s v="PDR250185"/>
  </r>
  <r>
    <d v="2025-06-04T00:00:00"/>
    <x v="13"/>
    <x v="11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6"/>
    <n v="4400.55"/>
    <n v="0"/>
    <n v="4400.55"/>
    <n v="0"/>
    <n v="0"/>
    <s v="PDR250185"/>
  </r>
  <r>
    <d v="2025-06-04T00:00:00"/>
    <x v="14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0"/>
    <n v="10000"/>
    <n v="0"/>
    <n v="10500"/>
    <x v="6"/>
    <n v="9359.9000000000015"/>
    <n v="0"/>
    <n v="9359.9000000000015"/>
    <n v="0"/>
    <n v="0"/>
    <s v="PDR250185"/>
  </r>
  <r>
    <d v="2025-06-04T00:00:00"/>
    <x v="14"/>
    <x v="11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6"/>
    <n v="4679.9500000000007"/>
    <n v="0"/>
    <n v="4679.9500000000007"/>
    <n v="0"/>
    <n v="0"/>
    <s v="PDR250185"/>
  </r>
  <r>
    <d v="2025-06-04T00:00:00"/>
    <x v="13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11"/>
    <n v="5000"/>
    <n v="0"/>
    <n v="5000"/>
    <n v="0"/>
    <n v="5250"/>
    <x v="6"/>
    <n v="4400.55"/>
    <n v="0"/>
    <n v="4400.55"/>
    <n v="0"/>
    <n v="0"/>
    <s v="PDR250186"/>
  </r>
  <r>
    <d v="2025-06-04T00:00:00"/>
    <x v="13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11"/>
    <n v="10000"/>
    <n v="0"/>
    <n v="10000"/>
    <n v="10200"/>
    <n v="0"/>
    <x v="6"/>
    <n v="0"/>
    <n v="0"/>
    <n v="0"/>
    <n v="0"/>
    <n v="0"/>
    <s v="PDR250186"/>
  </r>
  <r>
    <d v="2025-06-04T00:00:00"/>
    <x v="14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1"/>
    <n v="10000"/>
    <n v="0"/>
    <n v="10000"/>
    <n v="0"/>
    <n v="10500"/>
    <x v="6"/>
    <n v="9359.9000000000015"/>
    <n v="0"/>
    <n v="9359.9000000000015"/>
    <n v="0"/>
    <n v="0"/>
    <s v="PDR250186"/>
  </r>
  <r>
    <d v="2025-06-04T00:00:00"/>
    <x v="10"/>
    <x v="11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0"/>
    <n v="5250"/>
    <x v="6"/>
    <n v="4400.55"/>
    <n v="0"/>
    <n v="4400.55"/>
    <n v="0"/>
    <n v="0"/>
    <s v="PDR250187"/>
  </r>
  <r>
    <d v="2025-06-04T00:00:00"/>
    <x v="10"/>
    <x v="11"/>
    <s v="แต้มท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0"/>
    <n v="5250"/>
    <x v="6"/>
    <n v="4400.55"/>
    <n v="0"/>
    <n v="4400.55"/>
    <n v="0"/>
    <n v="0"/>
    <s v="PDR250187"/>
  </r>
  <r>
    <d v="2025-06-04T00:00:00"/>
    <x v="10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0"/>
    <n v="5250"/>
    <x v="6"/>
    <n v="4400.55"/>
    <n v="0"/>
    <n v="4400.55"/>
    <n v="0"/>
    <n v="0"/>
    <s v="PDR250187"/>
  </r>
  <r>
    <d v="2025-06-04T00:00:00"/>
    <x v="10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1"/>
    <x v="3"/>
    <n v="10000"/>
    <n v="0"/>
    <n v="10000"/>
    <n v="10600"/>
    <n v="0"/>
    <x v="6"/>
    <n v="0"/>
    <n v="0"/>
    <n v="0"/>
    <n v="0"/>
    <n v="0"/>
    <s v="PDR250187"/>
  </r>
  <r>
    <s v="ประมาณการ"/>
    <x v="2"/>
    <x v="11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275000"/>
    <n v="0"/>
    <n v="275000"/>
    <n v="0"/>
    <n v="288750"/>
    <x v="6"/>
    <n v="242030.25"/>
    <n v="0"/>
    <n v="242030.2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350633.03"/>
    <n v="2854"/>
    <n v="347779.03"/>
    <n v="0"/>
    <n v="0"/>
    <s v="ระบุในSD"/>
  </r>
  <r>
    <d v="2025-05-19T00:00:00"/>
    <x v="15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1899-12-30T00:00:00"/>
    <x v="16"/>
    <x v="13"/>
    <s v="ลูกโลก 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21000"/>
    <x v="8"/>
    <n v="18719.800000000003"/>
    <n v="7658"/>
    <n v="11061.800000000003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18719.800000000003"/>
    <n v="7658"/>
    <n v="11061.800000000003"/>
    <n v="0"/>
    <n v="0"/>
    <s v="ระบุในSD"/>
  </r>
  <r>
    <d v="2025-05-19T00:00:00"/>
    <x v="17"/>
    <x v="12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280"/>
    <n v="2447"/>
    <n v="833"/>
    <n v="5975"/>
    <n v="0"/>
    <x v="9"/>
    <n v="0"/>
    <n v="0"/>
    <n v="0"/>
    <n v="0"/>
    <n v="0"/>
    <n v="0"/>
  </r>
  <r>
    <d v="2025-05-19T00:00:00"/>
    <x v="18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853"/>
    <n v="840"/>
    <n v="3013"/>
    <n v="15401"/>
    <n v="0"/>
    <x v="9"/>
    <n v="0"/>
    <n v="0"/>
    <n v="0"/>
    <n v="0"/>
    <n v="0"/>
    <n v="0"/>
  </r>
  <r>
    <d v="2025-05-19T00:00:00"/>
    <x v="18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349"/>
    <n v="0"/>
    <n v="4349"/>
    <n v="0"/>
    <n v="4566.45"/>
    <x v="9"/>
    <n v="4556.6647499999999"/>
    <n v="4556.6647499999999"/>
    <n v="0"/>
    <n v="0"/>
    <n v="4556.6647499999999"/>
    <n v="0"/>
  </r>
  <r>
    <d v="2025-05-19T00:00:00"/>
    <x v="19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7200"/>
    <n v="0"/>
    <n v="17200"/>
    <n v="35200"/>
    <n v="0"/>
    <x v="9"/>
    <n v="0"/>
    <n v="0"/>
    <n v="0"/>
    <n v="0"/>
    <n v="0"/>
    <n v="0"/>
  </r>
  <r>
    <d v="2025-05-19T00:00:00"/>
    <x v="20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"/>
    <n v="3920"/>
    <n v="6080"/>
    <n v="12101"/>
    <n v="0"/>
    <x v="9"/>
    <n v="0"/>
    <n v="0"/>
    <n v="0"/>
    <n v="0"/>
    <n v="0"/>
    <n v="0"/>
  </r>
  <r>
    <d v="2025-04-19T00:00:00"/>
    <x v="21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120"/>
    <n v="1120"/>
    <n v="0"/>
    <n v="1200"/>
    <n v="0"/>
    <x v="9"/>
    <n v="0"/>
    <n v="0"/>
    <n v="0"/>
    <n v="0"/>
    <n v="0"/>
    <s v="ห้ามขาด-ห้ามเกิน"/>
  </r>
  <r>
    <d v="2025-05-22T00:00:00"/>
    <x v="22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7"/>
    <n v="12000"/>
    <n v="0"/>
    <n v="12000"/>
    <n v="8045"/>
    <n v="4152.75"/>
    <x v="9"/>
    <n v="4118.9881425000003"/>
    <n v="4118.9881425000003"/>
    <n v="0"/>
    <n v="4118.9881425000003"/>
    <n v="0"/>
    <s v="ห้ามขาด-ห้ามเกิน"/>
  </r>
  <r>
    <d v="2025-06-02T00:00:00"/>
    <x v="23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7"/>
    <n v="1500"/>
    <n v="0"/>
    <n v="1500"/>
    <n v="0"/>
    <n v="1575"/>
    <x v="9"/>
    <n v="1487.8050000000001"/>
    <n v="1487.8050000000001"/>
    <n v="0"/>
    <n v="1487.8050000000001"/>
    <n v="0"/>
    <n v="0"/>
  </r>
  <r>
    <d v="2025-05-22T00:00:00"/>
    <x v="22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7"/>
    <n v="8000"/>
    <n v="0"/>
    <n v="8000"/>
    <n v="8450"/>
    <n v="0"/>
    <x v="9"/>
    <n v="0"/>
    <n v="0"/>
    <n v="0"/>
    <n v="0"/>
    <n v="0"/>
    <s v="ห้ามขาด-ห้ามเกิน"/>
  </r>
  <r>
    <d v="2025-06-02T00:00:00"/>
    <x v="23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7"/>
    <n v="1000"/>
    <n v="0"/>
    <n v="1000"/>
    <n v="1000"/>
    <n v="0"/>
    <x v="9"/>
    <n v="0"/>
    <n v="0"/>
    <n v="0"/>
    <n v="0"/>
    <n v="0"/>
    <n v="0"/>
  </r>
  <r>
    <d v="2025-05-05T00:00:00"/>
    <x v="24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0"/>
    <n v="5000"/>
    <n v="0"/>
    <n v="5250"/>
    <x v="9"/>
    <n v="5518.15"/>
    <n v="5518.15"/>
    <n v="0"/>
    <n v="5518.15"/>
    <n v="0"/>
    <n v="0"/>
  </r>
  <r>
    <d v="2025-04-09T00:00:00"/>
    <x v="25"/>
    <x v="16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5"/>
    <n v="3000"/>
    <n v="3148"/>
    <n v="0"/>
    <n v="6505"/>
    <n v="0"/>
    <x v="9"/>
    <n v="0"/>
    <n v="0"/>
    <n v="0"/>
    <n v="0"/>
    <n v="0"/>
    <n v="0"/>
  </r>
  <r>
    <d v="2025-03-24T00:00:00"/>
    <x v="26"/>
    <x v="16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2500"/>
    <n v="2825"/>
    <n v="0"/>
    <n v="5688"/>
    <n v="0"/>
    <x v="9"/>
    <n v="0"/>
    <n v="0"/>
    <n v="0"/>
    <n v="0"/>
    <n v="0"/>
    <n v="0"/>
  </r>
  <r>
    <d v="2025-04-05T00:00:00"/>
    <x v="27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5168"/>
    <n v="0"/>
    <n v="5400"/>
    <n v="0"/>
    <x v="9"/>
    <n v="0"/>
    <n v="0"/>
    <n v="0"/>
    <n v="0"/>
    <n v="0"/>
    <n v="0"/>
  </r>
  <r>
    <d v="2025-05-31T00:00:00"/>
    <x v="28"/>
    <x v="17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0"/>
    <n v="10000"/>
    <n v="0"/>
    <n v="10000"/>
    <n v="0"/>
    <n v="10500"/>
    <x v="9"/>
    <n v="8801.1"/>
    <n v="8801.1"/>
    <n v="0"/>
    <n v="0"/>
    <n v="8801.1"/>
    <n v="0"/>
  </r>
  <r>
    <d v="2025-05-31T00:00:00"/>
    <x v="29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9"/>
    <n v="5280.6600000000008"/>
    <n v="5280.6600000000008"/>
    <n v="0"/>
    <n v="0"/>
    <n v="5280.6600000000008"/>
    <n v="0"/>
  </r>
  <r>
    <d v="2025-05-26T00:00:00"/>
    <x v="30"/>
    <x v="18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9"/>
    <n v="3310.89"/>
    <n v="3310.89"/>
    <n v="0"/>
    <n v="3310.89"/>
    <n v="0"/>
    <n v="0"/>
  </r>
  <r>
    <d v="2025-05-26T00:00:00"/>
    <x v="31"/>
    <x v="18"/>
    <s v="วี-ฟีด วี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0"/>
    <n v="3310.89"/>
    <n v="0"/>
  </r>
  <r>
    <d v="2025-06-06T00:00:00"/>
    <x v="32"/>
    <x v="19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20000"/>
    <n v="0"/>
    <n v="20000"/>
    <n v="0"/>
    <n v="21000"/>
    <x v="9"/>
    <n v="21513.800000000003"/>
    <n v="21513.800000000003"/>
    <n v="0"/>
    <n v="0"/>
    <n v="21513.800000000003"/>
    <n v="0"/>
  </r>
  <r>
    <d v="2025-06-06T00:00:00"/>
    <x v="32"/>
    <x v="19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9"/>
    <n v="10756.900000000001"/>
    <n v="10756.900000000001"/>
    <n v="0"/>
    <n v="0"/>
    <n v="10756.900000000001"/>
    <n v="0"/>
  </r>
  <r>
    <d v="2025-06-06T00:00:00"/>
    <x v="32"/>
    <x v="19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9"/>
    <n v="10756.900000000001"/>
    <n v="0"/>
    <n v="10756.900000000001"/>
    <n v="0"/>
    <n v="10756.900000000001"/>
    <n v="0"/>
  </r>
  <r>
    <d v="2025-06-06T00:00:00"/>
    <x v="33"/>
    <x v="19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9"/>
    <n v="5378.4500000000007"/>
    <n v="0"/>
    <n v="5378.4500000000007"/>
    <n v="0"/>
    <n v="5378.4500000000007"/>
    <n v="0"/>
  </r>
  <r>
    <d v="2025-06-06T00:00:00"/>
    <x v="33"/>
    <x v="19"/>
    <s v="SPEED PLUS 222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2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d v="2025-05-19T00:00:00"/>
    <x v="17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d v="2025-05-19T00:00:00"/>
    <x v="34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d v="2025-05-19T00:00:00"/>
    <x v="34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d v="2025-05-19T00:00:00"/>
    <x v="35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d v="2025-05-21T00:00:00"/>
    <x v="36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2025-05-05T00:00:00"/>
    <x v="24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9"/>
    <n v="22072.6"/>
    <n v="0"/>
    <n v="22072.6"/>
    <n v="0"/>
    <n v="22072.6"/>
    <n v="0"/>
  </r>
  <r>
    <d v="2025-06-02T00:00:00"/>
    <x v="37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2025-06-02T00:00:00"/>
    <x v="38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3-05T00:00:00"/>
    <x v="39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1"/>
    <n v="0"/>
    <n v="111"/>
    <n v="5600"/>
    <n v="0"/>
    <x v="9"/>
    <n v="0"/>
    <n v="0"/>
    <n v="0"/>
    <n v="0"/>
    <n v="0"/>
    <n v="0"/>
  </r>
  <r>
    <d v="2024-11-15T00:00:00"/>
    <x v="40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d v="2025-03-05T00:00:00"/>
    <x v="41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734"/>
    <n v="0"/>
    <n v="734"/>
    <n v="5520"/>
    <n v="0"/>
    <x v="9"/>
    <n v="0"/>
    <n v="0"/>
    <n v="0"/>
    <n v="0"/>
    <n v="0"/>
    <n v="0"/>
  </r>
  <r>
    <s v="ประมาณการ"/>
    <x v="2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9"/>
    <n v="43027.600000000006"/>
    <n v="0"/>
    <n v="43027.600000000006"/>
    <n v="0"/>
    <n v="43027.600000000006"/>
    <n v="0"/>
  </r>
  <r>
    <d v="2025-01-24T00:00:00"/>
    <x v="42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d v="2025-02-17T00:00:00"/>
    <x v="43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855"/>
    <n v="0"/>
    <n v="855"/>
    <n v="16440"/>
    <n v="0"/>
    <x v="9"/>
    <n v="0"/>
    <n v="0"/>
    <n v="0"/>
    <n v="0"/>
    <n v="0"/>
    <n v="0"/>
  </r>
  <r>
    <d v="2025-01-17T00:00:00"/>
    <x v="44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d v="2024-11-15T00:00:00"/>
    <x v="45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d v="2024-08-19T00:00:00"/>
    <x v="46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d v="2024-08-19T00:00:00"/>
    <x v="46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d v="2025-03-25T00:00:00"/>
    <x v="47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9"/>
    <n v="0"/>
    <n v="0"/>
    <n v="0"/>
    <n v="0"/>
    <n v="0"/>
    <n v="0"/>
  </r>
  <r>
    <d v="2025-03-04T00:00:00"/>
    <x v="16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9"/>
    <n v="0"/>
    <n v="0"/>
    <n v="0"/>
    <n v="0"/>
    <n v="0"/>
    <n v="0"/>
  </r>
  <r>
    <d v="2025-03-04T00:00:00"/>
    <x v="16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9"/>
    <n v="0"/>
    <n v="0"/>
    <n v="0"/>
    <n v="0"/>
    <n v="0"/>
    <n v="0"/>
  </r>
  <r>
    <d v="2024-09-06T00:00:00"/>
    <x v="48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09-13T00:00:00"/>
    <x v="49"/>
    <x v="18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2364"/>
    <n v="136"/>
    <n v="5500"/>
    <n v="0"/>
    <x v="9"/>
    <n v="0"/>
    <n v="0"/>
    <n v="0"/>
    <n v="0"/>
    <n v="0"/>
    <n v="0"/>
  </r>
  <r>
    <d v="2024-10-16T00:00:00"/>
    <x v="50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05321.61789250013"/>
    <n v="68655.847892500009"/>
    <n v="236665.77000000005"/>
    <n v="14435.8331425"/>
    <n v="290885.78475000011"/>
    <s v="ระบุในSD"/>
  </r>
  <r>
    <d v="2025-06-10T00:00:00"/>
    <x v="16"/>
    <x v="21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10000"/>
    <n v="0"/>
    <n v="10000"/>
    <n v="0"/>
    <n v="10500"/>
    <x v="10"/>
    <n v="10756.900000000001"/>
    <n v="10756.900000000001"/>
    <n v="0"/>
    <n v="0"/>
    <n v="0"/>
    <s v="ลำพูน"/>
  </r>
  <r>
    <d v="2025-06-10T00:00:00"/>
    <x v="16"/>
    <x v="21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"/>
    <n v="0"/>
    <n v="5000"/>
    <n v="0"/>
    <n v="5250"/>
    <x v="10"/>
    <n v="5378.4500000000007"/>
    <n v="5378.4500000000007"/>
    <n v="0"/>
    <n v="0"/>
    <n v="0"/>
    <s v="ลำพูน"/>
  </r>
  <r>
    <d v="2025-06-04T00:00:00"/>
    <x v="51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0"/>
    <n v="4679.9500000000007"/>
    <n v="4679.9500000000007"/>
    <n v="0"/>
    <n v="0"/>
    <n v="0"/>
    <s v="PDR250184"/>
  </r>
  <r>
    <d v="2025-06-10T00:00:00"/>
    <x v="16"/>
    <x v="21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30000"/>
    <n v="0"/>
    <n v="30000"/>
    <n v="0"/>
    <n v="31500"/>
    <x v="10"/>
    <n v="32270.700000000004"/>
    <n v="32270.700000000004"/>
    <n v="0"/>
    <n v="0"/>
    <n v="0"/>
    <s v="ลพบุรี1"/>
  </r>
  <r>
    <d v="2025-05-09T00:00:00"/>
    <x v="52"/>
    <x v="21"/>
    <s v="WB ฟาร์ม F916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4"/>
    <n v="10000"/>
    <n v="10196"/>
    <n v="0"/>
    <n v="10500"/>
    <n v="0"/>
    <x v="10"/>
    <n v="0"/>
    <n v="0"/>
    <n v="0"/>
    <n v="0"/>
    <n v="0"/>
    <s v="พระประแดง"/>
  </r>
  <r>
    <d v="2025-06-05T00:00:00"/>
    <x v="53"/>
    <x v="21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4"/>
    <n v="5000"/>
    <n v="0"/>
    <n v="5000"/>
    <n v="0"/>
    <n v="5250"/>
    <x v="10"/>
    <n v="5378.4500000000007"/>
    <n v="5378.4500000000007"/>
    <n v="0"/>
    <n v="0"/>
    <n v="0"/>
    <s v="พระประแดง"/>
  </r>
  <r>
    <d v="2025-06-10T00:00:00"/>
    <x v="16"/>
    <x v="21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0"/>
    <n v="0"/>
    <n v="50000"/>
    <n v="0"/>
    <n v="52500"/>
    <x v="10"/>
    <n v="53784.500000000007"/>
    <n v="53784.500000000007"/>
    <n v="0"/>
    <n v="0"/>
    <n v="0"/>
    <s v="ลพบุรี1"/>
  </r>
  <r>
    <d v="2025-05-28T00:00:00"/>
    <x v="54"/>
    <x v="21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5400"/>
    <n v="0"/>
    <x v="10"/>
    <n v="0"/>
    <n v="0"/>
    <n v="0"/>
    <n v="0"/>
    <n v="0"/>
    <s v="ลพบุรี3"/>
  </r>
  <r>
    <d v="2025-05-28T00:00:00"/>
    <x v="54"/>
    <x v="21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5450"/>
    <n v="0"/>
    <x v="10"/>
    <n v="0"/>
    <n v="0"/>
    <n v="0"/>
    <n v="0"/>
    <n v="0"/>
    <s v="ลพบุรี3"/>
  </r>
  <r>
    <d v="2025-06-10T00:00:00"/>
    <x v="16"/>
    <x v="21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0"/>
    <n v="32270.700000000004"/>
    <n v="32270.700000000004"/>
    <n v="0"/>
    <n v="0"/>
    <n v="0"/>
    <s v="ลพบุรี1"/>
  </r>
  <r>
    <d v="2025-06-10T00:00:00"/>
    <x v="16"/>
    <x v="21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0"/>
    <n v="32270.700000000004"/>
    <n v="32270.700000000004"/>
    <n v="0"/>
    <n v="0"/>
    <n v="0"/>
    <s v="ลพบุรี1"/>
  </r>
  <r>
    <d v="2025-06-10T00:00:00"/>
    <x v="16"/>
    <x v="21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0"/>
    <n v="5000"/>
    <n v="0"/>
    <n v="5250"/>
    <x v="10"/>
    <n v="5378.4500000000007"/>
    <n v="5378.4500000000007"/>
    <n v="0"/>
    <n v="0"/>
    <n v="0"/>
    <s v="ลำพูน"/>
  </r>
  <r>
    <d v="2025-06-10T00:00:00"/>
    <x v="16"/>
    <x v="21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50000"/>
    <n v="0"/>
    <n v="50000"/>
    <n v="0"/>
    <n v="52500"/>
    <x v="10"/>
    <n v="53784.500000000007"/>
    <n v="25073"/>
    <n v="28711.500000000007"/>
    <n v="0"/>
    <n v="0"/>
    <s v="ลพบุรี1"/>
  </r>
  <r>
    <d v="2025-06-10T00:00:00"/>
    <x v="16"/>
    <x v="21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30000"/>
    <n v="0"/>
    <n v="30000"/>
    <n v="0"/>
    <n v="31500"/>
    <x v="10"/>
    <n v="32270.700000000004"/>
    <n v="0"/>
    <n v="32270.700000000004"/>
    <n v="0"/>
    <n v="0"/>
    <s v="ลพบุรี1"/>
  </r>
  <r>
    <d v="2025-05-19T00:00:00"/>
    <x v="55"/>
    <x v="12"/>
    <s v="เพอเฟคค์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40"/>
    <n v="0"/>
    <n v="640"/>
    <n v="83500"/>
    <n v="0"/>
    <x v="10"/>
    <n v="0"/>
    <n v="0"/>
    <n v="0"/>
    <n v="0"/>
    <n v="0"/>
    <s v="ห้ามขาด-ห้ามเกิน"/>
  </r>
  <r>
    <s v="ประมาณการ"/>
    <x v="2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150000"/>
    <n v="0"/>
    <n v="150000"/>
    <n v="0"/>
    <n v="157500"/>
    <x v="10"/>
    <n v="157162.5"/>
    <n v="0"/>
    <n v="157162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425386.50000000006"/>
    <n v="207241.80000000005"/>
    <n v="218144.7"/>
    <n v="0"/>
    <n v="0"/>
    <s v="ระบุในSD"/>
  </r>
  <r>
    <d v="2025-06-07T00:00:00"/>
    <x v="56"/>
    <x v="22"/>
    <s v="กรุงเทพมหานคร"/>
    <n v="20"/>
    <n v="34"/>
    <s v="ขาว"/>
    <n v="0"/>
    <n v="85"/>
    <s v="±"/>
    <n v="5"/>
    <s v="ไม่"/>
    <s v="ไม่สวมถุงใน"/>
    <n v="0"/>
    <n v="0"/>
    <n v="0"/>
    <n v="0"/>
    <n v="0"/>
    <s v="มัด100"/>
    <x v="4"/>
    <n v="1345000"/>
    <n v="0"/>
    <n v="1345000"/>
    <n v="756311"/>
    <n v="618123.45000000007"/>
    <x v="11"/>
    <n v="562935.53401365003"/>
    <n v="73641.007366014645"/>
    <n v="489294.52664763539"/>
    <n v="0"/>
    <n v="0"/>
    <n v="0"/>
  </r>
  <r>
    <d v="1899-12-30T00:00:00"/>
    <x v="1"/>
    <x v="1"/>
    <n v="0"/>
    <n v="20"/>
    <n v="34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1"/>
    <n v="562935.53401365003"/>
    <n v="73641.007366014645"/>
    <n v="489294.52664763539"/>
    <n v="0"/>
    <n v="0"/>
    <s v="ระบุในSD"/>
  </r>
  <r>
    <d v="2025-05-26T00:00:00"/>
    <x v="57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5"/>
    <n v="10000"/>
    <n v="0"/>
    <n v="10000"/>
    <n v="0"/>
    <n v="10500"/>
    <x v="12"/>
    <n v="9918.7000000000007"/>
    <n v="7700"/>
    <n v="2218.7000000000007"/>
    <n v="0"/>
    <n v="0"/>
    <n v="0"/>
  </r>
  <r>
    <d v="2025-06-05T00:00:00"/>
    <x v="58"/>
    <x v="2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4000"/>
    <n v="0"/>
    <n v="4000"/>
    <n v="0"/>
    <n v="0"/>
    <x v="12"/>
    <n v="4414.5199999999995"/>
    <n v="0"/>
    <n v="4414.5199999999995"/>
    <n v="0"/>
    <n v="0"/>
    <n v="0"/>
  </r>
  <r>
    <d v="1899-12-30T00:00:00"/>
    <x v="16"/>
    <x v="23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21"/>
    <n v="15000"/>
    <n v="0"/>
    <n v="15000"/>
    <n v="0"/>
    <n v="0"/>
    <x v="12"/>
    <n v="16554.45"/>
    <n v="0"/>
    <n v="16554.4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33206.69"/>
    <n v="7700"/>
    <n v="25506.690000000002"/>
    <n v="0"/>
    <n v="0"/>
    <s v="ระบุในSD"/>
  </r>
  <r>
    <d v="2025-06-10T00:00:00"/>
    <x v="16"/>
    <x v="24"/>
    <s v="ไม่พิมพ์"/>
    <n v="21"/>
    <n v="40"/>
    <s v="ขาว"/>
    <n v="0"/>
    <n v="73"/>
    <s v="±"/>
    <n v="5"/>
    <s v="ไม่"/>
    <n v="22"/>
    <n v="42"/>
    <n v="40"/>
    <n v="45.591857203199993"/>
    <n v="0"/>
    <n v="45.591857203199993"/>
    <s v="500กระสอบ"/>
    <x v="7"/>
    <n v="2000"/>
    <n v="0"/>
    <n v="2000"/>
    <n v="0"/>
    <n v="0"/>
    <x v="13"/>
    <n v="2319.0200000000004"/>
    <n v="2319.0200000000004"/>
    <n v="0"/>
    <n v="0"/>
    <n v="0"/>
    <n v="0"/>
  </r>
  <r>
    <d v="2025-06-07T00:00:00"/>
    <x v="59"/>
    <x v="25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9"/>
    <n v="8000"/>
    <n v="0"/>
    <n v="8000"/>
    <n v="0"/>
    <n v="8400"/>
    <x v="13"/>
    <n v="7934.96"/>
    <n v="7934.96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10253.98"/>
    <n v="10253.98"/>
    <n v="0"/>
    <n v="0"/>
    <n v="0"/>
    <s v="ระบุในSD"/>
  </r>
  <r>
    <d v="2025-05-22T00:00:00"/>
    <x v="60"/>
    <x v="26"/>
    <s v="แดนโกรว20(เขียวเข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0"/>
    <n v="30455"/>
    <n v="19545"/>
    <n v="31500"/>
    <n v="19425"/>
    <x v="14"/>
    <n v="20895.278250000003"/>
    <n v="20895.278250000003"/>
    <n v="0"/>
    <n v="0"/>
    <n v="20895.278250000003"/>
    <n v="0"/>
  </r>
  <r>
    <d v="2025-05-22T00:00:00"/>
    <x v="60"/>
    <x v="26"/>
    <s v="แดนโกรว10P-L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25858"/>
    <n v="0"/>
    <n v="52800"/>
    <n v="0"/>
    <x v="14"/>
    <n v="0"/>
    <n v="0"/>
    <n v="0"/>
    <n v="0"/>
    <n v="0"/>
    <n v="0"/>
  </r>
  <r>
    <d v="2025-05-31T00:00:00"/>
    <x v="61"/>
    <x v="18"/>
    <s v="ฟีล กู๊ด 802"/>
    <n v="21"/>
    <n v="38"/>
    <s v="ขาว"/>
    <s v="ใส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5518.15"/>
    <n v="0"/>
    <n v="0"/>
    <n v="5518.15"/>
    <n v="0"/>
  </r>
  <r>
    <d v="2025-05-22T00:00:00"/>
    <x v="62"/>
    <x v="26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17467"/>
    <n v="12533"/>
    <n v="18428"/>
    <n v="12150.6"/>
    <x v="14"/>
    <n v="13070.278914"/>
    <n v="13070.278914"/>
    <n v="0"/>
    <n v="0"/>
    <n v="13070.278914"/>
    <n v="0"/>
  </r>
  <r>
    <d v="2025-05-22T00:00:00"/>
    <x v="62"/>
    <x v="26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14"/>
    <n v="32270.700000000004"/>
    <n v="8071"/>
    <n v="24199.700000000004"/>
    <n v="0"/>
    <n v="32270.700000000004"/>
    <n v="0"/>
  </r>
  <r>
    <d v="2025-05-22T00:00:00"/>
    <x v="62"/>
    <x v="26"/>
    <s v="วีโว่ 4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4"/>
    <n v="21513.800000000003"/>
    <n v="0"/>
    <n v="21513.800000000003"/>
    <n v="0"/>
    <n v="21513.800000000003"/>
    <n v="0"/>
  </r>
  <r>
    <d v="2025-06-06T00:00:00"/>
    <x v="63"/>
    <x v="18"/>
    <s v="มาซู ฟีดพี040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4"/>
    <n v="3310.89"/>
    <n v="3310.89"/>
    <n v="0"/>
    <n v="3310.89"/>
    <n v="0"/>
    <n v="0"/>
  </r>
  <r>
    <d v="2025-06-06T00:00:00"/>
    <x v="64"/>
    <x v="18"/>
    <s v="มาซู ฟีดบี0434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0"/>
    <n v="3000"/>
    <n v="0"/>
    <n v="3000"/>
    <n v="0"/>
    <n v="3150"/>
    <x v="14"/>
    <n v="3478.5300000000007"/>
    <n v="2062"/>
    <n v="1416.5300000000007"/>
    <n v="2062"/>
    <n v="1416.5300000000007"/>
    <n v="0"/>
  </r>
  <r>
    <d v="2025-06-06T00:00:00"/>
    <x v="65"/>
    <x v="27"/>
    <s v="ลุงนัย ฟาร์ม104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4"/>
    <n v="5378.4500000000007"/>
    <n v="5378.4500000000007"/>
    <n v="0"/>
    <n v="5378.4500000000007"/>
    <n v="0"/>
    <n v="0"/>
  </r>
  <r>
    <d v="2025-06-07T00:00:00"/>
    <x v="66"/>
    <x v="28"/>
    <s v="กัสโซ่ฟีด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8"/>
    <n v="10000"/>
    <n v="0"/>
    <n v="10000"/>
    <n v="0"/>
    <n v="10500"/>
    <x v="14"/>
    <n v="10756.900000000001"/>
    <n v="0"/>
    <n v="10756.900000000001"/>
    <n v="0"/>
    <n v="10756.900000000001"/>
    <n v="0"/>
  </r>
  <r>
    <d v="2025-06-09T00:00:00"/>
    <x v="16"/>
    <x v="23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0"/>
    <n v="10500"/>
    <x v="14"/>
    <n v="10756.900000000001"/>
    <n v="0"/>
    <n v="10756.900000000001"/>
    <n v="0"/>
    <n v="10756.900000000001"/>
    <n v="0"/>
  </r>
  <r>
    <d v="2025-05-26T00:00:00"/>
    <x v="67"/>
    <x v="18"/>
    <s v="โมโม่4132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2"/>
    <n v="5000"/>
    <n v="0"/>
    <n v="5000"/>
    <n v="0"/>
    <n v="5250"/>
    <x v="14"/>
    <n v="5797.55"/>
    <n v="0"/>
    <n v="5797.55"/>
    <n v="0"/>
    <n v="5797.55"/>
    <n v="0"/>
  </r>
  <r>
    <d v="2025-06-09T00:00:00"/>
    <x v="16"/>
    <x v="29"/>
    <s v="เมอร์รี่882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2"/>
    <n v="5000"/>
    <n v="0"/>
    <n v="5000"/>
    <n v="0"/>
    <n v="5250"/>
    <x v="14"/>
    <n v="5378.4500000000007"/>
    <n v="0"/>
    <n v="5378.4500000000007"/>
    <n v="0"/>
    <n v="5378.4500000000007"/>
    <n v="0"/>
  </r>
  <r>
    <d v="2025-06-09T00:00:00"/>
    <x v="16"/>
    <x v="29"/>
    <s v="เมอร์รี่882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2"/>
    <n v="5000"/>
    <n v="0"/>
    <n v="5000"/>
    <n v="0"/>
    <n v="5250"/>
    <x v="14"/>
    <n v="5378.4500000000007"/>
    <n v="0"/>
    <n v="5378.4500000000007"/>
    <n v="0"/>
    <n v="5378.4500000000007"/>
    <n v="0"/>
  </r>
  <r>
    <s v="ประมาณการ"/>
    <x v="2"/>
    <x v="26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30000"/>
    <n v="0"/>
    <n v="130000"/>
    <n v="0"/>
    <n v="136500"/>
    <x v="14"/>
    <n v="139839.70000000001"/>
    <n v="0"/>
    <n v="139839.70000000001"/>
    <n v="0"/>
    <n v="139839.70000000001"/>
    <n v="0"/>
  </r>
  <r>
    <d v="2024-12-02T00:00:00"/>
    <x v="68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8000"/>
    <n v="0"/>
    <n v="8000"/>
    <n v="0"/>
    <n v="8400"/>
    <x v="14"/>
    <n v="8605.52"/>
    <n v="0"/>
    <n v="8605.52"/>
    <n v="0"/>
    <n v="8605.52"/>
    <n v="0"/>
  </r>
  <r>
    <d v="2025-05-23T00:00:00"/>
    <x v="69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4"/>
    <n v="5000"/>
    <n v="4768"/>
    <n v="232"/>
    <n v="10420"/>
    <n v="0"/>
    <x v="14"/>
    <n v="0"/>
    <n v="0"/>
    <n v="0"/>
    <n v="0"/>
    <n v="0"/>
    <n v="0"/>
  </r>
  <r>
    <d v="2025-05-21T00:00:00"/>
    <x v="70"/>
    <x v="18"/>
    <s v="ฟีล กู๊ด 82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14"/>
    <n v="3310.89"/>
    <n v="0"/>
    <n v="3310.89"/>
    <n v="0"/>
    <n v="3310.89"/>
    <n v="0"/>
  </r>
  <r>
    <d v="2024-12-05T00:00:00"/>
    <x v="71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4"/>
    <n v="17211.04"/>
    <n v="0"/>
    <n v="17211.04"/>
    <n v="0"/>
    <n v="17211.04"/>
    <n v="0"/>
  </r>
  <r>
    <d v="2024-12-05T00:00:00"/>
    <x v="72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2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14"/>
    <n v="10756.900000000001"/>
    <n v="0"/>
    <n v="10756.900000000001"/>
    <n v="0"/>
    <n v="10756.900000000001"/>
    <n v="0"/>
  </r>
  <r>
    <s v="ประมาณการ"/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4"/>
    <n v="11595.1"/>
    <n v="0"/>
    <n v="11595.1"/>
    <n v="0"/>
    <n v="11595.1"/>
    <n v="0"/>
  </r>
  <r>
    <d v="2023-05-20T00:00:00"/>
    <x v="73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4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357552.66716400004"/>
    <n v="58306.047164000003"/>
    <n v="299246.62000000005"/>
    <n v="10751.34"/>
    <n v="346801.32716400002"/>
    <s v="ระบุในSD"/>
  </r>
  <r>
    <d v="1900-01-08T00:00:00"/>
    <x v="74"/>
    <x v="31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22"/>
    <n v="239700"/>
    <n v="0"/>
    <n v="239700"/>
    <n v="117200"/>
    <n v="128625"/>
    <x v="15"/>
    <n v="127579.27875"/>
    <n v="37618"/>
    <n v="89961.278749999998"/>
    <n v="7900"/>
    <n v="119679.27875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127579.27875"/>
    <n v="37618"/>
    <n v="89961.278749999998"/>
    <n v="7900"/>
    <n v="119679.27875"/>
    <s v="ระบุในSD"/>
  </r>
  <r>
    <s v="ประมาณการ"/>
    <x v="2"/>
    <x v="32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4"/>
    <n v="10000"/>
    <n v="0"/>
    <n v="10000"/>
    <n v="0"/>
    <n v="10500"/>
    <x v="16"/>
    <n v="9918.7000000000007"/>
    <n v="9918.7000000000007"/>
    <n v="0"/>
    <n v="0"/>
    <n v="9918.7000000000007"/>
    <n v="0"/>
  </r>
  <r>
    <s v="ประมาณการ"/>
    <x v="2"/>
    <x v="32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4"/>
    <n v="10000"/>
    <n v="0"/>
    <n v="10000"/>
    <n v="0"/>
    <n v="10500"/>
    <x v="16"/>
    <n v="9918.7000000000007"/>
    <n v="9918.7000000000007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19837.400000000001"/>
    <n v="19837.400000000001"/>
    <n v="0"/>
    <n v="0"/>
    <n v="9918.7000000000007"/>
    <s v="ระบุในSD"/>
  </r>
  <r>
    <s v="ประมาณการ"/>
    <x v="2"/>
    <x v="33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3-11T00:00:00"/>
    <x v="75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159.5100000000002"/>
    <n v="1159.5100000000002"/>
    <n v="0"/>
    <n v="1159.5100000000002"/>
    <n v="0"/>
    <s v="ระบุในSD"/>
  </r>
  <r>
    <d v="2024-11-05T00:00:00"/>
    <x v="76"/>
    <x v="34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2"/>
    <n v="54000"/>
    <n v="0"/>
    <n v="54000"/>
    <n v="0"/>
    <n v="56700"/>
    <x v="19"/>
    <n v="58087.26"/>
    <n v="58087.26"/>
    <n v="0"/>
    <n v="0"/>
    <n v="0"/>
    <n v="0"/>
  </r>
  <r>
    <d v="2024-11-05T00:00:00"/>
    <x v="76"/>
    <x v="34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3"/>
    <n v="54000"/>
    <n v="0"/>
    <n v="54000"/>
    <n v="0"/>
    <n v="56700"/>
    <x v="19"/>
    <n v="58087.26"/>
    <n v="4678"/>
    <n v="53409.26"/>
    <n v="0"/>
    <n v="0"/>
    <n v="0"/>
  </r>
  <r>
    <d v="2024-11-05T00:00:00"/>
    <x v="76"/>
    <x v="34"/>
    <s v="Blue for Refine sugar"/>
    <n v="23"/>
    <n v="37"/>
    <s v="ขาว"/>
    <n v="0"/>
    <n v="130"/>
    <s v="±"/>
    <n v="5"/>
    <s v="บิด"/>
    <n v="24"/>
    <n v="40"/>
    <n v="55"/>
    <n v="1396.4134549094399"/>
    <n v="0"/>
    <n v="1396.4134549094399"/>
    <s v="400แบน"/>
    <x v="16"/>
    <n v="50800"/>
    <n v="7920"/>
    <n v="42880"/>
    <n v="0"/>
    <n v="45024"/>
    <x v="19"/>
    <n v="46125.587200000002"/>
    <n v="0"/>
    <n v="46125.587200000002"/>
    <n v="0"/>
    <n v="0"/>
    <n v="0"/>
  </r>
  <r>
    <d v="2024-11-05T00:00:00"/>
    <x v="76"/>
    <x v="34"/>
    <s v="Green for white sugar"/>
    <n v="23"/>
    <n v="37"/>
    <s v="ขาว"/>
    <n v="0"/>
    <n v="130"/>
    <s v="±"/>
    <n v="5"/>
    <s v="บิด"/>
    <n v="24"/>
    <n v="40"/>
    <n v="55"/>
    <n v="4070.701536"/>
    <n v="264"/>
    <n v="3806.701536"/>
    <s v="400แบน"/>
    <x v="2"/>
    <n v="200000"/>
    <n v="75000"/>
    <n v="125000"/>
    <n v="0"/>
    <n v="131250"/>
    <x v="20"/>
    <n v="134461.25"/>
    <n v="0"/>
    <n v="134461.25"/>
    <n v="0"/>
    <n v="0"/>
    <s v="สั่งเวียดนามสำเร็จรูปทั้งหมด"/>
  </r>
  <r>
    <d v="2024-11-05T00:00:00"/>
    <x v="76"/>
    <x v="34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76"/>
    <x v="34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d v="2024-11-05T00:00:00"/>
    <x v="76"/>
    <x v="34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2"/>
    <n v="106278"/>
    <n v="0"/>
    <n v="106278"/>
    <n v="0"/>
    <n v="111591.90000000001"/>
    <x v="19"/>
    <n v="114322.18182000001"/>
    <n v="0"/>
    <n v="114322.18182000001"/>
    <n v="0"/>
    <n v="0"/>
    <s v="สั่งเวียดนามสำเร็จรูปทั้งหมด"/>
  </r>
  <r>
    <d v="2024-11-05T00:00:00"/>
    <x v="76"/>
    <x v="34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10000"/>
    <n v="12607"/>
    <n v="0"/>
    <n v="56730"/>
    <n v="0"/>
    <x v="20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841359.53902000003"/>
    <n v="62765.26"/>
    <n v="778594.27902000013"/>
    <n v="0"/>
    <n v="0"/>
    <s v="ระบุในSD"/>
  </r>
  <r>
    <d v="2025-05-27T00:00:00"/>
    <x v="77"/>
    <x v="3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8800"/>
    <n v="3500"/>
    <n v="5300"/>
    <n v="0"/>
    <n v="0"/>
    <x v="21"/>
    <n v="5997.3209999999999"/>
    <n v="0"/>
    <n v="5997.3209999999999"/>
    <n v="0"/>
    <n v="0"/>
    <n v="0"/>
  </r>
  <r>
    <s v="ประมาณการ"/>
    <x v="2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4"/>
    <n v="40000"/>
    <n v="0"/>
    <n v="40000"/>
    <n v="0"/>
    <n v="0"/>
    <x v="21"/>
    <n v="48615.600000000006"/>
    <n v="0"/>
    <n v="48615.600000000006"/>
    <n v="0"/>
    <n v="0"/>
    <n v="0"/>
  </r>
  <r>
    <s v="ประมาณการ"/>
    <x v="2"/>
    <x v="37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1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66487.421000000002"/>
    <n v="0"/>
    <n v="66487.421000000002"/>
    <n v="0"/>
    <n v="0"/>
    <s v="ระบุในSD"/>
  </r>
  <r>
    <d v="2025-05-29T00:00:00"/>
    <x v="78"/>
    <x v="37"/>
    <s v="ไก่เหยียบศร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7"/>
    <n v="4000"/>
    <n v="0"/>
    <n v="4000"/>
    <n v="4300"/>
    <n v="0"/>
    <x v="22"/>
    <n v="0"/>
    <n v="0"/>
    <n v="0"/>
    <n v="0"/>
    <n v="0"/>
    <n v="0"/>
  </r>
  <r>
    <d v="2025-05-29T00:00:00"/>
    <x v="78"/>
    <x v="37"/>
    <s v="ช้างเผือก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7"/>
    <n v="4000"/>
    <n v="0"/>
    <n v="4000"/>
    <n v="4405"/>
    <n v="0"/>
    <x v="22"/>
    <n v="0"/>
    <n v="0"/>
    <n v="0"/>
    <n v="0"/>
    <n v="0"/>
    <n v="0"/>
  </r>
  <r>
    <d v="2025-06-09T00:00:00"/>
    <x v="16"/>
    <x v="37"/>
    <s v="หลอดไฟ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1"/>
    <n v="4000"/>
    <n v="0"/>
    <n v="4000"/>
    <n v="0"/>
    <n v="4200"/>
    <x v="22"/>
    <n v="4749.8"/>
    <n v="4749.8"/>
    <n v="0"/>
    <n v="0"/>
    <n v="0"/>
    <n v="0"/>
  </r>
  <r>
    <d v="2025-06-09T00:00:00"/>
    <x v="16"/>
    <x v="37"/>
    <s v="ไก่เยียบศรกบินทร์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1"/>
    <n v="4000"/>
    <n v="0"/>
    <n v="4000"/>
    <n v="0"/>
    <n v="4200"/>
    <x v="22"/>
    <n v="4749.8"/>
    <n v="4749.8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9499.6"/>
    <n v="9499.6"/>
    <n v="0"/>
    <n v="0"/>
    <n v="0"/>
    <s v="ระบุในSD"/>
  </r>
  <r>
    <d v="2025-06-05T00:00:00"/>
    <x v="79"/>
    <x v="38"/>
    <s v="Soybean Meal"/>
    <n v="26"/>
    <n v="40"/>
    <s v="ขาว"/>
    <n v="0"/>
    <n v="108"/>
    <s v="±"/>
    <n v="5"/>
    <s v="ไม่"/>
    <n v="27"/>
    <n v="43"/>
    <n v="40"/>
    <n v="286.42936262399996"/>
    <n v="0"/>
    <n v="286.42936262399996"/>
    <s v="มัด80ใช้สายรัด"/>
    <x v="8"/>
    <n v="10000"/>
    <n v="0"/>
    <n v="10000"/>
    <n v="0"/>
    <n v="10500"/>
    <x v="23"/>
    <n v="11595.1"/>
    <n v="11595.1"/>
    <n v="0"/>
    <n v="0"/>
    <n v="0"/>
    <n v="0"/>
  </r>
  <r>
    <s v="ประมาณการ"/>
    <x v="2"/>
    <x v="3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3"/>
    <n v="24866.6"/>
    <n v="3896"/>
    <n v="20970.599999999999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36461.699999999997"/>
    <n v="15491.1"/>
    <n v="20970.599999999999"/>
    <n v="0"/>
    <n v="0"/>
    <s v="ระบุในSD"/>
  </r>
  <r>
    <d v="2025-05-22T00:00:00"/>
    <x v="80"/>
    <x v="3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5000"/>
    <n v="0"/>
    <n v="15000"/>
    <n v="0"/>
    <n v="0"/>
    <x v="24"/>
    <n v="18649.949999999997"/>
    <n v="18649.949999999997"/>
    <n v="0"/>
    <n v="0"/>
    <n v="18649.949999999997"/>
    <s v="ห้ามขาด-เกินได้5%"/>
  </r>
  <r>
    <d v="2025-06-07T00:00:00"/>
    <x v="81"/>
    <x v="3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15000"/>
    <n v="0"/>
    <n v="15000"/>
    <n v="0"/>
    <n v="0"/>
    <x v="24"/>
    <n v="18649.949999999997"/>
    <n v="18649.949999999997"/>
    <n v="0"/>
    <n v="0"/>
    <n v="18649.949999999997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37299.899999999994"/>
    <n v="37299.899999999994"/>
    <n v="0"/>
    <n v="0"/>
    <n v="37299.899999999994"/>
    <s v="ระบุในSD"/>
  </r>
  <r>
    <d v="2025-05-23T00:00:00"/>
    <x v="82"/>
    <x v="39"/>
    <s v="TRJ"/>
    <n v="28"/>
    <n v="41"/>
    <s v="ขาว"/>
    <n v="0"/>
    <n v="120"/>
    <s v="±"/>
    <n v="3"/>
    <s v="ไม่"/>
    <s v="ไม่สวมถุงใน"/>
    <n v="0"/>
    <n v="0"/>
    <n v="0"/>
    <n v="0"/>
    <n v="0"/>
    <s v="500กระสอบ"/>
    <x v="21"/>
    <n v="50000"/>
    <n v="8339"/>
    <n v="41661"/>
    <n v="27330"/>
    <n v="23803.5"/>
    <x v="25"/>
    <n v="28265.466075"/>
    <n v="5880"/>
    <n v="22385.466075"/>
    <n v="0"/>
    <n v="0"/>
    <n v="0"/>
  </r>
  <r>
    <s v="ประมาณการ"/>
    <x v="2"/>
    <x v="3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5"/>
    <n v="13550.900000000001"/>
    <n v="0"/>
    <n v="13550.900000000001"/>
    <n v="0"/>
    <n v="13550.900000000001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41816.366074999998"/>
    <n v="5880"/>
    <n v="35936.366074999998"/>
    <n v="0"/>
    <n v="13550.900000000001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01EC-0AB3-48D2-AE1B-0FFF415EC0BA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h="1" x="58"/>
        <item h="1" x="91"/>
        <item h="1" x="99"/>
        <item h="1" x="49"/>
        <item h="1" x="43"/>
        <item h="1" x="47"/>
        <item h="1" x="6"/>
        <item h="1" x="13"/>
        <item h="1" x="14"/>
        <item h="1" x="20"/>
        <item h="1" x="21"/>
        <item h="1" x="22"/>
        <item h="1" x="40"/>
        <item h="1" x="42"/>
        <item h="1" x="35"/>
        <item h="1" x="36"/>
        <item h="1" x="24"/>
        <item h="1" x="56"/>
        <item h="1" x="57"/>
        <item h="1" x="28"/>
        <item h="1" x="44"/>
        <item h="1" x="45"/>
        <item h="1" x="46"/>
        <item h="1" x="55"/>
        <item h="1" x="87"/>
        <item h="1" x="67"/>
        <item h="1" x="66"/>
        <item h="1" x="68"/>
        <item h="1" x="70"/>
        <item h="1" x="72"/>
        <item h="1" x="73"/>
        <item h="1" x="75"/>
        <item h="1" x="76"/>
        <item h="1" x="77"/>
        <item h="1" x="78"/>
        <item h="1" x="79"/>
        <item h="1" x="81"/>
        <item h="1" x="82"/>
        <item h="1" x="83"/>
        <item h="1" x="88"/>
        <item h="1" x="103"/>
        <item h="1" x="111"/>
        <item h="1" x="107"/>
        <item h="1" x="108"/>
        <item h="1" x="110"/>
        <item h="1" x="113"/>
        <item h="1" x="114"/>
        <item h="1" x="115"/>
        <item h="1" x="116"/>
        <item h="1" x="2"/>
        <item h="1" x="4"/>
        <item h="1" x="5"/>
        <item h="1" x="12"/>
        <item h="1" x="11"/>
        <item h="1" x="15"/>
        <item h="1" x="16"/>
        <item h="1" x="27"/>
        <item h="1" x="30"/>
        <item h="1" x="31"/>
        <item h="1" x="65"/>
        <item h="1" x="71"/>
        <item h="1" x="74"/>
        <item h="1" x="80"/>
        <item h="1" x="84"/>
        <item h="1" x="85"/>
        <item h="1" x="86"/>
        <item h="1" x="90"/>
        <item h="1" x="117"/>
        <item h="1" x="3"/>
        <item h="1" x="39"/>
        <item h="1" x="112"/>
        <item h="1" x="7"/>
        <item h="1" x="8"/>
        <item h="1" x="9"/>
        <item h="1" x="10"/>
        <item h="1" x="17"/>
        <item h="1" x="18"/>
        <item h="1" x="19"/>
        <item h="1" x="23"/>
        <item h="1" x="25"/>
        <item h="1" x="26"/>
        <item h="1" x="33"/>
        <item h="1" x="37"/>
        <item h="1" x="38"/>
        <item h="1" x="29"/>
        <item h="1" x="64"/>
        <item h="1" x="69"/>
        <item h="1" x="89"/>
        <item h="1" x="92"/>
        <item h="1" x="93"/>
        <item h="1" x="95"/>
        <item h="1" x="96"/>
        <item h="1" x="104"/>
        <item h="1" x="105"/>
        <item h="1"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3"/>
        <item x="6"/>
        <item x="35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0"/>
        <item h="1" x="16"/>
        <item h="1" x="26"/>
        <item h="1" x="13"/>
        <item h="1" x="15"/>
        <item h="1" x="17"/>
        <item h="1" x="5"/>
        <item h="1" x="6"/>
        <item h="1" x="3"/>
        <item h="1" x="7"/>
        <item h="1" x="10"/>
        <item h="1" x="2"/>
        <item h="1" x="11"/>
        <item h="1" x="18"/>
        <item h="1"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3">
    <i>
      <x v="1"/>
    </i>
    <i>
      <x v="3"/>
    </i>
    <i>
      <x v="4"/>
    </i>
    <i>
      <x v="6"/>
    </i>
    <i>
      <x v="10"/>
    </i>
    <i>
      <x v="11"/>
    </i>
    <i>
      <x v="12"/>
    </i>
    <i>
      <x v="13"/>
    </i>
    <i>
      <x v="16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11"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dataOnly="0" outline="0" fieldPosition="0">
        <references count="1">
          <reference field="24" count="0" defaultSubtotal="1"/>
        </references>
      </pivotArea>
    </format>
    <format dxfId="91">
      <pivotArea dataOnly="0" outline="0" fieldPosition="0">
        <references count="1">
          <reference field="24" count="0" defaultSubtotal="1"/>
        </references>
      </pivotArea>
    </format>
    <format dxfId="90">
      <pivotArea dataOnly="0" outline="0" fieldPosition="0">
        <references count="1">
          <reference field="24" count="0" defaultSubtotal="1"/>
        </references>
      </pivotArea>
    </format>
    <format dxfId="89">
      <pivotArea outline="0" fieldPosition="0">
        <references count="1">
          <reference field="4294967294" count="1" selected="0">
            <x v="4"/>
          </reference>
        </references>
      </pivotArea>
    </format>
    <format dxfId="88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87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86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11"/>
            <x v="12"/>
            <x v="13"/>
            <x v="14"/>
            <x v="19"/>
            <x v="20"/>
            <x v="23"/>
          </reference>
        </references>
      </pivotArea>
    </format>
    <format dxfId="85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84">
      <pivotArea outline="0" fieldPosition="0">
        <references count="2">
          <reference field="4294967294" count="1" selected="0">
            <x v="5"/>
          </reference>
          <reference field="24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F01F-2DE8-4875-9B7F-77356A760CD6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Page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h="1" x="2"/>
        <item x="1"/>
        <item x="0"/>
        <item h="1" x="3"/>
        <item x="4"/>
        <item x="5"/>
        <item x="7"/>
        <item x="8"/>
        <item x="6"/>
        <item x="10"/>
        <item x="9"/>
        <item x="13"/>
        <item x="11"/>
        <item h="1" x="12"/>
        <item x="16"/>
        <item x="14"/>
        <item h="1" x="15"/>
        <item h="1" x="17"/>
        <item x="24"/>
        <item x="23"/>
        <item x="22"/>
        <item x="18"/>
        <item h="1" x="21"/>
        <item x="25"/>
        <item x="26"/>
        <item x="27"/>
        <item x="28"/>
        <item x="29"/>
        <item h="1" x="20"/>
        <item h="1"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1"/>
    </i>
    <i>
      <x v="6"/>
    </i>
    <i>
      <x v="8"/>
    </i>
    <i>
      <x v="10"/>
    </i>
    <i>
      <x v="11"/>
    </i>
    <i>
      <x v="12"/>
    </i>
    <i>
      <x v="14"/>
    </i>
    <i>
      <x v="20"/>
    </i>
    <i>
      <x v="21"/>
    </i>
    <i>
      <x v="23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dataOnly="0" outline="0" fieldPosition="0">
        <references count="1">
          <reference field="25" count="0" defaultSubtotal="1"/>
        </references>
      </pivotArea>
    </format>
    <format dxfId="80">
      <pivotArea dataOnly="0" outline="0" fieldPosition="0">
        <references count="1">
          <reference field="25" count="0" defaultSubtotal="1"/>
        </references>
      </pivotArea>
    </format>
    <format dxfId="79">
      <pivotArea dataOnly="0" outline="0" fieldPosition="0">
        <references count="1">
          <reference field="25" count="0" defaultSubtotal="1"/>
        </references>
      </pivotArea>
    </format>
    <format dxfId="78">
      <pivotArea outline="0" fieldPosition="0">
        <references count="1">
          <reference field="4294967294" count="1" selected="0">
            <x v="3"/>
          </reference>
        </references>
      </pivotArea>
    </format>
    <format dxfId="77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76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75">
      <pivotArea outline="0" fieldPosition="0">
        <references count="2">
          <reference field="4294967294" count="1" selected="0">
            <x v="5"/>
          </reference>
          <reference field="25" count="9" selected="0">
            <x v="6"/>
            <x v="8"/>
            <x v="11"/>
            <x v="12"/>
            <x v="14"/>
            <x v="15"/>
            <x v="21"/>
            <x v="23"/>
            <x v="26"/>
          </reference>
        </references>
      </pivotArea>
    </format>
    <format dxfId="74">
      <pivotArea outline="0" fieldPosition="0">
        <references count="2">
          <reference field="4294967294" count="1" selected="0">
            <x v="5"/>
          </reference>
          <reference field="25" count="1" selected="0">
            <x v="8"/>
          </reference>
        </references>
      </pivotArea>
    </format>
    <format dxfId="73">
      <pivotArea outline="0" fieldPosition="0">
        <references count="2">
          <reference field="4294967294" count="1" selected="0">
            <x v="5"/>
          </reference>
          <reference field="25" count="5" selected="0">
            <x v="11"/>
            <x v="12"/>
            <x v="14"/>
            <x v="15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DFCA6-FD9E-408F-9F26-CB514E31904E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0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4">
        <item h="1" x="1"/>
        <item x="73"/>
        <item h="1" x="2"/>
        <item x="46"/>
        <item x="49"/>
        <item x="48"/>
        <item x="50"/>
        <item x="16"/>
        <item x="76"/>
        <item x="45"/>
        <item x="40"/>
        <item x="68"/>
        <item x="71"/>
        <item x="72"/>
        <item x="44"/>
        <item x="42"/>
        <item x="43"/>
        <item x="39"/>
        <item x="41"/>
        <item x="47"/>
        <item x="26"/>
        <item x="75"/>
        <item x="27"/>
        <item x="25"/>
        <item x="21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2"/>
        <item x="23"/>
        <item x="24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4"/>
        <item x="77"/>
        <item x="78"/>
        <item x="79"/>
        <item x="80"/>
        <item x="81"/>
        <item x="82"/>
        <item t="default"/>
      </items>
    </pivotField>
    <pivotField axis="axisPage" compact="0" outline="0" subtotalTop="0" showAll="0">
      <items count="41">
        <item x="1"/>
        <item x="11"/>
        <item x="30"/>
        <item x="20"/>
        <item x="34"/>
        <item x="21"/>
        <item x="8"/>
        <item x="12"/>
        <item x="18"/>
        <item x="16"/>
        <item x="26"/>
        <item x="36"/>
        <item x="23"/>
        <item x="7"/>
        <item x="37"/>
        <item x="28"/>
        <item x="39"/>
        <item x="35"/>
        <item x="19"/>
        <item x="33"/>
        <item x="2"/>
        <item x="32"/>
        <item x="4"/>
        <item x="5"/>
        <item x="10"/>
        <item x="9"/>
        <item x="27"/>
        <item x="38"/>
        <item x="25"/>
        <item x="6"/>
        <item x="0"/>
        <item x="3"/>
        <item x="13"/>
        <item x="14"/>
        <item x="15"/>
        <item x="17"/>
        <item x="22"/>
        <item x="24"/>
        <item x="29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2"/>
        <item h="1" x="14"/>
        <item h="1" x="7"/>
        <item h="1" x="5"/>
        <item h="1" x="0"/>
        <item h="1" x="9"/>
        <item h="1" x="21"/>
        <item h="1" x="8"/>
        <item h="1" x="15"/>
        <item h="1" x="10"/>
        <item h="1" x="11"/>
        <item h="1" x="3"/>
        <item h="1" x="12"/>
        <item h="1" x="22"/>
        <item h="1" x="13"/>
        <item h="1" x="4"/>
        <item x="6"/>
        <item x="16"/>
        <item x="17"/>
        <item x="18"/>
        <item x="19"/>
        <item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2"/>
        <item x="1"/>
        <item x="3"/>
        <item x="4"/>
        <item x="6"/>
        <item x="7"/>
        <item x="5"/>
        <item x="11"/>
        <item x="8"/>
        <item x="10"/>
        <item x="9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4">
    <i>
      <x v="4"/>
    </i>
    <i>
      <x v="10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0"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dataOnly="0" outline="0" fieldPosition="0">
        <references count="1">
          <reference field="25" count="0" defaultSubtotal="1"/>
        </references>
      </pivotArea>
    </format>
    <format dxfId="67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  <format dxfId="66">
      <pivotArea outline="0" fieldPosition="0">
        <references count="2">
          <reference field="4294967294" count="1" selected="0">
            <x v="2"/>
          </reference>
          <reference field="25" count="1" selected="0">
            <x v="19"/>
          </reference>
        </references>
      </pivotArea>
    </format>
    <format dxfId="65">
      <pivotArea outline="0" fieldPosition="0">
        <references count="2">
          <reference field="4294967294" count="1" selected="0">
            <x v="2"/>
          </reference>
          <reference field="25" count="1" selected="0">
            <x v="23"/>
          </reference>
        </references>
      </pivotArea>
    </format>
    <format dxfId="64">
      <pivotArea outline="0" fieldPosition="0">
        <references count="2">
          <reference field="4294967294" count="1" selected="0">
            <x v="2"/>
          </reference>
          <reference field="25" count="1" selected="0">
            <x v="10"/>
          </reference>
        </references>
      </pivotArea>
    </format>
    <format dxfId="63">
      <pivotArea outline="0" fieldPosition="0">
        <references count="2">
          <reference field="4294967294" count="1" selected="0">
            <x v="2"/>
          </reference>
          <reference field="2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E820B-1DB8-4618-8171-7AAEF3D01981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4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0">
    <i>
      <x v="1"/>
      <x v="1"/>
    </i>
    <i t="default">
      <x v="1"/>
    </i>
    <i>
      <x v="3"/>
      <x v="30"/>
    </i>
    <i t="default">
      <x v="3"/>
    </i>
    <i>
      <x v="6"/>
      <x v="1"/>
    </i>
    <i t="default">
      <x v="6"/>
    </i>
    <i>
      <x v="8"/>
      <x v="6"/>
    </i>
    <i r="1">
      <x v="21"/>
    </i>
    <i r="1">
      <x v="26"/>
    </i>
    <i t="default">
      <x v="8"/>
    </i>
    <i>
      <x v="10"/>
      <x v="12"/>
    </i>
    <i t="default">
      <x v="10"/>
    </i>
    <i>
      <x v="11"/>
      <x v="5"/>
    </i>
    <i r="1">
      <x v="7"/>
    </i>
    <i t="default">
      <x v="11"/>
    </i>
    <i>
      <x v="12"/>
      <x v="5"/>
    </i>
    <i r="1">
      <x v="7"/>
    </i>
    <i t="default">
      <x v="12"/>
    </i>
    <i>
      <x v="14"/>
      <x v="8"/>
    </i>
    <i r="1">
      <x v="10"/>
    </i>
    <i r="1">
      <x v="12"/>
    </i>
    <i r="1">
      <x v="33"/>
    </i>
    <i r="1">
      <x v="34"/>
    </i>
    <i t="default">
      <x v="14"/>
    </i>
    <i>
      <x v="16"/>
      <x v="30"/>
    </i>
    <i t="default">
      <x v="16"/>
    </i>
    <i>
      <x v="20"/>
      <x v="28"/>
    </i>
    <i t="default">
      <x v="20"/>
    </i>
    <i>
      <x v="21"/>
      <x v="36"/>
    </i>
    <i t="default">
      <x v="21"/>
    </i>
    <i>
      <x v="23"/>
      <x v="14"/>
    </i>
    <i r="1">
      <x v="17"/>
    </i>
    <i t="default">
      <x v="23"/>
    </i>
    <i>
      <x v="26"/>
      <x v="2"/>
    </i>
    <i t="default">
      <x v="26"/>
    </i>
    <i>
      <x v="27"/>
      <x v="16"/>
    </i>
    <i t="default">
      <x v="27"/>
    </i>
    <i>
      <x v="28"/>
      <x v="36"/>
    </i>
    <i t="default"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4EDD-FFC2-41B1-9203-A33E3F3B2066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h="1" x="84"/>
        <item x="0"/>
        <item h="1" x="51"/>
        <item h="1" x="57"/>
        <item h="1" x="83"/>
        <item h="1" x="56"/>
        <item h="1" x="58"/>
        <item h="1" x="3"/>
        <item h="1" x="95"/>
        <item h="1" x="24"/>
        <item h="1" x="50"/>
        <item h="1" x="49"/>
        <item h="1" x="43"/>
        <item h="1" x="80"/>
        <item h="1" x="81"/>
        <item h="1" x="82"/>
        <item h="1" x="55"/>
        <item h="1" x="79"/>
        <item h="1" x="27"/>
        <item h="1" x="48"/>
        <item h="1" x="46"/>
        <item h="1" x="54"/>
        <item h="1" x="73"/>
        <item h="1" x="47"/>
        <item h="1" x="40"/>
        <item h="1" x="7"/>
        <item h="1" x="18"/>
        <item h="1" x="42"/>
        <item h="1" x="30"/>
        <item h="1" x="38"/>
        <item h="1" x="28"/>
        <item h="1" x="52"/>
        <item h="1" x="53"/>
        <item h="1" x="20"/>
        <item h="1" x="45"/>
        <item h="1" x="39"/>
        <item h="1" x="69"/>
        <item h="1" x="59"/>
        <item h="1" x="63"/>
        <item h="1" x="64"/>
        <item h="1" x="65"/>
        <item h="1" x="71"/>
        <item h="1" x="85"/>
        <item h="1" x="98"/>
        <item h="1" x="94"/>
        <item h="1" x="96"/>
        <item h="1" x="99"/>
        <item h="1" x="101"/>
        <item h="1" x="102"/>
        <item h="1" x="93"/>
        <item h="1" x="103"/>
        <item h="1" x="2"/>
        <item h="1" x="12"/>
        <item h="1" x="60"/>
        <item h="1" x="66"/>
        <item h="1" x="68"/>
        <item h="1" x="32"/>
        <item h="1" x="10"/>
        <item h="1" x="5"/>
        <item h="1" x="6"/>
        <item h="1" x="11"/>
        <item h="1" x="13"/>
        <item h="1" x="14"/>
        <item h="1" x="16"/>
        <item h="1" x="34"/>
        <item h="1" x="31"/>
        <item h="1" x="41"/>
        <item h="1" x="37"/>
        <item h="1" x="33"/>
        <item h="1" x="78"/>
        <item h="1" x="88"/>
        <item h="1" x="89"/>
        <item h="1" x="90"/>
        <item h="1" x="4"/>
        <item h="1" x="8"/>
        <item h="1" x="9"/>
        <item h="1" x="15"/>
        <item h="1" x="17"/>
        <item h="1" x="19"/>
        <item h="1" x="21"/>
        <item h="1" x="22"/>
        <item h="1" x="23"/>
        <item h="1" x="25"/>
        <item h="1" x="26"/>
        <item h="1" x="29"/>
        <item h="1" x="35"/>
        <item h="1" x="36"/>
        <item h="1" x="44"/>
        <item h="1" x="61"/>
        <item h="1" x="62"/>
        <item h="1" x="67"/>
        <item h="1" x="70"/>
        <item h="1" x="72"/>
        <item h="1" x="74"/>
        <item h="1" x="75"/>
        <item h="1" x="76"/>
        <item h="1" x="77"/>
        <item h="1" x="86"/>
        <item h="1" x="87"/>
        <item h="1" x="91"/>
        <item h="1" x="92"/>
        <item h="1" x="97"/>
        <item h="1" x="100"/>
        <item h="1"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29"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" count="1">
            <x v="12"/>
          </reference>
        </references>
      </pivotArea>
    </format>
    <format dxfId="51">
      <pivotArea dataOnly="0" outline="0" fieldPosition="0">
        <references count="1">
          <reference field="2" count="1">
            <x v="19"/>
          </reference>
        </references>
      </pivotArea>
    </format>
    <format dxfId="50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26"/>
          </reference>
        </references>
      </pivotArea>
    </format>
    <format dxfId="49">
      <pivotArea dataOnly="0" labelOnly="1" outline="0" fieldPosition="0">
        <references count="1">
          <reference field="25" count="1">
            <x v="26"/>
          </reference>
        </references>
      </pivotArea>
    </format>
    <format dxfId="48">
      <pivotArea dataOnly="0" labelOnly="1" outline="0" fieldPosition="0">
        <references count="2">
          <reference field="2" count="1">
            <x v="2"/>
          </reference>
          <reference field="25" count="1" selected="0">
            <x v="26"/>
          </reference>
        </references>
      </pivotArea>
    </format>
    <format dxfId="47">
      <pivotArea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25" count="1" selected="0">
            <x v="23"/>
          </reference>
        </references>
      </pivotArea>
    </format>
    <format dxfId="46">
      <pivotArea dataOnly="0" labelOnly="1" outline="0" fieldPosition="0">
        <references count="1">
          <reference field="25" count="1">
            <x v="23"/>
          </reference>
        </references>
      </pivotArea>
    </format>
    <format dxfId="45">
      <pivotArea dataOnly="0" labelOnly="1" outline="0" fieldPosition="0">
        <references count="2">
          <reference field="2" count="1">
            <x v="11"/>
          </reference>
          <reference field="25" count="1" selected="0">
            <x v="23"/>
          </reference>
        </references>
      </pivotArea>
    </format>
    <format dxfId="44">
      <pivotArea outline="0" fieldPosition="0">
        <references count="2">
          <reference field="2" count="1" selected="0">
            <x v="19"/>
          </reference>
          <reference field="25" count="1" selected="0">
            <x v="21"/>
          </reference>
        </references>
      </pivotArea>
    </format>
    <format dxfId="43">
      <pivotArea dataOnly="0" labelOnly="1" outline="0" fieldPosition="0">
        <references count="1">
          <reference field="25" count="1">
            <x v="21"/>
          </reference>
        </references>
      </pivotArea>
    </format>
    <format dxfId="42">
      <pivotArea dataOnly="0" labelOnly="1" outline="0" fieldPosition="0">
        <references count="2">
          <reference field="2" count="1">
            <x v="19"/>
          </reference>
          <reference field="25" count="1" selected="0">
            <x v="21"/>
          </reference>
        </references>
      </pivotArea>
    </format>
    <format dxfId="41">
      <pivotArea outline="0" fieldPosition="0">
        <references count="2">
          <reference field="2" count="1" selected="0">
            <x v="12"/>
          </reference>
          <reference field="25" count="1" selected="0">
            <x v="15"/>
          </reference>
        </references>
      </pivotArea>
    </format>
    <format dxfId="40">
      <pivotArea dataOnly="0" labelOnly="1" outline="0" fieldPosition="0">
        <references count="1">
          <reference field="25" count="1">
            <x v="15"/>
          </reference>
        </references>
      </pivotArea>
    </format>
    <format dxfId="39">
      <pivotArea dataOnly="0" labelOnly="1" outline="0" fieldPosition="0">
        <references count="2">
          <reference field="2" count="1">
            <x v="12"/>
          </reference>
          <reference field="25" count="1" selected="0">
            <x v="15"/>
          </reference>
        </references>
      </pivotArea>
    </format>
    <format dxfId="38">
      <pivotArea dataOnly="0" labelOnly="1" outline="0" fieldPosition="0">
        <references count="1">
          <reference field="25" count="1">
            <x v="14"/>
          </reference>
        </references>
      </pivotArea>
    </format>
    <format dxfId="37">
      <pivotArea dataOnly="0" labelOnly="1" outline="0" fieldPosition="0">
        <references count="2">
          <reference field="2" count="1">
            <x v="15"/>
          </reference>
          <reference field="25" count="1" selected="0">
            <x v="14"/>
          </reference>
        </references>
      </pivotArea>
    </format>
    <format dxfId="36">
      <pivotArea dataOnly="0" labelOnly="1" outline="0" fieldPosition="0">
        <references count="1">
          <reference field="25" count="1">
            <x v="12"/>
          </reference>
        </references>
      </pivotArea>
    </format>
    <format dxfId="35">
      <pivotArea dataOnly="0" labelOnly="1" outline="0" fieldPosition="0">
        <references count="2">
          <reference field="2" count="3">
            <x v="3"/>
            <x v="7"/>
            <x v="18"/>
          </reference>
          <reference field="25" count="1" selected="0">
            <x v="12"/>
          </reference>
        </references>
      </pivotArea>
    </format>
    <format dxfId="34">
      <pivotArea outline="0" fieldPosition="0">
        <references count="2">
          <reference field="2" count="1" selected="0">
            <x v="12"/>
          </reference>
          <reference field="25" count="1" selected="0">
            <x v="9"/>
          </reference>
        </references>
      </pivotArea>
    </format>
    <format dxfId="33">
      <pivotArea dataOnly="0" labelOnly="1" outline="0" fieldPosition="0">
        <references count="1">
          <reference field="25" count="1">
            <x v="9"/>
          </reference>
        </references>
      </pivotArea>
    </format>
    <format dxfId="32">
      <pivotArea dataOnly="0" labelOnly="1" outline="0" fieldPosition="0">
        <references count="2">
          <reference field="2" count="1">
            <x v="12"/>
          </reference>
          <reference field="25" count="1" selected="0">
            <x v="9"/>
          </reference>
        </references>
      </pivotArea>
    </format>
    <format dxfId="31">
      <pivotArea dataOnly="0" labelOnly="1" outline="0" fieldPosition="0">
        <references count="1">
          <reference field="25" count="1">
            <x v="8"/>
          </reference>
        </references>
      </pivotArea>
    </format>
    <format dxfId="30">
      <pivotArea dataOnly="0" labelOnly="1" outline="0" fieldPosition="0">
        <references count="1">
          <reference field="25" count="1">
            <x v="6"/>
          </reference>
        </references>
      </pivotArea>
    </format>
    <format dxfId="29">
      <pivotArea dataOnly="0" labelOnly="1" outline="0" fieldPosition="0">
        <references count="2">
          <reference field="2" count="1">
            <x v="1"/>
          </reference>
          <reference field="25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AA8FA-2D17-4AF9-BFF9-9982F300C34D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6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4">
        <item h="1" x="1"/>
        <item x="73"/>
        <item x="2"/>
        <item x="46"/>
        <item x="49"/>
        <item x="48"/>
        <item x="50"/>
        <item x="16"/>
        <item x="76"/>
        <item x="45"/>
        <item x="40"/>
        <item x="68"/>
        <item x="71"/>
        <item x="72"/>
        <item x="44"/>
        <item x="42"/>
        <item x="43"/>
        <item x="47"/>
        <item x="26"/>
        <item x="39"/>
        <item x="41"/>
        <item x="75"/>
        <item x="21"/>
        <item x="27"/>
        <item x="25"/>
        <item x="0"/>
        <item x="4"/>
        <item x="5"/>
        <item x="6"/>
        <item x="7"/>
        <item x="8"/>
        <item x="9"/>
        <item x="15"/>
        <item x="17"/>
        <item x="18"/>
        <item x="34"/>
        <item x="35"/>
        <item x="19"/>
        <item x="20"/>
        <item x="22"/>
        <item x="23"/>
        <item x="24"/>
        <item x="28"/>
        <item x="31"/>
        <item x="30"/>
        <item x="36"/>
        <item x="29"/>
        <item x="55"/>
        <item x="52"/>
        <item x="54"/>
        <item x="57"/>
        <item x="60"/>
        <item x="61"/>
        <item x="62"/>
        <item x="67"/>
        <item x="69"/>
        <item x="70"/>
        <item x="74"/>
        <item x="78"/>
        <item x="80"/>
        <item x="82"/>
        <item x="3"/>
        <item x="10"/>
        <item x="11"/>
        <item x="12"/>
        <item x="13"/>
        <item x="14"/>
        <item x="32"/>
        <item x="33"/>
        <item x="37"/>
        <item x="38"/>
        <item x="51"/>
        <item x="53"/>
        <item x="56"/>
        <item x="58"/>
        <item x="59"/>
        <item x="63"/>
        <item x="64"/>
        <item x="65"/>
        <item x="66"/>
        <item x="77"/>
        <item x="79"/>
        <item x="81"/>
        <item t="default"/>
      </items>
    </pivotField>
    <pivotField axis="axisRow" compact="0" outline="0" subtotalTop="0" showAll="0">
      <items count="41">
        <item x="1"/>
        <item x="11"/>
        <item x="30"/>
        <item x="20"/>
        <item x="34"/>
        <item x="21"/>
        <item x="8"/>
        <item x="12"/>
        <item x="18"/>
        <item x="16"/>
        <item x="26"/>
        <item x="36"/>
        <item x="23"/>
        <item x="7"/>
        <item x="37"/>
        <item x="39"/>
        <item x="35"/>
        <item x="33"/>
        <item x="2"/>
        <item x="32"/>
        <item x="4"/>
        <item x="5"/>
        <item x="10"/>
        <item x="13"/>
        <item x="6"/>
        <item x="0"/>
        <item x="14"/>
        <item x="15"/>
        <item x="17"/>
        <item x="31"/>
        <item x="3"/>
        <item x="9"/>
        <item x="19"/>
        <item x="22"/>
        <item x="24"/>
        <item x="25"/>
        <item x="27"/>
        <item x="28"/>
        <item x="29"/>
        <item x="3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2"/>
        <item h="1" x="14"/>
        <item x="7"/>
        <item x="5"/>
        <item x="0"/>
        <item x="9"/>
        <item x="21"/>
        <item x="8"/>
        <item x="15"/>
        <item x="10"/>
        <item x="11"/>
        <item x="3"/>
        <item x="12"/>
        <item x="22"/>
        <item x="13"/>
        <item x="4"/>
        <item h="1" x="6"/>
        <item h="1" x="16"/>
        <item h="1" x="17"/>
        <item h="1" x="18"/>
        <item h="1" x="19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2"/>
        <item x="1"/>
        <item x="3"/>
        <item x="4"/>
        <item x="6"/>
        <item x="7"/>
        <item x="5"/>
        <item h="1" x="11"/>
        <item x="8"/>
        <item x="10"/>
        <item x="9"/>
        <item x="14"/>
        <item x="12"/>
        <item x="13"/>
        <item h="1" x="15"/>
        <item h="1" x="19"/>
        <item h="1"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3">
    <i>
      <x/>
      <x v="25"/>
    </i>
    <i t="default">
      <x/>
    </i>
    <i>
      <x v="1"/>
      <x v="30"/>
    </i>
    <i t="default">
      <x v="1"/>
    </i>
    <i>
      <x v="3"/>
      <x v="20"/>
    </i>
    <i t="default">
      <x v="3"/>
    </i>
    <i>
      <x v="4"/>
      <x v="24"/>
    </i>
    <i t="default">
      <x v="4"/>
    </i>
    <i>
      <x v="5"/>
      <x v="1"/>
    </i>
    <i t="default">
      <x v="5"/>
    </i>
    <i>
      <x v="7"/>
      <x v="6"/>
    </i>
    <i r="1">
      <x v="22"/>
    </i>
    <i r="1">
      <x v="31"/>
    </i>
    <i t="default">
      <x v="7"/>
    </i>
    <i>
      <x v="9"/>
      <x v="23"/>
    </i>
    <i t="default">
      <x v="9"/>
    </i>
    <i>
      <x v="10"/>
      <x v="1"/>
    </i>
    <i r="1">
      <x v="5"/>
    </i>
    <i r="1">
      <x v="7"/>
    </i>
    <i t="default">
      <x v="10"/>
    </i>
    <i>
      <x v="11"/>
      <x v="3"/>
    </i>
    <i r="1">
      <x v="7"/>
    </i>
    <i r="1">
      <x v="8"/>
    </i>
    <i r="1">
      <x v="9"/>
    </i>
    <i r="1">
      <x v="26"/>
    </i>
    <i r="1">
      <x v="27"/>
    </i>
    <i r="1">
      <x v="28"/>
    </i>
    <i r="1">
      <x v="32"/>
    </i>
    <i t="default">
      <x v="11"/>
    </i>
    <i>
      <x v="12"/>
      <x v="2"/>
    </i>
    <i r="1">
      <x v="8"/>
    </i>
    <i r="1">
      <x v="9"/>
    </i>
    <i r="1">
      <x v="10"/>
    </i>
    <i r="1">
      <x v="12"/>
    </i>
    <i r="1">
      <x v="36"/>
    </i>
    <i r="1">
      <x v="37"/>
    </i>
    <i r="1">
      <x v="38"/>
    </i>
    <i t="default">
      <x v="12"/>
    </i>
    <i>
      <x v="13"/>
      <x v="12"/>
    </i>
    <i r="1">
      <x v="22"/>
    </i>
    <i t="default">
      <x v="13"/>
    </i>
    <i>
      <x v="14"/>
      <x v="34"/>
    </i>
    <i r="1">
      <x v="35"/>
    </i>
    <i t="default">
      <x v="14"/>
    </i>
    <i>
      <x v="19"/>
      <x v="19"/>
    </i>
    <i t="default">
      <x v="19"/>
    </i>
    <i>
      <x v="20"/>
      <x v="11"/>
    </i>
    <i r="1">
      <x v="14"/>
    </i>
    <i r="1">
      <x v="16"/>
    </i>
    <i t="default">
      <x v="20"/>
    </i>
    <i>
      <x v="21"/>
      <x v="14"/>
    </i>
    <i t="default">
      <x v="21"/>
    </i>
    <i>
      <x v="22"/>
      <x v="2"/>
    </i>
    <i r="1">
      <x v="39"/>
    </i>
    <i t="default">
      <x v="22"/>
    </i>
    <i>
      <x v="23"/>
      <x v="2"/>
    </i>
    <i t="default">
      <x v="23"/>
    </i>
    <i>
      <x v="24"/>
      <x v="2"/>
    </i>
    <i r="1">
      <x v="15"/>
    </i>
    <i t="default">
      <x v="24"/>
    </i>
    <i>
      <x v="25"/>
      <x v="17"/>
    </i>
    <i t="default"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FEDEF-B3B7-4F96-9186-A6A77844B093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4">
        <item h="1" x="1"/>
        <item x="73"/>
        <item h="1" x="2"/>
        <item x="46"/>
        <item x="49"/>
        <item x="48"/>
        <item x="50"/>
        <item x="16"/>
        <item x="76"/>
        <item x="45"/>
        <item x="40"/>
        <item x="68"/>
        <item x="71"/>
        <item x="72"/>
        <item x="44"/>
        <item x="42"/>
        <item x="43"/>
        <item x="39"/>
        <item x="41"/>
        <item x="47"/>
        <item x="26"/>
        <item x="75"/>
        <item x="27"/>
        <item x="25"/>
        <item x="21"/>
        <item x="0"/>
        <item x="4"/>
        <item x="5"/>
        <item x="6"/>
        <item x="7"/>
        <item x="8"/>
        <item x="9"/>
        <item x="15"/>
        <item x="17"/>
        <item x="18"/>
        <item x="34"/>
        <item x="35"/>
        <item x="19"/>
        <item x="20"/>
        <item x="22"/>
        <item x="23"/>
        <item x="24"/>
        <item x="28"/>
        <item x="31"/>
        <item x="30"/>
        <item x="36"/>
        <item x="29"/>
        <item x="55"/>
        <item x="52"/>
        <item x="54"/>
        <item x="57"/>
        <item x="60"/>
        <item x="61"/>
        <item x="62"/>
        <item x="67"/>
        <item x="69"/>
        <item x="70"/>
        <item x="74"/>
        <item x="78"/>
        <item x="80"/>
        <item x="82"/>
        <item x="3"/>
        <item x="10"/>
        <item x="11"/>
        <item x="12"/>
        <item x="13"/>
        <item x="14"/>
        <item x="32"/>
        <item x="33"/>
        <item x="37"/>
        <item x="38"/>
        <item x="51"/>
        <item x="53"/>
        <item x="56"/>
        <item x="58"/>
        <item x="59"/>
        <item x="63"/>
        <item x="64"/>
        <item x="65"/>
        <item x="66"/>
        <item x="77"/>
        <item x="79"/>
        <item x="81"/>
        <item t="default"/>
      </items>
    </pivotField>
    <pivotField axis="axisPage" compact="0" outline="0" subtotalTop="0" showAll="0">
      <items count="41">
        <item x="1"/>
        <item x="11"/>
        <item x="30"/>
        <item x="20"/>
        <item x="34"/>
        <item x="21"/>
        <item x="8"/>
        <item x="12"/>
        <item x="18"/>
        <item x="16"/>
        <item x="26"/>
        <item x="36"/>
        <item x="23"/>
        <item x="7"/>
        <item x="37"/>
        <item x="39"/>
        <item x="35"/>
        <item x="33"/>
        <item x="2"/>
        <item x="32"/>
        <item x="4"/>
        <item x="5"/>
        <item x="10"/>
        <item x="6"/>
        <item x="13"/>
        <item x="0"/>
        <item x="14"/>
        <item x="15"/>
        <item x="17"/>
        <item x="31"/>
        <item x="3"/>
        <item x="9"/>
        <item x="19"/>
        <item x="22"/>
        <item x="24"/>
        <item x="25"/>
        <item x="27"/>
        <item x="28"/>
        <item x="29"/>
        <item x="3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2"/>
        <item h="1" x="14"/>
        <item x="7"/>
        <item x="5"/>
        <item x="0"/>
        <item x="9"/>
        <item x="21"/>
        <item x="8"/>
        <item x="15"/>
        <item x="10"/>
        <item x="11"/>
        <item x="3"/>
        <item x="12"/>
        <item x="22"/>
        <item x="13"/>
        <item x="4"/>
        <item h="1" x="6"/>
        <item h="1" x="16"/>
        <item h="1" x="17"/>
        <item h="1" x="18"/>
        <item h="1" x="19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2"/>
        <item x="1"/>
        <item x="3"/>
        <item x="4"/>
        <item x="6"/>
        <item x="7"/>
        <item x="5"/>
        <item x="11"/>
        <item x="8"/>
        <item x="10"/>
        <item x="9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/>
    </i>
    <i>
      <x v="1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9D034-F0E0-49BC-926A-3E3824181AD7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4">
        <item h="1" x="1"/>
        <item x="73"/>
        <item h="1" x="2"/>
        <item x="46"/>
        <item x="49"/>
        <item x="48"/>
        <item x="50"/>
        <item x="16"/>
        <item x="76"/>
        <item x="45"/>
        <item x="40"/>
        <item x="68"/>
        <item x="71"/>
        <item x="72"/>
        <item x="44"/>
        <item x="42"/>
        <item x="43"/>
        <item x="47"/>
        <item x="26"/>
        <item x="39"/>
        <item x="41"/>
        <item x="75"/>
        <item x="0"/>
        <item x="4"/>
        <item x="5"/>
        <item x="6"/>
        <item x="7"/>
        <item x="8"/>
        <item x="9"/>
        <item x="15"/>
        <item x="17"/>
        <item x="18"/>
        <item x="34"/>
        <item x="35"/>
        <item x="19"/>
        <item x="21"/>
        <item x="20"/>
        <item x="22"/>
        <item x="23"/>
        <item x="24"/>
        <item x="25"/>
        <item x="28"/>
        <item x="31"/>
        <item x="30"/>
        <item x="36"/>
        <item x="29"/>
        <item x="27"/>
        <item x="55"/>
        <item x="52"/>
        <item x="54"/>
        <item x="57"/>
        <item x="60"/>
        <item x="61"/>
        <item x="62"/>
        <item x="67"/>
        <item x="69"/>
        <item x="70"/>
        <item x="74"/>
        <item x="78"/>
        <item x="80"/>
        <item x="82"/>
        <item h="1" x="3"/>
        <item h="1" x="10"/>
        <item h="1" x="11"/>
        <item h="1" x="12"/>
        <item h="1" x="13"/>
        <item h="1" x="14"/>
        <item h="1" x="32"/>
        <item h="1" x="33"/>
        <item h="1" x="37"/>
        <item h="1" x="38"/>
        <item h="1" x="51"/>
        <item h="1" x="53"/>
        <item h="1" x="56"/>
        <item h="1" x="58"/>
        <item h="1" x="59"/>
        <item h="1" x="63"/>
        <item h="1" x="64"/>
        <item h="1" x="65"/>
        <item h="1" x="66"/>
        <item h="1" x="77"/>
        <item h="1" x="79"/>
        <item h="1" x="81"/>
        <item t="default"/>
      </items>
    </pivotField>
    <pivotField axis="axisRow" compact="0" outline="0" subtotalTop="0" showAll="0">
      <items count="41">
        <item x="1"/>
        <item x="11"/>
        <item x="30"/>
        <item x="20"/>
        <item x="34"/>
        <item x="21"/>
        <item x="8"/>
        <item x="12"/>
        <item x="18"/>
        <item x="16"/>
        <item x="26"/>
        <item x="36"/>
        <item x="23"/>
        <item x="7"/>
        <item x="37"/>
        <item x="39"/>
        <item x="35"/>
        <item x="33"/>
        <item x="2"/>
        <item x="32"/>
        <item x="4"/>
        <item x="5"/>
        <item x="10"/>
        <item x="0"/>
        <item x="6"/>
        <item x="13"/>
        <item x="14"/>
        <item x="15"/>
        <item x="17"/>
        <item x="31"/>
        <item x="3"/>
        <item x="9"/>
        <item x="19"/>
        <item x="22"/>
        <item x="24"/>
        <item x="25"/>
        <item x="27"/>
        <item x="28"/>
        <item x="29"/>
        <item x="3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2"/>
        <item h="1" x="14"/>
        <item x="7"/>
        <item x="5"/>
        <item x="0"/>
        <item x="9"/>
        <item x="21"/>
        <item x="8"/>
        <item h="1" x="15"/>
        <item h="1" x="10"/>
        <item h="1" x="11"/>
        <item h="1" x="3"/>
        <item x="12"/>
        <item x="22"/>
        <item x="13"/>
        <item x="4"/>
        <item h="1" x="6"/>
        <item h="1" x="16"/>
        <item h="1" x="17"/>
        <item h="1" x="18"/>
        <item h="1" x="19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2"/>
        <item x="1"/>
        <item x="3"/>
        <item x="4"/>
        <item x="6"/>
        <item x="7"/>
        <item x="5"/>
        <item x="11"/>
        <item x="8"/>
        <item x="10"/>
        <item x="9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/>
      <x v="23"/>
    </i>
    <i t="default">
      <x/>
    </i>
    <i>
      <x v="4"/>
      <x v="24"/>
    </i>
    <i t="default">
      <x v="4"/>
    </i>
    <i>
      <x v="5"/>
      <x v="1"/>
    </i>
    <i t="default">
      <x v="5"/>
    </i>
    <i>
      <x v="7"/>
      <x v="6"/>
    </i>
    <i t="default">
      <x v="7"/>
    </i>
    <i>
      <x v="10"/>
      <x v="5"/>
    </i>
    <i t="default">
      <x v="10"/>
    </i>
    <i>
      <x v="11"/>
      <x v="7"/>
    </i>
    <i r="1">
      <x v="8"/>
    </i>
    <i r="1">
      <x v="9"/>
    </i>
    <i r="1">
      <x v="26"/>
    </i>
    <i r="1">
      <x v="27"/>
    </i>
    <i r="1">
      <x v="28"/>
    </i>
    <i t="default">
      <x v="11"/>
    </i>
    <i>
      <x v="12"/>
      <x v="2"/>
    </i>
    <i r="1">
      <x v="8"/>
    </i>
    <i r="1">
      <x v="9"/>
    </i>
    <i r="1">
      <x v="10"/>
    </i>
    <i r="1">
      <x v="38"/>
    </i>
    <i t="default">
      <x v="12"/>
    </i>
    <i>
      <x v="13"/>
      <x v="12"/>
    </i>
    <i r="1">
      <x v="22"/>
    </i>
    <i t="default">
      <x v="13"/>
    </i>
    <i>
      <x v="14"/>
      <x v="34"/>
    </i>
    <i t="default">
      <x v="14"/>
    </i>
    <i>
      <x v="15"/>
      <x v="29"/>
    </i>
    <i t="default">
      <x v="15"/>
    </i>
    <i>
      <x v="16"/>
      <x v="4"/>
    </i>
    <i t="default">
      <x v="16"/>
    </i>
    <i>
      <x v="21"/>
      <x v="14"/>
    </i>
    <i t="default">
      <x v="21"/>
    </i>
    <i>
      <x v="23"/>
      <x v="2"/>
    </i>
    <i t="default">
      <x v="23"/>
    </i>
    <i>
      <x v="24"/>
      <x v="15"/>
    </i>
    <i t="default">
      <x v="2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dataOnly="0" outline="0" fieldPosition="0">
        <references count="1">
          <reference field="25" count="0" defaultSubtotal="1"/>
        </references>
      </pivotArea>
    </format>
    <format dxfId="14">
      <pivotArea dataOnly="0" outline="0" fieldPosition="0">
        <references count="1">
          <reference field="25" count="0" defaultSubtotal="1"/>
        </references>
      </pivotArea>
    </format>
    <format dxfId="1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25241-111C-49D1-8B1A-53885F8FDA4A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4">
        <item h="1" x="1"/>
        <item h="1" x="73"/>
        <item x="2"/>
        <item h="1" x="46"/>
        <item h="1" x="49"/>
        <item h="1" x="48"/>
        <item h="1" x="50"/>
        <item h="1" x="16"/>
        <item h="1" x="76"/>
        <item h="1" x="45"/>
        <item h="1" x="40"/>
        <item h="1" x="68"/>
        <item h="1" x="71"/>
        <item h="1" x="72"/>
        <item h="1" x="44"/>
        <item h="1" x="42"/>
        <item h="1" x="43"/>
        <item h="1" x="47"/>
        <item h="1" x="26"/>
        <item h="1" x="39"/>
        <item h="1" x="41"/>
        <item h="1" x="75"/>
        <item h="1" x="27"/>
        <item h="1" x="25"/>
        <item h="1" x="21"/>
        <item h="1" x="0"/>
        <item h="1" x="4"/>
        <item h="1" x="5"/>
        <item h="1" x="6"/>
        <item h="1" x="7"/>
        <item h="1" x="8"/>
        <item h="1" x="9"/>
        <item h="1" x="15"/>
        <item h="1" x="17"/>
        <item h="1" x="18"/>
        <item h="1" x="34"/>
        <item h="1" x="35"/>
        <item h="1" x="19"/>
        <item h="1" x="20"/>
        <item h="1" x="22"/>
        <item h="1" x="23"/>
        <item h="1" x="24"/>
        <item h="1" x="28"/>
        <item h="1" x="31"/>
        <item h="1" x="30"/>
        <item h="1" x="36"/>
        <item h="1" x="29"/>
        <item h="1" x="55"/>
        <item h="1" x="52"/>
        <item h="1" x="54"/>
        <item h="1" x="57"/>
        <item h="1" x="60"/>
        <item h="1" x="61"/>
        <item h="1" x="62"/>
        <item h="1" x="67"/>
        <item h="1" x="69"/>
        <item h="1" x="70"/>
        <item h="1" x="74"/>
        <item h="1" x="78"/>
        <item h="1" x="80"/>
        <item h="1" x="82"/>
        <item h="1" x="3"/>
        <item h="1" x="10"/>
        <item h="1" x="11"/>
        <item h="1" x="12"/>
        <item h="1" x="13"/>
        <item h="1" x="14"/>
        <item h="1" x="32"/>
        <item h="1" x="33"/>
        <item h="1" x="37"/>
        <item h="1" x="38"/>
        <item h="1" x="51"/>
        <item h="1" x="53"/>
        <item h="1" x="56"/>
        <item h="1" x="58"/>
        <item h="1" x="59"/>
        <item h="1" x="63"/>
        <item h="1" x="64"/>
        <item h="1" x="65"/>
        <item h="1" x="66"/>
        <item h="1" x="77"/>
        <item h="1" x="79"/>
        <item h="1" x="81"/>
        <item t="default"/>
      </items>
    </pivotField>
    <pivotField axis="axisRow" compact="0" outline="0" subtotalTop="0" showAll="0">
      <items count="41">
        <item x="1"/>
        <item x="11"/>
        <item x="30"/>
        <item x="20"/>
        <item x="34"/>
        <item x="21"/>
        <item x="8"/>
        <item x="12"/>
        <item x="18"/>
        <item x="16"/>
        <item x="26"/>
        <item x="36"/>
        <item x="23"/>
        <item x="7"/>
        <item x="37"/>
        <item x="39"/>
        <item x="35"/>
        <item x="33"/>
        <item x="2"/>
        <item x="32"/>
        <item x="4"/>
        <item x="5"/>
        <item x="10"/>
        <item x="13"/>
        <item x="6"/>
        <item x="0"/>
        <item x="14"/>
        <item x="15"/>
        <item x="17"/>
        <item x="31"/>
        <item x="3"/>
        <item x="9"/>
        <item x="19"/>
        <item x="22"/>
        <item x="24"/>
        <item x="25"/>
        <item x="27"/>
        <item x="28"/>
        <item x="29"/>
        <item x="3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2"/>
        <item h="1" x="14"/>
        <item x="7"/>
        <item x="5"/>
        <item x="0"/>
        <item x="9"/>
        <item x="21"/>
        <item x="8"/>
        <item x="15"/>
        <item x="10"/>
        <item x="11"/>
        <item x="3"/>
        <item x="12"/>
        <item x="22"/>
        <item x="13"/>
        <item x="4"/>
        <item h="1" x="6"/>
        <item h="1" x="16"/>
        <item h="1" x="17"/>
        <item h="1" x="18"/>
        <item h="1" x="19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2"/>
        <item x="1"/>
        <item x="3"/>
        <item x="4"/>
        <item x="6"/>
        <item x="7"/>
        <item x="5"/>
        <item x="11"/>
        <item x="8"/>
        <item x="10"/>
        <item x="9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7">
    <i>
      <x v="3"/>
      <x v="20"/>
    </i>
    <i t="default">
      <x v="3"/>
    </i>
    <i>
      <x v="5"/>
      <x v="1"/>
    </i>
    <i t="default">
      <x v="5"/>
    </i>
    <i>
      <x v="7"/>
      <x v="22"/>
    </i>
    <i r="1">
      <x v="31"/>
    </i>
    <i t="default">
      <x v="7"/>
    </i>
    <i>
      <x v="10"/>
      <x v="7"/>
    </i>
    <i t="default">
      <x v="10"/>
    </i>
    <i>
      <x v="11"/>
      <x v="3"/>
    </i>
    <i r="1">
      <x v="7"/>
    </i>
    <i r="1">
      <x v="9"/>
    </i>
    <i t="default">
      <x v="11"/>
    </i>
    <i>
      <x v="12"/>
      <x v="10"/>
    </i>
    <i t="default">
      <x v="12"/>
    </i>
    <i>
      <x v="19"/>
      <x v="19"/>
    </i>
    <i t="default">
      <x v="19"/>
    </i>
    <i>
      <x v="20"/>
      <x v="11"/>
    </i>
    <i r="1">
      <x v="14"/>
    </i>
    <i t="default">
      <x v="20"/>
    </i>
    <i>
      <x v="22"/>
      <x v="2"/>
    </i>
    <i t="default">
      <x v="22"/>
    </i>
    <i>
      <x v="24"/>
      <x v="2"/>
    </i>
    <i t="default">
      <x v="24"/>
    </i>
    <i>
      <x v="25"/>
      <x v="17"/>
    </i>
    <i t="default"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outline="0" fieldPosition="0">
        <references count="1">
          <reference field="25" count="0" defaultSubtotal="1"/>
        </references>
      </pivotArea>
    </format>
    <format dxfId="9">
      <pivotArea dataOnly="0" outline="0" fieldPosition="0">
        <references count="1">
          <reference field="25" count="0" defaultSubtotal="1"/>
        </references>
      </pivotArea>
    </format>
    <format dxfId="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45818</v>
      </c>
      <c r="E3" s="82" t="s">
        <v>52</v>
      </c>
      <c r="F3" s="82"/>
      <c r="G3" s="83">
        <v>11.04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0" t="s">
        <v>46</v>
      </c>
      <c r="AA4" s="8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45800</v>
      </c>
      <c r="B7" s="14" t="str">
        <f>[2]หน้าผ้า!B16</f>
        <v>MK68-000701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500กระสอบแบนเต็มใบ</v>
      </c>
      <c r="T7" s="12">
        <f>[2]หน้าผ้า!X16</f>
        <v>45821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5557</v>
      </c>
      <c r="AC7" s="8">
        <f>[2]หน้าผ้า!AS16</f>
        <v>1008.9000000000005</v>
      </c>
      <c r="AD7" s="8">
        <f>[2]หน้าผ้า!AT16</f>
        <v>1220</v>
      </c>
      <c r="AE7" s="8">
        <f>[2]หน้าผ้า!AU16</f>
        <v>5345.9000000000005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45821</v>
      </c>
      <c r="AK7" s="3">
        <f>[2]หน้าผ้า!DQ16</f>
        <v>45817</v>
      </c>
      <c r="AL7" s="3">
        <f>[2]หน้าผ้า!DR16</f>
        <v>45810</v>
      </c>
      <c r="AM7" s="3">
        <f>[2]หน้าผ้า!DS16</f>
        <v>45818</v>
      </c>
      <c r="AN7" s="3">
        <f>[2]หน้าผ้า!DT16</f>
        <v>45819</v>
      </c>
      <c r="AO7" s="3">
        <f>[2]หน้าผ้า!DU16</f>
        <v>45820</v>
      </c>
      <c r="AP7" s="3">
        <f>[2]หน้าผ้า!DP16</f>
        <v>45816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56.498400000000039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5557</v>
      </c>
      <c r="AC8" s="8">
        <f>[2]หน้าผ้า!AS17</f>
        <v>1008.9000000000005</v>
      </c>
      <c r="AD8" s="8">
        <f>[2]หน้าผ้า!AT17</f>
        <v>1220</v>
      </c>
      <c r="AE8" s="8">
        <f>[2]หน้าผ้า!AU17</f>
        <v>5345.9000000000005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บจก.ซัน ซีเมนต์ โพรเซส</v>
      </c>
      <c r="D9" s="13" t="str">
        <f>[2]หน้าผ้า!F18</f>
        <v>พระอาทิตย์(ปูนนอน-ชริงค์)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65.624642943999987</v>
      </c>
      <c r="Q9" s="10">
        <f>[2]หน้าผ้า!AC18</f>
        <v>0</v>
      </c>
      <c r="R9" s="10">
        <f>[2]หน้าผ้า!AD18</f>
        <v>65.624642943999987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>
        <f>[2]หน้าผ้า!AI18</f>
        <v>0</v>
      </c>
      <c r="AG9" s="1" t="str">
        <f>[3]หน้าผ้า!DC21</f>
        <v>ยังไม่ได้พิมพ์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18.776177777777768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 t="str">
        <f>[2]หน้าผ้า!F19</f>
        <v xml:space="preserve"> 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3372</v>
      </c>
      <c r="AC10" s="8">
        <f>[2]หน้าผ้า!AS19</f>
        <v>330.04999999999973</v>
      </c>
      <c r="AD10" s="8">
        <f>[2]หน้าผ้า!AT19</f>
        <v>0</v>
      </c>
      <c r="AE10" s="8">
        <f>[2]หน้าผ้า!AU19</f>
        <v>3702.0499999999997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45814</v>
      </c>
      <c r="B12" s="14" t="str">
        <f>[2]หน้าผ้า!B21</f>
        <v>MK68-000754</v>
      </c>
      <c r="C12" s="9" t="str">
        <f>[2]หน้าผ้า!E21</f>
        <v>โรงสีลิ้มย่งฮวด</v>
      </c>
      <c r="D12" s="13" t="str">
        <f>[2]หน้าผ้า!F21</f>
        <v>ข้าวหอมมะลิสร้อยฟ้า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 t="str">
        <f>[2]หน้าผ้า!T21</f>
        <v>ไม่สวมถุงใน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 t="str">
        <f>[2]หน้าผ้า!Z21</f>
        <v>500กระสอบ</v>
      </c>
      <c r="T12" s="12">
        <f>[2]หน้าผ้า!X21</f>
        <v>45829</v>
      </c>
      <c r="U12" s="11">
        <f>[2]หน้าผ้า!AA21</f>
        <v>5000</v>
      </c>
      <c r="V12" s="10">
        <f>[2]หน้าผ้า!AJ21</f>
        <v>0</v>
      </c>
      <c r="W12" s="10">
        <f>[2]หน้าผ้า!AL21</f>
        <v>5000</v>
      </c>
      <c r="X12" s="10">
        <f>[2]หน้าผ้า!AM21</f>
        <v>0</v>
      </c>
      <c r="Y12" s="10">
        <f>[2]หน้าผ้า!AN21</f>
        <v>5250</v>
      </c>
      <c r="Z12" s="9" t="str">
        <f>[2]หน้าผ้า!AO21</f>
        <v>WSWT1621720SMFX</v>
      </c>
      <c r="AA12" s="8">
        <f>[2]หน้าผ้า!AQ21</f>
        <v>3702.0499999999997</v>
      </c>
      <c r="AB12" s="8">
        <f>[2]หน้าผ้า!AR21</f>
        <v>3702.0499999999997</v>
      </c>
      <c r="AC12" s="8">
        <f>[2]หน้าผ้า!AS21</f>
        <v>0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ขาด-เกินได้5%</v>
      </c>
      <c r="AG12" s="1" t="str">
        <f>[3]หน้าผ้า!DC24</f>
        <v>ยังไม่ได้พิมพ์</v>
      </c>
      <c r="AH12" s="1" t="str">
        <f>[2]หน้าผ้า!DL21</f>
        <v>P7</v>
      </c>
      <c r="AI12" s="1">
        <f>[2]หน้าผ้า!DM21</f>
        <v>2</v>
      </c>
      <c r="AJ12" s="3">
        <f>[2]หน้าผ้า!DN21</f>
        <v>45829</v>
      </c>
      <c r="AK12" s="3">
        <f>[2]หน้าผ้า!DQ21</f>
        <v>0</v>
      </c>
      <c r="AL12" s="3">
        <f>[2]หน้าผ้า!DR21</f>
        <v>45820</v>
      </c>
      <c r="AM12" s="3">
        <f>[2]หน้าผ้า!DS21</f>
        <v>45827</v>
      </c>
      <c r="AN12" s="3">
        <f>[2]หน้าผ้า!DT21</f>
        <v>45828</v>
      </c>
      <c r="AO12" s="3">
        <f>[2]หน้าผ้า!DU21</f>
        <v>45828</v>
      </c>
      <c r="AP12" s="3">
        <f>[2]หน้าผ้า!DP21</f>
        <v>45824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 xml:space="preserve"> /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WRWT21720/WRWT21720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>
        <f>[2]หน้าผ้า!AQ22</f>
        <v>3702.0499999999997</v>
      </c>
      <c r="AB13" s="8">
        <f>[2]หน้าผ้า!AR22</f>
        <v>3702.0499999999997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>
        <f>[2]หน้าผ้า!X24</f>
        <v>45838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45838</v>
      </c>
      <c r="AK15" s="3">
        <f>[2]หน้าผ้า!DQ24</f>
        <v>0</v>
      </c>
      <c r="AL15" s="3">
        <f>[2]หน้าผ้า!DR24</f>
        <v>45828</v>
      </c>
      <c r="AM15" s="3">
        <f>[2]หน้าผ้า!DS24</f>
        <v>45835</v>
      </c>
      <c r="AN15" s="3">
        <f>[2]หน้าผ้า!DT24</f>
        <v>45836</v>
      </c>
      <c r="AO15" s="3">
        <f>[2]หน้าผ้า!DU24</f>
        <v>45836</v>
      </c>
      <c r="AP15" s="3">
        <f>[2]หน้าผ้า!DP24</f>
        <v>45833</v>
      </c>
      <c r="AQ15" s="3">
        <f>[2]หน้าผ้า!DW24</f>
        <v>45837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474.76472000000001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พร้อมส่ง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45805</v>
      </c>
      <c r="B17" s="14" t="str">
        <f>[2]หน้าผ้า!B26</f>
        <v>MK68-000716</v>
      </c>
      <c r="C17" s="9" t="str">
        <f>[2]หน้าผ้า!E26</f>
        <v>บจก.ไบโอกรีนนิค</v>
      </c>
      <c r="D17" s="13" t="str">
        <f>[2]หน้าผ้า!F26</f>
        <v>หนุมานเทอร์โบ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69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จับจีบ4"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60</v>
      </c>
      <c r="P17" s="10">
        <f>[2]หน้าผ้า!AB26</f>
        <v>217.96756406399999</v>
      </c>
      <c r="Q17" s="10">
        <f>[2]หน้าผ้า!AC26</f>
        <v>0</v>
      </c>
      <c r="R17" s="10">
        <f>[2]หน้าผ้า!AD26</f>
        <v>217.96756406399999</v>
      </c>
      <c r="S17" s="9" t="str">
        <f>[2]หน้าผ้า!Z26</f>
        <v>500กระสอบ</v>
      </c>
      <c r="T17" s="12">
        <f>[2]หน้าผ้า!X26</f>
        <v>45820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0</v>
      </c>
      <c r="Y17" s="10">
        <f>[2]หน้าผ้า!AN26</f>
        <v>10500</v>
      </c>
      <c r="Z17" s="9" t="str">
        <f>[2]หน้าผ้า!AO26</f>
        <v>WSWT1825800SM</v>
      </c>
      <c r="AA17" s="8">
        <f>[2]หน้าผ้า!AQ26</f>
        <v>8242.3000000000011</v>
      </c>
      <c r="AB17" s="8">
        <f>[2]หน้าผ้า!AR26</f>
        <v>8242.3000000000011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8242.3000000000011</v>
      </c>
      <c r="AF17" s="8" t="str">
        <f>[2]หน้าผ้า!AI26</f>
        <v>ขาด-เกินได้5%</v>
      </c>
      <c r="AG17" s="1" t="str">
        <f>[3]หน้าผ้า!DC29</f>
        <v>พร้อมส่ง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45820</v>
      </c>
      <c r="AK17" s="3">
        <f>[2]หน้าผ้า!DQ26</f>
        <v>45816</v>
      </c>
      <c r="AL17" s="3">
        <f>[2]หน้าผ้า!DR26</f>
        <v>45809</v>
      </c>
      <c r="AM17" s="3">
        <f>[2]หน้าผ้า!DS26</f>
        <v>45817</v>
      </c>
      <c r="AN17" s="3">
        <f>[2]หน้าผ้า!DT26</f>
        <v>45818</v>
      </c>
      <c r="AO17" s="3">
        <f>[2]หน้าผ้า!DU26</f>
        <v>45819</v>
      </c>
      <c r="AP17" s="3">
        <f>[2]หน้าผ้า!DP26</f>
        <v>45815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45797</v>
      </c>
      <c r="B18" s="14" t="str">
        <f>[2]หน้าผ้า!B27</f>
        <v>MK68-000687</v>
      </c>
      <c r="C18" s="9" t="str">
        <f>[2]หน้าผ้า!E27</f>
        <v>บจก.ซิเบลโก้</v>
      </c>
      <c r="D18" s="13" t="str">
        <f>[2]หน้าผ้า!F27</f>
        <v>PORTARYTE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45841</v>
      </c>
      <c r="U18" s="11">
        <f>[2]หน้าผ้า!AA27</f>
        <v>10000</v>
      </c>
      <c r="V18" s="10">
        <f>[2]หน้าผ้า!AJ27</f>
        <v>0</v>
      </c>
      <c r="W18" s="10">
        <f>[2]หน้าผ้า!AL27</f>
        <v>10000</v>
      </c>
      <c r="X18" s="10">
        <f>[2]หน้าผ้า!AM27</f>
        <v>0</v>
      </c>
      <c r="Y18" s="10">
        <f>[2]หน้าผ้า!AN27</f>
        <v>10500</v>
      </c>
      <c r="Z18" s="9" t="str">
        <f>[2]หน้าผ้า!AO27</f>
        <v>WSWT1825800SM</v>
      </c>
      <c r="AA18" s="8">
        <f>[2]หน้าผ้า!AQ27</f>
        <v>8801.1</v>
      </c>
      <c r="AB18" s="8">
        <f>[2]หน้าผ้า!AR27</f>
        <v>4000</v>
      </c>
      <c r="AC18" s="8">
        <f>[2]หน้าผ้า!AS27</f>
        <v>4801.1000000000004</v>
      </c>
      <c r="AD18" s="8">
        <f>[2]หน้าผ้า!AT27</f>
        <v>0</v>
      </c>
      <c r="AE18" s="8">
        <f>[2]หน้าผ้า!AU27</f>
        <v>8801.1</v>
      </c>
      <c r="AF18" s="8" t="str">
        <f>[2]หน้าผ้า!AI27</f>
        <v>ห้ามเกิน-ขาดได้5%</v>
      </c>
      <c r="AG18" s="1" t="str">
        <f>[3]หน้าผ้า!DC30</f>
        <v>รอตัด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45841</v>
      </c>
      <c r="AK18" s="3">
        <f>[2]หน้าผ้า!DQ27</f>
        <v>45837</v>
      </c>
      <c r="AL18" s="3">
        <f>[2]หน้าผ้า!DR27</f>
        <v>45830</v>
      </c>
      <c r="AM18" s="3">
        <f>[2]หน้าผ้า!DS27</f>
        <v>45838</v>
      </c>
      <c r="AN18" s="3">
        <f>[2]หน้าผ้า!DT27</f>
        <v>45839</v>
      </c>
      <c r="AO18" s="3">
        <f>[2]หน้าผ้า!DU27</f>
        <v>45840</v>
      </c>
      <c r="AP18" s="3">
        <f>[2]หน้าผ้า!DP27</f>
        <v>45836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307.2704</v>
      </c>
    </row>
    <row r="19" spans="1:56" ht="27.75" customHeight="1" x14ac:dyDescent="0.45">
      <c r="A19" s="3">
        <f>[2]หน้าผ้า!C28</f>
        <v>0</v>
      </c>
      <c r="B19" s="14">
        <f>[2]หน้าผ้า!B28</f>
        <v>0</v>
      </c>
      <c r="C19" s="9">
        <f>[2]หน้าผ้า!E28</f>
        <v>0</v>
      </c>
      <c r="D19" s="13" t="str">
        <f>[2]หน้าผ้า!F28</f>
        <v xml:space="preserve"> </v>
      </c>
      <c r="E19" s="9">
        <f>[2]หน้าผ้า!G28</f>
        <v>18</v>
      </c>
      <c r="F19" s="9">
        <f>[2]หน้าผ้า!H28</f>
        <v>25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>
        <f>[2]หน้าผ้า!R28</f>
        <v>0</v>
      </c>
      <c r="M19" s="10">
        <f>[2]หน้าผ้า!T28</f>
        <v>0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>
        <f>[2]หน้าผ้า!Z28</f>
        <v>0</v>
      </c>
      <c r="T19" s="12">
        <f>[2]หน้าผ้า!X28</f>
        <v>0</v>
      </c>
      <c r="U19" s="11">
        <f>[2]หน้าผ้า!AA28</f>
        <v>0</v>
      </c>
      <c r="V19" s="10">
        <f>[2]หน้าผ้า!AJ28</f>
        <v>0</v>
      </c>
      <c r="W19" s="10">
        <f>[2]หน้าผ้า!AL28</f>
        <v>0</v>
      </c>
      <c r="X19" s="10">
        <f>[2]หน้าผ้า!AM28</f>
        <v>0</v>
      </c>
      <c r="Y19" s="10">
        <f>[2]หน้าผ้า!AN28</f>
        <v>0</v>
      </c>
      <c r="Z19" s="9" t="str">
        <f>[2]หน้าผ้า!AO28</f>
        <v>WSWT1825800SM</v>
      </c>
      <c r="AA19" s="8">
        <f>[2]หน้าผ้า!AQ28</f>
        <v>17043.400000000001</v>
      </c>
      <c r="AB19" s="8">
        <f>[2]หน้าผ้า!AR28</f>
        <v>12242.300000000001</v>
      </c>
      <c r="AC19" s="8">
        <f>[2]หน้าผ้า!AS28</f>
        <v>4801.1000000000004</v>
      </c>
      <c r="AD19" s="8">
        <f>[2]หน้าผ้า!AT28</f>
        <v>0</v>
      </c>
      <c r="AE19" s="8">
        <f>[2]หน้าผ้า!AU28</f>
        <v>17043.400000000001</v>
      </c>
      <c r="AF19" s="8" t="str">
        <f>[2]หน้าผ้า!AI28</f>
        <v>ระบุในSD</v>
      </c>
      <c r="AG19" s="1" t="str">
        <f>[3]หน้าผ้า!DC31</f>
        <v>รอแบบ</v>
      </c>
      <c r="AH19" s="1">
        <f>[2]หน้าผ้า!DL28</f>
        <v>0</v>
      </c>
      <c r="AI19" s="1" t="str">
        <f>[2]หน้าผ้า!DM28</f>
        <v>Lead time</v>
      </c>
      <c r="AJ19" s="3">
        <f>[2]หน้าผ้า!DN28</f>
        <v>0</v>
      </c>
      <c r="AK19" s="3">
        <f>[2]หน้าผ้า!DQ28</f>
        <v>0</v>
      </c>
      <c r="AL19" s="3">
        <f>[2]หน้าผ้า!DR28</f>
        <v>0</v>
      </c>
      <c r="AM19" s="3">
        <f>[2]หน้าผ้า!DS28</f>
        <v>0</v>
      </c>
      <c r="AN19" s="3">
        <f>[2]หน้าผ้า!DT28</f>
        <v>0</v>
      </c>
      <c r="AO19" s="3">
        <f>[2]หน้าผ้า!DU28</f>
        <v>0</v>
      </c>
      <c r="AP19" s="3">
        <f>[2]หน้าผ้า!DP28</f>
        <v>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>
        <f>[2]หน้าผ้า!EC28</f>
        <v>0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WRWT180800/WRWT25800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45797</v>
      </c>
      <c r="B20" s="14" t="str">
        <f>[2]หน้าผ้า!B29</f>
        <v>MK68-000683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ผึ้งเหลือง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45819</v>
      </c>
      <c r="U20" s="11">
        <f>[2]หน้าผ้า!AA29</f>
        <v>40000</v>
      </c>
      <c r="V20" s="10">
        <f>[2]หน้าผ้า!AJ29</f>
        <v>39710</v>
      </c>
      <c r="W20" s="10">
        <f>[2]หน้าผ้า!AL29</f>
        <v>290</v>
      </c>
      <c r="X20" s="10">
        <f>[2]หน้าผ้า!AM29</f>
        <v>43885</v>
      </c>
      <c r="Y20" s="10">
        <f>[2]หน้าผ้า!AN29</f>
        <v>0</v>
      </c>
      <c r="Z20" s="9" t="str">
        <f>[2]หน้าผ้า!AO29</f>
        <v>WSWT1925800</v>
      </c>
      <c r="AA20" s="8">
        <f>[2]หน้าผ้า!AQ29</f>
        <v>0</v>
      </c>
      <c r="AB20" s="8">
        <f>[2]หน้าผ้า!AR29</f>
        <v>0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45819</v>
      </c>
      <c r="AK20" s="3">
        <f>[2]หน้าผ้า!DQ29</f>
        <v>0</v>
      </c>
      <c r="AL20" s="3">
        <f>[2]หน้าผ้า!DR29</f>
        <v>45810</v>
      </c>
      <c r="AM20" s="3">
        <f>[2]หน้าผ้า!DS29</f>
        <v>45817</v>
      </c>
      <c r="AN20" s="3">
        <f>[2]หน้าผ้า!DT29</f>
        <v>45818</v>
      </c>
      <c r="AO20" s="3">
        <f>[2]หน้าผ้า!DU29</f>
        <v>45818</v>
      </c>
      <c r="AP20" s="3">
        <f>[2]หน้าผ้า!DP29</f>
        <v>45814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45797</v>
      </c>
      <c r="B21" s="14" t="str">
        <f>[2]หน้าผ้า!B30</f>
        <v>MK68-000682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ผึ้งชมพู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45819</v>
      </c>
      <c r="U21" s="11">
        <f>[2]หน้าผ้า!AA30</f>
        <v>30000</v>
      </c>
      <c r="V21" s="10">
        <f>[2]หน้าผ้า!AJ30</f>
        <v>15500</v>
      </c>
      <c r="W21" s="10">
        <f>[2]หน้าผ้า!AL30</f>
        <v>14500</v>
      </c>
      <c r="X21" s="10">
        <f>[2]หน้าผ้า!AM30</f>
        <v>30955</v>
      </c>
      <c r="Y21" s="10">
        <f>[2]หน้าผ้า!AN30</f>
        <v>0</v>
      </c>
      <c r="Z21" s="9" t="str">
        <f>[2]หน้าผ้า!AO30</f>
        <v>WSWT1925800</v>
      </c>
      <c r="AA21" s="8">
        <f>[2]หน้าผ้า!AQ30</f>
        <v>0</v>
      </c>
      <c r="AB21" s="8">
        <f>[2]หน้าผ้า!AR30</f>
        <v>0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45819</v>
      </c>
      <c r="AK21" s="3">
        <f>[2]หน้าผ้า!DQ30</f>
        <v>0</v>
      </c>
      <c r="AL21" s="3">
        <f>[2]หน้าผ้า!DR30</f>
        <v>45810</v>
      </c>
      <c r="AM21" s="3">
        <f>[2]หน้าผ้า!DS30</f>
        <v>45817</v>
      </c>
      <c r="AN21" s="3">
        <f>[2]หน้าผ้า!DT30</f>
        <v>45818</v>
      </c>
      <c r="AO21" s="3">
        <f>[2]หน้าผ้า!DU30</f>
        <v>45818</v>
      </c>
      <c r="AP21" s="3">
        <f>[2]หน้าผ้า!DP30</f>
        <v>45814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45838</v>
      </c>
      <c r="U22" s="11">
        <f>[2]หน้าผ้า!AA31</f>
        <v>30000</v>
      </c>
      <c r="V22" s="10">
        <f>[2]หน้าผ้า!AJ31</f>
        <v>0</v>
      </c>
      <c r="W22" s="10">
        <f>[2]หน้าผ้า!AL31</f>
        <v>30000</v>
      </c>
      <c r="X22" s="10">
        <f>[2]หน้าผ้า!AM31</f>
        <v>0</v>
      </c>
      <c r="Y22" s="10">
        <f>[2]หน้าผ้า!AN31</f>
        <v>31500</v>
      </c>
      <c r="Z22" s="9" t="str">
        <f>[2]หน้าผ้า!AO31</f>
        <v>WSWT1925800</v>
      </c>
      <c r="AA22" s="8">
        <f>[2]หน้าผ้า!AQ31</f>
        <v>26403.3</v>
      </c>
      <c r="AB22" s="8">
        <f>[2]หน้าผ้า!AR31</f>
        <v>0</v>
      </c>
      <c r="AC22" s="8">
        <f>[2]หน้าผ้า!AS31</f>
        <v>26403.3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รอตัด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45838</v>
      </c>
      <c r="AK22" s="3">
        <f>[2]หน้าผ้า!DQ31</f>
        <v>0</v>
      </c>
      <c r="AL22" s="3">
        <f>[2]หน้าผ้า!DR31</f>
        <v>45829</v>
      </c>
      <c r="AM22" s="3">
        <f>[2]หน้าผ้า!DS31</f>
        <v>45836</v>
      </c>
      <c r="AN22" s="3">
        <f>[2]หน้าผ้า!DT31</f>
        <v>45837</v>
      </c>
      <c r="AO22" s="3">
        <f>[2]หน้าผ้า!DU31</f>
        <v>45837</v>
      </c>
      <c r="AP22" s="3">
        <f>[2]หน้าผ้า!DP31</f>
        <v>45833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1917.46632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172.69642879999998</v>
      </c>
      <c r="Q23" s="10">
        <f>[2]หน้าผ้า!AC32</f>
        <v>0</v>
      </c>
      <c r="R23" s="10">
        <f>[2]หน้าผ้า!AD32</f>
        <v>172.69642879999998</v>
      </c>
      <c r="S23" s="9" t="str">
        <f>[2]หน้าผ้า!Z32</f>
        <v>500กระสอบแบน</v>
      </c>
      <c r="T23" s="12">
        <f>[2]หน้าผ้า!X32</f>
        <v>45838</v>
      </c>
      <c r="U23" s="11">
        <f>[2]หน้าผ้า!AA32</f>
        <v>10000</v>
      </c>
      <c r="V23" s="10">
        <f>[2]หน้าผ้า!AJ32</f>
        <v>0</v>
      </c>
      <c r="W23" s="10">
        <f>[2]หน้าผ้า!AL32</f>
        <v>10000</v>
      </c>
      <c r="X23" s="10">
        <f>[2]หน้าผ้า!AM32</f>
        <v>0</v>
      </c>
      <c r="Y23" s="10">
        <f>[2]หน้าผ้า!AN32</f>
        <v>10500</v>
      </c>
      <c r="Z23" s="9" t="str">
        <f>[2]หน้าผ้า!AO32</f>
        <v>WSWT1925800</v>
      </c>
      <c r="AA23" s="8">
        <f>[2]หน้าผ้า!AQ32</f>
        <v>9359.9000000000015</v>
      </c>
      <c r="AB23" s="8">
        <f>[2]หน้าผ้า!AR32</f>
        <v>0</v>
      </c>
      <c r="AC23" s="8">
        <f>[2]หน้าผ้า!AS32</f>
        <v>9359.9000000000015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รอตัด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45838</v>
      </c>
      <c r="AK23" s="3">
        <f>[2]หน้าผ้า!DQ32</f>
        <v>0</v>
      </c>
      <c r="AL23" s="3">
        <f>[2]หน้าผ้า!DR32</f>
        <v>45828</v>
      </c>
      <c r="AM23" s="3">
        <f>[2]หน้าผ้า!DS32</f>
        <v>45835</v>
      </c>
      <c r="AN23" s="3">
        <f>[2]หน้าผ้า!DT32</f>
        <v>45836</v>
      </c>
      <c r="AO23" s="3">
        <f>[2]หน้าผ้า!DU32</f>
        <v>45836</v>
      </c>
      <c r="AP23" s="3">
        <f>[2]หน้าผ้า!DP32</f>
        <v>45833</v>
      </c>
      <c r="AQ23" s="3">
        <f>[2]หน้าผ้า!DW32</f>
        <v>45837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679.73673777777788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35763.199999999997</v>
      </c>
      <c r="AB24" s="8">
        <f>[2]หน้าผ้า!AR33</f>
        <v>0</v>
      </c>
      <c r="AC24" s="8">
        <f>[2]หน้าผ้า!AS33</f>
        <v>35763.199999999997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รอตัด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45808</v>
      </c>
      <c r="B25" s="14" t="str">
        <f>[2]หน้าผ้า!B34</f>
        <v>MK68-000726</v>
      </c>
      <c r="C25" s="9" t="str">
        <f>[2]หน้าผ้า!E34</f>
        <v>บจก.เคอรี่ฟลาวมิลล์</v>
      </c>
      <c r="D25" s="13" t="str">
        <f>[2]หน้าผ้า!F34</f>
        <v>กุ้งแดง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63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45820</v>
      </c>
      <c r="U25" s="11">
        <f>[2]หน้าผ้า!AA34</f>
        <v>5000</v>
      </c>
      <c r="V25" s="10">
        <f>[2]หน้าผ้า!AJ34</f>
        <v>0</v>
      </c>
      <c r="W25" s="10">
        <f>[2]หน้าผ้า!AL34</f>
        <v>5000</v>
      </c>
      <c r="X25" s="10">
        <f>[2]หน้าผ้า!AM34</f>
        <v>5250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รอตัด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45820</v>
      </c>
      <c r="AK25" s="3">
        <f>[2]หน้าผ้า!DQ34</f>
        <v>0</v>
      </c>
      <c r="AL25" s="3">
        <f>[2]หน้าผ้า!DR34</f>
        <v>45811</v>
      </c>
      <c r="AM25" s="3">
        <f>[2]หน้าผ้า!DS34</f>
        <v>45818</v>
      </c>
      <c r="AN25" s="3">
        <f>[2]หน้าผ้า!DT34</f>
        <v>45819</v>
      </c>
      <c r="AO25" s="3">
        <f>[2]หน้าผ้า!DU34</f>
        <v>45819</v>
      </c>
      <c r="AP25" s="3">
        <f>[2]หน้าผ้า!DP34</f>
        <v>45815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45808</v>
      </c>
      <c r="B26" s="14" t="str">
        <f>[2]หน้าผ้า!B35</f>
        <v>MK68-000726</v>
      </c>
      <c r="C26" s="9" t="str">
        <f>[2]หน้าผ้า!E35</f>
        <v>บจก.เคอรี่ฟลาวมิลล์</v>
      </c>
      <c r="D26" s="13" t="str">
        <f>[2]หน้าผ้า!F35</f>
        <v>กุ้งแดง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63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45825</v>
      </c>
      <c r="U26" s="11">
        <f>[2]หน้าผ้า!AA35</f>
        <v>10000</v>
      </c>
      <c r="V26" s="10">
        <f>[2]หน้าผ้า!AJ35</f>
        <v>0</v>
      </c>
      <c r="W26" s="10">
        <f>[2]หน้าผ้า!AL35</f>
        <v>10000</v>
      </c>
      <c r="X26" s="10">
        <f>[2]หน้าผ้า!AM35</f>
        <v>10500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รอตัด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45825</v>
      </c>
      <c r="AK26" s="3">
        <f>[2]หน้าผ้า!DQ35</f>
        <v>0</v>
      </c>
      <c r="AL26" s="3">
        <f>[2]หน้าผ้า!DR35</f>
        <v>45816</v>
      </c>
      <c r="AM26" s="3">
        <f>[2]หน้าผ้า!DS35</f>
        <v>45823</v>
      </c>
      <c r="AN26" s="3">
        <f>[2]หน้าผ้า!DT35</f>
        <v>45824</v>
      </c>
      <c r="AO26" s="3">
        <f>[2]หน้าผ้า!DU35</f>
        <v>45824</v>
      </c>
      <c r="AP26" s="3">
        <f>[2]หน้าผ้า!DP35</f>
        <v>45820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45808</v>
      </c>
      <c r="B27" s="14" t="str">
        <f>[2]หน้าผ้า!B36</f>
        <v>MK68-000727</v>
      </c>
      <c r="C27" s="9" t="str">
        <f>[2]หน้าผ้า!E36</f>
        <v>บจก.เคอรี่ฟลาวมิลล์</v>
      </c>
      <c r="D27" s="13" t="str">
        <f>[2]หน้าผ้า!F36</f>
        <v>ดอกไม้แดง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ห่ออัดเบลแบน501</v>
      </c>
      <c r="T27" s="12">
        <f>[2]หน้าผ้า!X36</f>
        <v>45825</v>
      </c>
      <c r="U27" s="11">
        <f>[2]หน้าผ้า!AA36</f>
        <v>15000</v>
      </c>
      <c r="V27" s="10">
        <f>[2]หน้าผ้า!AJ36</f>
        <v>0</v>
      </c>
      <c r="W27" s="10">
        <f>[2]หน้าผ้า!AL36</f>
        <v>15000</v>
      </c>
      <c r="X27" s="10">
        <f>[2]หน้าผ้า!AM36</f>
        <v>15750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45825</v>
      </c>
      <c r="AK27" s="3">
        <f>[2]หน้าผ้า!DQ36</f>
        <v>0</v>
      </c>
      <c r="AL27" s="3">
        <f>[2]หน้าผ้า!DR36</f>
        <v>45816</v>
      </c>
      <c r="AM27" s="3">
        <f>[2]หน้าผ้า!DS36</f>
        <v>45823</v>
      </c>
      <c r="AN27" s="3">
        <f>[2]หน้าผ้า!DT36</f>
        <v>45824</v>
      </c>
      <c r="AO27" s="3">
        <f>[2]หน้าผ้า!DU36</f>
        <v>45824</v>
      </c>
      <c r="AP27" s="3">
        <f>[2]หน้าผ้า!DP36</f>
        <v>45820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45812</v>
      </c>
      <c r="B28" s="14" t="str">
        <f>[2]หน้าผ้า!B37</f>
        <v>MK68-000743</v>
      </c>
      <c r="C28" s="9" t="str">
        <f>[2]หน้าผ้า!E37</f>
        <v>บจก.เคอรี่ฟลาวมิลล์</v>
      </c>
      <c r="D28" s="13" t="str">
        <f>[2]หน้าผ้า!F37</f>
        <v>ถุงเขียว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ห่ออัดเบลแบน501</v>
      </c>
      <c r="T28" s="12">
        <f>[2]หน้าผ้า!X37</f>
        <v>45820</v>
      </c>
      <c r="U28" s="11">
        <f>[2]หน้าผ้า!AA37</f>
        <v>10000</v>
      </c>
      <c r="V28" s="10">
        <f>[2]หน้าผ้า!AJ37</f>
        <v>0</v>
      </c>
      <c r="W28" s="10">
        <f>[2]หน้าผ้า!AL37</f>
        <v>10000</v>
      </c>
      <c r="X28" s="10">
        <f>[2]หน้าผ้า!AM37</f>
        <v>10200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PDR250181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45820</v>
      </c>
      <c r="AK28" s="3">
        <f>[2]หน้าผ้า!DQ37</f>
        <v>0</v>
      </c>
      <c r="AL28" s="3">
        <f>[2]หน้าผ้า!DR37</f>
        <v>45811</v>
      </c>
      <c r="AM28" s="3">
        <f>[2]หน้าผ้า!DS37</f>
        <v>45818</v>
      </c>
      <c r="AN28" s="3">
        <f>[2]หน้าผ้า!DT37</f>
        <v>45819</v>
      </c>
      <c r="AO28" s="3">
        <f>[2]หน้าผ้า!DU37</f>
        <v>45819</v>
      </c>
      <c r="AP28" s="3">
        <f>[2]หน้าผ้า!DP37</f>
        <v>45815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45812</v>
      </c>
      <c r="B29" s="14" t="str">
        <f>[2]หน้าผ้า!B38</f>
        <v>MK68-000743</v>
      </c>
      <c r="C29" s="9" t="str">
        <f>[2]หน้าผ้า!E38</f>
        <v>บจก.เคอรี่ฟลาวมิลล์</v>
      </c>
      <c r="D29" s="13" t="str">
        <f>[2]หน้าผ้า!F38</f>
        <v>กุ้งแดง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63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ห่ออัดเบลแบน501</v>
      </c>
      <c r="T29" s="12">
        <f>[2]หน้าผ้า!X38</f>
        <v>45820</v>
      </c>
      <c r="U29" s="11">
        <f>[2]หน้าผ้า!AA38</f>
        <v>10000</v>
      </c>
      <c r="V29" s="10">
        <f>[2]หน้าผ้า!AJ38</f>
        <v>0</v>
      </c>
      <c r="W29" s="10">
        <f>[2]หน้าผ้า!AL38</f>
        <v>10000</v>
      </c>
      <c r="X29" s="10">
        <f>[2]หน้าผ้า!AM38</f>
        <v>10400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PDR250181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45820</v>
      </c>
      <c r="AK29" s="3">
        <f>[2]หน้าผ้า!DQ38</f>
        <v>0</v>
      </c>
      <c r="AL29" s="3">
        <f>[2]หน้าผ้า!DR38</f>
        <v>45811</v>
      </c>
      <c r="AM29" s="3">
        <f>[2]หน้าผ้า!DS38</f>
        <v>45818</v>
      </c>
      <c r="AN29" s="3">
        <f>[2]หน้าผ้า!DT38</f>
        <v>45819</v>
      </c>
      <c r="AO29" s="3">
        <f>[2]หน้าผ้า!DU38</f>
        <v>45819</v>
      </c>
      <c r="AP29" s="3">
        <f>[2]หน้าผ้า!DP38</f>
        <v>45815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45812</v>
      </c>
      <c r="B30" s="14" t="str">
        <f>[2]หน้าผ้า!B39</f>
        <v>MK68-000743</v>
      </c>
      <c r="C30" s="9" t="str">
        <f>[2]หน้าผ้า!E39</f>
        <v>บจก.เคอรี่ฟลาวมิลล์</v>
      </c>
      <c r="D30" s="13" t="str">
        <f>[2]หน้าผ้า!F39</f>
        <v xml:space="preserve">แปดแต้มแดง  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ห่ออัดเบลแบน501</v>
      </c>
      <c r="T30" s="12">
        <f>[2]หน้าผ้า!X39</f>
        <v>45820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0</v>
      </c>
      <c r="Y30" s="10">
        <f>[2]หน้าผ้า!AN39</f>
        <v>5250</v>
      </c>
      <c r="Z30" s="9" t="str">
        <f>[2]หน้าผ้า!AO39</f>
        <v>WSWT1921720</v>
      </c>
      <c r="AA30" s="8">
        <f>[2]หน้าผ้า!AQ39</f>
        <v>4400.55</v>
      </c>
      <c r="AB30" s="8">
        <f>[2]หน้าผ้า!AR39</f>
        <v>2854</v>
      </c>
      <c r="AC30" s="8">
        <f>[2]หน้าผ้า!AS39</f>
        <v>1546.5500000000002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PDR250181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45820</v>
      </c>
      <c r="AK30" s="3">
        <f>[2]หน้าผ้า!DQ39</f>
        <v>0</v>
      </c>
      <c r="AL30" s="3">
        <f>[2]หน้าผ้า!DR39</f>
        <v>45811</v>
      </c>
      <c r="AM30" s="3">
        <f>[2]หน้าผ้า!DS39</f>
        <v>45818</v>
      </c>
      <c r="AN30" s="3">
        <f>[2]หน้าผ้า!DT39</f>
        <v>45819</v>
      </c>
      <c r="AO30" s="3">
        <f>[2]หน้าผ้า!DU39</f>
        <v>45819</v>
      </c>
      <c r="AP30" s="3">
        <f>[2]หน้าผ้า!DP39</f>
        <v>45815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116.49301955555558</v>
      </c>
    </row>
    <row r="31" spans="1:56" ht="27.75" customHeight="1" x14ac:dyDescent="0.45">
      <c r="A31" s="3">
        <f>[2]หน้าผ้า!C40</f>
        <v>45812</v>
      </c>
      <c r="B31" s="14" t="str">
        <f>[2]หน้าผ้า!B40</f>
        <v>MK68-000743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ดอกไม้เขียว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ห่ออัดเบลแบน501</v>
      </c>
      <c r="T31" s="12">
        <f>[2]หน้าผ้า!X40</f>
        <v>45822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4400.55</v>
      </c>
      <c r="AB31" s="8">
        <f>[2]หน้าผ้า!AR40</f>
        <v>0</v>
      </c>
      <c r="AC31" s="8">
        <f>[2]หน้าผ้า!AS40</f>
        <v>4400.55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PDR250182</v>
      </c>
      <c r="AG31" s="1" t="str">
        <f>[3]หน้าผ้า!DC43</f>
        <v>ผ้าขาว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45822</v>
      </c>
      <c r="AK31" s="3">
        <f>[2]หน้าผ้า!DQ40</f>
        <v>0</v>
      </c>
      <c r="AL31" s="3">
        <f>[2]หน้าผ้า!DR40</f>
        <v>45813</v>
      </c>
      <c r="AM31" s="3">
        <f>[2]หน้าผ้า!DS40</f>
        <v>45820</v>
      </c>
      <c r="AN31" s="3">
        <f>[2]หน้าผ้า!DT40</f>
        <v>45821</v>
      </c>
      <c r="AO31" s="3">
        <f>[2]หน้าผ้า!DU40</f>
        <v>45821</v>
      </c>
      <c r="AP31" s="3">
        <f>[2]หน้าผ้า!DP40</f>
        <v>45817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331.46898400000003</v>
      </c>
    </row>
    <row r="32" spans="1:56" ht="27.75" customHeight="1" x14ac:dyDescent="0.45">
      <c r="A32" s="3">
        <f>[2]หน้าผ้า!C41</f>
        <v>45812</v>
      </c>
      <c r="B32" s="14" t="str">
        <f>[2]หน้าผ้า!B41</f>
        <v>MK68-000743</v>
      </c>
      <c r="C32" s="9" t="str">
        <f>[2]หน้าผ้า!E41</f>
        <v>บจก.เคอรี่ฟลาวมิลล์</v>
      </c>
      <c r="D32" s="13" t="str">
        <f>[2]หน้าผ้า!F41</f>
        <v>บลูทีมเหลือง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ห่ออัดเบลแบน501</v>
      </c>
      <c r="T32" s="12">
        <f>[2]หน้าผ้า!X41</f>
        <v>45822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4400.55</v>
      </c>
      <c r="AB32" s="8">
        <f>[2]หน้าผ้า!AR41</f>
        <v>0</v>
      </c>
      <c r="AC32" s="8">
        <f>[2]หน้าผ้า!AS41</f>
        <v>4400.55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PDR250182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45822</v>
      </c>
      <c r="AK32" s="3">
        <f>[2]หน้าผ้า!DQ41</f>
        <v>0</v>
      </c>
      <c r="AL32" s="3">
        <f>[2]หน้าผ้า!DR41</f>
        <v>45813</v>
      </c>
      <c r="AM32" s="3">
        <f>[2]หน้าผ้า!DS41</f>
        <v>45820</v>
      </c>
      <c r="AN32" s="3">
        <f>[2]หน้าผ้า!DT41</f>
        <v>45821</v>
      </c>
      <c r="AO32" s="3">
        <f>[2]หน้าผ้า!DU41</f>
        <v>45821</v>
      </c>
      <c r="AP32" s="3">
        <f>[2]หน้าผ้า!DP41</f>
        <v>45817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331.46898400000003</v>
      </c>
    </row>
    <row r="33" spans="1:56" ht="27.75" customHeight="1" x14ac:dyDescent="0.45">
      <c r="A33" s="3">
        <f>[2]หน้าผ้า!C42</f>
        <v>45812</v>
      </c>
      <c r="B33" s="14" t="str">
        <f>[2]หน้าผ้า!B42</f>
        <v>MK68-000743</v>
      </c>
      <c r="C33" s="9" t="str">
        <f>[2]หน้าผ้า!E42</f>
        <v>บจก.เคอรี่ฟลาวมิลล์</v>
      </c>
      <c r="D33" s="13" t="str">
        <f>[2]หน้าผ้า!F42</f>
        <v>KFM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45822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4400.55</v>
      </c>
      <c r="AB33" s="8">
        <f>[2]หน้าผ้า!AR42</f>
        <v>0</v>
      </c>
      <c r="AC33" s="8">
        <f>[2]หน้าผ้า!AS42</f>
        <v>4400.55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PDR250182</v>
      </c>
      <c r="AG33" s="1" t="str">
        <f>[3]หน้าผ้า!DC45</f>
        <v>รอตัด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45822</v>
      </c>
      <c r="AK33" s="3">
        <f>[2]หน้าผ้า!DQ42</f>
        <v>0</v>
      </c>
      <c r="AL33" s="3">
        <f>[2]หน้าผ้า!DR42</f>
        <v>45813</v>
      </c>
      <c r="AM33" s="3">
        <f>[2]หน้าผ้า!DS42</f>
        <v>45820</v>
      </c>
      <c r="AN33" s="3">
        <f>[2]หน้าผ้า!DT42</f>
        <v>45821</v>
      </c>
      <c r="AO33" s="3">
        <f>[2]หน้าผ้า!DU42</f>
        <v>45821</v>
      </c>
      <c r="AP33" s="3">
        <f>[2]หน้าผ้า!DP42</f>
        <v>45817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331.46898400000003</v>
      </c>
    </row>
    <row r="34" spans="1:56" ht="27.75" customHeight="1" x14ac:dyDescent="0.45">
      <c r="A34" s="3">
        <f>[2]หน้าผ้า!C43</f>
        <v>45812</v>
      </c>
      <c r="B34" s="14" t="str">
        <f>[2]หน้าผ้า!B43</f>
        <v>MK68-000744</v>
      </c>
      <c r="C34" s="9" t="str">
        <f>[2]หน้าผ้า!E43</f>
        <v>บจก.เคอรี่ฟลาวมิลล์</v>
      </c>
      <c r="D34" s="13" t="str">
        <f>[2]หน้าผ้า!F43</f>
        <v>ไม่พิมพ์</v>
      </c>
      <c r="E34" s="9">
        <f>[2]หน้าผ้า!G43</f>
        <v>19</v>
      </c>
      <c r="F34" s="9">
        <f>[2]หน้าผ้า!H43</f>
        <v>36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75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45822</v>
      </c>
      <c r="U34" s="11">
        <f>[2]หน้าผ้า!AA43</f>
        <v>10000</v>
      </c>
      <c r="V34" s="10">
        <f>[2]หน้าผ้า!AJ43</f>
        <v>0</v>
      </c>
      <c r="W34" s="10">
        <f>[2]หน้าผ้า!AL43</f>
        <v>10000</v>
      </c>
      <c r="X34" s="10">
        <f>[2]หน้าผ้า!AM43</f>
        <v>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10477.5</v>
      </c>
      <c r="AB34" s="8">
        <f>[2]หน้าผ้า!AR43</f>
        <v>0</v>
      </c>
      <c r="AC34" s="8">
        <f>[2]หน้าผ้า!AS43</f>
        <v>10477.5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PDR250182</v>
      </c>
      <c r="AG34" s="1" t="str">
        <f>[3]หน้าผ้า!DC46</f>
        <v>ผ้าขาว</v>
      </c>
      <c r="AH34" s="1" t="str">
        <f>[2]หน้าผ้า!DL43</f>
        <v>P3</v>
      </c>
      <c r="AI34" s="1">
        <f>[2]หน้าผ้า!DM43</f>
        <v>2</v>
      </c>
      <c r="AJ34" s="3">
        <f>[2]หน้าผ้า!DN43</f>
        <v>45822</v>
      </c>
      <c r="AK34" s="3">
        <f>[2]หน้าผ้า!DQ43</f>
        <v>0</v>
      </c>
      <c r="AL34" s="3">
        <f>[2]หน้าผ้า!DR43</f>
        <v>0</v>
      </c>
      <c r="AM34" s="3">
        <f>[2]หน้าผ้า!DS43</f>
        <v>0</v>
      </c>
      <c r="AN34" s="3">
        <f>[2]หน้าผ้า!DT43</f>
        <v>0</v>
      </c>
      <c r="AO34" s="3">
        <f>[2]หน้าผ้า!DU43</f>
        <v>45820</v>
      </c>
      <c r="AP34" s="3">
        <f>[2]หน้าผ้า!DP43</f>
        <v>45817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ตัด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789.21186666666665</v>
      </c>
    </row>
    <row r="35" spans="1:56" ht="27.75" customHeight="1" x14ac:dyDescent="0.45">
      <c r="A35" s="3">
        <f>[2]หน้าผ้า!C44</f>
        <v>45812</v>
      </c>
      <c r="B35" s="14" t="str">
        <f>[2]หน้าผ้า!B44</f>
        <v>MK68-000743</v>
      </c>
      <c r="C35" s="9" t="str">
        <f>[2]หน้าผ้า!E44</f>
        <v>บจก.เคอรี่ฟลาวมิลล์</v>
      </c>
      <c r="D35" s="13" t="str">
        <f>[2]หน้าผ้า!F44</f>
        <v>ปาท่องโก๋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ไม่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ห่ออัดเบลแบน501</v>
      </c>
      <c r="T35" s="12">
        <f>[2]หน้าผ้า!X44</f>
        <v>45825</v>
      </c>
      <c r="U35" s="11">
        <f>[2]หน้าผ้า!AA44</f>
        <v>3000</v>
      </c>
      <c r="V35" s="10">
        <f>[2]หน้าผ้า!AJ44</f>
        <v>0</v>
      </c>
      <c r="W35" s="10">
        <f>[2]หน้าผ้า!AL44</f>
        <v>3000</v>
      </c>
      <c r="X35" s="10">
        <f>[2]หน้าผ้า!AM44</f>
        <v>0</v>
      </c>
      <c r="Y35" s="10">
        <f>[2]หน้าผ้า!AN44</f>
        <v>3150</v>
      </c>
      <c r="Z35" s="9" t="str">
        <f>[2]หน้าผ้า!AO44</f>
        <v>WSWT1921720</v>
      </c>
      <c r="AA35" s="8">
        <f>[2]หน้าผ้า!AQ44</f>
        <v>2640.33</v>
      </c>
      <c r="AB35" s="8">
        <f>[2]หน้าผ้า!AR44</f>
        <v>0</v>
      </c>
      <c r="AC35" s="8">
        <f>[2]หน้าผ้า!AS44</f>
        <v>2640.33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PDR250183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45825</v>
      </c>
      <c r="AK35" s="3">
        <f>[2]หน้าผ้า!DQ44</f>
        <v>0</v>
      </c>
      <c r="AL35" s="3">
        <f>[2]หน้าผ้า!DR44</f>
        <v>45816</v>
      </c>
      <c r="AM35" s="3">
        <f>[2]หน้าผ้า!DS44</f>
        <v>45823</v>
      </c>
      <c r="AN35" s="3">
        <f>[2]หน้าผ้า!DT44</f>
        <v>45824</v>
      </c>
      <c r="AO35" s="3">
        <f>[2]หน้าผ้า!DU44</f>
        <v>45824</v>
      </c>
      <c r="AP35" s="3">
        <f>[2]หน้าผ้า!DP44</f>
        <v>45820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198.88139040000004</v>
      </c>
    </row>
    <row r="36" spans="1:56" ht="27.75" customHeight="1" x14ac:dyDescent="0.45">
      <c r="A36" s="3">
        <f>[2]หน้าผ้า!C45</f>
        <v>45812</v>
      </c>
      <c r="B36" s="14" t="str">
        <f>[2]หน้าผ้า!B45</f>
        <v>MK68-000743</v>
      </c>
      <c r="C36" s="9" t="str">
        <f>[2]หน้าผ้า!E45</f>
        <v>บจก.เคอรี่ฟลาวมิลล์</v>
      </c>
      <c r="D36" s="13" t="str">
        <f>[2]หน้าผ้า!F45</f>
        <v>กุ้งแดง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45825</v>
      </c>
      <c r="U36" s="11">
        <f>[2]หน้าผ้า!AA45</f>
        <v>10000</v>
      </c>
      <c r="V36" s="10">
        <f>[2]หน้าผ้า!AJ45</f>
        <v>0</v>
      </c>
      <c r="W36" s="10">
        <f>[2]หน้าผ้า!AL45</f>
        <v>10000</v>
      </c>
      <c r="X36" s="10">
        <f>[2]หน้าผ้า!AM45</f>
        <v>10400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PDR250183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45825</v>
      </c>
      <c r="AK36" s="3">
        <f>[2]หน้าผ้า!DQ45</f>
        <v>0</v>
      </c>
      <c r="AL36" s="3">
        <f>[2]หน้าผ้า!DR45</f>
        <v>45816</v>
      </c>
      <c r="AM36" s="3">
        <f>[2]หน้าผ้า!DS45</f>
        <v>45823</v>
      </c>
      <c r="AN36" s="3">
        <f>[2]หน้าผ้า!DT45</f>
        <v>45824</v>
      </c>
      <c r="AO36" s="3">
        <f>[2]หน้าผ้า!DU45</f>
        <v>45824</v>
      </c>
      <c r="AP36" s="3">
        <f>[2]หน้าผ้า!DP45</f>
        <v>45820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45812</v>
      </c>
      <c r="B37" s="14" t="str">
        <f>[2]หน้าผ้า!B46</f>
        <v>MK68-000745</v>
      </c>
      <c r="C37" s="9" t="str">
        <f>[2]หน้าผ้า!E46</f>
        <v>บจก.เคอรี่ฟลาวมิลล์</v>
      </c>
      <c r="D37" s="13" t="str">
        <f>[2]หน้าผ้า!F46</f>
        <v>ไม่พิมพ์</v>
      </c>
      <c r="E37" s="9">
        <f>[2]หน้าผ้า!G46</f>
        <v>19</v>
      </c>
      <c r="F37" s="9">
        <f>[2]หน้าผ้า!H46</f>
        <v>36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75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45825</v>
      </c>
      <c r="U37" s="11">
        <f>[2]หน้าผ้า!AA46</f>
        <v>10000</v>
      </c>
      <c r="V37" s="10">
        <f>[2]หน้าผ้า!AJ46</f>
        <v>0</v>
      </c>
      <c r="W37" s="10">
        <f>[2]หน้าผ้า!AL46</f>
        <v>10000</v>
      </c>
      <c r="X37" s="10">
        <f>[2]หน้าผ้า!AM46</f>
        <v>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10477.5</v>
      </c>
      <c r="AB37" s="8">
        <f>[2]หน้าผ้า!AR46</f>
        <v>0</v>
      </c>
      <c r="AC37" s="8">
        <f>[2]หน้าผ้า!AS46</f>
        <v>10477.5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PDR250183</v>
      </c>
      <c r="AG37" s="1" t="str">
        <f>[3]หน้าผ้า!DC49</f>
        <v>ยังไม่ได้พิมพ์</v>
      </c>
      <c r="AH37" s="1" t="str">
        <f>[2]หน้าผ้า!DL46</f>
        <v>P3</v>
      </c>
      <c r="AI37" s="1">
        <f>[2]หน้าผ้า!DM46</f>
        <v>2</v>
      </c>
      <c r="AJ37" s="3">
        <f>[2]หน้าผ้า!DN46</f>
        <v>45825</v>
      </c>
      <c r="AK37" s="3">
        <f>[2]หน้าผ้า!DQ46</f>
        <v>0</v>
      </c>
      <c r="AL37" s="3">
        <f>[2]หน้าผ้า!DR46</f>
        <v>0</v>
      </c>
      <c r="AM37" s="3">
        <f>[2]หน้าผ้า!DS46</f>
        <v>0</v>
      </c>
      <c r="AN37" s="3">
        <f>[2]หน้าผ้า!DT46</f>
        <v>0</v>
      </c>
      <c r="AO37" s="3">
        <f>[2]หน้าผ้า!DU46</f>
        <v>45823</v>
      </c>
      <c r="AP37" s="3">
        <f>[2]หน้าผ้า!DP46</f>
        <v>45820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ตัด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789.21186666666665</v>
      </c>
    </row>
    <row r="38" spans="1:56" ht="27.75" customHeight="1" x14ac:dyDescent="0.45">
      <c r="A38" s="3">
        <f>[2]หน้าผ้า!C47</f>
        <v>45812</v>
      </c>
      <c r="B38" s="14" t="str">
        <f>[2]หน้าผ้า!B47</f>
        <v>MK68-000743</v>
      </c>
      <c r="C38" s="9" t="str">
        <f>[2]หน้าผ้า!E47</f>
        <v>บจก.เคอรี่ฟลาวมิลล์</v>
      </c>
      <c r="D38" s="13" t="str">
        <f>[2]หน้าผ้า!F47</f>
        <v>เคเอ็ม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45827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4400.55</v>
      </c>
      <c r="AB38" s="8">
        <f>[2]หน้าผ้า!AR47</f>
        <v>0</v>
      </c>
      <c r="AC38" s="8">
        <f>[2]หน้าผ้า!AS47</f>
        <v>4400.55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PDR250184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45827</v>
      </c>
      <c r="AK38" s="3">
        <f>[2]หน้าผ้า!DQ47</f>
        <v>0</v>
      </c>
      <c r="AL38" s="3">
        <f>[2]หน้าผ้า!DR47</f>
        <v>45818</v>
      </c>
      <c r="AM38" s="3">
        <f>[2]หน้าผ้า!DS47</f>
        <v>45825</v>
      </c>
      <c r="AN38" s="3">
        <f>[2]หน้าผ้า!DT47</f>
        <v>45826</v>
      </c>
      <c r="AO38" s="3">
        <f>[2]หน้าผ้า!DU47</f>
        <v>45826</v>
      </c>
      <c r="AP38" s="3">
        <f>[2]หน้าผ้า!DP47</f>
        <v>45822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331.46898400000003</v>
      </c>
    </row>
    <row r="39" spans="1:56" ht="27.75" customHeight="1" x14ac:dyDescent="0.45">
      <c r="A39" s="3">
        <f>[2]หน้าผ้า!C48</f>
        <v>45812</v>
      </c>
      <c r="B39" s="14" t="str">
        <f>[2]หน้าผ้า!B48</f>
        <v>MK68-000743</v>
      </c>
      <c r="C39" s="9" t="str">
        <f>[2]หน้าผ้า!E48</f>
        <v>บจก.เคอรี่ฟลาวมิลล์</v>
      </c>
      <c r="D39" s="13" t="str">
        <f>[2]หน้าผ้า!F48</f>
        <v>แต้มแดง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45827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4400.55</v>
      </c>
      <c r="AB39" s="8">
        <f>[2]หน้าผ้า!AR48</f>
        <v>0</v>
      </c>
      <c r="AC39" s="8">
        <f>[2]หน้าผ้า!AS48</f>
        <v>4400.55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PDR250184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45827</v>
      </c>
      <c r="AK39" s="3">
        <f>[2]หน้าผ้า!DQ48</f>
        <v>0</v>
      </c>
      <c r="AL39" s="3">
        <f>[2]หน้าผ้า!DR48</f>
        <v>45818</v>
      </c>
      <c r="AM39" s="3">
        <f>[2]หน้าผ้า!DS48</f>
        <v>45825</v>
      </c>
      <c r="AN39" s="3">
        <f>[2]หน้าผ้า!DT48</f>
        <v>45826</v>
      </c>
      <c r="AO39" s="3">
        <f>[2]หน้าผ้า!DU48</f>
        <v>45826</v>
      </c>
      <c r="AP39" s="3">
        <f>[2]หน้าผ้า!DP48</f>
        <v>45822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331.46898400000003</v>
      </c>
    </row>
    <row r="40" spans="1:56" ht="27.75" customHeight="1" x14ac:dyDescent="0.45">
      <c r="A40" s="3">
        <f>[2]หน้าผ้า!C49</f>
        <v>45812</v>
      </c>
      <c r="B40" s="14" t="str">
        <f>[2]หน้าผ้า!B49</f>
        <v>MK68-000743</v>
      </c>
      <c r="C40" s="9" t="str">
        <f>[2]หน้าผ้า!E49</f>
        <v>บจก.เคอรี่ฟลาวมิลล์</v>
      </c>
      <c r="D40" s="13" t="str">
        <f>[2]หน้าผ้า!F49</f>
        <v>ดอกไม้แดง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45827</v>
      </c>
      <c r="U40" s="11">
        <f>[2]หน้าผ้า!AA49</f>
        <v>10000</v>
      </c>
      <c r="V40" s="10">
        <f>[2]หน้าผ้า!AJ49</f>
        <v>0</v>
      </c>
      <c r="W40" s="10">
        <f>[2]หน้าผ้า!AL49</f>
        <v>10000</v>
      </c>
      <c r="X40" s="10">
        <f>[2]หน้าผ้า!AM49</f>
        <v>0</v>
      </c>
      <c r="Y40" s="10">
        <f>[2]หน้าผ้า!AN49</f>
        <v>10500</v>
      </c>
      <c r="Z40" s="9" t="str">
        <f>[2]หน้าผ้า!AO49</f>
        <v>WSWT1921720</v>
      </c>
      <c r="AA40" s="8">
        <f>[2]หน้าผ้า!AQ49</f>
        <v>8801.1</v>
      </c>
      <c r="AB40" s="8">
        <f>[2]หน้าผ้า!AR49</f>
        <v>0</v>
      </c>
      <c r="AC40" s="8">
        <f>[2]หน้าผ้า!AS49</f>
        <v>8801.1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PDR250184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45827</v>
      </c>
      <c r="AK40" s="3">
        <f>[2]หน้าผ้า!DQ49</f>
        <v>0</v>
      </c>
      <c r="AL40" s="3">
        <f>[2]หน้าผ้า!DR49</f>
        <v>45818</v>
      </c>
      <c r="AM40" s="3">
        <f>[2]หน้าผ้า!DS49</f>
        <v>45825</v>
      </c>
      <c r="AN40" s="3">
        <f>[2]หน้าผ้า!DT49</f>
        <v>45826</v>
      </c>
      <c r="AO40" s="3">
        <f>[2]หน้าผ้า!DU49</f>
        <v>45826</v>
      </c>
      <c r="AP40" s="3">
        <f>[2]หน้าผ้า!DP49</f>
        <v>45822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662.93796800000007</v>
      </c>
    </row>
    <row r="41" spans="1:56" ht="27.75" customHeight="1" x14ac:dyDescent="0.45">
      <c r="A41" s="3">
        <f>[2]หน้าผ้า!C50</f>
        <v>45812</v>
      </c>
      <c r="B41" s="14" t="str">
        <f>[2]หน้าผ้า!B50</f>
        <v>MK68-000747</v>
      </c>
      <c r="C41" s="9" t="str">
        <f>[2]หน้าผ้า!E50</f>
        <v>บจก.เคอรี่ฟลาวมิลล์</v>
      </c>
      <c r="D41" s="13" t="str">
        <f>[2]หน้าผ้า!F50</f>
        <v>ปลาโลมาแดง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45827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4400.55</v>
      </c>
      <c r="AB41" s="8">
        <f>[2]หน้าผ้า!AR50</f>
        <v>0</v>
      </c>
      <c r="AC41" s="8">
        <f>[2]หน้าผ้า!AS50</f>
        <v>4400.55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PDR250185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45827</v>
      </c>
      <c r="AK41" s="3">
        <f>[2]หน้าผ้า!DQ50</f>
        <v>0</v>
      </c>
      <c r="AL41" s="3">
        <f>[2]หน้าผ้า!DR50</f>
        <v>45818</v>
      </c>
      <c r="AM41" s="3">
        <f>[2]หน้าผ้า!DS50</f>
        <v>45825</v>
      </c>
      <c r="AN41" s="3">
        <f>[2]หน้าผ้า!DT50</f>
        <v>45826</v>
      </c>
      <c r="AO41" s="3">
        <f>[2]หน้าผ้า!DU50</f>
        <v>45826</v>
      </c>
      <c r="AP41" s="3">
        <f>[2]หน้าผ้า!DP50</f>
        <v>45822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331.46898400000003</v>
      </c>
    </row>
    <row r="42" spans="1:56" ht="27.75" customHeight="1" x14ac:dyDescent="0.45">
      <c r="A42" s="3">
        <f>[2]หน้าผ้า!C51</f>
        <v>45812</v>
      </c>
      <c r="B42" s="14" t="str">
        <f>[2]หน้าผ้า!B51</f>
        <v>MK68-000747</v>
      </c>
      <c r="C42" s="9" t="str">
        <f>[2]หน้าผ้า!E51</f>
        <v>บจก.เคอรี่ฟลาวมิลล์</v>
      </c>
      <c r="D42" s="13" t="str">
        <f>[2]หน้าผ้า!F51</f>
        <v>HARD FLOUR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45827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4400.55</v>
      </c>
      <c r="AB42" s="8">
        <f>[2]หน้าผ้า!AR51</f>
        <v>0</v>
      </c>
      <c r="AC42" s="8">
        <f>[2]หน้าผ้า!AS51</f>
        <v>4400.55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PDR250185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45827</v>
      </c>
      <c r="AK42" s="3">
        <f>[2]หน้าผ้า!DQ51</f>
        <v>0</v>
      </c>
      <c r="AL42" s="3">
        <f>[2]หน้าผ้า!DR51</f>
        <v>45818</v>
      </c>
      <c r="AM42" s="3">
        <f>[2]หน้าผ้า!DS51</f>
        <v>45825</v>
      </c>
      <c r="AN42" s="3">
        <f>[2]หน้าผ้า!DT51</f>
        <v>45826</v>
      </c>
      <c r="AO42" s="3">
        <f>[2]หน้าผ้า!DU51</f>
        <v>45826</v>
      </c>
      <c r="AP42" s="3">
        <f>[2]หน้าผ้า!DP51</f>
        <v>45822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331.46898400000003</v>
      </c>
    </row>
    <row r="43" spans="1:56" ht="27.75" customHeight="1" x14ac:dyDescent="0.45">
      <c r="A43" s="3">
        <f>[2]หน้าผ้า!C52</f>
        <v>45812</v>
      </c>
      <c r="B43" s="14" t="str">
        <f>[2]หน้าผ้า!B52</f>
        <v>MK68-000748</v>
      </c>
      <c r="C43" s="9" t="str">
        <f>[2]หน้าผ้า!E52</f>
        <v>บจก.เคอรี่ฟลาวมิลล์</v>
      </c>
      <c r="D43" s="13" t="str">
        <f>[2]หน้าผ้า!F52</f>
        <v>ดอกไม้แดง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45827</v>
      </c>
      <c r="U43" s="11">
        <f>[2]หน้าผ้า!AA52</f>
        <v>10000</v>
      </c>
      <c r="V43" s="10">
        <f>[2]หน้าผ้า!AJ52</f>
        <v>0</v>
      </c>
      <c r="W43" s="10">
        <f>[2]หน้าผ้า!AL52</f>
        <v>10000</v>
      </c>
      <c r="X43" s="10">
        <f>[2]หน้าผ้า!AM52</f>
        <v>0</v>
      </c>
      <c r="Y43" s="10">
        <f>[2]หน้าผ้า!AN52</f>
        <v>10500</v>
      </c>
      <c r="Z43" s="9" t="str">
        <f>[2]หน้าผ้า!AO52</f>
        <v>WSWT1921720</v>
      </c>
      <c r="AA43" s="8">
        <f>[2]หน้าผ้า!AQ52</f>
        <v>9359.9000000000015</v>
      </c>
      <c r="AB43" s="8">
        <f>[2]หน้าผ้า!AR52</f>
        <v>0</v>
      </c>
      <c r="AC43" s="8">
        <f>[2]หน้าผ้า!AS52</f>
        <v>9359.9000000000015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PDR250185</v>
      </c>
      <c r="AG43" s="1" t="str">
        <f>[3]หน้าผ้า!DC55</f>
        <v>รอตัด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45827</v>
      </c>
      <c r="AK43" s="3">
        <f>[2]หน้าผ้า!DQ52</f>
        <v>0</v>
      </c>
      <c r="AL43" s="3">
        <f>[2]หน้าผ้า!DR52</f>
        <v>45818</v>
      </c>
      <c r="AM43" s="3">
        <f>[2]หน้าผ้า!DS52</f>
        <v>45825</v>
      </c>
      <c r="AN43" s="3">
        <f>[2]หน้าผ้า!DT52</f>
        <v>45826</v>
      </c>
      <c r="AO43" s="3">
        <f>[2]หน้าผ้า!DU52</f>
        <v>45826</v>
      </c>
      <c r="AP43" s="3">
        <f>[2]หน้าผ้า!DP52</f>
        <v>45822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705.02926755555563</v>
      </c>
    </row>
    <row r="44" spans="1:56" ht="27.75" customHeight="1" x14ac:dyDescent="0.45">
      <c r="A44" s="3">
        <f>[2]หน้าผ้า!C53</f>
        <v>45812</v>
      </c>
      <c r="B44" s="14" t="str">
        <f>[2]หน้าผ้า!B53</f>
        <v>MK68-000748</v>
      </c>
      <c r="C44" s="9" t="str">
        <f>[2]หน้าผ้า!E53</f>
        <v>บจก.เคอรี่ฟลาวมิลล์</v>
      </c>
      <c r="D44" s="13" t="str">
        <f>[2]หน้าผ้า!F53</f>
        <v>WHOLE WHEAT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ห่ออัดเบลแบน501</v>
      </c>
      <c r="T44" s="12">
        <f>[2]หน้าผ้า!X53</f>
        <v>45827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0</v>
      </c>
      <c r="AC44" s="8">
        <f>[2]หน้าผ้า!AS53</f>
        <v>4679.9500000000007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PDR250185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45827</v>
      </c>
      <c r="AK44" s="3">
        <f>[2]หน้าผ้า!DQ53</f>
        <v>0</v>
      </c>
      <c r="AL44" s="3">
        <f>[2]หน้าผ้า!DR53</f>
        <v>45818</v>
      </c>
      <c r="AM44" s="3">
        <f>[2]หน้าผ้า!DS53</f>
        <v>45825</v>
      </c>
      <c r="AN44" s="3">
        <f>[2]หน้าผ้า!DT53</f>
        <v>45826</v>
      </c>
      <c r="AO44" s="3">
        <f>[2]หน้าผ้า!DU53</f>
        <v>45826</v>
      </c>
      <c r="AP44" s="3">
        <f>[2]หน้าผ้า!DP53</f>
        <v>45822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352.51463377777782</v>
      </c>
    </row>
    <row r="45" spans="1:56" ht="27.75" customHeight="1" x14ac:dyDescent="0.45">
      <c r="A45" s="3">
        <f>[2]หน้าผ้า!C54</f>
        <v>45812</v>
      </c>
      <c r="B45" s="14" t="str">
        <f>[2]หน้าผ้า!B54</f>
        <v>MK68-000747</v>
      </c>
      <c r="C45" s="9" t="str">
        <f>[2]หน้าผ้า!E54</f>
        <v>บจก.เคอรี่ฟลาวมิลล์</v>
      </c>
      <c r="D45" s="13" t="str">
        <f>[2]หน้าผ้า!F54</f>
        <v>บะหมี่เตี๊ยว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ห่ออัดเบลแบน501</v>
      </c>
      <c r="T45" s="12">
        <f>[2]หน้าผ้า!X54</f>
        <v>45828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4400.55</v>
      </c>
      <c r="AB45" s="8">
        <f>[2]หน้าผ้า!AR54</f>
        <v>0</v>
      </c>
      <c r="AC45" s="8">
        <f>[2]หน้าผ้า!AS54</f>
        <v>4400.55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PDR250186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45828</v>
      </c>
      <c r="AK45" s="3">
        <f>[2]หน้าผ้า!DQ54</f>
        <v>0</v>
      </c>
      <c r="AL45" s="3">
        <f>[2]หน้าผ้า!DR54</f>
        <v>45819</v>
      </c>
      <c r="AM45" s="3">
        <f>[2]หน้าผ้า!DS54</f>
        <v>45826</v>
      </c>
      <c r="AN45" s="3">
        <f>[2]หน้าผ้า!DT54</f>
        <v>45827</v>
      </c>
      <c r="AO45" s="3">
        <f>[2]หน้าผ้า!DU54</f>
        <v>45827</v>
      </c>
      <c r="AP45" s="3">
        <f>[2]หน้าผ้า!DP54</f>
        <v>45823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331.46898400000003</v>
      </c>
    </row>
    <row r="46" spans="1:56" ht="27.75" customHeight="1" x14ac:dyDescent="0.45">
      <c r="A46" s="3">
        <f>[2]หน้าผ้า!C55</f>
        <v>45812</v>
      </c>
      <c r="B46" s="14" t="str">
        <f>[2]หน้าผ้า!B55</f>
        <v>MK68-000747</v>
      </c>
      <c r="C46" s="9" t="str">
        <f>[2]หน้าผ้า!E55</f>
        <v>บจก.เคอรี่ฟลาวมิลล์</v>
      </c>
      <c r="D46" s="13" t="str">
        <f>[2]หน้าผ้า!F55</f>
        <v>ถุงเขียว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ห่ออัดเบลแบน501</v>
      </c>
      <c r="T46" s="12">
        <f>[2]หน้าผ้า!X55</f>
        <v>45828</v>
      </c>
      <c r="U46" s="11">
        <f>[2]หน้าผ้า!AA55</f>
        <v>10000</v>
      </c>
      <c r="V46" s="10">
        <f>[2]หน้าผ้า!AJ55</f>
        <v>0</v>
      </c>
      <c r="W46" s="10">
        <f>[2]หน้าผ้า!AL55</f>
        <v>10000</v>
      </c>
      <c r="X46" s="10">
        <f>[2]หน้าผ้า!AM55</f>
        <v>10200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PDR250186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45828</v>
      </c>
      <c r="AK46" s="3">
        <f>[2]หน้าผ้า!DQ55</f>
        <v>0</v>
      </c>
      <c r="AL46" s="3">
        <f>[2]หน้าผ้า!DR55</f>
        <v>45819</v>
      </c>
      <c r="AM46" s="3">
        <f>[2]หน้าผ้า!DS55</f>
        <v>45826</v>
      </c>
      <c r="AN46" s="3">
        <f>[2]หน้าผ้า!DT55</f>
        <v>45827</v>
      </c>
      <c r="AO46" s="3">
        <f>[2]หน้าผ้า!DU55</f>
        <v>45827</v>
      </c>
      <c r="AP46" s="3">
        <f>[2]หน้าผ้า!DP55</f>
        <v>45823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45812</v>
      </c>
      <c r="B47" s="14" t="str">
        <f>[2]หน้าผ้า!B56</f>
        <v>MK68-000748</v>
      </c>
      <c r="C47" s="9" t="str">
        <f>[2]หน้าผ้า!E56</f>
        <v>บจก.เคอรี่ฟลาวมิลล์</v>
      </c>
      <c r="D47" s="13" t="str">
        <f>[2]หน้าผ้า!F56</f>
        <v>ดอกไม้เขียว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ห่ออัดเบลแบน501</v>
      </c>
      <c r="T47" s="12">
        <f>[2]หน้าผ้า!X56</f>
        <v>45828</v>
      </c>
      <c r="U47" s="11">
        <f>[2]หน้าผ้า!AA56</f>
        <v>10000</v>
      </c>
      <c r="V47" s="10">
        <f>[2]หน้าผ้า!AJ56</f>
        <v>0</v>
      </c>
      <c r="W47" s="10">
        <f>[2]หน้าผ้า!AL56</f>
        <v>10000</v>
      </c>
      <c r="X47" s="10">
        <f>[2]หน้าผ้า!AM56</f>
        <v>0</v>
      </c>
      <c r="Y47" s="10">
        <f>[2]หน้าผ้า!AN56</f>
        <v>10500</v>
      </c>
      <c r="Z47" s="9" t="str">
        <f>[2]หน้าผ้า!AO56</f>
        <v>WSWT1921720</v>
      </c>
      <c r="AA47" s="8">
        <f>[2]หน้าผ้า!AQ56</f>
        <v>9359.9000000000015</v>
      </c>
      <c r="AB47" s="8">
        <f>[2]หน้าผ้า!AR56</f>
        <v>0</v>
      </c>
      <c r="AC47" s="8">
        <f>[2]หน้าผ้า!AS56</f>
        <v>9359.9000000000015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PDR250186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45828</v>
      </c>
      <c r="AK47" s="3">
        <f>[2]หน้าผ้า!DQ56</f>
        <v>0</v>
      </c>
      <c r="AL47" s="3">
        <f>[2]หน้าผ้า!DR56</f>
        <v>45819</v>
      </c>
      <c r="AM47" s="3">
        <f>[2]หน้าผ้า!DS56</f>
        <v>45826</v>
      </c>
      <c r="AN47" s="3">
        <f>[2]หน้าผ้า!DT56</f>
        <v>45827</v>
      </c>
      <c r="AO47" s="3">
        <f>[2]หน้าผ้า!DU56</f>
        <v>45827</v>
      </c>
      <c r="AP47" s="3">
        <f>[2]หน้าผ้า!DP56</f>
        <v>45823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>
        <f>[2]หน้าผ้า!ED56</f>
        <v>0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705.02926755555563</v>
      </c>
    </row>
    <row r="48" spans="1:56" ht="27.75" customHeight="1" x14ac:dyDescent="0.45">
      <c r="A48" s="3">
        <f>[2]หน้าผ้า!C57</f>
        <v>45812</v>
      </c>
      <c r="B48" s="14" t="str">
        <f>[2]หน้าผ้า!B57</f>
        <v>MK68-000743</v>
      </c>
      <c r="C48" s="9" t="str">
        <f>[2]หน้าผ้า!E57</f>
        <v>บจก.เคอรี่ฟลาวมิลล์</v>
      </c>
      <c r="D48" s="13" t="str">
        <f>[2]หน้าผ้า!F57</f>
        <v>เคเอ็ม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ห่ออัดเบลแบน501</v>
      </c>
      <c r="T48" s="12">
        <f>[2]หน้าผ้า!X57</f>
        <v>45829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4400.55</v>
      </c>
      <c r="AB48" s="8">
        <f>[2]หน้าผ้า!AR57</f>
        <v>0</v>
      </c>
      <c r="AC48" s="8">
        <f>[2]หน้าผ้า!AS57</f>
        <v>4400.55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PDR250187</v>
      </c>
      <c r="AG48" s="1" t="str">
        <f>[3]หน้าผ้า!DC60</f>
        <v>รอตัด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45829</v>
      </c>
      <c r="AK48" s="3">
        <f>[2]หน้าผ้า!DQ57</f>
        <v>0</v>
      </c>
      <c r="AL48" s="3">
        <f>[2]หน้าผ้า!DR57</f>
        <v>45820</v>
      </c>
      <c r="AM48" s="3">
        <f>[2]หน้าผ้า!DS57</f>
        <v>45827</v>
      </c>
      <c r="AN48" s="3">
        <f>[2]หน้าผ้า!DT57</f>
        <v>45828</v>
      </c>
      <c r="AO48" s="3">
        <f>[2]หน้าผ้า!DU57</f>
        <v>45828</v>
      </c>
      <c r="AP48" s="3">
        <f>[2]หน้าผ้า!DP57</f>
        <v>45824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331.46898400000003</v>
      </c>
    </row>
    <row r="49" spans="1:56" ht="27.75" customHeight="1" x14ac:dyDescent="0.45">
      <c r="A49" s="3">
        <f>[2]หน้าผ้า!C58</f>
        <v>45812</v>
      </c>
      <c r="B49" s="14" t="str">
        <f>[2]หน้าผ้า!B58</f>
        <v>MK68-000743</v>
      </c>
      <c r="C49" s="9" t="str">
        <f>[2]หน้าผ้า!E58</f>
        <v>บจก.เคอรี่ฟลาวมิลล์</v>
      </c>
      <c r="D49" s="13" t="str">
        <f>[2]หน้าผ้า!F58</f>
        <v>แต้มทอง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ห่ออัดเบลแบน501</v>
      </c>
      <c r="T49" s="12">
        <f>[2]หน้าผ้า!X58</f>
        <v>45829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4400.55</v>
      </c>
      <c r="AB49" s="8">
        <f>[2]หน้าผ้า!AR58</f>
        <v>0</v>
      </c>
      <c r="AC49" s="8">
        <f>[2]หน้าผ้า!AS58</f>
        <v>4400.55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PDR250187</v>
      </c>
      <c r="AG49" s="1" t="str">
        <f>[3]หน้าผ้า!DC61</f>
        <v>รอแบบ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45829</v>
      </c>
      <c r="AK49" s="3">
        <f>[2]หน้าผ้า!DQ58</f>
        <v>0</v>
      </c>
      <c r="AL49" s="3">
        <f>[2]หน้าผ้า!DR58</f>
        <v>45820</v>
      </c>
      <c r="AM49" s="3">
        <f>[2]หน้าผ้า!DS58</f>
        <v>45827</v>
      </c>
      <c r="AN49" s="3">
        <f>[2]หน้าผ้า!DT58</f>
        <v>45828</v>
      </c>
      <c r="AO49" s="3">
        <f>[2]หน้าผ้า!DU58</f>
        <v>45828</v>
      </c>
      <c r="AP49" s="3">
        <f>[2]หน้าผ้า!DP58</f>
        <v>45824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331.46898400000003</v>
      </c>
    </row>
    <row r="50" spans="1:56" ht="27.75" customHeight="1" x14ac:dyDescent="0.45">
      <c r="A50" s="3">
        <f>[2]หน้าผ้า!C59</f>
        <v>45812</v>
      </c>
      <c r="B50" s="14" t="str">
        <f>[2]หน้าผ้า!B59</f>
        <v>MK68-000743</v>
      </c>
      <c r="C50" s="9" t="str">
        <f>[2]หน้าผ้า!E59</f>
        <v>บจก.เคอรี่ฟลาวมิลล์</v>
      </c>
      <c r="D50" s="13" t="str">
        <f>[2]หน้าผ้า!F59</f>
        <v>ถุงทองแซนวิช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ห่ออัดเบลแบน501</v>
      </c>
      <c r="T50" s="12">
        <f>[2]หน้าผ้า!X59</f>
        <v>45829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4400.55</v>
      </c>
      <c r="AB50" s="8">
        <f>[2]หน้าผ้า!AR59</f>
        <v>0</v>
      </c>
      <c r="AC50" s="8">
        <f>[2]หน้าผ้า!AS59</f>
        <v>4400.55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PDR250187</v>
      </c>
      <c r="AG50" s="1" t="str">
        <f>[3]หน้าผ้า!DC62</f>
        <v>พร้อมส่ง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45829</v>
      </c>
      <c r="AK50" s="3">
        <f>[2]หน้าผ้า!DQ59</f>
        <v>0</v>
      </c>
      <c r="AL50" s="3">
        <f>[2]หน้าผ้า!DR59</f>
        <v>45820</v>
      </c>
      <c r="AM50" s="3">
        <f>[2]หน้าผ้า!DS59</f>
        <v>45827</v>
      </c>
      <c r="AN50" s="3">
        <f>[2]หน้าผ้า!DT59</f>
        <v>45828</v>
      </c>
      <c r="AO50" s="3">
        <f>[2]หน้าผ้า!DU59</f>
        <v>45828</v>
      </c>
      <c r="AP50" s="3">
        <f>[2]หน้าผ้า!DP59</f>
        <v>45824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331.46898400000003</v>
      </c>
    </row>
    <row r="51" spans="1:56" ht="27.75" customHeight="1" x14ac:dyDescent="0.45">
      <c r="A51" s="3">
        <f>[2]หน้าผ้า!C60</f>
        <v>45812</v>
      </c>
      <c r="B51" s="14" t="str">
        <f>[2]หน้าผ้า!B60</f>
        <v>MK68-000743</v>
      </c>
      <c r="C51" s="9" t="str">
        <f>[2]หน้าผ้า!E60</f>
        <v>บจก.เคอรี่ฟลาวมิลล์</v>
      </c>
      <c r="D51" s="13" t="str">
        <f>[2]หน้าผ้า!F60</f>
        <v>ถุงเขียว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ห่ออัดเบลแบน501</v>
      </c>
      <c r="T51" s="12">
        <f>[2]หน้าผ้า!X60</f>
        <v>45829</v>
      </c>
      <c r="U51" s="11">
        <f>[2]หน้าผ้า!AA60</f>
        <v>10000</v>
      </c>
      <c r="V51" s="10">
        <f>[2]หน้าผ้า!AJ60</f>
        <v>0</v>
      </c>
      <c r="W51" s="10">
        <f>[2]หน้าผ้า!AL60</f>
        <v>10000</v>
      </c>
      <c r="X51" s="10">
        <f>[2]หน้าผ้า!AM60</f>
        <v>10600</v>
      </c>
      <c r="Y51" s="10">
        <f>[2]หน้าผ้า!AN60</f>
        <v>0</v>
      </c>
      <c r="Z51" s="9" t="str">
        <f>[2]หน้าผ้า!AO60</f>
        <v>WSWT1921720</v>
      </c>
      <c r="AA51" s="8">
        <f>[2]หน้าผ้า!AQ60</f>
        <v>0</v>
      </c>
      <c r="AB51" s="8">
        <f>[2]หน้าผ้า!AR60</f>
        <v>0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PDR250187</v>
      </c>
      <c r="AG51" s="1" t="str">
        <f>[3]หน้าผ้า!DC63</f>
        <v>พร้อมส่ง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45829</v>
      </c>
      <c r="AK51" s="3">
        <f>[2]หน้าผ้า!DQ60</f>
        <v>0</v>
      </c>
      <c r="AL51" s="3">
        <f>[2]หน้าผ้า!DR60</f>
        <v>45820</v>
      </c>
      <c r="AM51" s="3">
        <f>[2]หน้าผ้า!DS60</f>
        <v>45827</v>
      </c>
      <c r="AN51" s="3">
        <f>[2]หน้าผ้า!DT60</f>
        <v>45828</v>
      </c>
      <c r="AO51" s="3">
        <f>[2]หน้าผ้า!DU60</f>
        <v>45828</v>
      </c>
      <c r="AP51" s="3">
        <f>[2]หน้าผ้า!DP60</f>
        <v>45824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7.75" customHeight="1" x14ac:dyDescent="0.45">
      <c r="A52" s="3" t="str">
        <f>[2]หน้าผ้า!C61</f>
        <v>ประมาณการ</v>
      </c>
      <c r="B52" s="14" t="str">
        <f>[2]หน้าผ้า!B61</f>
        <v>ประมาณการ</v>
      </c>
      <c r="C52" s="9" t="str">
        <f>[2]หน้าผ้า!E61</f>
        <v>บจก.เคอรี่ฟลาวมิลล์</v>
      </c>
      <c r="D52" s="13" t="str">
        <f>[2]หน้าผ้า!F61</f>
        <v>รอแบบ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45838</v>
      </c>
      <c r="U52" s="11">
        <f>[2]หน้าผ้า!AA61</f>
        <v>275000</v>
      </c>
      <c r="V52" s="10">
        <f>[2]หน้าผ้า!AJ61</f>
        <v>0</v>
      </c>
      <c r="W52" s="10">
        <f>[2]หน้าผ้า!AL61</f>
        <v>275000</v>
      </c>
      <c r="X52" s="10">
        <f>[2]หน้าผ้า!AM61</f>
        <v>0</v>
      </c>
      <c r="Y52" s="10">
        <f>[2]หน้าผ้า!AN61</f>
        <v>288750</v>
      </c>
      <c r="Z52" s="9" t="str">
        <f>[2]หน้าผ้า!AO61</f>
        <v>WSWT1921720</v>
      </c>
      <c r="AA52" s="8">
        <f>[2]หน้าผ้า!AQ61</f>
        <v>242030.25</v>
      </c>
      <c r="AB52" s="8">
        <f>[2]หน้าผ้า!AR61</f>
        <v>0</v>
      </c>
      <c r="AC52" s="8">
        <f>[2]หน้าผ้า!AS61</f>
        <v>242030.25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พร้อมส่ง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45838</v>
      </c>
      <c r="AK52" s="3">
        <f>[2]หน้าผ้า!DQ61</f>
        <v>0</v>
      </c>
      <c r="AL52" s="3">
        <f>[2]หน้าผ้า!DR61</f>
        <v>45829</v>
      </c>
      <c r="AM52" s="3">
        <f>[2]หน้าผ้า!DS61</f>
        <v>45836</v>
      </c>
      <c r="AN52" s="3">
        <f>[2]หน้าผ้า!DT61</f>
        <v>45837</v>
      </c>
      <c r="AO52" s="3">
        <f>[2]หน้าผ้า!DU61</f>
        <v>45837</v>
      </c>
      <c r="AP52" s="3">
        <f>[2]หน้าผ้า!DP61</f>
        <v>45833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18230.794120000006</v>
      </c>
    </row>
    <row r="53" spans="1:56" ht="27.75" customHeight="1" x14ac:dyDescent="0.45">
      <c r="A53" s="3">
        <f>[2]หน้าผ้า!C62</f>
        <v>0</v>
      </c>
      <c r="B53" s="14">
        <f>[2]หน้าผ้า!B62</f>
        <v>0</v>
      </c>
      <c r="C53" s="9">
        <f>[2]หน้าผ้า!E62</f>
        <v>0</v>
      </c>
      <c r="D53" s="13">
        <f>[2]หน้าผ้า!F62</f>
        <v>0</v>
      </c>
      <c r="E53" s="9">
        <f>[2]หน้าผ้า!G62</f>
        <v>19</v>
      </c>
      <c r="F53" s="9">
        <f>[2]หน้าผ้า!H62</f>
        <v>30</v>
      </c>
      <c r="G53" s="9">
        <f>[2]หน้าผ้า!I62</f>
        <v>0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>
        <f>[2]หน้าผ้า!R62</f>
        <v>0</v>
      </c>
      <c r="M53" s="10">
        <f>[2]หน้าผ้า!T62</f>
        <v>0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>
        <f>[2]หน้าผ้า!Z62</f>
        <v>0</v>
      </c>
      <c r="T53" s="12">
        <f>[2]หน้าผ้า!X62</f>
        <v>0</v>
      </c>
      <c r="U53" s="11">
        <f>[2]หน้าผ้า!AA62</f>
        <v>0</v>
      </c>
      <c r="V53" s="10">
        <f>[2]หน้าผ้า!AJ62</f>
        <v>0</v>
      </c>
      <c r="W53" s="10">
        <f>[2]หน้าผ้า!AL62</f>
        <v>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350633.03</v>
      </c>
      <c r="AB53" s="8">
        <f>[2]หน้าผ้า!AR62</f>
        <v>2854</v>
      </c>
      <c r="AC53" s="8">
        <f>[2]หน้าผ้า!AS62</f>
        <v>347779.03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ระบุในSD</v>
      </c>
      <c r="AG53" s="1" t="str">
        <f>[3]หน้าผ้า!DC65</f>
        <v>พร้อมส่ง</v>
      </c>
      <c r="AH53" s="1">
        <f>[2]หน้าผ้า!DL62</f>
        <v>0</v>
      </c>
      <c r="AI53" s="1" t="str">
        <f>[2]หน้าผ้า!DM62</f>
        <v>Lead time</v>
      </c>
      <c r="AJ53" s="3">
        <f>[2]หน้าผ้า!DN62</f>
        <v>0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0</v>
      </c>
      <c r="AP53" s="3">
        <f>[2]หน้าผ้า!DP62</f>
        <v>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>
        <f>[2]หน้าผ้า!EC62</f>
        <v>0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WRWT190720/WRWT25800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0</v>
      </c>
      <c r="B54" s="14">
        <f>[2]หน้าผ้า!B63</f>
        <v>0</v>
      </c>
      <c r="C54" s="9">
        <f>[2]หน้าผ้า!E63</f>
        <v>0</v>
      </c>
      <c r="D54" s="13">
        <f>[2]หน้าผ้า!F63</f>
        <v>0</v>
      </c>
      <c r="E54" s="9">
        <f>[2]หน้าผ้า!G63</f>
        <v>19</v>
      </c>
      <c r="F54" s="9">
        <f>[2]หน้าผ้า!H63</f>
        <v>30</v>
      </c>
      <c r="G54" s="9">
        <f>[2]หน้าผ้า!I63</f>
        <v>0</v>
      </c>
      <c r="H54" s="9">
        <f>[2]หน้าผ้า!J63</f>
        <v>0</v>
      </c>
      <c r="I54" s="9">
        <f>[2]หน้าผ้า!L63</f>
        <v>56</v>
      </c>
      <c r="J54" s="9" t="str">
        <f>[2]หน้าผ้า!M63</f>
        <v>±</v>
      </c>
      <c r="K54" s="9">
        <f>[2]หน้าผ้า!N63</f>
        <v>5</v>
      </c>
      <c r="L54" s="9">
        <f>[2]หน้าผ้า!R63</f>
        <v>0</v>
      </c>
      <c r="M54" s="10">
        <f>[2]หน้าผ้า!T63</f>
        <v>0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>
        <f>[2]หน้าผ้า!Z63</f>
        <v>0</v>
      </c>
      <c r="T54" s="12">
        <f>[2]หน้าผ้า!X63</f>
        <v>0</v>
      </c>
      <c r="U54" s="11">
        <f>[2]หน้าผ้า!AA63</f>
        <v>0</v>
      </c>
      <c r="V54" s="10" t="str">
        <f>[2]หน้าผ้า!AJ63</f>
        <v xml:space="preserve"> </v>
      </c>
      <c r="W54" s="10">
        <f>[2]หน้าผ้า!AL63</f>
        <v>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WSWT1925800SM</v>
      </c>
      <c r="AA54" s="8" t="e">
        <f>[2]หน้าผ้า!AQ63</f>
        <v>#REF!</v>
      </c>
      <c r="AB54" s="8" t="e">
        <f>[2]หน้าผ้า!AR63</f>
        <v>#REF!</v>
      </c>
      <c r="AC54" s="8" t="e">
        <f>[2]หน้าผ้า!AS63</f>
        <v>#REF!</v>
      </c>
      <c r="AD54" s="8" t="e">
        <f>[2]หน้าผ้า!AT63</f>
        <v>#REF!</v>
      </c>
      <c r="AE54" s="8" t="e">
        <f>[2]หน้าผ้า!AU63</f>
        <v>#REF!</v>
      </c>
      <c r="AF54" s="8" t="str">
        <f>[2]หน้าผ้า!AI63</f>
        <v>ระบุในSD</v>
      </c>
      <c r="AG54" s="1" t="str">
        <f>[3]หน้าผ้า!DC66</f>
        <v>ยังไม่ได้พิมพ์</v>
      </c>
      <c r="AH54" s="1">
        <f>[2]หน้าผ้า!DL63</f>
        <v>0</v>
      </c>
      <c r="AI54" s="1" t="str">
        <f>[2]หน้าผ้า!DM63</f>
        <v>Lead time</v>
      </c>
      <c r="AJ54" s="3">
        <f>[2]หน้าผ้า!DN63</f>
        <v>0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0</v>
      </c>
      <c r="AP54" s="3">
        <f>[2]หน้าผ้า!DP63</f>
        <v>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>
        <f>[2]หน้าผ้า!EC63</f>
        <v>0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WRWT190800/WRWT25800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45796</v>
      </c>
      <c r="B55" s="14" t="str">
        <f>[2]หน้าผ้า!B64</f>
        <v>MK68-000680</v>
      </c>
      <c r="C55" s="9" t="str">
        <f>[2]หน้าผ้า!E64</f>
        <v>บจก.อินเทคค์ โกลบอล</v>
      </c>
      <c r="D55" s="13" t="str">
        <f>[2]หน้าผ้า!F64</f>
        <v>เพอเฟคค์103P โกลด์</v>
      </c>
      <c r="E55" s="9">
        <f>[2]หน้าผ้า!G64</f>
        <v>19</v>
      </c>
      <c r="F55" s="9">
        <f>[2]หน้าผ้า!H64</f>
        <v>34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จับจีบ4"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 t="str">
        <f>[2]หน้าผ้า!X64</f>
        <v>รอแจ้ง</v>
      </c>
      <c r="U55" s="11">
        <f>[2]หน้าผ้า!AA64</f>
        <v>503</v>
      </c>
      <c r="V55" s="10">
        <f>[2]หน้าผ้า!AJ64</f>
        <v>0</v>
      </c>
      <c r="W55" s="10">
        <f>[2]หน้าผ้า!AL64</f>
        <v>503</v>
      </c>
      <c r="X55" s="10">
        <f>[2]หน้าผ้า!AM64</f>
        <v>5250</v>
      </c>
      <c r="Y55" s="10">
        <f>[2]หน้าผ้า!AN64</f>
        <v>0</v>
      </c>
      <c r="Z55" s="9" t="str">
        <f>[2]หน้าผ้า!AO64</f>
        <v>WSWT19251000SM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 t="str">
        <f>[2]หน้าผ้า!DN64</f>
        <v>รอแจ้ง</v>
      </c>
      <c r="AK55" s="3" t="e">
        <f>[2]หน้าผ้า!DQ64</f>
        <v>#VALUE!</v>
      </c>
      <c r="AL55" s="3" t="e">
        <f>[2]หน้าผ้า!DR64</f>
        <v>#VALUE!</v>
      </c>
      <c r="AM55" s="3" t="e">
        <f>[2]หน้าผ้า!DS64</f>
        <v>#VALUE!</v>
      </c>
      <c r="AN55" s="3" t="e">
        <f>[2]หน้าผ้า!DT64</f>
        <v>#VALUE!</v>
      </c>
      <c r="AO55" s="3" t="e">
        <f>[2]หน้าผ้า!DU64</f>
        <v>#VALUE!</v>
      </c>
      <c r="AP55" s="3" t="e">
        <f>[2]หน้าผ้า!DP64</f>
        <v>#VALUE!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WRWT251000/WRWT251000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0</v>
      </c>
      <c r="B56" s="14">
        <f>[2]หน้าผ้า!B65</f>
        <v>0</v>
      </c>
      <c r="C56" s="9">
        <f>[2]หน้าผ้า!E65</f>
        <v>0</v>
      </c>
      <c r="D56" s="13">
        <f>[2]หน้าผ้า!F65</f>
        <v>0</v>
      </c>
      <c r="E56" s="9">
        <f>[2]หน้าผ้า!G65</f>
        <v>19</v>
      </c>
      <c r="F56" s="9">
        <f>[2]หน้าผ้า!H65</f>
        <v>34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80</v>
      </c>
      <c r="J56" s="9" t="str">
        <f>[2]หน้าผ้า!M65</f>
        <v>±</v>
      </c>
      <c r="K56" s="9">
        <f>[2]หน้าผ้า!N65</f>
        <v>5</v>
      </c>
      <c r="L56" s="9">
        <f>[2]หน้าผ้า!R65</f>
        <v>0</v>
      </c>
      <c r="M56" s="10">
        <f>[2]หน้าผ้า!T65</f>
        <v>0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>
        <f>[2]หน้าผ้า!Z65</f>
        <v>0</v>
      </c>
      <c r="T56" s="12">
        <f>[2]หน้าผ้า!X65</f>
        <v>0</v>
      </c>
      <c r="U56" s="11">
        <f>[2]หน้าผ้า!AA65</f>
        <v>0</v>
      </c>
      <c r="V56" s="10">
        <f>[2]หน้าผ้า!AJ65</f>
        <v>0</v>
      </c>
      <c r="W56" s="10">
        <f>[2]หน้าผ้า!AL65</f>
        <v>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WSWT19251000SM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ระบุในSD</v>
      </c>
      <c r="AG56" s="1" t="str">
        <f>[3]หน้าผ้า!DC68</f>
        <v>พร้อมส่ง</v>
      </c>
      <c r="AH56" s="1">
        <f>[2]หน้าผ้า!DL65</f>
        <v>0</v>
      </c>
      <c r="AI56" s="1" t="str">
        <f>[2]หน้าผ้า!DM65</f>
        <v>Lead time</v>
      </c>
      <c r="AJ56" s="3">
        <f>[2]หน้าผ้า!DN65</f>
        <v>0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0</v>
      </c>
      <c r="AP56" s="3">
        <f>[2]หน้าผ้า!DP65</f>
        <v>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>
        <f>[2]หน้าผ้า!EC65</f>
        <v>0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WRWT251000/WRYL251000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0</v>
      </c>
      <c r="B57" s="14" t="str">
        <f>[2]หน้าผ้า!B66</f>
        <v>ใบรับคำสั่งซื้อ</v>
      </c>
      <c r="C57" s="9" t="str">
        <f>[2]หน้าผ้า!E66</f>
        <v>บจก.เอเชียเหมืองแร่</v>
      </c>
      <c r="D57" s="13" t="str">
        <f>[2]หน้าผ้า!F66</f>
        <v>ลูกโลก AMPC</v>
      </c>
      <c r="E57" s="9">
        <f>[2]หน้าผ้า!G66</f>
        <v>20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ไม่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500กระสอบ</v>
      </c>
      <c r="T57" s="12">
        <f>[2]หน้าผ้า!X66</f>
        <v>45829</v>
      </c>
      <c r="U57" s="11">
        <f>[2]หน้าผ้า!AA66</f>
        <v>20000</v>
      </c>
      <c r="V57" s="10">
        <f>[2]หน้าผ้า!AJ66</f>
        <v>0</v>
      </c>
      <c r="W57" s="10">
        <f>[2]หน้าผ้า!AL66</f>
        <v>20000</v>
      </c>
      <c r="X57" s="10">
        <f>[2]หน้าผ้า!AM66</f>
        <v>0</v>
      </c>
      <c r="Y57" s="10">
        <f>[2]หน้าผ้า!AN66</f>
        <v>21000</v>
      </c>
      <c r="Z57" s="9" t="str">
        <f>[2]หน้าผ้า!AO66</f>
        <v>WSWT2025650</v>
      </c>
      <c r="AA57" s="8">
        <f>[2]หน้าผ้า!AQ66</f>
        <v>18719.800000000003</v>
      </c>
      <c r="AB57" s="8">
        <f>[2]หน้าผ้า!AR66</f>
        <v>7658</v>
      </c>
      <c r="AC57" s="8">
        <f>[2]หน้าผ้า!AS66</f>
        <v>11061.800000000003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รอตัด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45829</v>
      </c>
      <c r="AK57" s="3">
        <f>[2]หน้าผ้า!DQ66</f>
        <v>0</v>
      </c>
      <c r="AL57" s="3">
        <f>[2]หน้าผ้า!DR66</f>
        <v>45820</v>
      </c>
      <c r="AM57" s="3">
        <f>[2]หน้าผ้า!DS66</f>
        <v>45827</v>
      </c>
      <c r="AN57" s="3">
        <f>[2]หน้าผ้า!DT66</f>
        <v>45828</v>
      </c>
      <c r="AO57" s="3">
        <f>[2]หน้าผ้า!DU66</f>
        <v>45828</v>
      </c>
      <c r="AP57" s="3">
        <f>[2]หน้าผ้า!DP66</f>
        <v>45824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WRWT25650/WRWT25650</v>
      </c>
      <c r="BD57" s="56">
        <f>[2]หน้าผ้า!CA66</f>
        <v>679.07161111111111</v>
      </c>
    </row>
    <row r="58" spans="1:56" ht="27.75" customHeight="1" x14ac:dyDescent="0.45">
      <c r="A58" s="3">
        <f>[2]หน้าผ้า!C67</f>
        <v>0</v>
      </c>
      <c r="B58" s="14">
        <f>[2]หน้าผ้า!B67</f>
        <v>0</v>
      </c>
      <c r="C58" s="9">
        <f>[2]หน้าผ้า!E67</f>
        <v>0</v>
      </c>
      <c r="D58" s="13">
        <f>[2]หน้าผ้า!F67</f>
        <v>0</v>
      </c>
      <c r="E58" s="9">
        <f>[2]หน้าผ้า!G67</f>
        <v>20</v>
      </c>
      <c r="F58" s="9">
        <f>[2]หน้าผ้า!H67</f>
        <v>37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65</v>
      </c>
      <c r="J58" s="9" t="str">
        <f>[2]หน้าผ้า!M67</f>
        <v>±</v>
      </c>
      <c r="K58" s="9">
        <f>[2]หน้าผ้า!N67</f>
        <v>5</v>
      </c>
      <c r="L58" s="9">
        <f>[2]หน้าผ้า!R67</f>
        <v>0</v>
      </c>
      <c r="M58" s="10">
        <f>[2]หน้าผ้า!T67</f>
        <v>0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>
        <f>[2]หน้าผ้า!Z67</f>
        <v>0</v>
      </c>
      <c r="T58" s="12">
        <f>[2]หน้าผ้า!X67</f>
        <v>0</v>
      </c>
      <c r="U58" s="11">
        <f>[2]หน้าผ้า!AA67</f>
        <v>0</v>
      </c>
      <c r="V58" s="10">
        <f>[2]หน้าผ้า!AJ67</f>
        <v>0</v>
      </c>
      <c r="W58" s="10">
        <f>[2]หน้าผ้า!AL67</f>
        <v>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WSWT2025650</v>
      </c>
      <c r="AA58" s="8">
        <f>[2]หน้าผ้า!AQ67</f>
        <v>18719.800000000003</v>
      </c>
      <c r="AB58" s="8">
        <f>[2]หน้าผ้า!AR67</f>
        <v>7658</v>
      </c>
      <c r="AC58" s="8">
        <f>[2]หน้าผ้า!AS67</f>
        <v>11061.800000000003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ระบุในSD</v>
      </c>
      <c r="AG58" s="1" t="str">
        <f>[3]หน้าผ้า!DC70</f>
        <v>รอตัด</v>
      </c>
      <c r="AH58" s="1">
        <f>[2]หน้าผ้า!DL67</f>
        <v>0</v>
      </c>
      <c r="AI58" s="1" t="str">
        <f>[2]หน้าผ้า!DM67</f>
        <v>Lead time</v>
      </c>
      <c r="AJ58" s="3">
        <f>[2]หน้าผ้า!DN67</f>
        <v>0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0</v>
      </c>
      <c r="AP58" s="3">
        <f>[2]หน้าผ้า!DP67</f>
        <v>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>
        <f>[2]หน้าผ้า!EC67</f>
        <v>0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WRWT25650/WRWT25650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0</v>
      </c>
      <c r="B59" s="14">
        <f>[2]หน้าผ้า!B68</f>
        <v>0</v>
      </c>
      <c r="C59" s="9">
        <f>[2]หน้าผ้า!E68</f>
        <v>0</v>
      </c>
      <c r="D59" s="13">
        <f>[2]หน้าผ้า!F68</f>
        <v>0</v>
      </c>
      <c r="E59" s="9">
        <f>[2]หน้าผ้า!G68</f>
        <v>20</v>
      </c>
      <c r="F59" s="9">
        <f>[2]หน้าผ้า!H68</f>
        <v>37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70</v>
      </c>
      <c r="J59" s="9" t="str">
        <f>[2]หน้าผ้า!M68</f>
        <v>±</v>
      </c>
      <c r="K59" s="9">
        <f>[2]หน้าผ้า!N68</f>
        <v>5</v>
      </c>
      <c r="L59" s="9">
        <f>[2]หน้าผ้า!R68</f>
        <v>0</v>
      </c>
      <c r="M59" s="10">
        <f>[2]หน้าผ้า!T68</f>
        <v>0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>
        <f>[2]หน้าผ้า!Z68</f>
        <v>0</v>
      </c>
      <c r="T59" s="12">
        <f>[2]หน้าผ้า!X68</f>
        <v>0</v>
      </c>
      <c r="U59" s="11">
        <f>[2]หน้าผ้า!AA68</f>
        <v>0</v>
      </c>
      <c r="V59" s="10">
        <f>[2]หน้าผ้า!AJ68</f>
        <v>0</v>
      </c>
      <c r="W59" s="10">
        <f>[2]หน้าผ้า!AL68</f>
        <v>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WSWT2025700</v>
      </c>
      <c r="AA59" s="8" t="e">
        <f>[2]หน้าผ้า!AQ68</f>
        <v>#REF!</v>
      </c>
      <c r="AB59" s="8" t="e">
        <f>[2]หน้าผ้า!AR68</f>
        <v>#REF!</v>
      </c>
      <c r="AC59" s="8" t="e">
        <f>[2]หน้าผ้า!AS68</f>
        <v>#REF!</v>
      </c>
      <c r="AD59" s="8" t="e">
        <f>[2]หน้าผ้า!AT68</f>
        <v>#REF!</v>
      </c>
      <c r="AE59" s="8" t="e">
        <f>[2]หน้าผ้า!AU68</f>
        <v>#REF!</v>
      </c>
      <c r="AF59" s="8" t="str">
        <f>[2]หน้าผ้า!AI68</f>
        <v>ระบุในSD</v>
      </c>
      <c r="AG59" s="1" t="str">
        <f>[3]หน้าผ้า!DC71</f>
        <v>ยังไม่ได้พิมพ์</v>
      </c>
      <c r="AH59" s="1">
        <f>[2]หน้าผ้า!DL68</f>
        <v>0</v>
      </c>
      <c r="AI59" s="1" t="str">
        <f>[2]หน้าผ้า!DM68</f>
        <v>Lead time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WRWT25800/WRWT25650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45796</v>
      </c>
      <c r="B60" s="14" t="str">
        <f>[2]หน้าผ้า!B69</f>
        <v>MK68-000671</v>
      </c>
      <c r="C60" s="9" t="str">
        <f>[2]หน้าผ้า!E69</f>
        <v>บจก.อินเทคค์ โกลบอล</v>
      </c>
      <c r="D60" s="13" t="str">
        <f>[2]หน้าผ้า!F69</f>
        <v>เฟิร์สช้อย 911</v>
      </c>
      <c r="E60" s="9">
        <f>[2]หน้าผ้า!G69</f>
        <v>20</v>
      </c>
      <c r="F60" s="9">
        <f>[2]หน้าผ้า!H69</f>
        <v>36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>
        <f>[2]หน้าผ้า!X69</f>
        <v>45821</v>
      </c>
      <c r="U60" s="11">
        <f>[2]หน้าผ้า!AA69</f>
        <v>3280</v>
      </c>
      <c r="V60" s="10">
        <f>[2]หน้าผ้า!AJ69</f>
        <v>2447</v>
      </c>
      <c r="W60" s="10">
        <f>[2]หน้าผ้า!AL69</f>
        <v>833</v>
      </c>
      <c r="X60" s="10">
        <f>[2]หน้าผ้า!AM69</f>
        <v>5975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รอตัด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45821</v>
      </c>
      <c r="AK60" s="3">
        <f>[2]หน้าผ้า!DQ69</f>
        <v>45817</v>
      </c>
      <c r="AL60" s="3">
        <f>[2]หน้าผ้า!DR69</f>
        <v>45810</v>
      </c>
      <c r="AM60" s="3">
        <f>[2]หน้าผ้า!DS69</f>
        <v>45818</v>
      </c>
      <c r="AN60" s="3">
        <f>[2]หน้าผ้า!DT69</f>
        <v>45819</v>
      </c>
      <c r="AO60" s="3">
        <f>[2]หน้าผ้า!DU69</f>
        <v>45820</v>
      </c>
      <c r="AP60" s="3">
        <f>[2]หน้าผ้า!DP69</f>
        <v>45816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45796</v>
      </c>
      <c r="B61" s="14" t="str">
        <f>[2]หน้าผ้า!B70</f>
        <v>MK68-000672</v>
      </c>
      <c r="C61" s="9" t="str">
        <f>[2]หน้าผ้า!E70</f>
        <v>บจก.อินเทคค์ โกลบอล</v>
      </c>
      <c r="D61" s="13" t="str">
        <f>[2]หน้าผ้า!F70</f>
        <v>เฟิร์สช้อย 912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>
        <f>[2]หน้าผ้า!X70</f>
        <v>45821</v>
      </c>
      <c r="U61" s="11">
        <f>[2]หน้าผ้า!AA70</f>
        <v>3853</v>
      </c>
      <c r="V61" s="10">
        <f>[2]หน้าผ้า!AJ70</f>
        <v>840</v>
      </c>
      <c r="W61" s="10">
        <f>[2]หน้าผ้า!AL70</f>
        <v>3013</v>
      </c>
      <c r="X61" s="10">
        <f>[2]หน้าผ้า!AM70</f>
        <v>15401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รอตัด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45821</v>
      </c>
      <c r="AK61" s="3">
        <f>[2]หน้าผ้า!DQ70</f>
        <v>45817</v>
      </c>
      <c r="AL61" s="3">
        <f>[2]หน้าผ้า!DR70</f>
        <v>45810</v>
      </c>
      <c r="AM61" s="3">
        <f>[2]หน้าผ้า!DS70</f>
        <v>45818</v>
      </c>
      <c r="AN61" s="3">
        <f>[2]หน้าผ้า!DT70</f>
        <v>45819</v>
      </c>
      <c r="AO61" s="3">
        <f>[2]หน้าผ้า!DU70</f>
        <v>45820</v>
      </c>
      <c r="AP61" s="3">
        <f>[2]หน้าผ้า!DP70</f>
        <v>45816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45796</v>
      </c>
      <c r="B62" s="14" t="str">
        <f>[2]หน้าผ้า!B71</f>
        <v>MK68-000672</v>
      </c>
      <c r="C62" s="9" t="str">
        <f>[2]หน้าผ้า!E71</f>
        <v>บจก.อินเทคค์ โกลบอล</v>
      </c>
      <c r="D62" s="13" t="str">
        <f>[2]หน้าผ้า!F71</f>
        <v>เฟิร์สช้อย 913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>
        <f>[2]หน้าผ้า!X71</f>
        <v>45821</v>
      </c>
      <c r="U62" s="11">
        <f>[2]หน้าผ้า!AA71</f>
        <v>4349</v>
      </c>
      <c r="V62" s="10">
        <f>[2]หน้าผ้า!AJ71</f>
        <v>0</v>
      </c>
      <c r="W62" s="10">
        <f>[2]หน้าผ้า!AL71</f>
        <v>4349</v>
      </c>
      <c r="X62" s="10">
        <f>[2]หน้าผ้า!AM71</f>
        <v>0</v>
      </c>
      <c r="Y62" s="10">
        <f>[2]หน้าผ้า!AN71</f>
        <v>4566.45</v>
      </c>
      <c r="Z62" s="9" t="str">
        <f>[2]หน้าผ้า!AO71</f>
        <v>WSWT2025800SM</v>
      </c>
      <c r="AA62" s="8">
        <f>[2]หน้าผ้า!AQ71</f>
        <v>4556.6647499999999</v>
      </c>
      <c r="AB62" s="8">
        <f>[2]หน้าผ้า!AR71</f>
        <v>4556.6647499999999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4556.6647499999999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45821</v>
      </c>
      <c r="AK62" s="3">
        <f>[2]หน้าผ้า!DQ71</f>
        <v>45817</v>
      </c>
      <c r="AL62" s="3">
        <f>[2]หน้าผ้า!DR71</f>
        <v>45810</v>
      </c>
      <c r="AM62" s="3">
        <f>[2]หน้าผ้า!DS71</f>
        <v>45818</v>
      </c>
      <c r="AN62" s="3">
        <f>[2]หน้าผ้า!DT71</f>
        <v>45819</v>
      </c>
      <c r="AO62" s="3">
        <f>[2]หน้าผ้า!DU71</f>
        <v>45820</v>
      </c>
      <c r="AP62" s="3">
        <f>[2]หน้าผ้า!DP71</f>
        <v>45816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45796</v>
      </c>
      <c r="B63" s="14" t="str">
        <f>[2]หน้าผ้า!B72</f>
        <v>MK68-000675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914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>
        <f>[2]หน้าผ้า!X72</f>
        <v>45821</v>
      </c>
      <c r="U63" s="11">
        <f>[2]หน้าผ้า!AA72</f>
        <v>17200</v>
      </c>
      <c r="V63" s="10">
        <f>[2]หน้าผ้า!AJ72</f>
        <v>0</v>
      </c>
      <c r="W63" s="10">
        <f>[2]หน้าผ้า!AL72</f>
        <v>17200</v>
      </c>
      <c r="X63" s="10">
        <f>[2]หน้าผ้า!AM72</f>
        <v>35200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พิมพ์ไม่ครบ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45821</v>
      </c>
      <c r="AK63" s="3">
        <f>[2]หน้าผ้า!DQ72</f>
        <v>45817</v>
      </c>
      <c r="AL63" s="3">
        <f>[2]หน้าผ้า!DR72</f>
        <v>45810</v>
      </c>
      <c r="AM63" s="3">
        <f>[2]หน้าผ้า!DS72</f>
        <v>45818</v>
      </c>
      <c r="AN63" s="3">
        <f>[2]หน้าผ้า!DT72</f>
        <v>45819</v>
      </c>
      <c r="AO63" s="3">
        <f>[2]หน้าผ้า!DU72</f>
        <v>45820</v>
      </c>
      <c r="AP63" s="3">
        <f>[2]หน้าผ้า!DP72</f>
        <v>45816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 t="str">
        <f>[2]หน้าผ้า!AG72</f>
        <v>2/6---6/6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45796</v>
      </c>
      <c r="B64" s="14" t="str">
        <f>[2]หน้าผ้า!B73</f>
        <v>MK68-000676</v>
      </c>
      <c r="C64" s="9" t="str">
        <f>[2]หน้าผ้า!E73</f>
        <v>บจก.อินเทคค์ โกลบอล</v>
      </c>
      <c r="D64" s="13" t="str">
        <f>[2]หน้าผ้า!F73</f>
        <v>เพอเฟคค์ 916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>
        <f>[2]หน้าผ้า!X73</f>
        <v>45821</v>
      </c>
      <c r="U64" s="11">
        <f>[2]หน้าผ้า!AA73</f>
        <v>10000</v>
      </c>
      <c r="V64" s="10">
        <f>[2]หน้าผ้า!AJ73</f>
        <v>3920</v>
      </c>
      <c r="W64" s="10">
        <f>[2]หน้าผ้า!AL73</f>
        <v>6080</v>
      </c>
      <c r="X64" s="10">
        <f>[2]หน้าผ้า!AM73</f>
        <v>12101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45821</v>
      </c>
      <c r="AK64" s="3">
        <f>[2]หน้าผ้า!DQ73</f>
        <v>45817</v>
      </c>
      <c r="AL64" s="3">
        <f>[2]หน้าผ้า!DR73</f>
        <v>45810</v>
      </c>
      <c r="AM64" s="3">
        <f>[2]หน้าผ้า!DS73</f>
        <v>45818</v>
      </c>
      <c r="AN64" s="3">
        <f>[2]หน้าผ้า!DT73</f>
        <v>45819</v>
      </c>
      <c r="AO64" s="3">
        <f>[2]หน้าผ้า!DU73</f>
        <v>45820</v>
      </c>
      <c r="AP64" s="3">
        <f>[2]หน้าผ้า!DP73</f>
        <v>45816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45766</v>
      </c>
      <c r="B65" s="14" t="str">
        <f>[2]หน้าผ้า!B74</f>
        <v>MK68-000555</v>
      </c>
      <c r="C65" s="9" t="str">
        <f>[2]หน้าผ้า!E74</f>
        <v>บจก.อินเทคค์ โกลบอล</v>
      </c>
      <c r="D65" s="13" t="str">
        <f>[2]หน้าผ้า!F74</f>
        <v>เพอเฟคค์ 916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จับจีบ4"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>
        <f>[2]หน้าผ้า!X74</f>
        <v>45821</v>
      </c>
      <c r="U65" s="11">
        <f>[2]หน้าผ้า!AA74</f>
        <v>1120</v>
      </c>
      <c r="V65" s="10">
        <f>[2]หน้าผ้า!AJ74</f>
        <v>1120</v>
      </c>
      <c r="W65" s="10">
        <f>[2]หน้าผ้า!AL74</f>
        <v>0</v>
      </c>
      <c r="X65" s="10">
        <f>[2]หน้าผ้า!AM74</f>
        <v>1200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ห้ามขาด-ห้ามเกิน</v>
      </c>
      <c r="AG65" s="1" t="str">
        <f>[3]หน้าผ้า!DC77</f>
        <v>รอตัด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45821</v>
      </c>
      <c r="AK65" s="3">
        <f>[2]หน้าผ้า!DQ74</f>
        <v>45817</v>
      </c>
      <c r="AL65" s="3">
        <f>[2]หน้าผ้า!DR74</f>
        <v>45810</v>
      </c>
      <c r="AM65" s="3">
        <f>[2]หน้าผ้า!DS74</f>
        <v>45818</v>
      </c>
      <c r="AN65" s="3">
        <f>[2]หน้าผ้า!DT74</f>
        <v>45819</v>
      </c>
      <c r="AO65" s="3">
        <f>[2]หน้าผ้า!DU74</f>
        <v>45820</v>
      </c>
      <c r="AP65" s="3">
        <f>[2]หน้าผ้า!DP74</f>
        <v>45816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45799</v>
      </c>
      <c r="B66" s="14" t="str">
        <f>[2]หน้าผ้า!B75</f>
        <v>MK68-000694</v>
      </c>
      <c r="C66" s="9" t="str">
        <f>[2]หน้าผ้า!E75</f>
        <v>บจก.เอ.เจ.ฟาร์ม่าแล็บ</v>
      </c>
      <c r="D66" s="13" t="str">
        <f>[2]หน้าผ้า!F75</f>
        <v>เวท-มิน</v>
      </c>
      <c r="E66" s="9">
        <f>[2]หน้าผ้า!G75</f>
        <v>20</v>
      </c>
      <c r="F66" s="9">
        <f>[2]หน้าผ้า!H75</f>
        <v>34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95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</v>
      </c>
      <c r="T66" s="12">
        <f>[2]หน้าผ้า!X75</f>
        <v>45819</v>
      </c>
      <c r="U66" s="11">
        <f>[2]หน้าผ้า!AA75</f>
        <v>12000</v>
      </c>
      <c r="V66" s="10">
        <f>[2]หน้าผ้า!AJ75</f>
        <v>0</v>
      </c>
      <c r="W66" s="10">
        <f>[2]หน้าผ้า!AL75</f>
        <v>12000</v>
      </c>
      <c r="X66" s="10">
        <f>[2]หน้าผ้า!AM75</f>
        <v>8045</v>
      </c>
      <c r="Y66" s="10">
        <f>[2]หน้าผ้า!AN75</f>
        <v>4152.75</v>
      </c>
      <c r="Z66" s="9" t="str">
        <f>[2]หน้าผ้า!AO75</f>
        <v>WSWT2025800SM</v>
      </c>
      <c r="AA66" s="8">
        <f>[2]หน้าผ้า!AQ75</f>
        <v>4118.9881425000003</v>
      </c>
      <c r="AB66" s="8">
        <f>[2]หน้าผ้า!AR75</f>
        <v>4118.9881425000003</v>
      </c>
      <c r="AC66" s="8">
        <f>[2]หน้าผ้า!AS75</f>
        <v>0</v>
      </c>
      <c r="AD66" s="8">
        <f>[2]หน้าผ้า!AT75</f>
        <v>4118.9881425000003</v>
      </c>
      <c r="AE66" s="8">
        <f>[2]หน้าผ้า!AU75</f>
        <v>0</v>
      </c>
      <c r="AF66" s="8" t="str">
        <f>[2]หน้าผ้า!AI75</f>
        <v>ห้ามขาด-ห้ามเกิน</v>
      </c>
      <c r="AG66" s="1" t="str">
        <f>[3]หน้าผ้า!DC78</f>
        <v>รอตัด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45819</v>
      </c>
      <c r="AK66" s="3">
        <f>[2]หน้าผ้า!DQ75</f>
        <v>45815</v>
      </c>
      <c r="AL66" s="3">
        <f>[2]หน้าผ้า!DR75</f>
        <v>45808</v>
      </c>
      <c r="AM66" s="3">
        <f>[2]หน้าผ้า!DS75</f>
        <v>45816</v>
      </c>
      <c r="AN66" s="3">
        <f>[2]หน้าผ้า!DT75</f>
        <v>45817</v>
      </c>
      <c r="AO66" s="3">
        <f>[2]หน้าผ้า!DU75</f>
        <v>45818</v>
      </c>
      <c r="AP66" s="3">
        <f>[2]หน้าผ้า!DP75</f>
        <v>45814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45810</v>
      </c>
      <c r="B67" s="14" t="str">
        <f>[2]หน้าผ้า!B76</f>
        <v>MK68-000740</v>
      </c>
      <c r="C67" s="9" t="str">
        <f>[2]หน้าผ้า!E76</f>
        <v>คุณชายชล จันทร์สว่างกูล</v>
      </c>
      <c r="D67" s="13" t="str">
        <f>[2]หน้าผ้า!F76</f>
        <v>เวท-มิน</v>
      </c>
      <c r="E67" s="9">
        <f>[2]หน้าผ้า!G76</f>
        <v>20</v>
      </c>
      <c r="F67" s="9">
        <f>[2]หน้าผ้า!H76</f>
        <v>34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95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</v>
      </c>
      <c r="T67" s="12">
        <f>[2]หน้าผ้า!X76</f>
        <v>45819</v>
      </c>
      <c r="U67" s="11">
        <f>[2]หน้าผ้า!AA76</f>
        <v>1500</v>
      </c>
      <c r="V67" s="10">
        <f>[2]หน้าผ้า!AJ76</f>
        <v>0</v>
      </c>
      <c r="W67" s="10">
        <f>[2]หน้าผ้า!AL76</f>
        <v>1500</v>
      </c>
      <c r="X67" s="10">
        <f>[2]หน้าผ้า!AM76</f>
        <v>0</v>
      </c>
      <c r="Y67" s="10">
        <f>[2]หน้าผ้า!AN76</f>
        <v>1575</v>
      </c>
      <c r="Z67" s="9" t="str">
        <f>[2]หน้าผ้า!AO76</f>
        <v>WSWT2025800SM</v>
      </c>
      <c r="AA67" s="8">
        <f>[2]หน้าผ้า!AQ76</f>
        <v>1487.8050000000001</v>
      </c>
      <c r="AB67" s="8">
        <f>[2]หน้าผ้า!AR76</f>
        <v>1487.8050000000001</v>
      </c>
      <c r="AC67" s="8">
        <f>[2]หน้าผ้า!AS76</f>
        <v>0</v>
      </c>
      <c r="AD67" s="8">
        <f>[2]หน้าผ้า!AT76</f>
        <v>1487.8050000000001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45819</v>
      </c>
      <c r="AK67" s="3">
        <f>[2]หน้าผ้า!DQ76</f>
        <v>45815</v>
      </c>
      <c r="AL67" s="3">
        <f>[2]หน้าผ้า!DR76</f>
        <v>45808</v>
      </c>
      <c r="AM67" s="3">
        <f>[2]หน้าผ้า!DS76</f>
        <v>45816</v>
      </c>
      <c r="AN67" s="3">
        <f>[2]หน้าผ้า!DT76</f>
        <v>45817</v>
      </c>
      <c r="AO67" s="3">
        <f>[2]หน้าผ้า!DU76</f>
        <v>45818</v>
      </c>
      <c r="AP67" s="3">
        <f>[2]หน้าผ้า!DP76</f>
        <v>45814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45799</v>
      </c>
      <c r="B68" s="14" t="str">
        <f>[2]หน้าผ้า!B77</f>
        <v>MK68-000694</v>
      </c>
      <c r="C68" s="9" t="str">
        <f>[2]หน้าผ้า!E77</f>
        <v>บจก.เอ.เจ.ฟาร์ม่าแล็บ</v>
      </c>
      <c r="D68" s="13" t="str">
        <f>[2]หน้าผ้า!F77</f>
        <v>เบส-มิน</v>
      </c>
      <c r="E68" s="9">
        <f>[2]หน้าผ้า!G77</f>
        <v>20</v>
      </c>
      <c r="F68" s="9">
        <f>[2]หน้าผ้า!H77</f>
        <v>34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95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</v>
      </c>
      <c r="T68" s="12">
        <f>[2]หน้าผ้า!X77</f>
        <v>45819</v>
      </c>
      <c r="U68" s="11">
        <f>[2]หน้าผ้า!AA77</f>
        <v>8000</v>
      </c>
      <c r="V68" s="10">
        <f>[2]หน้าผ้า!AJ77</f>
        <v>0</v>
      </c>
      <c r="W68" s="10">
        <f>[2]หน้าผ้า!AL77</f>
        <v>8000</v>
      </c>
      <c r="X68" s="10">
        <f>[2]หน้าผ้า!AM77</f>
        <v>8450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ห้ามขาด-ห้ามเกิน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45819</v>
      </c>
      <c r="AK68" s="3">
        <f>[2]หน้าผ้า!DQ77</f>
        <v>45815</v>
      </c>
      <c r="AL68" s="3">
        <f>[2]หน้าผ้า!DR77</f>
        <v>45808</v>
      </c>
      <c r="AM68" s="3">
        <f>[2]หน้าผ้า!DS77</f>
        <v>45816</v>
      </c>
      <c r="AN68" s="3">
        <f>[2]หน้าผ้า!DT77</f>
        <v>45817</v>
      </c>
      <c r="AO68" s="3">
        <f>[2]หน้าผ้า!DU77</f>
        <v>45818</v>
      </c>
      <c r="AP68" s="3">
        <f>[2]หน้าผ้า!DP77</f>
        <v>45814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45810</v>
      </c>
      <c r="B69" s="14" t="str">
        <f>[2]หน้าผ้า!B78</f>
        <v>MK68-000740</v>
      </c>
      <c r="C69" s="9" t="str">
        <f>[2]หน้าผ้า!E78</f>
        <v>คุณชายชล จันทร์สว่างกูล</v>
      </c>
      <c r="D69" s="13" t="str">
        <f>[2]หน้าผ้า!F78</f>
        <v>เบส-มิน</v>
      </c>
      <c r="E69" s="9">
        <f>[2]หน้าผ้า!G78</f>
        <v>20</v>
      </c>
      <c r="F69" s="9">
        <f>[2]หน้าผ้า!H78</f>
        <v>34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95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</v>
      </c>
      <c r="T69" s="12">
        <f>[2]หน้าผ้า!X78</f>
        <v>45819</v>
      </c>
      <c r="U69" s="11">
        <f>[2]หน้าผ้า!AA78</f>
        <v>1000</v>
      </c>
      <c r="V69" s="10">
        <f>[2]หน้าผ้า!AJ78</f>
        <v>0</v>
      </c>
      <c r="W69" s="10">
        <f>[2]หน้าผ้า!AL78</f>
        <v>1000</v>
      </c>
      <c r="X69" s="10">
        <f>[2]หน้าผ้า!AM78</f>
        <v>1000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45819</v>
      </c>
      <c r="AK69" s="3">
        <f>[2]หน้าผ้า!DQ78</f>
        <v>45815</v>
      </c>
      <c r="AL69" s="3">
        <f>[2]หน้าผ้า!DR78</f>
        <v>45808</v>
      </c>
      <c r="AM69" s="3">
        <f>[2]หน้าผ้า!DS78</f>
        <v>45816</v>
      </c>
      <c r="AN69" s="3">
        <f>[2]หน้าผ้า!DT78</f>
        <v>45817</v>
      </c>
      <c r="AO69" s="3">
        <f>[2]หน้าผ้า!DU78</f>
        <v>45818</v>
      </c>
      <c r="AP69" s="3">
        <f>[2]หน้าผ้า!DP78</f>
        <v>45814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45782</v>
      </c>
      <c r="B70" s="14" t="str">
        <f>[2]หน้าผ้า!B79</f>
        <v>MK68-000609</v>
      </c>
      <c r="C70" s="9" t="str">
        <f>[2]หน้าผ้า!E79</f>
        <v>บจก.เอสพีเอ็ม อาหารสัตว์</v>
      </c>
      <c r="D70" s="13" t="str">
        <f>[2]หน้าผ้า!F79</f>
        <v xml:space="preserve">SW 441 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45820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WSWT2025800SM</v>
      </c>
      <c r="AA70" s="8">
        <f>[2]หน้าผ้า!AQ79</f>
        <v>5518.15</v>
      </c>
      <c r="AB70" s="8">
        <f>[2]หน้าผ้า!AR79</f>
        <v>5518.15</v>
      </c>
      <c r="AC70" s="8">
        <f>[2]หน้าผ้า!AS79</f>
        <v>0</v>
      </c>
      <c r="AD70" s="8">
        <f>[2]หน้าผ้า!AT79</f>
        <v>5518.15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45820</v>
      </c>
      <c r="AK70" s="3">
        <f>[2]หน้าผ้า!DQ79</f>
        <v>45816</v>
      </c>
      <c r="AL70" s="3">
        <f>[2]หน้าผ้า!DR79</f>
        <v>45809</v>
      </c>
      <c r="AM70" s="3">
        <f>[2]หน้าผ้า!DS79</f>
        <v>45817</v>
      </c>
      <c r="AN70" s="3">
        <f>[2]หน้าผ้า!DT79</f>
        <v>45818</v>
      </c>
      <c r="AO70" s="3">
        <f>[2]หน้าผ้า!DU79</f>
        <v>45819</v>
      </c>
      <c r="AP70" s="3">
        <f>[2]หน้าผ้า!DP79</f>
        <v>45815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45756</v>
      </c>
      <c r="B71" s="14" t="str">
        <f>[2]หน้าผ้า!B80</f>
        <v>MK68-000531</v>
      </c>
      <c r="C71" s="9" t="str">
        <f>[2]หน้าผ้า!E80</f>
        <v>บจก.เอสพีเอ็ม อาหารสัตว์</v>
      </c>
      <c r="D71" s="13" t="str">
        <f>[2]หน้าผ้า!F80</f>
        <v>นีโอ ดี03</v>
      </c>
      <c r="E71" s="9">
        <f>[2]หน้าผ้า!G80</f>
        <v>20</v>
      </c>
      <c r="F71" s="9">
        <f>[2]หน้าผ้า!H80</f>
        <v>37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97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45820</v>
      </c>
      <c r="U71" s="11">
        <f>[2]หน้าผ้า!AA80</f>
        <v>3000</v>
      </c>
      <c r="V71" s="10">
        <f>[2]หน้าผ้า!AJ80</f>
        <v>3148</v>
      </c>
      <c r="W71" s="10">
        <f>[2]หน้าผ้า!AL80</f>
        <v>0</v>
      </c>
      <c r="X71" s="10">
        <f>[2]หน้าผ้า!AM80</f>
        <v>6505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45820</v>
      </c>
      <c r="AK71" s="3">
        <f>[2]หน้าผ้า!DQ80</f>
        <v>45816</v>
      </c>
      <c r="AL71" s="3">
        <f>[2]หน้าผ้า!DR80</f>
        <v>45809</v>
      </c>
      <c r="AM71" s="3">
        <f>[2]หน้าผ้า!DS80</f>
        <v>45817</v>
      </c>
      <c r="AN71" s="3">
        <f>[2]หน้าผ้า!DT80</f>
        <v>45818</v>
      </c>
      <c r="AO71" s="3">
        <f>[2]หน้าผ้า!DU80</f>
        <v>45819</v>
      </c>
      <c r="AP71" s="3">
        <f>[2]หน้าผ้า!DP80</f>
        <v>45815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45740</v>
      </c>
      <c r="B72" s="14" t="str">
        <f>[2]หน้าผ้า!B81</f>
        <v>MK68-000440</v>
      </c>
      <c r="C72" s="9" t="str">
        <f>[2]หน้าผ้า!E81</f>
        <v>บจก.เอสพีเอ็ม อาหารสัตว์</v>
      </c>
      <c r="D72" s="13" t="str">
        <f>[2]หน้าผ้า!F81</f>
        <v>นีโอ 05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45820</v>
      </c>
      <c r="U72" s="11">
        <f>[2]หน้าผ้า!AA81</f>
        <v>2500</v>
      </c>
      <c r="V72" s="10">
        <f>[2]หน้าผ้า!AJ81</f>
        <v>2825</v>
      </c>
      <c r="W72" s="10">
        <f>[2]หน้าผ้า!AL81</f>
        <v>0</v>
      </c>
      <c r="X72" s="10">
        <f>[2]หน้าผ้า!AM81</f>
        <v>5688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45820</v>
      </c>
      <c r="AK72" s="3">
        <f>[2]หน้าผ้า!DQ81</f>
        <v>45816</v>
      </c>
      <c r="AL72" s="3">
        <f>[2]หน้าผ้า!DR81</f>
        <v>45809</v>
      </c>
      <c r="AM72" s="3">
        <f>[2]หน้าผ้า!DS81</f>
        <v>45817</v>
      </c>
      <c r="AN72" s="3">
        <f>[2]หน้าผ้า!DT81</f>
        <v>45818</v>
      </c>
      <c r="AO72" s="3">
        <f>[2]หน้าผ้า!DU81</f>
        <v>45819</v>
      </c>
      <c r="AP72" s="3">
        <f>[2]หน้าผ้า!DP81</f>
        <v>45815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 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45752</v>
      </c>
      <c r="B73" s="14" t="str">
        <f>[2]หน้าผ้า!B82</f>
        <v>MK68-000514</v>
      </c>
      <c r="C73" s="9" t="str">
        <f>[2]หน้าผ้า!E82</f>
        <v>บจก.เอสพีเอ็ม อาหารสัตว์</v>
      </c>
      <c r="D73" s="13" t="str">
        <f>[2]หน้าผ้า!F82</f>
        <v>SW 441 PLUS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45820</v>
      </c>
      <c r="U73" s="11">
        <f>[2]หน้าผ้า!AA82</f>
        <v>5000</v>
      </c>
      <c r="V73" s="10">
        <f>[2]หน้าผ้า!AJ82</f>
        <v>5168</v>
      </c>
      <c r="W73" s="10">
        <f>[2]หน้าผ้า!AL82</f>
        <v>0</v>
      </c>
      <c r="X73" s="10">
        <f>[2]หน้าผ้า!AM82</f>
        <v>5400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45820</v>
      </c>
      <c r="AK73" s="3">
        <f>[2]หน้าผ้า!DQ82</f>
        <v>45816</v>
      </c>
      <c r="AL73" s="3">
        <f>[2]หน้าผ้า!DR82</f>
        <v>45809</v>
      </c>
      <c r="AM73" s="3">
        <f>[2]หน้าผ้า!DS82</f>
        <v>45817</v>
      </c>
      <c r="AN73" s="3">
        <f>[2]หน้าผ้า!DT82</f>
        <v>45818</v>
      </c>
      <c r="AO73" s="3">
        <f>[2]หน้าผ้า!DU82</f>
        <v>45819</v>
      </c>
      <c r="AP73" s="3">
        <f>[2]หน้าผ้า!DP82</f>
        <v>45815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 t="str">
        <f>[2]หน้าผ้า!AG82</f>
        <v>มีลบสี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45808</v>
      </c>
      <c r="B74" s="14" t="str">
        <f>[2]หน้าผ้า!B83</f>
        <v>MK68-000722</v>
      </c>
      <c r="C74" s="9" t="str">
        <f>[2]หน้าผ้า!E83</f>
        <v>บจก.มารีน หรีดเดอร์</v>
      </c>
      <c r="D74" s="13" t="str">
        <f>[2]หน้าผ้า!F83</f>
        <v>Rocky quick lime</v>
      </c>
      <c r="E74" s="9">
        <f>[2]หน้าผ้า!G83</f>
        <v>20</v>
      </c>
      <c r="F74" s="9">
        <f>[2]หน้าผ้า!H83</f>
        <v>30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80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จับจีบ5"</v>
      </c>
      <c r="M74" s="10">
        <f>[2]หน้าผ้า!T83</f>
        <v>21</v>
      </c>
      <c r="N74" s="9">
        <f>[2]หน้าผ้า!U83</f>
        <v>33</v>
      </c>
      <c r="O74" s="9">
        <f>[2]หน้าผ้า!V83</f>
        <v>40</v>
      </c>
      <c r="P74" s="10">
        <f>[2]หน้าผ้า!AB83</f>
        <v>170.969464512</v>
      </c>
      <c r="Q74" s="10">
        <f>[2]หน้าผ้า!AC83</f>
        <v>0</v>
      </c>
      <c r="R74" s="10">
        <f>[2]หน้าผ้า!AD83</f>
        <v>170.969464512</v>
      </c>
      <c r="S74" s="9" t="str">
        <f>[2]หน้าผ้า!Z83</f>
        <v>500กระสอบ</v>
      </c>
      <c r="T74" s="12">
        <f>[2]หน้าผ้า!X83</f>
        <v>45821</v>
      </c>
      <c r="U74" s="11">
        <f>[2]หน้าผ้า!AA83</f>
        <v>10000</v>
      </c>
      <c r="V74" s="10">
        <f>[2]หน้าผ้า!AJ83</f>
        <v>0</v>
      </c>
      <c r="W74" s="10">
        <f>[2]หน้าผ้า!AL83</f>
        <v>10000</v>
      </c>
      <c r="X74" s="10">
        <f>[2]หน้าผ้า!AM83</f>
        <v>0</v>
      </c>
      <c r="Y74" s="10">
        <f>[2]หน้าผ้า!AN83</f>
        <v>10500</v>
      </c>
      <c r="Z74" s="9" t="str">
        <f>[2]หน้าผ้า!AO83</f>
        <v>WSWT2025800SM</v>
      </c>
      <c r="AA74" s="8">
        <f>[2]หน้าผ้า!AQ83</f>
        <v>8801.1</v>
      </c>
      <c r="AB74" s="8">
        <f>[2]หน้าผ้า!AR83</f>
        <v>8801.1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8801.1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P8</v>
      </c>
      <c r="AI74" s="1">
        <f>[2]หน้าผ้า!DM83</f>
        <v>4</v>
      </c>
      <c r="AJ74" s="3">
        <f>[2]หน้าผ้า!DN83</f>
        <v>45821</v>
      </c>
      <c r="AK74" s="3">
        <f>[2]หน้าผ้า!DQ83</f>
        <v>45817</v>
      </c>
      <c r="AL74" s="3">
        <f>[2]หน้าผ้า!DR83</f>
        <v>45811</v>
      </c>
      <c r="AM74" s="3">
        <f>[2]หน้าผ้า!DS83</f>
        <v>45818</v>
      </c>
      <c r="AN74" s="3">
        <f>[2]หน้าผ้า!DT83</f>
        <v>45819</v>
      </c>
      <c r="AO74" s="3">
        <f>[2]หน้าผ้า!DU83</f>
        <v>45819</v>
      </c>
      <c r="AP74" s="3">
        <f>[2]หน้าผ้า!DP83</f>
        <v>45816</v>
      </c>
      <c r="AQ74" s="3">
        <f>[2]หน้าผ้า!DW83</f>
        <v>45820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 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45808</v>
      </c>
      <c r="B75" s="14" t="str">
        <f>[2]หน้าผ้า!B84</f>
        <v>MK68-000728</v>
      </c>
      <c r="C75" s="9" t="str">
        <f>[2]หน้าผ้า!E84</f>
        <v>บจก.อินเทคค์ โกลบอล</v>
      </c>
      <c r="D75" s="13" t="str">
        <f>[2]หน้าผ้า!F84</f>
        <v>สุบรรณ 222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จับจีบ3.5"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>
        <f>[2]หน้าผ้า!X84</f>
        <v>45822</v>
      </c>
      <c r="U75" s="11">
        <f>[2]หน้าผ้า!AA84</f>
        <v>5040</v>
      </c>
      <c r="V75" s="10">
        <f>[2]หน้าผ้า!AJ84</f>
        <v>0</v>
      </c>
      <c r="W75" s="10">
        <f>[2]หน้าผ้า!AL84</f>
        <v>5040</v>
      </c>
      <c r="X75" s="10">
        <f>[2]หน้าผ้า!AM84</f>
        <v>0</v>
      </c>
      <c r="Y75" s="10">
        <f>[2]หน้าผ้า!AN84</f>
        <v>5292</v>
      </c>
      <c r="Z75" s="9" t="str">
        <f>[2]หน้าผ้า!AO84</f>
        <v>WSWT2025800SM</v>
      </c>
      <c r="AA75" s="8">
        <f>[2]หน้าผ้า!AQ84</f>
        <v>5280.6600000000008</v>
      </c>
      <c r="AB75" s="8">
        <f>[2]หน้าผ้า!AR84</f>
        <v>5280.6600000000008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5280.6600000000008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45822</v>
      </c>
      <c r="AK75" s="3">
        <f>[2]หน้าผ้า!DQ84</f>
        <v>45818</v>
      </c>
      <c r="AL75" s="3">
        <f>[2]หน้าผ้า!DR84</f>
        <v>45811</v>
      </c>
      <c r="AM75" s="3">
        <f>[2]หน้าผ้า!DS84</f>
        <v>45819</v>
      </c>
      <c r="AN75" s="3">
        <f>[2]หน้าผ้า!DT84</f>
        <v>45820</v>
      </c>
      <c r="AO75" s="3">
        <f>[2]หน้าผ้า!DU84</f>
        <v>45821</v>
      </c>
      <c r="AP75" s="3">
        <f>[2]หน้าผ้า!DP84</f>
        <v>45817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45803</v>
      </c>
      <c r="B76" s="14" t="str">
        <f>[2]หน้าผ้า!B85</f>
        <v>MK68-000707</v>
      </c>
      <c r="C76" s="9" t="str">
        <f>[2]หน้าผ้า!E85</f>
        <v>บจก.เอพีเอ็ม อะโกร</v>
      </c>
      <c r="D76" s="13" t="str">
        <f>[2]หน้าผ้า!F85</f>
        <v>ยู-ฟีด รวมหมู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45831</v>
      </c>
      <c r="U76" s="11">
        <f>[2]หน้าผ้า!AA85</f>
        <v>3000</v>
      </c>
      <c r="V76" s="10">
        <f>[2]หน้าผ้า!AJ85</f>
        <v>0</v>
      </c>
      <c r="W76" s="10">
        <f>[2]หน้าผ้า!AL85</f>
        <v>3000</v>
      </c>
      <c r="X76" s="10">
        <f>[2]หน้าผ้า!AM85</f>
        <v>0</v>
      </c>
      <c r="Y76" s="10">
        <f>[2]หน้าผ้า!AN85</f>
        <v>3150</v>
      </c>
      <c r="Z76" s="9" t="str">
        <f>[2]หน้าผ้า!AO85</f>
        <v>WSWT2025800SM</v>
      </c>
      <c r="AA76" s="8">
        <f>[2]หน้าผ้า!AQ85</f>
        <v>3310.89</v>
      </c>
      <c r="AB76" s="8">
        <f>[2]หน้าผ้า!AR85</f>
        <v>3310.89</v>
      </c>
      <c r="AC76" s="8">
        <f>[2]หน้าผ้า!AS85</f>
        <v>0</v>
      </c>
      <c r="AD76" s="8">
        <f>[2]หน้าผ้า!AT85</f>
        <v>3310.89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45831</v>
      </c>
      <c r="AK76" s="3">
        <f>[2]หน้าผ้า!DQ85</f>
        <v>45827</v>
      </c>
      <c r="AL76" s="3">
        <f>[2]หน้าผ้า!DR85</f>
        <v>45820</v>
      </c>
      <c r="AM76" s="3">
        <f>[2]หน้าผ้า!DS85</f>
        <v>45828</v>
      </c>
      <c r="AN76" s="3">
        <f>[2]หน้าผ้า!DT85</f>
        <v>45829</v>
      </c>
      <c r="AO76" s="3">
        <f>[2]หน้าผ้า!DU85</f>
        <v>45830</v>
      </c>
      <c r="AP76" s="3">
        <f>[2]หน้าผ้า!DP85</f>
        <v>45826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 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45803</v>
      </c>
      <c r="B77" s="14" t="str">
        <f>[2]หน้าผ้า!B86</f>
        <v>MK68-000706</v>
      </c>
      <c r="C77" s="9" t="str">
        <f>[2]หน้าผ้า!E86</f>
        <v>บจก.เอพีเอ็ม อะโกร</v>
      </c>
      <c r="D77" s="13" t="str">
        <f>[2]หน้าผ้า!F86</f>
        <v>วี-ฟีด วี22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45835</v>
      </c>
      <c r="U77" s="11">
        <f>[2]หน้าผ้า!AA86</f>
        <v>3000</v>
      </c>
      <c r="V77" s="10">
        <f>[2]หน้าผ้า!AJ86</f>
        <v>0</v>
      </c>
      <c r="W77" s="10">
        <f>[2]หน้าผ้า!AL86</f>
        <v>3000</v>
      </c>
      <c r="X77" s="10">
        <f>[2]หน้าผ้า!AM86</f>
        <v>0</v>
      </c>
      <c r="Y77" s="10">
        <f>[2]หน้าผ้า!AN86</f>
        <v>3150</v>
      </c>
      <c r="Z77" s="9" t="str">
        <f>[2]หน้าผ้า!AO86</f>
        <v>WSWT2025800SM</v>
      </c>
      <c r="AA77" s="8">
        <f>[2]หน้าผ้า!AQ86</f>
        <v>3310.89</v>
      </c>
      <c r="AB77" s="8">
        <f>[2]หน้าผ้า!AR86</f>
        <v>3310.89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3310.89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45835</v>
      </c>
      <c r="AK77" s="3">
        <f>[2]หน้าผ้า!DQ86</f>
        <v>45831</v>
      </c>
      <c r="AL77" s="3">
        <f>[2]หน้าผ้า!DR86</f>
        <v>45824</v>
      </c>
      <c r="AM77" s="3">
        <f>[2]หน้าผ้า!DS86</f>
        <v>45832</v>
      </c>
      <c r="AN77" s="3">
        <f>[2]หน้าผ้า!DT86</f>
        <v>45833</v>
      </c>
      <c r="AO77" s="3">
        <f>[2]หน้าผ้า!DU86</f>
        <v>45834</v>
      </c>
      <c r="AP77" s="3">
        <f>[2]หน้าผ้า!DP86</f>
        <v>45830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>
        <f>[2]หน้าผ้า!ED86</f>
        <v>0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45814</v>
      </c>
      <c r="B78" s="14" t="str">
        <f>[2]หน้าผ้า!B87</f>
        <v>MK68-000755</v>
      </c>
      <c r="C78" s="9" t="str">
        <f>[2]หน้าผ้า!E87</f>
        <v>บจก.วีซีเอฟ</v>
      </c>
      <c r="D78" s="13" t="str">
        <f>[2]หน้าผ้า!F87</f>
        <v>VC100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45835</v>
      </c>
      <c r="U78" s="11">
        <f>[2]หน้าผ้า!AA87</f>
        <v>20000</v>
      </c>
      <c r="V78" s="10">
        <f>[2]หน้าผ้า!AJ87</f>
        <v>0</v>
      </c>
      <c r="W78" s="10">
        <f>[2]หน้าผ้า!AL87</f>
        <v>20000</v>
      </c>
      <c r="X78" s="10">
        <f>[2]หน้าผ้า!AM87</f>
        <v>0</v>
      </c>
      <c r="Y78" s="10">
        <f>[2]หน้าผ้า!AN87</f>
        <v>21000</v>
      </c>
      <c r="Z78" s="9" t="str">
        <f>[2]หน้าผ้า!AO87</f>
        <v>WSWT2025800SM</v>
      </c>
      <c r="AA78" s="8">
        <f>[2]หน้าผ้า!AQ87</f>
        <v>21513.800000000003</v>
      </c>
      <c r="AB78" s="8">
        <f>[2]หน้าผ้า!AR87</f>
        <v>21513.800000000003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21513.800000000003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45835</v>
      </c>
      <c r="AK78" s="3">
        <f>[2]หน้าผ้า!DQ87</f>
        <v>45831</v>
      </c>
      <c r="AL78" s="3">
        <f>[2]หน้าผ้า!DR87</f>
        <v>45824</v>
      </c>
      <c r="AM78" s="3">
        <f>[2]หน้าผ้า!DS87</f>
        <v>45832</v>
      </c>
      <c r="AN78" s="3">
        <f>[2]หน้าผ้า!DT87</f>
        <v>45833</v>
      </c>
      <c r="AO78" s="3">
        <f>[2]หน้าผ้า!DU87</f>
        <v>45834</v>
      </c>
      <c r="AP78" s="3">
        <f>[2]หน้าผ้า!DP87</f>
        <v>45830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 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45814</v>
      </c>
      <c r="B79" s="14" t="str">
        <f>[2]หน้าผ้า!B88</f>
        <v>MK68-000755</v>
      </c>
      <c r="C79" s="9" t="str">
        <f>[2]หน้าผ้า!E88</f>
        <v>บจก.วีซีเอฟ</v>
      </c>
      <c r="D79" s="13" t="str">
        <f>[2]หน้าผ้า!F88</f>
        <v>VC181</v>
      </c>
      <c r="E79" s="9">
        <f>[2]หน้าผ้า!G88</f>
        <v>20</v>
      </c>
      <c r="F79" s="9">
        <f>[2]หน้าผ้า!H88</f>
        <v>37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45835</v>
      </c>
      <c r="U79" s="11">
        <f>[2]หน้าผ้า!AA88</f>
        <v>10000</v>
      </c>
      <c r="V79" s="10">
        <f>[2]หน้าผ้า!AJ88</f>
        <v>0</v>
      </c>
      <c r="W79" s="10">
        <f>[2]หน้าผ้า!AL88</f>
        <v>10000</v>
      </c>
      <c r="X79" s="10">
        <f>[2]หน้าผ้า!AM88</f>
        <v>0</v>
      </c>
      <c r="Y79" s="10">
        <f>[2]หน้าผ้า!AN88</f>
        <v>10500</v>
      </c>
      <c r="Z79" s="9" t="str">
        <f>[2]หน้าผ้า!AO88</f>
        <v>WSWT2025800SM</v>
      </c>
      <c r="AA79" s="8">
        <f>[2]หน้าผ้า!AQ88</f>
        <v>10756.900000000001</v>
      </c>
      <c r="AB79" s="8">
        <f>[2]หน้าผ้า!AR88</f>
        <v>10756.900000000001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10756.900000000001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45835</v>
      </c>
      <c r="AK79" s="3">
        <f>[2]หน้าผ้า!DQ88</f>
        <v>45831</v>
      </c>
      <c r="AL79" s="3">
        <f>[2]หน้าผ้า!DR88</f>
        <v>45824</v>
      </c>
      <c r="AM79" s="3">
        <f>[2]หน้าผ้า!DS88</f>
        <v>45832</v>
      </c>
      <c r="AN79" s="3">
        <f>[2]หน้าผ้า!DT88</f>
        <v>45833</v>
      </c>
      <c r="AO79" s="3">
        <f>[2]หน้าผ้า!DU88</f>
        <v>45834</v>
      </c>
      <c r="AP79" s="3">
        <f>[2]หน้าผ้า!DP88</f>
        <v>45830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 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45814</v>
      </c>
      <c r="B80" s="14" t="str">
        <f>[2]หน้าผ้า!B89</f>
        <v>MK68-000755</v>
      </c>
      <c r="C80" s="9" t="str">
        <f>[2]หน้าผ้า!E89</f>
        <v>บจก.วีซีเอฟ</v>
      </c>
      <c r="D80" s="13" t="str">
        <f>[2]หน้าผ้า!F89</f>
        <v>VC193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45835</v>
      </c>
      <c r="U80" s="11">
        <f>[2]หน้าผ้า!AA89</f>
        <v>10000</v>
      </c>
      <c r="V80" s="10">
        <f>[2]หน้าผ้า!AJ89</f>
        <v>0</v>
      </c>
      <c r="W80" s="10">
        <f>[2]หน้าผ้า!AL89</f>
        <v>10000</v>
      </c>
      <c r="X80" s="10">
        <f>[2]หน้าผ้า!AM89</f>
        <v>0</v>
      </c>
      <c r="Y80" s="10">
        <f>[2]หน้าผ้า!AN89</f>
        <v>10500</v>
      </c>
      <c r="Z80" s="9" t="str">
        <f>[2]หน้าผ้า!AO89</f>
        <v>WSWT2025800SM</v>
      </c>
      <c r="AA80" s="8">
        <f>[2]หน้าผ้า!AQ89</f>
        <v>10756.900000000001</v>
      </c>
      <c r="AB80" s="8">
        <f>[2]หน้าผ้า!AR89</f>
        <v>0</v>
      </c>
      <c r="AC80" s="8">
        <f>[2]หน้าผ้า!AS89</f>
        <v>10756.900000000001</v>
      </c>
      <c r="AD80" s="8">
        <f>[2]หน้าผ้า!AT89</f>
        <v>0</v>
      </c>
      <c r="AE80" s="8">
        <f>[2]หน้าผ้า!AU89</f>
        <v>10756.900000000001</v>
      </c>
      <c r="AF80" s="8">
        <f>[2]หน้าผ้า!AI89</f>
        <v>0</v>
      </c>
      <c r="AG80" s="1" t="str">
        <f>[3]หน้าผ้า!DC92</f>
        <v>รอแบบ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45835</v>
      </c>
      <c r="AK80" s="3">
        <f>[2]หน้าผ้า!DQ89</f>
        <v>45831</v>
      </c>
      <c r="AL80" s="3">
        <f>[2]หน้าผ้า!DR89</f>
        <v>45824</v>
      </c>
      <c r="AM80" s="3">
        <f>[2]หน้าผ้า!DS89</f>
        <v>45832</v>
      </c>
      <c r="AN80" s="3">
        <f>[2]หน้าผ้า!DT89</f>
        <v>45833</v>
      </c>
      <c r="AO80" s="3">
        <f>[2]หน้าผ้า!DU89</f>
        <v>45834</v>
      </c>
      <c r="AP80" s="3">
        <f>[2]หน้าผ้า!DP89</f>
        <v>45830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 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812.74355555555564</v>
      </c>
    </row>
    <row r="81" spans="1:56" ht="27.75" customHeight="1" x14ac:dyDescent="0.45">
      <c r="A81" s="3">
        <f>[2]หน้าผ้า!C90</f>
        <v>45814</v>
      </c>
      <c r="B81" s="14" t="str">
        <f>[2]หน้าผ้า!B90</f>
        <v>MK68-000756</v>
      </c>
      <c r="C81" s="9" t="str">
        <f>[2]หน้าผ้า!E90</f>
        <v>บจก.วีซีเอฟ</v>
      </c>
      <c r="D81" s="13" t="str">
        <f>[2]หน้าผ้า!F90</f>
        <v>SPEED PLUS 003เขมร</v>
      </c>
      <c r="E81" s="9">
        <f>[2]หน้าผ้า!G90</f>
        <v>20</v>
      </c>
      <c r="F81" s="9">
        <f>[2]หน้าผ้า!H90</f>
        <v>37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ไม่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45835</v>
      </c>
      <c r="U81" s="11">
        <f>[2]หน้าผ้า!AA90</f>
        <v>5000</v>
      </c>
      <c r="V81" s="10">
        <f>[2]หน้าผ้า!AJ90</f>
        <v>0</v>
      </c>
      <c r="W81" s="10">
        <f>[2]หน้าผ้า!AL90</f>
        <v>5000</v>
      </c>
      <c r="X81" s="10">
        <f>[2]หน้าผ้า!AM90</f>
        <v>0</v>
      </c>
      <c r="Y81" s="10">
        <f>[2]หน้าผ้า!AN90</f>
        <v>5250</v>
      </c>
      <c r="Z81" s="9" t="str">
        <f>[2]หน้าผ้า!AO90</f>
        <v>WSWT2025800SM</v>
      </c>
      <c r="AA81" s="8">
        <f>[2]หน้าผ้า!AQ90</f>
        <v>5378.4500000000007</v>
      </c>
      <c r="AB81" s="8">
        <f>[2]หน้าผ้า!AR90</f>
        <v>0</v>
      </c>
      <c r="AC81" s="8">
        <f>[2]หน้าผ้า!AS90</f>
        <v>5378.4500000000007</v>
      </c>
      <c r="AD81" s="8">
        <f>[2]หน้าผ้า!AT90</f>
        <v>0</v>
      </c>
      <c r="AE81" s="8">
        <f>[2]หน้าผ้า!AU90</f>
        <v>5378.4500000000007</v>
      </c>
      <c r="AF81" s="8">
        <f>[2]หน้าผ้า!AI90</f>
        <v>0</v>
      </c>
      <c r="AG81" s="1" t="str">
        <f>[3]หน้าผ้า!DC93</f>
        <v>พร้อมส่ง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45835</v>
      </c>
      <c r="AK81" s="3">
        <f>[2]หน้าผ้า!DQ90</f>
        <v>45831</v>
      </c>
      <c r="AL81" s="3">
        <f>[2]หน้าผ้า!DR90</f>
        <v>45824</v>
      </c>
      <c r="AM81" s="3">
        <f>[2]หน้าผ้า!DS90</f>
        <v>45832</v>
      </c>
      <c r="AN81" s="3">
        <f>[2]หน้าผ้า!DT90</f>
        <v>45833</v>
      </c>
      <c r="AO81" s="3">
        <f>[2]หน้าผ้า!DU90</f>
        <v>45834</v>
      </c>
      <c r="AP81" s="3">
        <f>[2]หน้าผ้า!DP90</f>
        <v>45830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 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406.37177777777782</v>
      </c>
    </row>
    <row r="82" spans="1:56" ht="27.75" customHeight="1" x14ac:dyDescent="0.45">
      <c r="A82" s="3">
        <f>[2]หน้าผ้า!C91</f>
        <v>45814</v>
      </c>
      <c r="B82" s="14" t="str">
        <f>[2]หน้าผ้า!B91</f>
        <v>MK68-000756</v>
      </c>
      <c r="C82" s="9" t="str">
        <f>[2]หน้าผ้า!E91</f>
        <v>บจก.วีซีเอฟ</v>
      </c>
      <c r="D82" s="13" t="str">
        <f>[2]หน้าผ้า!F91</f>
        <v>SPEED PLUS 222ลาว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45835</v>
      </c>
      <c r="U82" s="11">
        <f>[2]หน้าผ้า!AA91</f>
        <v>10000</v>
      </c>
      <c r="V82" s="10">
        <f>[2]หน้าผ้า!AJ91</f>
        <v>0</v>
      </c>
      <c r="W82" s="10">
        <f>[2]หน้าผ้า!AL91</f>
        <v>10000</v>
      </c>
      <c r="X82" s="10">
        <f>[2]หน้าผ้า!AM91</f>
        <v>0</v>
      </c>
      <c r="Y82" s="10">
        <f>[2]หน้าผ้า!AN91</f>
        <v>10500</v>
      </c>
      <c r="Z82" s="9" t="str">
        <f>[2]หน้าผ้า!AO91</f>
        <v>WSWT2025800SM</v>
      </c>
      <c r="AA82" s="8">
        <f>[2]หน้าผ้า!AQ91</f>
        <v>10756.900000000001</v>
      </c>
      <c r="AB82" s="8">
        <f>[2]หน้าผ้า!AR91</f>
        <v>0</v>
      </c>
      <c r="AC82" s="8">
        <f>[2]หน้าผ้า!AS91</f>
        <v>10756.900000000001</v>
      </c>
      <c r="AD82" s="8">
        <f>[2]หน้าผ้า!AT91</f>
        <v>0</v>
      </c>
      <c r="AE82" s="8">
        <f>[2]หน้าผ้า!AU91</f>
        <v>10756.900000000001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45835</v>
      </c>
      <c r="AK82" s="3">
        <f>[2]หน้าผ้า!DQ91</f>
        <v>45831</v>
      </c>
      <c r="AL82" s="3">
        <f>[2]หน้าผ้า!DR91</f>
        <v>45824</v>
      </c>
      <c r="AM82" s="3">
        <f>[2]หน้าผ้า!DS91</f>
        <v>45832</v>
      </c>
      <c r="AN82" s="3">
        <f>[2]หน้าผ้า!DT91</f>
        <v>45833</v>
      </c>
      <c r="AO82" s="3">
        <f>[2]หน้าผ้า!DU91</f>
        <v>45834</v>
      </c>
      <c r="AP82" s="3">
        <f>[2]หน้าผ้า!DP91</f>
        <v>45830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 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812.74355555555564</v>
      </c>
    </row>
    <row r="83" spans="1:56" ht="27.75" customHeight="1" x14ac:dyDescent="0.45">
      <c r="A83" s="3" t="str">
        <f>[2]หน้าผ้า!C92</f>
        <v>ประมาณการ</v>
      </c>
      <c r="B83" s="14" t="str">
        <f>[2]หน้าผ้า!B92</f>
        <v>ประมาณการ</v>
      </c>
      <c r="C83" s="9" t="str">
        <f>[2]หน้าผ้า!E92</f>
        <v>บจก.อินเทคค์ โกลบอล</v>
      </c>
      <c r="D83" s="13" t="str">
        <f>[2]หน้าผ้า!F92</f>
        <v>รอแบบ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>
        <f>[2]หน้าผ้า!X92</f>
        <v>45838</v>
      </c>
      <c r="U83" s="11">
        <f>[2]หน้าผ้า!AA92</f>
        <v>100000</v>
      </c>
      <c r="V83" s="10">
        <f>[2]หน้าผ้า!AJ92</f>
        <v>0</v>
      </c>
      <c r="W83" s="10">
        <f>[2]หน้าผ้า!AL92</f>
        <v>100000</v>
      </c>
      <c r="X83" s="10">
        <f>[2]หน้าผ้า!AM92</f>
        <v>0</v>
      </c>
      <c r="Y83" s="10">
        <f>[2]หน้าผ้า!AN92</f>
        <v>105000</v>
      </c>
      <c r="Z83" s="9" t="str">
        <f>[2]หน้าผ้า!AO92</f>
        <v>WSWT2025800SM</v>
      </c>
      <c r="AA83" s="8">
        <f>[2]หน้าผ้า!AQ92</f>
        <v>104775.00000000001</v>
      </c>
      <c r="AB83" s="8">
        <f>[2]หน้าผ้า!AR92</f>
        <v>0</v>
      </c>
      <c r="AC83" s="8">
        <f>[2]หน้าผ้า!AS92</f>
        <v>104775.00000000001</v>
      </c>
      <c r="AD83" s="8">
        <f>[2]หน้าผ้า!AT92</f>
        <v>0</v>
      </c>
      <c r="AE83" s="8">
        <f>[2]หน้าผ้า!AU92</f>
        <v>104775.00000000001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45838</v>
      </c>
      <c r="AK83" s="3">
        <f>[2]หน้าผ้า!DQ92</f>
        <v>45834</v>
      </c>
      <c r="AL83" s="3">
        <f>[2]หน้าผ้า!DR92</f>
        <v>45827</v>
      </c>
      <c r="AM83" s="3">
        <f>[2]หน้าผ้า!DS92</f>
        <v>45835</v>
      </c>
      <c r="AN83" s="3">
        <f>[2]หน้าผ้า!DT92</f>
        <v>45836</v>
      </c>
      <c r="AO83" s="3">
        <f>[2]หน้าผ้า!DU92</f>
        <v>45837</v>
      </c>
      <c r="AP83" s="3">
        <f>[2]หน้าผ้า!DP92</f>
        <v>45833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7916.333333333333</v>
      </c>
    </row>
    <row r="84" spans="1:56" ht="27.75" customHeight="1" x14ac:dyDescent="0.45">
      <c r="A84" s="3">
        <f>[2]หน้าผ้า!C93</f>
        <v>45796</v>
      </c>
      <c r="B84" s="14" t="str">
        <f>[2]หน้าผ้า!B93</f>
        <v>MK68-000671</v>
      </c>
      <c r="C84" s="9" t="str">
        <f>[2]หน้าผ้า!E93</f>
        <v>บจก.อินเทคค์ โกลบอล</v>
      </c>
      <c r="D84" s="13" t="str">
        <f>[2]หน้าผ้า!F93</f>
        <v>เฟิร์สช้อย 902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 t="str">
        <f>[2]หน้าผ้า!X93</f>
        <v>รอแจ้ง</v>
      </c>
      <c r="U84" s="11">
        <f>[2]หน้าผ้า!AA93</f>
        <v>366</v>
      </c>
      <c r="V84" s="10">
        <f>[2]หน้าผ้า!AJ93</f>
        <v>0</v>
      </c>
      <c r="W84" s="10">
        <f>[2]หน้าผ้า!AL93</f>
        <v>366</v>
      </c>
      <c r="X84" s="10">
        <f>[2]หน้าผ้า!AM93</f>
        <v>5113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รอตัด</v>
      </c>
      <c r="AH84" s="1" t="str">
        <f>[2]หน้าผ้า!DL93</f>
        <v>P6</v>
      </c>
      <c r="AI84" s="1">
        <f>[2]หน้าผ้า!DM93</f>
        <v>4</v>
      </c>
      <c r="AJ84" s="3" t="str">
        <f>[2]หน้าผ้า!DN93</f>
        <v>รอแจ้ง</v>
      </c>
      <c r="AK84" s="3" t="e">
        <f>[2]หน้าผ้า!DQ93</f>
        <v>#VALUE!</v>
      </c>
      <c r="AL84" s="3" t="e">
        <f>[2]หน้าผ้า!DR93</f>
        <v>#VALUE!</v>
      </c>
      <c r="AM84" s="3" t="e">
        <f>[2]หน้าผ้า!DS93</f>
        <v>#VALUE!</v>
      </c>
      <c r="AN84" s="3" t="e">
        <f>[2]หน้าผ้า!DT93</f>
        <v>#VALUE!</v>
      </c>
      <c r="AO84" s="3" t="e">
        <f>[2]หน้าผ้า!DU93</f>
        <v>#VALUE!</v>
      </c>
      <c r="AP84" s="3" t="e">
        <f>[2]หน้าผ้า!DP93</f>
        <v>#VALUE!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45796</v>
      </c>
      <c r="B85" s="14" t="str">
        <f>[2]หน้าผ้า!B94</f>
        <v>MK68-000673</v>
      </c>
      <c r="C85" s="9" t="str">
        <f>[2]หน้าผ้า!E94</f>
        <v>บจก.อินเทคค์ โกลบอล</v>
      </c>
      <c r="D85" s="13" t="str">
        <f>[2]หน้าผ้า!F94</f>
        <v>เพอเฟคค์ 000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 t="str">
        <f>[2]หน้าผ้า!X94</f>
        <v>รอแจ้ง</v>
      </c>
      <c r="U85" s="11">
        <f>[2]หน้าผ้า!AA94</f>
        <v>179</v>
      </c>
      <c r="V85" s="10">
        <f>[2]หน้าผ้า!AJ94</f>
        <v>0</v>
      </c>
      <c r="W85" s="10">
        <f>[2]หน้าผ้า!AL94</f>
        <v>179</v>
      </c>
      <c r="X85" s="10">
        <f>[2]หน้าผ้า!AM94</f>
        <v>11000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รอแจ้ง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45796</v>
      </c>
      <c r="B86" s="14" t="str">
        <f>[2]หน้าผ้า!B95</f>
        <v>MK68-000673</v>
      </c>
      <c r="C86" s="9" t="str">
        <f>[2]หน้าผ้า!E95</f>
        <v>บจก.อินเทคค์ โกลบอล</v>
      </c>
      <c r="D86" s="13" t="str">
        <f>[2]หน้าผ้า!F95</f>
        <v>เพอเฟคค์ 902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 t="str">
        <f>[2]หน้าผ้า!X95</f>
        <v>รอแจ้ง</v>
      </c>
      <c r="U86" s="11">
        <f>[2]หน้าผ้า!AA95</f>
        <v>302</v>
      </c>
      <c r="V86" s="10">
        <f>[2]หน้าผ้า!AJ95</f>
        <v>0</v>
      </c>
      <c r="W86" s="10">
        <f>[2]หน้าผ้า!AL95</f>
        <v>302</v>
      </c>
      <c r="X86" s="10">
        <f>[2]หน้าผ้า!AM95</f>
        <v>5300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 t="str">
        <f>[2]หน้าผ้า!DN95</f>
        <v>รอแจ้ง</v>
      </c>
      <c r="AK86" s="3" t="e">
        <f>[2]หน้าผ้า!DQ95</f>
        <v>#VALUE!</v>
      </c>
      <c r="AL86" s="3" t="e">
        <f>[2]หน้าผ้า!DR95</f>
        <v>#VALUE!</v>
      </c>
      <c r="AM86" s="3" t="e">
        <f>[2]หน้าผ้า!DS95</f>
        <v>#VALUE!</v>
      </c>
      <c r="AN86" s="3" t="e">
        <f>[2]หน้าผ้า!DT95</f>
        <v>#VALUE!</v>
      </c>
      <c r="AO86" s="3" t="e">
        <f>[2]หน้าผ้า!DU95</f>
        <v>#VALUE!</v>
      </c>
      <c r="AP86" s="3" t="e">
        <f>[2]หน้าผ้า!DP95</f>
        <v>#VALUE!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45796</v>
      </c>
      <c r="B87" s="14" t="str">
        <f>[2]หน้าผ้า!B96</f>
        <v>MK68-000674</v>
      </c>
      <c r="C87" s="9" t="str">
        <f>[2]หน้าผ้า!E96</f>
        <v>บจก.อินเทคค์ โกลบอล</v>
      </c>
      <c r="D87" s="13" t="str">
        <f>[2]หน้าผ้า!F96</f>
        <v>เพอเฟคค์ 913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 t="str">
        <f>[2]หน้าผ้า!X96</f>
        <v>รอแจ้ง</v>
      </c>
      <c r="U87" s="11">
        <f>[2]หน้าผ้า!AA96</f>
        <v>1200</v>
      </c>
      <c r="V87" s="10">
        <f>[2]หน้าผ้า!AJ96</f>
        <v>0</v>
      </c>
      <c r="W87" s="10">
        <f>[2]หน้าผ้า!AL96</f>
        <v>1200</v>
      </c>
      <c r="X87" s="10">
        <f>[2]หน้าผ้า!AM96</f>
        <v>10700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รอแจ้ง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45798</v>
      </c>
      <c r="B88" s="14" t="str">
        <f>[2]หน้าผ้า!B97</f>
        <v>MK68-000693</v>
      </c>
      <c r="C88" s="9" t="str">
        <f>[2]หน้าผ้า!E97</f>
        <v>บจก.เอพีเอ็ม อะโกร</v>
      </c>
      <c r="D88" s="13" t="str">
        <f>[2]หน้าผ้า!F97</f>
        <v>ฟีล กู๊ด พี07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 t="str">
        <f>[2]หน้าผ้า!X97</f>
        <v>รอแจ้ง</v>
      </c>
      <c r="U88" s="11">
        <f>[2]หน้าผ้า!AA97</f>
        <v>5000</v>
      </c>
      <c r="V88" s="10">
        <f>[2]หน้าผ้า!AJ97</f>
        <v>0</v>
      </c>
      <c r="W88" s="10">
        <f>[2]หน้าผ้า!AL97</f>
        <v>5000</v>
      </c>
      <c r="X88" s="10">
        <f>[2]หน้าผ้า!AM97</f>
        <v>0</v>
      </c>
      <c r="Y88" s="10">
        <f>[2]หน้าผ้า!AN97</f>
        <v>5250</v>
      </c>
      <c r="Z88" s="9" t="str">
        <f>[2]หน้าผ้า!AO97</f>
        <v>WSWT2025800SM</v>
      </c>
      <c r="AA88" s="8">
        <f>[2]หน้าผ้า!AQ97</f>
        <v>5518.15</v>
      </c>
      <c r="AB88" s="8">
        <f>[2]หน้าผ้า!AR97</f>
        <v>0</v>
      </c>
      <c r="AC88" s="8">
        <f>[2]หน้าผ้า!AS97</f>
        <v>5518.15</v>
      </c>
      <c r="AD88" s="8">
        <f>[2]หน้าผ้า!AT97</f>
        <v>0</v>
      </c>
      <c r="AE88" s="8">
        <f>[2]หน้าผ้า!AU97</f>
        <v>5518.15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รอแจ้ง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 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416.92688888888887</v>
      </c>
    </row>
    <row r="89" spans="1:56" ht="27.75" customHeight="1" x14ac:dyDescent="0.45">
      <c r="A89" s="3">
        <f>[2]หน้าผ้า!C98</f>
        <v>45782</v>
      </c>
      <c r="B89" s="14" t="str">
        <f>[2]หน้าผ้า!B98</f>
        <v>MK68-000609</v>
      </c>
      <c r="C89" s="9" t="str">
        <f>[2]หน้าผ้า!E98</f>
        <v>บจก.เอสพีเอ็ม อาหารสัตว์</v>
      </c>
      <c r="D89" s="13" t="str">
        <f>[2]หน้าผ้า!F98</f>
        <v xml:space="preserve">SW 441 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 t="str">
        <f>[2]หน้าผ้า!X98</f>
        <v>รอแจ้ง</v>
      </c>
      <c r="U89" s="11">
        <f>[2]หน้าผ้า!AA98</f>
        <v>20000</v>
      </c>
      <c r="V89" s="10">
        <f>[2]หน้าผ้า!AJ98</f>
        <v>0</v>
      </c>
      <c r="W89" s="10">
        <f>[2]หน้าผ้า!AL98</f>
        <v>20000</v>
      </c>
      <c r="X89" s="10">
        <f>[2]หน้าผ้า!AM98</f>
        <v>0</v>
      </c>
      <c r="Y89" s="10">
        <f>[2]หน้าผ้า!AN98</f>
        <v>21000</v>
      </c>
      <c r="Z89" s="9" t="str">
        <f>[2]หน้าผ้า!AO98</f>
        <v>WSWT2025800SM</v>
      </c>
      <c r="AA89" s="8">
        <f>[2]หน้าผ้า!AQ98</f>
        <v>22072.6</v>
      </c>
      <c r="AB89" s="8">
        <f>[2]หน้าผ้า!AR98</f>
        <v>0</v>
      </c>
      <c r="AC89" s="8">
        <f>[2]หน้าผ้า!AS98</f>
        <v>22072.6</v>
      </c>
      <c r="AD89" s="8">
        <f>[2]หน้าผ้า!AT98</f>
        <v>0</v>
      </c>
      <c r="AE89" s="8">
        <f>[2]หน้าผ้า!AU98</f>
        <v>22072.6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 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1667.7075555555555</v>
      </c>
    </row>
    <row r="90" spans="1:56" ht="27.75" customHeight="1" x14ac:dyDescent="0.45">
      <c r="A90" s="3">
        <f>[2]หน้าผ้า!C99</f>
        <v>45810</v>
      </c>
      <c r="B90" s="14" t="str">
        <f>[2]หน้าผ้า!B99</f>
        <v>MK68-000742</v>
      </c>
      <c r="C90" s="9" t="str">
        <f>[2]หน้าผ้า!E99</f>
        <v>บจก.เอสพีเอ็ม อาหารสัตว์</v>
      </c>
      <c r="D90" s="13" t="str">
        <f>[2]หน้าผ้า!F99</f>
        <v>นีโอ 05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 t="str">
        <f>[2]หน้าผ้า!X99</f>
        <v>รอแจ้ง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0</v>
      </c>
      <c r="AC90" s="8">
        <f>[2]หน้าผ้า!AS99</f>
        <v>5518.15</v>
      </c>
      <c r="AD90" s="8">
        <f>[2]หน้าผ้า!AT99</f>
        <v>0</v>
      </c>
      <c r="AE90" s="8">
        <f>[2]หน้าผ้า!AU99</f>
        <v>5518.15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>รอART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416.92688888888887</v>
      </c>
    </row>
    <row r="91" spans="1:56" ht="27.75" customHeight="1" x14ac:dyDescent="0.45">
      <c r="A91" s="3">
        <f>[2]หน้าผ้า!C100</f>
        <v>45810</v>
      </c>
      <c r="B91" s="14" t="str">
        <f>[2]หน้าผ้า!B100</f>
        <v>MK68-000741</v>
      </c>
      <c r="C91" s="9" t="str">
        <f>[2]หน้าผ้า!E100</f>
        <v>บจก.เอสพีเอ็ม อาหารสัตว์</v>
      </c>
      <c r="D91" s="13" t="str">
        <f>[2]หน้าผ้า!F100</f>
        <v>SPM 915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 t="str">
        <f>[2]หน้าผ้า!X100</f>
        <v>รอแจ้ง</v>
      </c>
      <c r="U91" s="11">
        <f>[2]หน้าผ้า!AA100</f>
        <v>3000</v>
      </c>
      <c r="V91" s="10">
        <f>[2]หน้าผ้า!AJ100</f>
        <v>0</v>
      </c>
      <c r="W91" s="10">
        <f>[2]หน้าผ้า!AL100</f>
        <v>3000</v>
      </c>
      <c r="X91" s="10">
        <f>[2]หน้าผ้า!AM100</f>
        <v>0</v>
      </c>
      <c r="Y91" s="10">
        <f>[2]หน้าผ้า!AN100</f>
        <v>3150</v>
      </c>
      <c r="Z91" s="9" t="str">
        <f>[2]หน้าผ้า!AO100</f>
        <v>WSWT2025800SM</v>
      </c>
      <c r="AA91" s="8">
        <f>[2]หน้าผ้า!AQ100</f>
        <v>3310.89</v>
      </c>
      <c r="AB91" s="8">
        <f>[2]หน้าผ้า!AR100</f>
        <v>0</v>
      </c>
      <c r="AC91" s="8">
        <f>[2]หน้าผ้า!AS100</f>
        <v>3310.89</v>
      </c>
      <c r="AD91" s="8">
        <f>[2]หน้าผ้า!AT100</f>
        <v>0</v>
      </c>
      <c r="AE91" s="8">
        <f>[2]หน้าผ้า!AU100</f>
        <v>3310.89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>รอART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250.15613333333337</v>
      </c>
    </row>
    <row r="92" spans="1:56" ht="27.75" customHeight="1" x14ac:dyDescent="0.45">
      <c r="A92" s="3">
        <f>[2]หน้าผ้า!C101</f>
        <v>45721</v>
      </c>
      <c r="B92" s="14" t="str">
        <f>[2]หน้าผ้า!B101</f>
        <v>MK68-000334</v>
      </c>
      <c r="C92" s="9" t="str">
        <f>[2]หน้าผ้า!E101</f>
        <v>บจก.อินเทคค์ โกลบอล</v>
      </c>
      <c r="D92" s="13" t="str">
        <f>[2]หน้าผ้า!F101</f>
        <v>เพอเฟคค์ 911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 t="str">
        <f>[2]หน้าผ้า!X101</f>
        <v>รอแจ้ง</v>
      </c>
      <c r="U92" s="11">
        <f>[2]หน้าผ้า!AA101</f>
        <v>111</v>
      </c>
      <c r="V92" s="10">
        <f>[2]หน้าผ้า!AJ101</f>
        <v>0</v>
      </c>
      <c r="W92" s="10">
        <f>[2]หน้าผ้า!AL101</f>
        <v>111</v>
      </c>
      <c r="X92" s="10">
        <f>[2]หน้าผ้า!AM101</f>
        <v>5600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รอแบบ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45611</v>
      </c>
      <c r="B93" s="14" t="str">
        <f>[2]หน้าผ้า!B102</f>
        <v>MK67-001533</v>
      </c>
      <c r="C93" s="9" t="str">
        <f>[2]หน้าผ้า!E102</f>
        <v>บจก.อินเทคค์ โกลบอล</v>
      </c>
      <c r="D93" s="13" t="str">
        <f>[2]หน้าผ้า!F102</f>
        <v>เฟิร์สช้อย 914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 t="str">
        <f>[2]หน้าผ้า!X102</f>
        <v>รอแจ้ง</v>
      </c>
      <c r="U93" s="11">
        <f>[2]หน้าผ้า!AA102</f>
        <v>67</v>
      </c>
      <c r="V93" s="10">
        <f>[2]หน้าผ้า!AJ102</f>
        <v>67</v>
      </c>
      <c r="W93" s="10">
        <f>[2]หน้าผ้า!AL102</f>
        <v>0</v>
      </c>
      <c r="X93" s="10">
        <f>[2]หน้าผ้า!AM102</f>
        <v>80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รอแบบ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45721</v>
      </c>
      <c r="B94" s="14" t="str">
        <f>[2]หน้าผ้า!B103</f>
        <v>MK68-000341</v>
      </c>
      <c r="C94" s="9" t="str">
        <f>[2]หน้าผ้า!E103</f>
        <v>บจก.อินเทคค์ โกลบอล</v>
      </c>
      <c r="D94" s="13" t="str">
        <f>[2]หน้าผ้า!F103</f>
        <v>สุบรรณ 111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 t="str">
        <f>[2]หน้าผ้า!X103</f>
        <v>รอแจ้ง</v>
      </c>
      <c r="U94" s="11">
        <f>[2]หน้าผ้า!AA103</f>
        <v>734</v>
      </c>
      <c r="V94" s="10">
        <f>[2]หน้าผ้า!AJ103</f>
        <v>0</v>
      </c>
      <c r="W94" s="10">
        <f>[2]หน้าผ้า!AL103</f>
        <v>734</v>
      </c>
      <c r="X94" s="10">
        <f>[2]หน้าผ้า!AM103</f>
        <v>5520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 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 t="str">
        <f>[2]หน้าผ้า!C104</f>
        <v>ประมาณการ</v>
      </c>
      <c r="B95" s="14" t="str">
        <f>[2]หน้าผ้า!B104</f>
        <v>ประมาณการ</v>
      </c>
      <c r="C95" s="9" t="str">
        <f>[2]หน้าผ้า!E104</f>
        <v>บจก.เอสพีเอ็ม อาหารสัตว์</v>
      </c>
      <c r="D95" s="13" t="str">
        <f>[2]หน้าผ้า!F104</f>
        <v>รอแบบ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45838</v>
      </c>
      <c r="U95" s="11">
        <f>[2]หน้าผ้า!AA104</f>
        <v>20000</v>
      </c>
      <c r="V95" s="10">
        <f>[2]หน้าผ้า!AJ104</f>
        <v>0</v>
      </c>
      <c r="W95" s="10">
        <f>[2]หน้าผ้า!AL104</f>
        <v>20000</v>
      </c>
      <c r="X95" s="10">
        <f>[2]หน้าผ้า!AM104</f>
        <v>0</v>
      </c>
      <c r="Y95" s="10">
        <f>[2]หน้าผ้า!AN104</f>
        <v>21000</v>
      </c>
      <c r="Z95" s="9" t="str">
        <f>[2]หน้าผ้า!AO104</f>
        <v>WSWT2025800SM</v>
      </c>
      <c r="AA95" s="8">
        <f>[2]หน้าผ้า!AQ104</f>
        <v>22072.6</v>
      </c>
      <c r="AB95" s="8">
        <f>[2]หน้าผ้า!AR104</f>
        <v>0</v>
      </c>
      <c r="AC95" s="8">
        <f>[2]หน้าผ้า!AS104</f>
        <v>22072.6</v>
      </c>
      <c r="AD95" s="8">
        <f>[2]หน้าผ้า!AT104</f>
        <v>0</v>
      </c>
      <c r="AE95" s="8">
        <f>[2]หน้าผ้า!AU104</f>
        <v>22072.6</v>
      </c>
      <c r="AF95" s="8">
        <f>[2]หน้าผ้า!AI104</f>
        <v>0</v>
      </c>
      <c r="AG95" s="1" t="str">
        <f>[3]หน้าผ้า!DC107</f>
        <v>รอตัด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45838</v>
      </c>
      <c r="AK95" s="3">
        <f>[2]หน้าผ้า!DQ104</f>
        <v>45834</v>
      </c>
      <c r="AL95" s="3">
        <f>[2]หน้าผ้า!DR104</f>
        <v>45827</v>
      </c>
      <c r="AM95" s="3">
        <f>[2]หน้าผ้า!DS104</f>
        <v>45835</v>
      </c>
      <c r="AN95" s="3">
        <f>[2]หน้าผ้า!DT104</f>
        <v>45836</v>
      </c>
      <c r="AO95" s="3">
        <f>[2]หน้าผ้า!DU104</f>
        <v>45837</v>
      </c>
      <c r="AP95" s="3">
        <f>[2]หน้าผ้า!DP104</f>
        <v>45833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>รอART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1667.7075555555555</v>
      </c>
    </row>
    <row r="96" spans="1:56" ht="27.75" customHeight="1" x14ac:dyDescent="0.45">
      <c r="A96" s="3" t="str">
        <f>[2]หน้าผ้า!C105</f>
        <v>ประมาณการ</v>
      </c>
      <c r="B96" s="14" t="str">
        <f>[2]หน้าผ้า!B105</f>
        <v>ประมาณการ</v>
      </c>
      <c r="C96" s="9" t="str">
        <f>[2]หน้าผ้า!E105</f>
        <v>บจก.ไทยธรรมดี</v>
      </c>
      <c r="D96" s="13" t="str">
        <f>[2]หน้าผ้า!F105</f>
        <v>รอแบบ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97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</v>
      </c>
      <c r="T96" s="12">
        <f>[2]หน้าผ้า!X105</f>
        <v>45838</v>
      </c>
      <c r="U96" s="11">
        <f>[2]หน้าผ้า!AA105</f>
        <v>40000</v>
      </c>
      <c r="V96" s="10">
        <f>[2]หน้าผ้า!AJ105</f>
        <v>0</v>
      </c>
      <c r="W96" s="10">
        <f>[2]หน้าผ้า!AL105</f>
        <v>40000</v>
      </c>
      <c r="X96" s="10">
        <f>[2]หน้าผ้า!AM105</f>
        <v>0</v>
      </c>
      <c r="Y96" s="10">
        <f>[2]หน้าผ้า!AN105</f>
        <v>42000</v>
      </c>
      <c r="Z96" s="9" t="str">
        <f>[2]หน้าผ้า!AO105</f>
        <v>WSWT2025800SM</v>
      </c>
      <c r="AA96" s="8">
        <f>[2]หน้าผ้า!AQ105</f>
        <v>43027.600000000006</v>
      </c>
      <c r="AB96" s="8">
        <f>[2]หน้าผ้า!AR105</f>
        <v>0</v>
      </c>
      <c r="AC96" s="8">
        <f>[2]หน้าผ้า!AS105</f>
        <v>43027.600000000006</v>
      </c>
      <c r="AD96" s="8">
        <f>[2]หน้าผ้า!AT105</f>
        <v>0</v>
      </c>
      <c r="AE96" s="8">
        <f>[2]หน้าผ้า!AU105</f>
        <v>43027.600000000006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45838</v>
      </c>
      <c r="AK96" s="3">
        <f>[2]หน้าผ้า!DQ105</f>
        <v>45834</v>
      </c>
      <c r="AL96" s="3">
        <f>[2]หน้าผ้า!DR105</f>
        <v>45827</v>
      </c>
      <c r="AM96" s="3">
        <f>[2]หน้าผ้า!DS105</f>
        <v>45835</v>
      </c>
      <c r="AN96" s="3">
        <f>[2]หน้าผ้า!DT105</f>
        <v>45836</v>
      </c>
      <c r="AO96" s="3">
        <f>[2]หน้าผ้า!DU105</f>
        <v>45837</v>
      </c>
      <c r="AP96" s="3">
        <f>[2]หน้าผ้า!DP105</f>
        <v>45833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3250.9742222222226</v>
      </c>
    </row>
    <row r="97" spans="1:56" ht="27.75" customHeight="1" x14ac:dyDescent="0.45">
      <c r="A97" s="3">
        <f>[2]หน้าผ้า!C106</f>
        <v>45681</v>
      </c>
      <c r="B97" s="14" t="str">
        <f>[2]หน้าผ้า!B106</f>
        <v>MK68-000122</v>
      </c>
      <c r="C97" s="9" t="str">
        <f>[2]หน้าผ้า!E106</f>
        <v>บจก.เอสพีเอ็ม อาหารสัตว์</v>
      </c>
      <c r="D97" s="13" t="str">
        <f>[2]หน้าผ้า!F106</f>
        <v>SPM 212</v>
      </c>
      <c r="E97" s="9">
        <f>[2]หน้าผ้า!G106</f>
        <v>20</v>
      </c>
      <c r="F97" s="9">
        <f>[2]หน้าผ้า!H106</f>
        <v>40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108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 t="str">
        <f>[2]หน้าผ้า!X106</f>
        <v>รอแจ้ง</v>
      </c>
      <c r="U97" s="11">
        <f>[2]หน้าผ้า!AA106</f>
        <v>3000</v>
      </c>
      <c r="V97" s="10">
        <f>[2]หน้าผ้า!AJ106</f>
        <v>0</v>
      </c>
      <c r="W97" s="10">
        <f>[2]หน้าผ้า!AL106</f>
        <v>3000</v>
      </c>
      <c r="X97" s="10">
        <f>[2]หน้าผ้า!AM106</f>
        <v>0</v>
      </c>
      <c r="Y97" s="10">
        <f>[2]หน้าผ้า!AN106</f>
        <v>3150</v>
      </c>
      <c r="Z97" s="9" t="str">
        <f>[2]หน้าผ้า!AO106</f>
        <v>WSWT2025800SM</v>
      </c>
      <c r="AA97" s="8">
        <f>[2]หน้าผ้า!AQ106</f>
        <v>3478.5300000000007</v>
      </c>
      <c r="AB97" s="8">
        <f>[2]หน้าผ้า!AR106</f>
        <v>0</v>
      </c>
      <c r="AC97" s="8">
        <f>[2]หน้าผ้า!AS106</f>
        <v>3478.5300000000007</v>
      </c>
      <c r="AD97" s="8">
        <f>[2]หน้าผ้า!AT106</f>
        <v>0</v>
      </c>
      <c r="AE97" s="8">
        <f>[2]หน้าผ้า!AU106</f>
        <v>3478.5300000000007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262.82226666666674</v>
      </c>
    </row>
    <row r="98" spans="1:56" ht="27.75" customHeight="1" x14ac:dyDescent="0.45">
      <c r="A98" s="3">
        <f>[2]หน้าผ้า!C107</f>
        <v>45705</v>
      </c>
      <c r="B98" s="14" t="str">
        <f>[2]หน้าผ้า!B107</f>
        <v>MK68-000247</v>
      </c>
      <c r="C98" s="9" t="str">
        <f>[2]หน้าผ้า!E107</f>
        <v>บจก.อินเทคค์ โกลบอล</v>
      </c>
      <c r="D98" s="13" t="str">
        <f>[2]หน้าผ้า!F107</f>
        <v>เฟิร์สคลาส 912</v>
      </c>
      <c r="E98" s="9">
        <f>[2]หน้าผ้า!G107</f>
        <v>20</v>
      </c>
      <c r="F98" s="9">
        <f>[2]หน้าผ้า!H107</f>
        <v>35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97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จับจีบ4"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855</v>
      </c>
      <c r="V98" s="10">
        <f>[2]หน้าผ้า!AJ107</f>
        <v>0</v>
      </c>
      <c r="W98" s="10">
        <f>[2]หน้าผ้า!AL107</f>
        <v>855</v>
      </c>
      <c r="X98" s="10">
        <f>[2]หน้าผ้า!AM107</f>
        <v>16440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รอตัด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 t="str">
        <f>[2]หน้าผ้า!AG107</f>
        <v>ลบสีจำนวนมาก 3851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45674</v>
      </c>
      <c r="B99" s="14" t="str">
        <f>[2]หน้าผ้า!B108</f>
        <v>MK68-000093</v>
      </c>
      <c r="C99" s="9" t="str">
        <f>[2]หน้าผ้า!E108</f>
        <v>บจก.อินเทคค์ โกลบอล</v>
      </c>
      <c r="D99" s="13" t="str">
        <f>[2]หน้าผ้า!F108</f>
        <v>เฟิร์สคลาส 902</v>
      </c>
      <c r="E99" s="9">
        <f>[2]หน้าผ้า!G108</f>
        <v>20</v>
      </c>
      <c r="F99" s="9">
        <f>[2]หน้าผ้า!H108</f>
        <v>35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97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จับจีบ4"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152</v>
      </c>
      <c r="V99" s="10">
        <f>[2]หน้าผ้า!AJ108</f>
        <v>0</v>
      </c>
      <c r="W99" s="10">
        <f>[2]หน้าผ้า!AL108</f>
        <v>152</v>
      </c>
      <c r="X99" s="10">
        <f>[2]หน้าผ้า!AM108</f>
        <v>6000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5987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 t="str">
        <f>[2]หน้าผ้า!AG108</f>
        <v>ลบสี 5040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45611</v>
      </c>
      <c r="B100" s="14" t="str">
        <f>[2]หน้าผ้า!B109</f>
        <v>MK67-001532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เฟิร์สช้อย 903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117</v>
      </c>
      <c r="V100" s="10">
        <f>[2]หน้าผ้า!AJ109</f>
        <v>0</v>
      </c>
      <c r="W100" s="10">
        <f>[2]หน้าผ้า!AL109</f>
        <v>117</v>
      </c>
      <c r="X100" s="10">
        <f>[2]หน้าผ้า!AM109</f>
        <v>10065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45523</v>
      </c>
      <c r="B101" s="14" t="str">
        <f>[2]หน้าผ้า!B110</f>
        <v>MK67-001153</v>
      </c>
      <c r="C101" s="9" t="str">
        <f>[2]หน้าผ้า!E110</f>
        <v>บจก.อินเทคค์ โกลบอล</v>
      </c>
      <c r="D101" s="13" t="str">
        <f>[2]หน้าผ้า!F110</f>
        <v>สุบรรณ 777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 t="str">
        <f>[2]หน้าผ้า!X110</f>
        <v>รอแจ้ง</v>
      </c>
      <c r="U101" s="11">
        <f>[2]หน้าผ้า!AA110</f>
        <v>1260</v>
      </c>
      <c r="V101" s="10">
        <f>[2]หน้าผ้า!AJ110</f>
        <v>0</v>
      </c>
      <c r="W101" s="10">
        <f>[2]หน้าผ้า!AL110</f>
        <v>1260</v>
      </c>
      <c r="X101" s="10">
        <f>[2]หน้าผ้า!AM110</f>
        <v>11095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45523</v>
      </c>
      <c r="B102" s="14" t="str">
        <f>[2]หน้าผ้า!B111</f>
        <v>MK67-001153</v>
      </c>
      <c r="C102" s="9" t="str">
        <f>[2]หน้าผ้า!E111</f>
        <v>บจก.อินเทคค์ โกลบอล</v>
      </c>
      <c r="D102" s="13" t="str">
        <f>[2]หน้าผ้า!F111</f>
        <v>สุบรรณ 666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89</v>
      </c>
      <c r="V102" s="10">
        <f>[2]หน้าผ้า!AJ111</f>
        <v>0</v>
      </c>
      <c r="W102" s="10">
        <f>[2]หน้าผ้า!AL111</f>
        <v>89</v>
      </c>
      <c r="X102" s="10">
        <f>[2]หน้าผ้า!AM111</f>
        <v>11180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45741</v>
      </c>
      <c r="B103" s="14" t="str">
        <f>[2]หน้าผ้า!B112</f>
        <v>MK68-000452</v>
      </c>
      <c r="C103" s="9" t="str">
        <f>[2]หน้าผ้า!E112</f>
        <v>บจก.เอพีเอ็ม อะโกร</v>
      </c>
      <c r="D103" s="13" t="str">
        <f>[2]หน้าผ้า!F112</f>
        <v>วี-ฟีด วี 07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รอส่ง</v>
      </c>
      <c r="U103" s="11">
        <f>[2]หน้าผ้า!AA112</f>
        <v>4000</v>
      </c>
      <c r="V103" s="10">
        <f>[2]หน้าผ้า!AJ112</f>
        <v>3857</v>
      </c>
      <c r="W103" s="10">
        <f>[2]หน้าผ้า!AL112</f>
        <v>143</v>
      </c>
      <c r="X103" s="10">
        <f>[2]หน้าผ้า!AM112</f>
        <v>4200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รอส่ง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 t="str">
        <f>[2]หน้าผ้า!AG112</f>
        <v>มีลบสี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45720</v>
      </c>
      <c r="B104" s="14" t="str">
        <f>[2]หน้าผ้า!B113</f>
        <v>ใบรับคำสั่งซื้อ</v>
      </c>
      <c r="C104" s="9" t="str">
        <f>[2]หน้าผ้า!E113</f>
        <v>บจก.เอพีเอ็ม อะโกร</v>
      </c>
      <c r="D104" s="13" t="str">
        <f>[2]หน้าผ้า!F113</f>
        <v>นีโอ พี3(เอส)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รอส่ง</v>
      </c>
      <c r="U104" s="11">
        <f>[2]หน้าผ้า!AA113</f>
        <v>4000</v>
      </c>
      <c r="V104" s="10">
        <f>[2]หน้าผ้า!AJ113</f>
        <v>4010</v>
      </c>
      <c r="W104" s="10">
        <f>[2]หน้าผ้า!AL113</f>
        <v>0</v>
      </c>
      <c r="X104" s="10">
        <f>[2]หน้าผ้า!AM113</f>
        <v>4470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รอส่ง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45720</v>
      </c>
      <c r="B105" s="14" t="str">
        <f>[2]หน้าผ้า!B114</f>
        <v>ใบรับคำสั่งซื้อ</v>
      </c>
      <c r="C105" s="9" t="str">
        <f>[2]หน้าผ้า!E114</f>
        <v>บจก.เอพีเอ็ม อะโกร</v>
      </c>
      <c r="D105" s="13" t="str">
        <f>[2]หน้าผ้า!F114</f>
        <v>นีโอ พี4(เอส)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รอส่ง</v>
      </c>
      <c r="U105" s="11">
        <f>[2]หน้าผ้า!AA114</f>
        <v>3000</v>
      </c>
      <c r="V105" s="10">
        <f>[2]หน้าผ้า!AJ114</f>
        <v>3065</v>
      </c>
      <c r="W105" s="10">
        <f>[2]หน้าผ้า!AL114</f>
        <v>0</v>
      </c>
      <c r="X105" s="10">
        <f>[2]หน้าผ้า!AM114</f>
        <v>3300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รอส่ง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45541</v>
      </c>
      <c r="B106" s="14" t="str">
        <f>[2]หน้าผ้า!B115</f>
        <v>MK67-001236</v>
      </c>
      <c r="C106" s="9" t="str">
        <f>[2]หน้าผ้า!E115</f>
        <v>บจก.เอพีเอ็ม อะโกร</v>
      </c>
      <c r="D106" s="13" t="str">
        <f>[2]หน้าผ้า!F115</f>
        <v>ยูฟีด รวมไก่ วัว</v>
      </c>
      <c r="E106" s="9">
        <f>[2]หน้าผ้า!G115</f>
        <v>20</v>
      </c>
      <c r="F106" s="9">
        <f>[2]หน้าผ้า!H115</f>
        <v>40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108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รอส่ง</v>
      </c>
      <c r="U106" s="11">
        <f>[2]หน้าผ้า!AA115</f>
        <v>3000</v>
      </c>
      <c r="V106" s="10">
        <f>[2]หน้าผ้า!AJ115</f>
        <v>3318</v>
      </c>
      <c r="W106" s="10">
        <f>[2]หน้าผ้า!AL115</f>
        <v>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 t="str">
        <f>[2]หน้าผ้า!AI115</f>
        <v>ลูกค้าสั่งผิดเอาไปส่งเดือน10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รอส่ง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>
        <f>[2]หน้าผ้า!ED115</f>
        <v>0</v>
      </c>
      <c r="AY106" s="2" t="str">
        <f>[2]หน้าผ้า!AG115</f>
        <v>ลูกค้าต้องการเคลือบใส แต่เปิดมาเคลือบด้าน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45548</v>
      </c>
      <c r="B107" s="14" t="str">
        <f>[2]หน้าผ้า!B116</f>
        <v>MK67-001272</v>
      </c>
      <c r="C107" s="9" t="str">
        <f>[2]หน้าผ้า!E116</f>
        <v>บจก.เอพีเอ็ม อะโกร</v>
      </c>
      <c r="D107" s="13" t="str">
        <f>[2]หน้าผ้า!F116</f>
        <v>นีโอ พี3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รอส่ง</v>
      </c>
      <c r="U107" s="11">
        <f>[2]หน้าผ้า!AA116</f>
        <v>2500</v>
      </c>
      <c r="V107" s="10">
        <f>[2]หน้าผ้า!AJ116</f>
        <v>2364</v>
      </c>
      <c r="W107" s="10">
        <f>[2]หน้าผ้า!AL116</f>
        <v>136</v>
      </c>
      <c r="X107" s="10">
        <f>[2]หน้าผ้า!AM116</f>
        <v>5500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รอส่ง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 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45581</v>
      </c>
      <c r="B108" s="14" t="str">
        <f>[2]หน้าผ้า!B117</f>
        <v>MK67-001396</v>
      </c>
      <c r="C108" s="9" t="str">
        <f>[2]หน้าผ้า!E117</f>
        <v>บจก.เอพีเอ็ม อะโกร</v>
      </c>
      <c r="D108" s="13" t="str">
        <f>[2]หน้าผ้า!F117</f>
        <v>นีโอ พี4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รอส่ง</v>
      </c>
      <c r="U108" s="11">
        <f>[2]หน้าผ้า!AA117</f>
        <v>3000</v>
      </c>
      <c r="V108" s="10">
        <f>[2]หน้าผ้า!AJ117</f>
        <v>3194</v>
      </c>
      <c r="W108" s="10">
        <f>[2]หน้าผ้า!AL117</f>
        <v>0</v>
      </c>
      <c r="X108" s="10">
        <f>[2]หน้าผ้า!AM117</f>
        <v>5632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รอส่ง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0</v>
      </c>
      <c r="B109" s="14">
        <f>[2]หน้าผ้า!B118</f>
        <v>0</v>
      </c>
      <c r="C109" s="9">
        <f>[2]หน้าผ้า!E118</f>
        <v>0</v>
      </c>
      <c r="D109" s="13">
        <f>[2]หน้าผ้า!F118</f>
        <v>0</v>
      </c>
      <c r="E109" s="9">
        <f>[2]หน้าผ้า!G118</f>
        <v>20</v>
      </c>
      <c r="F109" s="9">
        <f>[2]หน้าผ้า!H118</f>
        <v>38</v>
      </c>
      <c r="G109" s="9">
        <f>[2]หน้าผ้า!I118</f>
        <v>0</v>
      </c>
      <c r="H109" s="9">
        <f>[2]หน้าผ้า!J118</f>
        <v>0</v>
      </c>
      <c r="I109" s="9">
        <f>[2]หน้าผ้า!L118</f>
        <v>84</v>
      </c>
      <c r="J109" s="9" t="str">
        <f>[2]หน้าผ้า!M118</f>
        <v>±</v>
      </c>
      <c r="K109" s="9">
        <f>[2]หน้าผ้า!N118</f>
        <v>5</v>
      </c>
      <c r="L109" s="9">
        <f>[2]หน้าผ้า!R118</f>
        <v>0</v>
      </c>
      <c r="M109" s="10">
        <f>[2]หน้าผ้า!T118</f>
        <v>0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>
        <f>[2]หน้าผ้า!Z118</f>
        <v>0</v>
      </c>
      <c r="T109" s="12">
        <f>[2]หน้าผ้า!X118</f>
        <v>0</v>
      </c>
      <c r="U109" s="11">
        <f>[2]หน้าผ้า!AA118</f>
        <v>0</v>
      </c>
      <c r="V109" s="10">
        <f>[2]หน้าผ้า!AJ118</f>
        <v>0</v>
      </c>
      <c r="W109" s="10">
        <f>[2]หน้าผ้า!AL118</f>
        <v>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305321.61789250013</v>
      </c>
      <c r="AB109" s="8">
        <f>[2]หน้าผ้า!AR118</f>
        <v>68655.847892500009</v>
      </c>
      <c r="AC109" s="8">
        <f>[2]หน้าผ้า!AS118</f>
        <v>236665.77000000005</v>
      </c>
      <c r="AD109" s="8">
        <f>[2]หน้าผ้า!AT118</f>
        <v>14435.8331425</v>
      </c>
      <c r="AE109" s="8">
        <f>[2]หน้าผ้า!AU118</f>
        <v>290885.78475000011</v>
      </c>
      <c r="AF109" s="8" t="str">
        <f>[2]หน้าผ้า!AI118</f>
        <v>ระบุในSD</v>
      </c>
      <c r="AG109" s="1" t="str">
        <f>[3]หน้าผ้า!DC121</f>
        <v>ยังไม่ได้พิมพ์</v>
      </c>
      <c r="AH109" s="1">
        <f>[2]หน้าผ้า!DL118</f>
        <v>0</v>
      </c>
      <c r="AI109" s="1" t="str">
        <f>[2]หน้าผ้า!DM118</f>
        <v>Lead time</v>
      </c>
      <c r="AJ109" s="3">
        <f>[2]หน้าผ้า!DN118</f>
        <v>0</v>
      </c>
      <c r="AK109" s="3">
        <f>[2]หน้าผ้า!DQ118</f>
        <v>0</v>
      </c>
      <c r="AL109" s="3">
        <f>[2]หน้าผ้า!DR118</f>
        <v>0</v>
      </c>
      <c r="AM109" s="3">
        <f>[2]หน้าผ้า!DS118</f>
        <v>0</v>
      </c>
      <c r="AN109" s="3">
        <f>[2]หน้าผ้า!DT118</f>
        <v>0</v>
      </c>
      <c r="AO109" s="3">
        <f>[2]หน้าผ้า!DU118</f>
        <v>0</v>
      </c>
      <c r="AP109" s="3">
        <f>[2]หน้าผ้า!DP118</f>
        <v>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>
        <f>[2]หน้าผ้า!EC118</f>
        <v>0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20</v>
      </c>
      <c r="F110" s="9">
        <f>[2]หน้าผ้า!H119</f>
        <v>38</v>
      </c>
      <c r="G110" s="9">
        <f>[2]หน้าผ้า!I119</f>
        <v>0</v>
      </c>
      <c r="H110" s="9">
        <f>[2]หน้าผ้า!J119</f>
        <v>0</v>
      </c>
      <c r="I110" s="9">
        <f>[2]หน้าผ้า!L119</f>
        <v>82</v>
      </c>
      <c r="J110" s="9" t="str">
        <f>[2]หน้าผ้า!M119</f>
        <v>+</v>
      </c>
      <c r="K110" s="9">
        <f>[2]หน้าผ้า!N119</f>
        <v>2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WSWT2025850</v>
      </c>
      <c r="AA110" s="8" t="e">
        <f>[2]หน้าผ้า!AQ119</f>
        <v>#REF!</v>
      </c>
      <c r="AB110" s="8" t="e">
        <f>[2]หน้าผ้า!AR119</f>
        <v>#REF!</v>
      </c>
      <c r="AC110" s="8" t="e">
        <f>[2]หน้าผ้า!AS119</f>
        <v>#REF!</v>
      </c>
      <c r="AD110" s="8" t="e">
        <f>[2]หน้าผ้า!AT119</f>
        <v>#REF!</v>
      </c>
      <c r="AE110" s="8" t="e">
        <f>[2]หน้าผ้า!AU119</f>
        <v>#REF!</v>
      </c>
      <c r="AF110" s="8" t="str">
        <f>[2]หน้าผ้า!AI119</f>
        <v>ระบุในSD</v>
      </c>
      <c r="AG110" s="1" t="str">
        <f>[3]หน้าผ้า!DC122</f>
        <v>ยังไม่ได้พิมพ์</v>
      </c>
      <c r="AH110" s="1">
        <f>[2]หน้าผ้า!DL119</f>
        <v>0</v>
      </c>
      <c r="AI110" s="1" t="str">
        <f>[2]หน้าผ้า!DM119</f>
        <v>Lead time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WRWT200850/WRWT25800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20</v>
      </c>
      <c r="F111" s="9">
        <f>[2]หน้าผ้า!H120</f>
        <v>37</v>
      </c>
      <c r="G111" s="9">
        <f>[2]หน้าผ้า!I120</f>
        <v>0</v>
      </c>
      <c r="H111" s="9">
        <f>[2]หน้าผ้า!J120</f>
        <v>0</v>
      </c>
      <c r="I111" s="9">
        <f>[2]หน้าผ้า!L120</f>
        <v>82</v>
      </c>
      <c r="J111" s="9" t="str">
        <f>[2]หน้าผ้า!M120</f>
        <v>±</v>
      </c>
      <c r="K111" s="9">
        <f>[2]หน้าผ้า!N120</f>
        <v>5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WSWT2021750</v>
      </c>
      <c r="AA111" s="8" t="e">
        <f>[2]หน้าผ้า!AQ120</f>
        <v>#REF!</v>
      </c>
      <c r="AB111" s="8" t="e">
        <f>[2]หน้าผ้า!AR120</f>
        <v>#REF!</v>
      </c>
      <c r="AC111" s="8" t="e">
        <f>[2]หน้าผ้า!AS120</f>
        <v>#REF!</v>
      </c>
      <c r="AD111" s="8" t="e">
        <f>[2]หน้าผ้า!AT120</f>
        <v>#REF!</v>
      </c>
      <c r="AE111" s="8" t="e">
        <f>[2]หน้าผ้า!AU120</f>
        <v>#REF!</v>
      </c>
      <c r="AF111" s="8" t="str">
        <f>[2]หน้าผ้า!AI120</f>
        <v>ระบุในSD</v>
      </c>
      <c r="AG111" s="1" t="str">
        <f>[3]หน้าผ้า!DC123</f>
        <v>ยังไม่ได้พิมพ์</v>
      </c>
      <c r="AH111" s="1">
        <f>[2]หน้าผ้า!DL120</f>
        <v>0</v>
      </c>
      <c r="AI111" s="1" t="str">
        <f>[2]หน้าผ้า!DM120</f>
        <v>Lead time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WRWT200750/WRWT21750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45818</v>
      </c>
      <c r="B112" s="14" t="str">
        <f>[2]หน้าผ้า!B121</f>
        <v>ใบรับคำสั่งซื้อ</v>
      </c>
      <c r="C112" s="9" t="str">
        <f>[2]หน้าผ้า!E121</f>
        <v>บจก.เบทาโกร</v>
      </c>
      <c r="D112" s="13" t="str">
        <f>[2]หน้าผ้า!F121</f>
        <v>WB ฟาร์ม F916 30kg LP</v>
      </c>
      <c r="E112" s="9">
        <f>[2]หน้าผ้า!G121</f>
        <v>20</v>
      </c>
      <c r="F112" s="9">
        <f>[2]หน้าผ้า!H121</f>
        <v>37</v>
      </c>
      <c r="G112" s="9" t="str">
        <f>[2]หน้าผ้า!I121</f>
        <v>ขาว</v>
      </c>
      <c r="H112" s="9">
        <f>[2]หน้าผ้า!J121</f>
        <v>0</v>
      </c>
      <c r="I112" s="9">
        <f>[2]หน้าผ้า!L121</f>
        <v>80</v>
      </c>
      <c r="J112" s="9" t="str">
        <f>[2]หน้าผ้า!M121</f>
        <v>±</v>
      </c>
      <c r="K112" s="9">
        <f>[2]หน้าผ้า!N121</f>
        <v>3</v>
      </c>
      <c r="L112" s="9" t="str">
        <f>[2]หน้าผ้า!R121</f>
        <v>ไม่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 พร้อมระบุชื่อบริษัท รายการสินค้า จำนวนแต่ละแพ็ค</v>
      </c>
      <c r="T112" s="12">
        <f>[2]หน้าผ้า!X121</f>
        <v>45826</v>
      </c>
      <c r="U112" s="11">
        <f>[2]หน้าผ้า!AA121</f>
        <v>10000</v>
      </c>
      <c r="V112" s="10">
        <f>[2]หน้าผ้า!AJ121</f>
        <v>0</v>
      </c>
      <c r="W112" s="10">
        <f>[2]หน้าผ้า!AL121</f>
        <v>10000</v>
      </c>
      <c r="X112" s="10">
        <f>[2]หน้าผ้า!AM121</f>
        <v>0</v>
      </c>
      <c r="Y112" s="10">
        <f>[2]หน้าผ้า!AN121</f>
        <v>10500</v>
      </c>
      <c r="Z112" s="9" t="str">
        <f>[2]หน้าผ้า!AO121</f>
        <v>WSWT2025800</v>
      </c>
      <c r="AA112" s="8">
        <f>[2]หน้าผ้า!AQ121</f>
        <v>10756.900000000001</v>
      </c>
      <c r="AB112" s="8">
        <f>[2]หน้าผ้า!AR121</f>
        <v>10756.900000000001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 t="str">
        <f>[2]หน้าผ้า!AI121</f>
        <v>ลำพูน</v>
      </c>
      <c r="AG112" s="1" t="str">
        <f>[3]หน้าผ้า!DC124</f>
        <v>ยังไม่ได้พิมพ์</v>
      </c>
      <c r="AH112" s="1" t="str">
        <f>[2]หน้าผ้า!DL121</f>
        <v>P7</v>
      </c>
      <c r="AI112" s="1">
        <f>[2]หน้าผ้า!DM121</f>
        <v>2</v>
      </c>
      <c r="AJ112" s="3">
        <f>[2]หน้าผ้า!DN121</f>
        <v>45826</v>
      </c>
      <c r="AK112" s="3">
        <f>[2]หน้าผ้า!DQ121</f>
        <v>0</v>
      </c>
      <c r="AL112" s="3">
        <f>[2]หน้าผ้า!DR121</f>
        <v>45817</v>
      </c>
      <c r="AM112" s="3">
        <f>[2]หน้าผ้า!DS121</f>
        <v>45824</v>
      </c>
      <c r="AN112" s="3">
        <f>[2]หน้าผ้า!DT121</f>
        <v>45825</v>
      </c>
      <c r="AO112" s="3">
        <f>[2]หน้าผ้า!DU121</f>
        <v>45825</v>
      </c>
      <c r="AP112" s="3">
        <f>[2]หน้าผ้า!DP121</f>
        <v>45821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งานพิมพ์</v>
      </c>
      <c r="AX112" s="2" t="str">
        <f>[2]หน้าผ้า!ED121</f>
        <v>รอART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WRWT25800/WRWT25800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45818</v>
      </c>
      <c r="B113" s="14" t="str">
        <f>[2]หน้าผ้า!B122</f>
        <v>ใบรับคำสั่งซื้อ</v>
      </c>
      <c r="C113" s="9" t="str">
        <f>[2]หน้าผ้า!E122</f>
        <v>บจก.เบทาโกร</v>
      </c>
      <c r="D113" s="13" t="str">
        <f>[2]หน้าผ้า!F122</f>
        <v>WB ฟาร์ม F912 30kg LP</v>
      </c>
      <c r="E113" s="9">
        <f>[2]หน้าผ้า!G122</f>
        <v>20</v>
      </c>
      <c r="F113" s="9">
        <f>[2]หน้าผ้า!H122</f>
        <v>37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80</v>
      </c>
      <c r="J113" s="9" t="str">
        <f>[2]หน้าผ้า!M122</f>
        <v>±</v>
      </c>
      <c r="K113" s="9">
        <f>[2]หน้าผ้า!N122</f>
        <v>3</v>
      </c>
      <c r="L113" s="9" t="str">
        <f>[2]หน้าผ้า!R122</f>
        <v>ไม่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 พร้อมระบุชื่อบริษัท รายการสินค้า จำนวนแต่ละแพ็ค</v>
      </c>
      <c r="T113" s="12">
        <f>[2]หน้าผ้า!X122</f>
        <v>45826</v>
      </c>
      <c r="U113" s="11">
        <f>[2]หน้าผ้า!AA122</f>
        <v>5000</v>
      </c>
      <c r="V113" s="10">
        <f>[2]หน้าผ้า!AJ122</f>
        <v>0</v>
      </c>
      <c r="W113" s="10">
        <f>[2]หน้าผ้า!AL122</f>
        <v>5000</v>
      </c>
      <c r="X113" s="10">
        <f>[2]หน้าผ้า!AM122</f>
        <v>0</v>
      </c>
      <c r="Y113" s="10">
        <f>[2]หน้าผ้า!AN122</f>
        <v>5250</v>
      </c>
      <c r="Z113" s="9" t="str">
        <f>[2]หน้าผ้า!AO122</f>
        <v>WSWT2025800</v>
      </c>
      <c r="AA113" s="8">
        <f>[2]หน้าผ้า!AQ122</f>
        <v>5378.4500000000007</v>
      </c>
      <c r="AB113" s="8">
        <f>[2]หน้าผ้า!AR122</f>
        <v>5378.4500000000007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 t="str">
        <f>[2]หน้าผ้า!AI122</f>
        <v>ลำพูน</v>
      </c>
      <c r="AG113" s="1" t="str">
        <f>[3]หน้าผ้า!DC125</f>
        <v>พร้อมส่ง</v>
      </c>
      <c r="AH113" s="1" t="str">
        <f>[2]หน้าผ้า!DL122</f>
        <v>P7</v>
      </c>
      <c r="AI113" s="1">
        <f>[2]หน้าผ้า!DM122</f>
        <v>2</v>
      </c>
      <c r="AJ113" s="3">
        <f>[2]หน้าผ้า!DN122</f>
        <v>45826</v>
      </c>
      <c r="AK113" s="3">
        <f>[2]หน้าผ้า!DQ122</f>
        <v>0</v>
      </c>
      <c r="AL113" s="3">
        <f>[2]หน้าผ้า!DR122</f>
        <v>45817</v>
      </c>
      <c r="AM113" s="3">
        <f>[2]หน้าผ้า!DS122</f>
        <v>45824</v>
      </c>
      <c r="AN113" s="3">
        <f>[2]หน้าผ้า!DT122</f>
        <v>45825</v>
      </c>
      <c r="AO113" s="3">
        <f>[2]หน้าผ้า!DU122</f>
        <v>45825</v>
      </c>
      <c r="AP113" s="3">
        <f>[2]หน้าผ้า!DP122</f>
        <v>45821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>รอART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WRWT25800/WRWT25800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45812</v>
      </c>
      <c r="B114" s="14" t="str">
        <f>[2]หน้าผ้า!B123</f>
        <v>MK68-000746</v>
      </c>
      <c r="C114" s="9" t="str">
        <f>[2]หน้าผ้า!E123</f>
        <v>บจก.เคอรี่ฟลาวมิลล์</v>
      </c>
      <c r="D114" s="13" t="str">
        <f>[2]หน้าผ้า!F123</f>
        <v>แปดแต้มแดง 25กก.</v>
      </c>
      <c r="E114" s="9">
        <f>[2]หน้าผ้า!G123</f>
        <v>20</v>
      </c>
      <c r="F114" s="9">
        <f>[2]หน้าผ้า!H123</f>
        <v>32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72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ห่ออัดเบลแบน500</v>
      </c>
      <c r="T114" s="12">
        <f>[2]หน้าผ้า!X123</f>
        <v>45827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0</v>
      </c>
      <c r="Y114" s="10">
        <f>[2]หน้าผ้า!AN123</f>
        <v>5250</v>
      </c>
      <c r="Z114" s="9" t="str">
        <f>[2]หน้าผ้า!AO123</f>
        <v>WSWT2025800</v>
      </c>
      <c r="AA114" s="8">
        <f>[2]หน้าผ้า!AQ123</f>
        <v>4679.9500000000007</v>
      </c>
      <c r="AB114" s="8">
        <f>[2]หน้าผ้า!AR123</f>
        <v>4679.9500000000007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PDR250184</v>
      </c>
      <c r="AG114" s="1" t="str">
        <f>[3]หน้าผ้า!DC126</f>
        <v>ยังไม่ได้พิมพ์</v>
      </c>
      <c r="AH114" s="1" t="str">
        <f>[2]หน้าผ้า!DL123</f>
        <v>P7</v>
      </c>
      <c r="AI114" s="1">
        <f>[2]หน้าผ้า!DM123</f>
        <v>2</v>
      </c>
      <c r="AJ114" s="3">
        <f>[2]หน้าผ้า!DN123</f>
        <v>45827</v>
      </c>
      <c r="AK114" s="3">
        <f>[2]หน้าผ้า!DQ123</f>
        <v>0</v>
      </c>
      <c r="AL114" s="3">
        <f>[2]หน้าผ้า!DR123</f>
        <v>45818</v>
      </c>
      <c r="AM114" s="3">
        <f>[2]หน้าผ้า!DS123</f>
        <v>45825</v>
      </c>
      <c r="AN114" s="3">
        <f>[2]หน้าผ้า!DT123</f>
        <v>45826</v>
      </c>
      <c r="AO114" s="3">
        <f>[2]หน้าผ้า!DU123</f>
        <v>45826</v>
      </c>
      <c r="AP114" s="3">
        <f>[2]หน้าผ้า!DP123</f>
        <v>45822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 t="str">
        <f>[2]หน้าผ้า!ED123</f>
        <v>รอART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WRWT25800/WRWT25800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45818</v>
      </c>
      <c r="B115" s="14" t="str">
        <f>[2]หน้าผ้า!B124</f>
        <v>ใบรับคำสั่งซื้อ</v>
      </c>
      <c r="C115" s="9" t="str">
        <f>[2]หน้าผ้า!E124</f>
        <v>บจก.เบทาโกร</v>
      </c>
      <c r="D115" s="13" t="str">
        <f>[2]หน้าผ้า!F124</f>
        <v>WB ฟาร์ม F992 30kg LR</v>
      </c>
      <c r="E115" s="9">
        <f>[2]หน้าผ้า!G124</f>
        <v>20</v>
      </c>
      <c r="F115" s="9">
        <f>[2]หน้าผ้า!H124</f>
        <v>37</v>
      </c>
      <c r="G115" s="9" t="str">
        <f>[2]หน้าผ้า!I124</f>
        <v>ขาว</v>
      </c>
      <c r="H115" s="9">
        <f>[2]หน้าผ้า!J124</f>
        <v>0</v>
      </c>
      <c r="I115" s="9">
        <f>[2]หน้าผ้า!L124</f>
        <v>80</v>
      </c>
      <c r="J115" s="9" t="str">
        <f>[2]หน้าผ้า!M124</f>
        <v>±</v>
      </c>
      <c r="K115" s="9">
        <f>[2]หน้าผ้า!N124</f>
        <v>3</v>
      </c>
      <c r="L115" s="9" t="str">
        <f>[2]หน้าผ้า!R124</f>
        <v>ไม่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 พร้อมระบุชื่อบริษัท รายการสินค้า จำนวนแต่ละแพ็ค</v>
      </c>
      <c r="T115" s="12">
        <f>[2]หน้าผ้า!X124</f>
        <v>45831</v>
      </c>
      <c r="U115" s="11">
        <f>[2]หน้าผ้า!AA124</f>
        <v>30000</v>
      </c>
      <c r="V115" s="10">
        <f>[2]หน้าผ้า!AJ124</f>
        <v>0</v>
      </c>
      <c r="W115" s="10">
        <f>[2]หน้าผ้า!AL124</f>
        <v>30000</v>
      </c>
      <c r="X115" s="10">
        <f>[2]หน้าผ้า!AM124</f>
        <v>0</v>
      </c>
      <c r="Y115" s="10">
        <f>[2]หน้าผ้า!AN124</f>
        <v>31500</v>
      </c>
      <c r="Z115" s="9" t="str">
        <f>[2]หน้าผ้า!AO124</f>
        <v>WSWT2025800</v>
      </c>
      <c r="AA115" s="8">
        <f>[2]หน้าผ้า!AQ124</f>
        <v>32270.700000000004</v>
      </c>
      <c r="AB115" s="8">
        <f>[2]หน้าผ้า!AR124</f>
        <v>32270.700000000004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ลพบุรี1</v>
      </c>
      <c r="AG115" s="1" t="str">
        <f>[3]หน้าผ้า!DC127</f>
        <v>ยังไม่ได้พิมพ์</v>
      </c>
      <c r="AH115" s="1" t="str">
        <f>[2]หน้าผ้า!DL124</f>
        <v>P7</v>
      </c>
      <c r="AI115" s="1">
        <f>[2]หน้าผ้า!DM124</f>
        <v>2</v>
      </c>
      <c r="AJ115" s="3">
        <f>[2]หน้าผ้า!DN124</f>
        <v>45831</v>
      </c>
      <c r="AK115" s="3">
        <f>[2]หน้าผ้า!DQ124</f>
        <v>0</v>
      </c>
      <c r="AL115" s="3">
        <f>[2]หน้าผ้า!DR124</f>
        <v>45822</v>
      </c>
      <c r="AM115" s="3">
        <f>[2]หน้าผ้า!DS124</f>
        <v>45829</v>
      </c>
      <c r="AN115" s="3">
        <f>[2]หน้าผ้า!DT124</f>
        <v>45830</v>
      </c>
      <c r="AO115" s="3">
        <f>[2]หน้าผ้า!DU124</f>
        <v>45830</v>
      </c>
      <c r="AP115" s="3">
        <f>[2]หน้าผ้า!DP124</f>
        <v>45826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WRWT25800/WRWT25800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45786</v>
      </c>
      <c r="B116" s="14" t="str">
        <f>[2]หน้าผ้า!B125</f>
        <v>MK68-000646</v>
      </c>
      <c r="C116" s="9" t="str">
        <f>[2]หน้าผ้า!E125</f>
        <v>บจก.เบทาโกร</v>
      </c>
      <c r="D116" s="13" t="str">
        <f>[2]หน้าผ้า!F125</f>
        <v xml:space="preserve">WB ฟาร์ม F916 30kg </v>
      </c>
      <c r="E116" s="9">
        <f>[2]หน้าผ้า!G125</f>
        <v>20</v>
      </c>
      <c r="F116" s="9">
        <f>[2]หน้าผ้า!H125</f>
        <v>37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80</v>
      </c>
      <c r="J116" s="9" t="str">
        <f>[2]หน้าผ้า!M125</f>
        <v>±</v>
      </c>
      <c r="K116" s="9">
        <f>[2]หน้าผ้า!N125</f>
        <v>3</v>
      </c>
      <c r="L116" s="9" t="str">
        <f>[2]หน้าผ้า!R125</f>
        <v>ไม่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 พร้อมระบุชื่อบริษัท รายการสินค้า จำนวนแต่ละแพ็ค</v>
      </c>
      <c r="T116" s="12">
        <f>[2]หน้าผ้า!X125</f>
        <v>45838</v>
      </c>
      <c r="U116" s="11">
        <f>[2]หน้าผ้า!AA125</f>
        <v>10000</v>
      </c>
      <c r="V116" s="10">
        <f>[2]หน้าผ้า!AJ125</f>
        <v>10196</v>
      </c>
      <c r="W116" s="10">
        <f>[2]หน้าผ้า!AL125</f>
        <v>0</v>
      </c>
      <c r="X116" s="10">
        <f>[2]หน้าผ้า!AM125</f>
        <v>10500</v>
      </c>
      <c r="Y116" s="10">
        <f>[2]หน้าผ้า!AN125</f>
        <v>0</v>
      </c>
      <c r="Z116" s="9" t="str">
        <f>[2]หน้าผ้า!AO125</f>
        <v>WSWT2025800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พระประแดง</v>
      </c>
      <c r="AG116" s="1" t="str">
        <f>[3]หน้าผ้า!DC128</f>
        <v>รอตัด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45838</v>
      </c>
      <c r="AK116" s="3">
        <f>[2]หน้าผ้า!DQ125</f>
        <v>0</v>
      </c>
      <c r="AL116" s="3">
        <f>[2]หน้าผ้า!DR125</f>
        <v>45829</v>
      </c>
      <c r="AM116" s="3">
        <f>[2]หน้าผ้า!DS125</f>
        <v>45836</v>
      </c>
      <c r="AN116" s="3">
        <f>[2]หน้าผ้า!DT125</f>
        <v>45837</v>
      </c>
      <c r="AO116" s="3">
        <f>[2]หน้าผ้า!DU125</f>
        <v>45837</v>
      </c>
      <c r="AP116" s="3">
        <f>[2]หน้าผ้า!DP125</f>
        <v>45833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45813</v>
      </c>
      <c r="B117" s="14" t="str">
        <f>[2]หน้าผ้า!B126</f>
        <v>MK68-000750</v>
      </c>
      <c r="C117" s="9" t="str">
        <f>[2]หน้าผ้า!E126</f>
        <v>บจก.เบทาโกร</v>
      </c>
      <c r="D117" s="13" t="str">
        <f>[2]หน้าผ้า!F126</f>
        <v>WB ฟาร์ม F914M 30kg.</v>
      </c>
      <c r="E117" s="9">
        <f>[2]หน้าผ้า!G126</f>
        <v>20</v>
      </c>
      <c r="F117" s="9">
        <f>[2]หน้าผ้า!H126</f>
        <v>37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80</v>
      </c>
      <c r="J117" s="9" t="str">
        <f>[2]หน้าผ้า!M126</f>
        <v>±</v>
      </c>
      <c r="K117" s="9">
        <f>[2]หน้าผ้า!N126</f>
        <v>3</v>
      </c>
      <c r="L117" s="9" t="str">
        <f>[2]หน้าผ้า!R126</f>
        <v>ไม่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 พร้อมระบุชื่อบริษัท รายการสินค้า จำนวนแต่ละแพ็ค</v>
      </c>
      <c r="T117" s="12">
        <f>[2]หน้าผ้า!X126</f>
        <v>45838</v>
      </c>
      <c r="U117" s="11">
        <f>[2]หน้าผ้า!AA126</f>
        <v>5000</v>
      </c>
      <c r="V117" s="10">
        <f>[2]หน้าผ้า!AJ126</f>
        <v>0</v>
      </c>
      <c r="W117" s="10">
        <f>[2]หน้าผ้า!AL126</f>
        <v>5000</v>
      </c>
      <c r="X117" s="10">
        <f>[2]หน้าผ้า!AM126</f>
        <v>0</v>
      </c>
      <c r="Y117" s="10">
        <f>[2]หน้าผ้า!AN126</f>
        <v>5250</v>
      </c>
      <c r="Z117" s="9" t="str">
        <f>[2]หน้าผ้า!AO126</f>
        <v>WSWT2025800</v>
      </c>
      <c r="AA117" s="8">
        <f>[2]หน้าผ้า!AQ126</f>
        <v>5378.4500000000007</v>
      </c>
      <c r="AB117" s="8">
        <f>[2]หน้าผ้า!AR126</f>
        <v>5378.4500000000007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พระประแดง</v>
      </c>
      <c r="AG117" s="1" t="str">
        <f>[3]หน้าผ้า!DC129</f>
        <v>รอตัด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45838</v>
      </c>
      <c r="AK117" s="3">
        <f>[2]หน้าผ้า!DQ126</f>
        <v>0</v>
      </c>
      <c r="AL117" s="3">
        <f>[2]หน้าผ้า!DR126</f>
        <v>45829</v>
      </c>
      <c r="AM117" s="3">
        <f>[2]หน้าผ้า!DS126</f>
        <v>45836</v>
      </c>
      <c r="AN117" s="3">
        <f>[2]หน้าผ้า!DT126</f>
        <v>45837</v>
      </c>
      <c r="AO117" s="3">
        <f>[2]หน้าผ้า!DU126</f>
        <v>45837</v>
      </c>
      <c r="AP117" s="3">
        <f>[2]หน้าผ้า!DP126</f>
        <v>45833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45818</v>
      </c>
      <c r="B118" s="14" t="str">
        <f>[2]หน้าผ้า!B127</f>
        <v>ใบรับคำสั่งซื้อ</v>
      </c>
      <c r="C118" s="9" t="str">
        <f>[2]หน้าผ้า!E127</f>
        <v>บจก.เบทาโกร</v>
      </c>
      <c r="D118" s="13" t="str">
        <f>[2]หน้าผ้า!F127</f>
        <v>WB ฟาร์ม F992 30kg LR</v>
      </c>
      <c r="E118" s="9">
        <f>[2]หน้าผ้า!G127</f>
        <v>20</v>
      </c>
      <c r="F118" s="9">
        <f>[2]หน้าผ้า!H127</f>
        <v>37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80</v>
      </c>
      <c r="J118" s="9" t="str">
        <f>[2]หน้าผ้า!M127</f>
        <v>±</v>
      </c>
      <c r="K118" s="9">
        <f>[2]หน้าผ้า!N127</f>
        <v>3</v>
      </c>
      <c r="L118" s="9" t="str">
        <f>[2]หน้าผ้า!R127</f>
        <v>ไม่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 พร้อมระบุชื่อบริษัท รายการสินค้า จำนวนแต่ละแพ็ค</v>
      </c>
      <c r="T118" s="12">
        <f>[2]หน้าผ้า!X127</f>
        <v>45842</v>
      </c>
      <c r="U118" s="11">
        <f>[2]หน้าผ้า!AA127</f>
        <v>50000</v>
      </c>
      <c r="V118" s="10">
        <f>[2]หน้าผ้า!AJ127</f>
        <v>0</v>
      </c>
      <c r="W118" s="10">
        <f>[2]หน้าผ้า!AL127</f>
        <v>50000</v>
      </c>
      <c r="X118" s="10">
        <f>[2]หน้าผ้า!AM127</f>
        <v>0</v>
      </c>
      <c r="Y118" s="10">
        <f>[2]หน้าผ้า!AN127</f>
        <v>52500</v>
      </c>
      <c r="Z118" s="9" t="str">
        <f>[2]หน้าผ้า!AO127</f>
        <v>WSWT2025800</v>
      </c>
      <c r="AA118" s="8">
        <f>[2]หน้าผ้า!AQ127</f>
        <v>53784.500000000007</v>
      </c>
      <c r="AB118" s="8">
        <f>[2]หน้าผ้า!AR127</f>
        <v>53784.500000000007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ลพบุรี1</v>
      </c>
      <c r="AG118" s="1" t="str">
        <f>[3]หน้าผ้า!DC130</f>
        <v>ยังไม่ได้พิมพ์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45842</v>
      </c>
      <c r="AK118" s="3">
        <f>[2]หน้าผ้า!DQ127</f>
        <v>0</v>
      </c>
      <c r="AL118" s="3">
        <f>[2]หน้าผ้า!DR127</f>
        <v>45833</v>
      </c>
      <c r="AM118" s="3">
        <f>[2]หน้าผ้า!DS127</f>
        <v>45840</v>
      </c>
      <c r="AN118" s="3">
        <f>[2]หน้าผ้า!DT127</f>
        <v>45841</v>
      </c>
      <c r="AO118" s="3">
        <f>[2]หน้าผ้า!DU127</f>
        <v>45841</v>
      </c>
      <c r="AP118" s="3">
        <f>[2]หน้าผ้า!DP127</f>
        <v>45837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45805</v>
      </c>
      <c r="B119" s="14" t="str">
        <f>[2]หน้าผ้า!B128</f>
        <v>MK68-000718</v>
      </c>
      <c r="C119" s="9" t="str">
        <f>[2]หน้าผ้า!E128</f>
        <v>บจก.เบทาโกร</v>
      </c>
      <c r="D119" s="13" t="str">
        <f>[2]หน้าผ้า!F128</f>
        <v>บาลานส์ 956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3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 พร้อมระบุชื่อบริษัท รายการสินค้า จำนวนแต่ละแพ็ค</v>
      </c>
      <c r="T119" s="12">
        <f>[2]หน้าผ้า!X128</f>
        <v>45845</v>
      </c>
      <c r="U119" s="11">
        <f>[2]หน้าผ้า!AA128</f>
        <v>5000</v>
      </c>
      <c r="V119" s="10">
        <f>[2]หน้าผ้า!AJ128</f>
        <v>0</v>
      </c>
      <c r="W119" s="10">
        <f>[2]หน้าผ้า!AL128</f>
        <v>5000</v>
      </c>
      <c r="X119" s="10">
        <f>[2]หน้าผ้า!AM128</f>
        <v>5400</v>
      </c>
      <c r="Y119" s="10">
        <f>[2]หน้าผ้า!AN128</f>
        <v>0</v>
      </c>
      <c r="Z119" s="9" t="str">
        <f>[2]หน้าผ้า!AO128</f>
        <v>WSWT2025800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ลพบุรี3</v>
      </c>
      <c r="AG119" s="1" t="str">
        <f>[3]หน้าผ้า!DC131</f>
        <v>ยังไม่ได้พิมพ์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45845</v>
      </c>
      <c r="AK119" s="3">
        <f>[2]หน้าผ้า!DQ128</f>
        <v>0</v>
      </c>
      <c r="AL119" s="3">
        <f>[2]หน้าผ้า!DR128</f>
        <v>45836</v>
      </c>
      <c r="AM119" s="3">
        <f>[2]หน้าผ้า!DS128</f>
        <v>45843</v>
      </c>
      <c r="AN119" s="3">
        <f>[2]หน้าผ้า!DT128</f>
        <v>45844</v>
      </c>
      <c r="AO119" s="3">
        <f>[2]หน้าผ้า!DU128</f>
        <v>45844</v>
      </c>
      <c r="AP119" s="3">
        <f>[2]หน้าผ้า!DP128</f>
        <v>45840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45805</v>
      </c>
      <c r="B120" s="14" t="str">
        <f>[2]หน้าผ้า!B129</f>
        <v>MK68-000718</v>
      </c>
      <c r="C120" s="9" t="str">
        <f>[2]หน้าผ้า!E129</f>
        <v>บจก.เบทาโกร</v>
      </c>
      <c r="D120" s="13" t="str">
        <f>[2]หน้าผ้า!F129</f>
        <v>เบทาโกร 326</v>
      </c>
      <c r="E120" s="9">
        <f>[2]หน้าผ้า!G129</f>
        <v>20</v>
      </c>
      <c r="F120" s="9">
        <f>[2]หน้าผ้า!H129</f>
        <v>37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80</v>
      </c>
      <c r="J120" s="9" t="str">
        <f>[2]หน้าผ้า!M129</f>
        <v>±</v>
      </c>
      <c r="K120" s="9">
        <f>[2]หน้าผ้า!N129</f>
        <v>3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 พร้อมระบุชื่อบริษัท รายการสินค้า จำนวนแต่ละแพ็ค</v>
      </c>
      <c r="T120" s="12">
        <f>[2]หน้าผ้า!X129</f>
        <v>45845</v>
      </c>
      <c r="U120" s="11">
        <f>[2]หน้าผ้า!AA129</f>
        <v>5000</v>
      </c>
      <c r="V120" s="10">
        <f>[2]หน้าผ้า!AJ129</f>
        <v>0</v>
      </c>
      <c r="W120" s="10">
        <f>[2]หน้าผ้า!AL129</f>
        <v>5000</v>
      </c>
      <c r="X120" s="10">
        <f>[2]หน้าผ้า!AM129</f>
        <v>5450</v>
      </c>
      <c r="Y120" s="10">
        <f>[2]หน้าผ้า!AN129</f>
        <v>0</v>
      </c>
      <c r="Z120" s="9" t="str">
        <f>[2]หน้าผ้า!AO129</f>
        <v>WSWT2025800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ลพบุรี3</v>
      </c>
      <c r="AG120" s="1" t="str">
        <f>[3]หน้าผ้า!DC132</f>
        <v>ยังไม่ได้พิมพ์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45845</v>
      </c>
      <c r="AK120" s="3">
        <f>[2]หน้าผ้า!DQ129</f>
        <v>0</v>
      </c>
      <c r="AL120" s="3">
        <f>[2]หน้าผ้า!DR129</f>
        <v>45836</v>
      </c>
      <c r="AM120" s="3">
        <f>[2]หน้าผ้า!DS129</f>
        <v>45843</v>
      </c>
      <c r="AN120" s="3">
        <f>[2]หน้าผ้า!DT129</f>
        <v>45844</v>
      </c>
      <c r="AO120" s="3">
        <f>[2]หน้าผ้า!DU129</f>
        <v>45844</v>
      </c>
      <c r="AP120" s="3">
        <f>[2]หน้าผ้า!DP129</f>
        <v>45840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45818</v>
      </c>
      <c r="B121" s="14" t="str">
        <f>[2]หน้าผ้า!B130</f>
        <v>ใบรับคำสั่งซื้อ</v>
      </c>
      <c r="C121" s="9" t="str">
        <f>[2]หน้าผ้า!E130</f>
        <v>บจก.เบทาโกร</v>
      </c>
      <c r="D121" s="13" t="str">
        <f>[2]หน้าผ้า!F130</f>
        <v xml:space="preserve">WB ฟาร์ม F931L 30kg </v>
      </c>
      <c r="E121" s="9">
        <f>[2]หน้าผ้า!G130</f>
        <v>20</v>
      </c>
      <c r="F121" s="9">
        <f>[2]หน้าผ้า!H130</f>
        <v>37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80</v>
      </c>
      <c r="J121" s="9" t="str">
        <f>[2]หน้าผ้า!M130</f>
        <v>±</v>
      </c>
      <c r="K121" s="9">
        <f>[2]หน้าผ้า!N130</f>
        <v>3</v>
      </c>
      <c r="L121" s="9" t="str">
        <f>[2]หน้าผ้า!R130</f>
        <v>ไม่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 พร้อมระบุชื่อบริษัท รายการสินค้า จำนวนแต่ละแพ็ค</v>
      </c>
      <c r="T121" s="12">
        <f>[2]หน้าผ้า!X130</f>
        <v>45847</v>
      </c>
      <c r="U121" s="11">
        <f>[2]หน้าผ้า!AA130</f>
        <v>30000</v>
      </c>
      <c r="V121" s="10">
        <f>[2]หน้าผ้า!AJ130</f>
        <v>0</v>
      </c>
      <c r="W121" s="10">
        <f>[2]หน้าผ้า!AL130</f>
        <v>30000</v>
      </c>
      <c r="X121" s="10">
        <f>[2]หน้าผ้า!AM130</f>
        <v>0</v>
      </c>
      <c r="Y121" s="10">
        <f>[2]หน้าผ้า!AN130</f>
        <v>31500</v>
      </c>
      <c r="Z121" s="9" t="str">
        <f>[2]หน้าผ้า!AO130</f>
        <v>WSWT2025800</v>
      </c>
      <c r="AA121" s="8">
        <f>[2]หน้าผ้า!AQ130</f>
        <v>32270.700000000004</v>
      </c>
      <c r="AB121" s="8">
        <f>[2]หน้าผ้า!AR130</f>
        <v>32270.700000000004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ลพบุรี1</v>
      </c>
      <c r="AG121" s="1" t="str">
        <f>[3]หน้าผ้า!DC133</f>
        <v>ยังไม่ได้พิมพ์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45847</v>
      </c>
      <c r="AK121" s="3">
        <f>[2]หน้าผ้า!DQ130</f>
        <v>0</v>
      </c>
      <c r="AL121" s="3">
        <f>[2]หน้าผ้า!DR130</f>
        <v>45838</v>
      </c>
      <c r="AM121" s="3">
        <f>[2]หน้าผ้า!DS130</f>
        <v>45845</v>
      </c>
      <c r="AN121" s="3">
        <f>[2]หน้าผ้า!DT130</f>
        <v>45846</v>
      </c>
      <c r="AO121" s="3">
        <f>[2]หน้าผ้า!DU130</f>
        <v>45846</v>
      </c>
      <c r="AP121" s="3">
        <f>[2]หน้าผ้า!DP130</f>
        <v>45842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>รอART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45818</v>
      </c>
      <c r="B122" s="14" t="str">
        <f>[2]หน้าผ้า!B131</f>
        <v>ใบรับคำสั่งซื้อ</v>
      </c>
      <c r="C122" s="9" t="str">
        <f>[2]หน้าผ้า!E131</f>
        <v>บจก.เบทาโกร</v>
      </c>
      <c r="D122" s="13" t="str">
        <f>[2]หน้าผ้า!F131</f>
        <v xml:space="preserve">WB ฟาร์ม F932 30kg 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80</v>
      </c>
      <c r="J122" s="9" t="str">
        <f>[2]หน้าผ้า!M131</f>
        <v>±</v>
      </c>
      <c r="K122" s="9">
        <f>[2]หน้าผ้า!N131</f>
        <v>3</v>
      </c>
      <c r="L122" s="9" t="str">
        <f>[2]หน้าผ้า!R131</f>
        <v>ไม่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 พร้อมระบุชื่อบริษัท รายการสินค้า จำนวนแต่ละแพ็ค</v>
      </c>
      <c r="T122" s="12">
        <f>[2]หน้าผ้า!X131</f>
        <v>45847</v>
      </c>
      <c r="U122" s="11">
        <f>[2]หน้าผ้า!AA131</f>
        <v>30000</v>
      </c>
      <c r="V122" s="10">
        <f>[2]หน้าผ้า!AJ131</f>
        <v>0</v>
      </c>
      <c r="W122" s="10">
        <f>[2]หน้าผ้า!AL131</f>
        <v>30000</v>
      </c>
      <c r="X122" s="10">
        <f>[2]หน้าผ้า!AM131</f>
        <v>0</v>
      </c>
      <c r="Y122" s="10">
        <f>[2]หน้าผ้า!AN131</f>
        <v>31500</v>
      </c>
      <c r="Z122" s="9" t="str">
        <f>[2]หน้าผ้า!AO131</f>
        <v>WSWT2025800</v>
      </c>
      <c r="AA122" s="8">
        <f>[2]หน้าผ้า!AQ131</f>
        <v>32270.700000000004</v>
      </c>
      <c r="AB122" s="8">
        <f>[2]หน้าผ้า!AR131</f>
        <v>32270.700000000004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ลพบุรี1</v>
      </c>
      <c r="AG122" s="1" t="str">
        <f>[3]หน้าผ้า!DC134</f>
        <v>ยังไม่ได้พิมพ์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45847</v>
      </c>
      <c r="AK122" s="3">
        <f>[2]หน้าผ้า!DQ131</f>
        <v>0</v>
      </c>
      <c r="AL122" s="3">
        <f>[2]หน้าผ้า!DR131</f>
        <v>45838</v>
      </c>
      <c r="AM122" s="3">
        <f>[2]หน้าผ้า!DS131</f>
        <v>45845</v>
      </c>
      <c r="AN122" s="3">
        <f>[2]หน้าผ้า!DT131</f>
        <v>45846</v>
      </c>
      <c r="AO122" s="3">
        <f>[2]หน้าผ้า!DU131</f>
        <v>45846</v>
      </c>
      <c r="AP122" s="3">
        <f>[2]หน้าผ้า!DP131</f>
        <v>45842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45818</v>
      </c>
      <c r="B123" s="14" t="str">
        <f>[2]หน้าผ้า!B132</f>
        <v>ใบรับคำสั่งซื้อ</v>
      </c>
      <c r="C123" s="9" t="str">
        <f>[2]หน้าผ้า!E132</f>
        <v>บจก.เบทาโกร</v>
      </c>
      <c r="D123" s="13" t="str">
        <f>[2]หน้าผ้า!F132</f>
        <v>WB ฟาร์ม F992 30kg LP</v>
      </c>
      <c r="E123" s="9">
        <f>[2]หน้าผ้า!G132</f>
        <v>20</v>
      </c>
      <c r="F123" s="9">
        <f>[2]หน้าผ้า!H132</f>
        <v>37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80</v>
      </c>
      <c r="J123" s="9" t="str">
        <f>[2]หน้าผ้า!M132</f>
        <v>±</v>
      </c>
      <c r="K123" s="9">
        <f>[2]หน้าผ้า!N132</f>
        <v>3</v>
      </c>
      <c r="L123" s="9" t="str">
        <f>[2]หน้าผ้า!R132</f>
        <v>ไม่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 พร้อมระบุชื่อบริษัท รายการสินค้า จำนวนแต่ละแพ็ค</v>
      </c>
      <c r="T123" s="12">
        <f>[2]หน้าผ้า!X132</f>
        <v>45849</v>
      </c>
      <c r="U123" s="11">
        <f>[2]หน้าผ้า!AA132</f>
        <v>5000</v>
      </c>
      <c r="V123" s="10">
        <f>[2]หน้าผ้า!AJ132</f>
        <v>0</v>
      </c>
      <c r="W123" s="10">
        <f>[2]หน้าผ้า!AL132</f>
        <v>5000</v>
      </c>
      <c r="X123" s="10">
        <f>[2]หน้าผ้า!AM132</f>
        <v>0</v>
      </c>
      <c r="Y123" s="10">
        <f>[2]หน้าผ้า!AN132</f>
        <v>5250</v>
      </c>
      <c r="Z123" s="9" t="str">
        <f>[2]หน้าผ้า!AO132</f>
        <v>WSWT2025800</v>
      </c>
      <c r="AA123" s="8">
        <f>[2]หน้าผ้า!AQ132</f>
        <v>5378.4500000000007</v>
      </c>
      <c r="AB123" s="8">
        <f>[2]หน้าผ้า!AR132</f>
        <v>5378.4500000000007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ลำพูน</v>
      </c>
      <c r="AG123" s="1" t="str">
        <f>[3]หน้าผ้า!DC135</f>
        <v>พร้อมส่ง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45849</v>
      </c>
      <c r="AK123" s="3">
        <f>[2]หน้าผ้า!DQ132</f>
        <v>0</v>
      </c>
      <c r="AL123" s="3">
        <f>[2]หน้าผ้า!DR132</f>
        <v>45840</v>
      </c>
      <c r="AM123" s="3">
        <f>[2]หน้าผ้า!DS132</f>
        <v>45847</v>
      </c>
      <c r="AN123" s="3">
        <f>[2]หน้าผ้า!DT132</f>
        <v>45848</v>
      </c>
      <c r="AO123" s="3">
        <f>[2]หน้าผ้า!DU132</f>
        <v>45848</v>
      </c>
      <c r="AP123" s="3">
        <f>[2]หน้าผ้า!DP132</f>
        <v>45844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45818</v>
      </c>
      <c r="B124" s="14" t="str">
        <f>[2]หน้าผ้า!B133</f>
        <v>ใบรับคำสั่งซื้อ</v>
      </c>
      <c r="C124" s="9" t="str">
        <f>[2]หน้าผ้า!E133</f>
        <v>บจก.เบทาโกร</v>
      </c>
      <c r="D124" s="13" t="str">
        <f>[2]หน้าผ้า!F133</f>
        <v>WB ฟาร์ม F992 30kg LR</v>
      </c>
      <c r="E124" s="9">
        <f>[2]หน้าผ้า!G133</f>
        <v>20</v>
      </c>
      <c r="F124" s="9">
        <f>[2]หน้าผ้า!H133</f>
        <v>37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80</v>
      </c>
      <c r="J124" s="9" t="str">
        <f>[2]หน้าผ้า!M133</f>
        <v>±</v>
      </c>
      <c r="K124" s="9">
        <f>[2]หน้าผ้า!N133</f>
        <v>3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 พร้อมระบุชื่อบริษัท รายการสินค้า จำนวนแต่ละแพ็ค</v>
      </c>
      <c r="T124" s="12">
        <f>[2]หน้าผ้า!X133</f>
        <v>45859</v>
      </c>
      <c r="U124" s="11">
        <f>[2]หน้าผ้า!AA133</f>
        <v>50000</v>
      </c>
      <c r="V124" s="10">
        <f>[2]หน้าผ้า!AJ133</f>
        <v>0</v>
      </c>
      <c r="W124" s="10">
        <f>[2]หน้าผ้า!AL133</f>
        <v>50000</v>
      </c>
      <c r="X124" s="10">
        <f>[2]หน้าผ้า!AM133</f>
        <v>0</v>
      </c>
      <c r="Y124" s="10">
        <f>[2]หน้าผ้า!AN133</f>
        <v>52500</v>
      </c>
      <c r="Z124" s="9" t="str">
        <f>[2]หน้าผ้า!AO133</f>
        <v>WSWT2025800</v>
      </c>
      <c r="AA124" s="8">
        <f>[2]หน้าผ้า!AQ133</f>
        <v>53784.500000000007</v>
      </c>
      <c r="AB124" s="8">
        <f>[2]หน้าผ้า!AR133</f>
        <v>25073</v>
      </c>
      <c r="AC124" s="8">
        <f>[2]หน้าผ้า!AS133</f>
        <v>28711.500000000007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ลพบุรี1</v>
      </c>
      <c r="AG124" s="1" t="str">
        <f>[3]หน้าผ้า!DC136</f>
        <v>รอแบบ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45859</v>
      </c>
      <c r="AK124" s="3">
        <f>[2]หน้าผ้า!DQ133</f>
        <v>0</v>
      </c>
      <c r="AL124" s="3">
        <f>[2]หน้าผ้า!DR133</f>
        <v>45850</v>
      </c>
      <c r="AM124" s="3">
        <f>[2]หน้าผ้า!DS133</f>
        <v>45857</v>
      </c>
      <c r="AN124" s="3">
        <f>[2]หน้าผ้า!DT133</f>
        <v>45858</v>
      </c>
      <c r="AO124" s="3">
        <f>[2]หน้าผ้า!DU133</f>
        <v>45858</v>
      </c>
      <c r="AP124" s="3">
        <f>[2]หน้าผ้า!DP133</f>
        <v>45854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>รอART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WRWT25800/WRWT25800</v>
      </c>
      <c r="BD124" s="56">
        <f>[2]หน้าผ้า!CA133</f>
        <v>2194.8346666666675</v>
      </c>
    </row>
    <row r="125" spans="1:56" ht="27.75" customHeight="1" x14ac:dyDescent="0.45">
      <c r="A125" s="3">
        <f>[2]หน้าผ้า!C134</f>
        <v>45818</v>
      </c>
      <c r="B125" s="14" t="str">
        <f>[2]หน้าผ้า!B134</f>
        <v>ใบรับคำสั่งซื้อ</v>
      </c>
      <c r="C125" s="9" t="str">
        <f>[2]หน้าผ้า!E134</f>
        <v>บจก.เบทาโกร</v>
      </c>
      <c r="D125" s="13" t="str">
        <f>[2]หน้าผ้า!F134</f>
        <v xml:space="preserve">WB ฟาร์ม F931L 30kg </v>
      </c>
      <c r="E125" s="9">
        <f>[2]หน้าผ้า!G134</f>
        <v>20</v>
      </c>
      <c r="F125" s="9">
        <f>[2]หน้าผ้า!H134</f>
        <v>37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80</v>
      </c>
      <c r="J125" s="9" t="str">
        <f>[2]หน้าผ้า!M134</f>
        <v>±</v>
      </c>
      <c r="K125" s="9">
        <f>[2]หน้าผ้า!N134</f>
        <v>3</v>
      </c>
      <c r="L125" s="9" t="str">
        <f>[2]หน้าผ้า!R134</f>
        <v>ไม่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 พร้อมระบุชื่อบริษัท รายการสินค้า จำนวนแต่ละแพ็ค</v>
      </c>
      <c r="T125" s="12">
        <f>[2]หน้าผ้า!X134</f>
        <v>45859</v>
      </c>
      <c r="U125" s="11">
        <f>[2]หน้าผ้า!AA134</f>
        <v>30000</v>
      </c>
      <c r="V125" s="10">
        <f>[2]หน้าผ้า!AJ134</f>
        <v>0</v>
      </c>
      <c r="W125" s="10">
        <f>[2]หน้าผ้า!AL134</f>
        <v>30000</v>
      </c>
      <c r="X125" s="10">
        <f>[2]หน้าผ้า!AM134</f>
        <v>0</v>
      </c>
      <c r="Y125" s="10">
        <f>[2]หน้าผ้า!AN134</f>
        <v>31500</v>
      </c>
      <c r="Z125" s="9" t="str">
        <f>[2]หน้าผ้า!AO134</f>
        <v>WSWT2025800</v>
      </c>
      <c r="AA125" s="8">
        <f>[2]หน้าผ้า!AQ134</f>
        <v>32270.700000000004</v>
      </c>
      <c r="AB125" s="8">
        <f>[2]หน้าผ้า!AR134</f>
        <v>0</v>
      </c>
      <c r="AC125" s="8">
        <f>[2]หน้าผ้า!AS134</f>
        <v>32270.700000000004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ลพบุรี1</v>
      </c>
      <c r="AG125" s="1" t="str">
        <f>[3]หน้าผ้า!DC137</f>
        <v>พร้อมส่ง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45859</v>
      </c>
      <c r="AK125" s="3">
        <f>[2]หน้าผ้า!DQ134</f>
        <v>0</v>
      </c>
      <c r="AL125" s="3">
        <f>[2]หน้าผ้า!DR134</f>
        <v>45850</v>
      </c>
      <c r="AM125" s="3">
        <f>[2]หน้าผ้า!DS134</f>
        <v>45857</v>
      </c>
      <c r="AN125" s="3">
        <f>[2]หน้าผ้า!DT134</f>
        <v>45858</v>
      </c>
      <c r="AO125" s="3">
        <f>[2]หน้าผ้า!DU134</f>
        <v>45858</v>
      </c>
      <c r="AP125" s="3">
        <f>[2]หน้าผ้า!DP134</f>
        <v>45854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>รอART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WRWT25800/WRWT25800</v>
      </c>
      <c r="BD125" s="56">
        <f>[2]หน้าผ้า!CA134</f>
        <v>2466.9157333333337</v>
      </c>
    </row>
    <row r="126" spans="1:56" ht="27.75" customHeight="1" x14ac:dyDescent="0.45">
      <c r="A126" s="3">
        <f>[2]หน้าผ้า!C135</f>
        <v>45796</v>
      </c>
      <c r="B126" s="14" t="str">
        <f>[2]หน้าผ้า!B135</f>
        <v>MK68-000678</v>
      </c>
      <c r="C126" s="9" t="str">
        <f>[2]หน้าผ้า!E135</f>
        <v>บจก.อินเทคค์ โกลบอล</v>
      </c>
      <c r="D126" s="13" t="str">
        <f>[2]หน้าผ้า!F135</f>
        <v>เพอเฟคค์664HP</v>
      </c>
      <c r="E126" s="9">
        <f>[2]หน้าผ้า!G135</f>
        <v>20</v>
      </c>
      <c r="F126" s="9">
        <f>[2]หน้าผ้า!H135</f>
        <v>36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78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จับจีบ4"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 t="str">
        <f>[2]หน้าผ้า!X135</f>
        <v>รอแจ้ง</v>
      </c>
      <c r="U126" s="11">
        <f>[2]หน้าผ้า!AA135</f>
        <v>640</v>
      </c>
      <c r="V126" s="10">
        <f>[2]หน้าผ้า!AJ135</f>
        <v>0</v>
      </c>
      <c r="W126" s="10">
        <f>[2]หน้าผ้า!AL135</f>
        <v>640</v>
      </c>
      <c r="X126" s="10">
        <f>[2]หน้าผ้า!AM135</f>
        <v>83500</v>
      </c>
      <c r="Y126" s="10">
        <f>[2]หน้าผ้า!AN135</f>
        <v>0</v>
      </c>
      <c r="Z126" s="9" t="str">
        <f>[2]หน้าผ้า!AO135</f>
        <v>WSWT2025800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ห้ามขาด-ห้ามเกิน</v>
      </c>
      <c r="AG126" s="1" t="str">
        <f>[3]หน้าผ้า!DC138</f>
        <v>พร้อมส่ง</v>
      </c>
      <c r="AH126" s="1" t="str">
        <f>[2]หน้าผ้า!DL135</f>
        <v>P7</v>
      </c>
      <c r="AI126" s="1">
        <f>[2]หน้าผ้า!DM135</f>
        <v>2</v>
      </c>
      <c r="AJ126" s="3" t="str">
        <f>[2]หน้าผ้า!DN135</f>
        <v>รอแจ้ง</v>
      </c>
      <c r="AK126" s="3">
        <f>[2]หน้าผ้า!DQ135</f>
        <v>0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0</v>
      </c>
    </row>
    <row r="127" spans="1:56" ht="27.75" customHeight="1" x14ac:dyDescent="0.45">
      <c r="A127" s="3" t="str">
        <f>[2]หน้าผ้า!C136</f>
        <v>ประมาณการ</v>
      </c>
      <c r="B127" s="14" t="str">
        <f>[2]หน้าผ้า!B136</f>
        <v>ประมาณการ</v>
      </c>
      <c r="C127" s="9" t="str">
        <f>[2]หน้าผ้า!E136</f>
        <v>บจก.อินเทคค์ โกลบอล</v>
      </c>
      <c r="D127" s="13" t="str">
        <f>[2]หน้าผ้า!F136</f>
        <v>รอแบบ</v>
      </c>
      <c r="E127" s="9">
        <f>[2]หน้าผ้า!G136</f>
        <v>20</v>
      </c>
      <c r="F127" s="9">
        <f>[2]หน้าผ้า!H136</f>
        <v>36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78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จับจีบ4"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มัด80 ใช้สายรัด</v>
      </c>
      <c r="T127" s="12">
        <f>[2]หน้าผ้า!X136</f>
        <v>45838</v>
      </c>
      <c r="U127" s="11">
        <f>[2]หน้าผ้า!AA136</f>
        <v>150000</v>
      </c>
      <c r="V127" s="10">
        <f>[2]หน้าผ้า!AJ136</f>
        <v>0</v>
      </c>
      <c r="W127" s="10">
        <f>[2]หน้าผ้า!AL136</f>
        <v>150000</v>
      </c>
      <c r="X127" s="10">
        <f>[2]หน้าผ้า!AM136</f>
        <v>0</v>
      </c>
      <c r="Y127" s="10">
        <f>[2]หน้าผ้า!AN136</f>
        <v>157500</v>
      </c>
      <c r="Z127" s="9" t="str">
        <f>[2]หน้าผ้า!AO136</f>
        <v>WSWT2025800</v>
      </c>
      <c r="AA127" s="8">
        <f>[2]หน้าผ้า!AQ136</f>
        <v>157162.5</v>
      </c>
      <c r="AB127" s="8">
        <f>[2]หน้าผ้า!AR136</f>
        <v>0</v>
      </c>
      <c r="AC127" s="8">
        <f>[2]หน้าผ้า!AS136</f>
        <v>157162.5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ห้ามขาด-ห้ามเกิน</v>
      </c>
      <c r="AG127" s="1" t="str">
        <f>[3]หน้าผ้า!DC139</f>
        <v>พร้อมส่ง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45838</v>
      </c>
      <c r="AK127" s="3">
        <f>[2]หน้าผ้า!DQ136</f>
        <v>0</v>
      </c>
      <c r="AL127" s="3">
        <f>[2]หน้าผ้า!DR136</f>
        <v>45829</v>
      </c>
      <c r="AM127" s="3">
        <f>[2]หน้าผ้า!DS136</f>
        <v>45836</v>
      </c>
      <c r="AN127" s="3">
        <f>[2]หน้าผ้า!DT136</f>
        <v>45837</v>
      </c>
      <c r="AO127" s="3">
        <f>[2]หน้าผ้า!DU136</f>
        <v>45837</v>
      </c>
      <c r="AP127" s="3">
        <f>[2]หน้าผ้า!DP136</f>
        <v>45833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12014.2</v>
      </c>
    </row>
    <row r="128" spans="1:56" ht="27.75" customHeight="1" x14ac:dyDescent="0.45">
      <c r="A128" s="3">
        <f>[2]หน้าผ้า!C137</f>
        <v>0</v>
      </c>
      <c r="B128" s="14">
        <f>[2]หน้าผ้า!B137</f>
        <v>0</v>
      </c>
      <c r="C128" s="9">
        <f>[2]หน้าผ้า!E137</f>
        <v>0</v>
      </c>
      <c r="D128" s="13">
        <f>[2]หน้าผ้า!F137</f>
        <v>0</v>
      </c>
      <c r="E128" s="9">
        <f>[2]หน้าผ้า!G137</f>
        <v>20</v>
      </c>
      <c r="F128" s="9">
        <f>[2]หน้าผ้า!H137</f>
        <v>37</v>
      </c>
      <c r="G128" s="9">
        <f>[2]หน้าผ้า!I137</f>
        <v>0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±</v>
      </c>
      <c r="K128" s="9">
        <f>[2]หน้าผ้า!N137</f>
        <v>3</v>
      </c>
      <c r="L128" s="9">
        <f>[2]หน้าผ้า!R137</f>
        <v>0</v>
      </c>
      <c r="M128" s="10">
        <f>[2]หน้าผ้า!T137</f>
        <v>0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>
        <f>[2]หน้าผ้า!Z137</f>
        <v>0</v>
      </c>
      <c r="T128" s="12">
        <f>[2]หน้าผ้า!X137</f>
        <v>0</v>
      </c>
      <c r="U128" s="11">
        <f>[2]หน้าผ้า!AA137</f>
        <v>0</v>
      </c>
      <c r="V128" s="10">
        <f>[2]หน้าผ้า!AJ137</f>
        <v>0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WSWT2025800</v>
      </c>
      <c r="AA128" s="8">
        <f>[2]หน้าผ้า!AQ137</f>
        <v>425386.50000000006</v>
      </c>
      <c r="AB128" s="8">
        <f>[2]หน้าผ้า!AR137</f>
        <v>207241.80000000005</v>
      </c>
      <c r="AC128" s="8">
        <f>[2]หน้าผ้า!AS137</f>
        <v>218144.7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ระบุในSD</v>
      </c>
      <c r="AG128" s="1" t="str">
        <f>[3]หน้าผ้า!DC140</f>
        <v>พร้อมส่ง</v>
      </c>
      <c r="AH128" s="1">
        <f>[2]หน้าผ้า!DL137</f>
        <v>0</v>
      </c>
      <c r="AI128" s="1" t="str">
        <f>[2]หน้าผ้า!DM137</f>
        <v>Lead time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0</v>
      </c>
      <c r="B129" s="14">
        <f>[2]หน้าผ้า!B138</f>
        <v>0</v>
      </c>
      <c r="C129" s="9">
        <f>[2]หน้าผ้า!E138</f>
        <v>0</v>
      </c>
      <c r="D129" s="13">
        <f>[2]หน้าผ้า!F138</f>
        <v>0</v>
      </c>
      <c r="E129" s="9">
        <f>[2]หน้าผ้า!G138</f>
        <v>20</v>
      </c>
      <c r="F129" s="9">
        <f>[2]หน้าผ้า!H138</f>
        <v>34</v>
      </c>
      <c r="G129" s="9">
        <f>[2]หน้าผ้า!I138</f>
        <v>0</v>
      </c>
      <c r="H129" s="9">
        <f>[2]หน้าผ้า!J138</f>
        <v>0</v>
      </c>
      <c r="I129" s="9">
        <f>[2]หน้าผ้า!L138</f>
        <v>98</v>
      </c>
      <c r="J129" s="9" t="str">
        <f>[2]หน้าผ้า!M138</f>
        <v>±</v>
      </c>
      <c r="K129" s="9">
        <f>[2]หน้าผ้า!N138</f>
        <v>5</v>
      </c>
      <c r="L129" s="9">
        <f>[2]หน้าผ้า!R138</f>
        <v>0</v>
      </c>
      <c r="M129" s="10">
        <f>[2]หน้าผ้า!T138</f>
        <v>0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>
        <f>[2]หน้าผ้า!Z138</f>
        <v>0</v>
      </c>
      <c r="T129" s="12">
        <f>[2]หน้าผ้า!X138</f>
        <v>0</v>
      </c>
      <c r="U129" s="11">
        <f>[2]หน้าผ้า!AA138</f>
        <v>0</v>
      </c>
      <c r="V129" s="10">
        <f>[2]หน้าผ้า!AJ138</f>
        <v>0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WSWT2021950UV</v>
      </c>
      <c r="AA129" s="8" t="e">
        <f>[2]หน้าผ้า!AQ138</f>
        <v>#REF!</v>
      </c>
      <c r="AB129" s="8" t="e">
        <f>[2]หน้าผ้า!AR138</f>
        <v>#REF!</v>
      </c>
      <c r="AC129" s="8" t="e">
        <f>[2]หน้าผ้า!AS138</f>
        <v>#REF!</v>
      </c>
      <c r="AD129" s="8" t="e">
        <f>[2]หน้าผ้า!AT138</f>
        <v>#REF!</v>
      </c>
      <c r="AE129" s="8" t="e">
        <f>[2]หน้าผ้า!AU138</f>
        <v>#REF!</v>
      </c>
      <c r="AF129" s="8" t="str">
        <f>[2]หน้าผ้า!AI138</f>
        <v>ระบุในSD</v>
      </c>
      <c r="AG129" s="1" t="str">
        <f>[3]หน้าผ้า!DC141</f>
        <v>พร้อมส่ง</v>
      </c>
      <c r="AH129" s="1">
        <f>[2]หน้าผ้า!DL138</f>
        <v>0</v>
      </c>
      <c r="AI129" s="1" t="str">
        <f>[2]หน้าผ้า!DM138</f>
        <v>Lead time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WRWT200950/WRWT21950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20</v>
      </c>
      <c r="F130" s="9">
        <f>[2]หน้าผ้า!H139</f>
        <v>34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95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WSWT2021900UV</v>
      </c>
      <c r="AA130" s="8" t="e">
        <f>[2]หน้าผ้า!AQ139</f>
        <v>#REF!</v>
      </c>
      <c r="AB130" s="8" t="e">
        <f>[2]หน้าผ้า!AR139</f>
        <v>#REF!</v>
      </c>
      <c r="AC130" s="8" t="e">
        <f>[2]หน้าผ้า!AS139</f>
        <v>#REF!</v>
      </c>
      <c r="AD130" s="8" t="e">
        <f>[2]หน้าผ้า!AT139</f>
        <v>#REF!</v>
      </c>
      <c r="AE130" s="8" t="e">
        <f>[2]หน้าผ้า!AU139</f>
        <v>#REF!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 t="str">
        <f>[2]หน้าผ้า!DM139</f>
        <v>Lead time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WRWT200900/WRWT21900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20</v>
      </c>
      <c r="F131" s="9">
        <f>[2]หน้าผ้า!H140</f>
        <v>34</v>
      </c>
      <c r="G131" s="9">
        <f>[2]หน้าผ้า!I140</f>
        <v>0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5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WSWT2021750UV</v>
      </c>
      <c r="AA131" s="8" t="e">
        <f>[2]หน้าผ้า!AQ140</f>
        <v>#REF!</v>
      </c>
      <c r="AB131" s="8" t="e">
        <f>[2]หน้าผ้า!AR140</f>
        <v>#REF!</v>
      </c>
      <c r="AC131" s="8" t="e">
        <f>[2]หน้าผ้า!AS140</f>
        <v>#REF!</v>
      </c>
      <c r="AD131" s="8" t="e">
        <f>[2]หน้าผ้า!AT140</f>
        <v>#REF!</v>
      </c>
      <c r="AE131" s="8" t="e">
        <f>[2]หน้าผ้า!AU140</f>
        <v>#REF!</v>
      </c>
      <c r="AF131" s="8" t="str">
        <f>[2]หน้าผ้า!AI140</f>
        <v>ระบุในSD</v>
      </c>
      <c r="AG131" s="1" t="str">
        <f>[3]หน้าผ้า!DC143</f>
        <v>พิมพ์ไม่ครบ</v>
      </c>
      <c r="AH131" s="1">
        <f>[2]หน้าผ้า!DL140</f>
        <v>0</v>
      </c>
      <c r="AI131" s="1" t="str">
        <f>[2]หน้าผ้า!DM140</f>
        <v>Lead time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WRWT200750/WRWT21750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20</v>
      </c>
      <c r="F132" s="9">
        <f>[2]หน้าผ้า!H141</f>
        <v>34</v>
      </c>
      <c r="G132" s="9">
        <f>[2]หน้าผ้า!I141</f>
        <v>0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WSWT2021800UV</v>
      </c>
      <c r="AA132" s="8" t="e">
        <f>[2]หน้าผ้า!AQ141</f>
        <v>#REF!</v>
      </c>
      <c r="AB132" s="8" t="e">
        <f>[2]หน้าผ้า!AR141</f>
        <v>#REF!</v>
      </c>
      <c r="AC132" s="8" t="e">
        <f>[2]หน้าผ้า!AS141</f>
        <v>#REF!</v>
      </c>
      <c r="AD132" s="8" t="e">
        <f>[2]หน้าผ้า!AT141</f>
        <v>#REF!</v>
      </c>
      <c r="AE132" s="8" t="e">
        <f>[2]หน้าผ้า!AU141</f>
        <v>#REF!</v>
      </c>
      <c r="AF132" s="8" t="str">
        <f>[2]หน้าผ้า!AI141</f>
        <v>ระบุในSD</v>
      </c>
      <c r="AG132" s="1" t="str">
        <f>[3]หน้าผ้า!DC144</f>
        <v>พร้อมส่ง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WRWT200800/WRWT21800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70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WSWT2025700(1)</v>
      </c>
      <c r="AA133" s="8" t="e">
        <f>[2]หน้าผ้า!AQ142</f>
        <v>#REF!</v>
      </c>
      <c r="AB133" s="8" t="e">
        <f>[2]หน้าผ้า!AR142</f>
        <v>#REF!</v>
      </c>
      <c r="AC133" s="8" t="e">
        <f>[2]หน้าผ้า!AS142</f>
        <v>#REF!</v>
      </c>
      <c r="AD133" s="8" t="e">
        <f>[2]หน้าผ้า!AT142</f>
        <v>#REF!</v>
      </c>
      <c r="AE133" s="8" t="e">
        <f>[2]หน้าผ้า!AU142</f>
        <v>#REF!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WRWT200800/WRWT25650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45815</v>
      </c>
      <c r="B134" s="14" t="str">
        <f>[2]หน้าผ้า!B143</f>
        <v>MK68-000753</v>
      </c>
      <c r="C134" s="9" t="str">
        <f>[2]หน้าผ้า!E143</f>
        <v>กองระบบท่อระบายน้ำสำนักการระบายน้ำ</v>
      </c>
      <c r="D134" s="13" t="str">
        <f>[2]หน้าผ้า!F143</f>
        <v>กรุงเทพมหานคร</v>
      </c>
      <c r="E134" s="9">
        <f>[2]หน้าผ้า!G143</f>
        <v>20</v>
      </c>
      <c r="F134" s="9">
        <f>[2]หน้าผ้า!H143</f>
        <v>34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85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ไม่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มัด100</v>
      </c>
      <c r="T134" s="12">
        <f>[2]หน้าผ้า!X143</f>
        <v>45838</v>
      </c>
      <c r="U134" s="11">
        <f>[2]หน้าผ้า!AA143</f>
        <v>1345000</v>
      </c>
      <c r="V134" s="10">
        <f>[2]หน้าผ้า!AJ143</f>
        <v>0</v>
      </c>
      <c r="W134" s="10">
        <f>[2]หน้าผ้า!AL143</f>
        <v>1345000</v>
      </c>
      <c r="X134" s="10">
        <f>[2]หน้าผ้า!AM143</f>
        <v>756311</v>
      </c>
      <c r="Y134" s="10">
        <f>[2]หน้าผ้า!AN143</f>
        <v>618123.45000000007</v>
      </c>
      <c r="Z134" s="9" t="str">
        <f>[2]หน้าผ้า!AO143</f>
        <v>WSWT2021850UV</v>
      </c>
      <c r="AA134" s="8">
        <f>[2]หน้าผ้า!AQ143</f>
        <v>562935.53401365003</v>
      </c>
      <c r="AB134" s="8">
        <f>[2]หน้าผ้า!AR143</f>
        <v>73641.007366014645</v>
      </c>
      <c r="AC134" s="8">
        <f>[2]หน้าผ้า!AS143</f>
        <v>489294.52664763539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45838</v>
      </c>
      <c r="AK134" s="3">
        <f>[2]หน้าผ้า!DQ143</f>
        <v>0</v>
      </c>
      <c r="AL134" s="3">
        <f>[2]หน้าผ้า!DR143</f>
        <v>45829</v>
      </c>
      <c r="AM134" s="3">
        <f>[2]หน้าผ้า!DS143</f>
        <v>45836</v>
      </c>
      <c r="AN134" s="3">
        <f>[2]หน้าผ้า!DT143</f>
        <v>45837</v>
      </c>
      <c r="AO134" s="3">
        <f>[2]หน้าผ้า!DU143</f>
        <v>45837</v>
      </c>
      <c r="AP134" s="3">
        <f>[2]หน้าผ้า!DP143</f>
        <v>45833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WRWT21850/WRWT21850</v>
      </c>
      <c r="BD134" s="56">
        <f>[2]หน้าผ้า!CA143</f>
        <v>42976.369257217302</v>
      </c>
    </row>
    <row r="135" spans="1:56" ht="27.7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20</v>
      </c>
      <c r="F135" s="9">
        <f>[2]หน้าผ้า!H144</f>
        <v>34</v>
      </c>
      <c r="G135" s="9">
        <f>[2]หน้าผ้า!I144</f>
        <v>0</v>
      </c>
      <c r="H135" s="9">
        <f>[2]หน้าผ้า!J144</f>
        <v>0</v>
      </c>
      <c r="I135" s="9">
        <f>[2]หน้าผ้า!L144</f>
        <v>85</v>
      </c>
      <c r="J135" s="9" t="str">
        <f>[2]หน้าผ้า!M144</f>
        <v>±</v>
      </c>
      <c r="K135" s="9">
        <f>[2]หน้าผ้า!N144</f>
        <v>5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WSWT2021850UV</v>
      </c>
      <c r="AA135" s="8">
        <f>[2]หน้าผ้า!AQ144</f>
        <v>562935.53401365003</v>
      </c>
      <c r="AB135" s="8">
        <f>[2]หน้าผ้า!AR144</f>
        <v>73641.007366014645</v>
      </c>
      <c r="AC135" s="8">
        <f>[2]หน้าผ้า!AS144</f>
        <v>489294.52664763539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ระบุในSD</v>
      </c>
      <c r="AG135" s="1" t="str">
        <f>[3]หน้าผ้า!DC147</f>
        <v>ยังไม่ได้พิมพ์</v>
      </c>
      <c r="AH135" s="1">
        <f>[2]หน้าผ้า!DL144</f>
        <v>0</v>
      </c>
      <c r="AI135" s="1">
        <f>[2]หน้าผ้า!DM144</f>
        <v>0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WRWT200850/WRWT21850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20</v>
      </c>
      <c r="F136" s="9">
        <f>[2]หน้าผ้า!H145</f>
        <v>34</v>
      </c>
      <c r="G136" s="9">
        <f>[2]หน้าผ้า!I145</f>
        <v>0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5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WSWT2021750UV</v>
      </c>
      <c r="AA136" s="8" t="e">
        <f>[2]หน้าผ้า!AQ145</f>
        <v>#REF!</v>
      </c>
      <c r="AB136" s="8" t="e">
        <f>[2]หน้าผ้า!AR145</f>
        <v>#REF!</v>
      </c>
      <c r="AC136" s="8" t="e">
        <f>[2]หน้าผ้า!AS145</f>
        <v>#REF!</v>
      </c>
      <c r="AD136" s="8" t="e">
        <f>[2]หน้าผ้า!AT145</f>
        <v>#REF!</v>
      </c>
      <c r="AE136" s="8" t="e">
        <f>[2]หน้าผ้า!AU145</f>
        <v>#REF!</v>
      </c>
      <c r="AF136" s="8" t="str">
        <f>[2]หน้าผ้า!AI145</f>
        <v>ระบุในSD</v>
      </c>
      <c r="AG136" s="1" t="str">
        <f>[3]หน้าผ้า!DC148</f>
        <v>ผ้าขาว</v>
      </c>
      <c r="AH136" s="1">
        <f>[2]หน้าผ้า!DL145</f>
        <v>0</v>
      </c>
      <c r="AI136" s="1">
        <f>[2]หน้าผ้า!DM145</f>
        <v>0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WRWT200750/WRWT21750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0</v>
      </c>
      <c r="B137" s="14">
        <f>[2]หน้าผ้า!B146</f>
        <v>0</v>
      </c>
      <c r="C137" s="9">
        <f>[2]หน้าผ้า!E146</f>
        <v>0</v>
      </c>
      <c r="D137" s="13">
        <f>[2]หน้าผ้า!F146</f>
        <v>0</v>
      </c>
      <c r="E137" s="9">
        <f>[2]หน้าผ้า!G146</f>
        <v>21</v>
      </c>
      <c r="F137" s="9">
        <f>[2]หน้าผ้า!H146</f>
        <v>39</v>
      </c>
      <c r="G137" s="9">
        <f>[2]หน้าผ้า!I146</f>
        <v>0</v>
      </c>
      <c r="H137" s="9">
        <f>[2]หน้าผ้า!J146</f>
        <v>0</v>
      </c>
      <c r="I137" s="9">
        <f>[2]หน้าผ้า!L146</f>
        <v>78</v>
      </c>
      <c r="J137" s="9" t="str">
        <f>[2]หน้าผ้า!M146</f>
        <v>±</v>
      </c>
      <c r="K137" s="9">
        <f>[2]หน้าผ้า!N146</f>
        <v>3</v>
      </c>
      <c r="L137" s="9">
        <f>[2]หน้าผ้า!R146</f>
        <v>0</v>
      </c>
      <c r="M137" s="10">
        <f>[2]หน้าผ้า!T146</f>
        <v>0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>
        <f>[2]หน้าผ้า!Z146</f>
        <v>0</v>
      </c>
      <c r="T137" s="12">
        <f>[2]หน้าผ้า!X146</f>
        <v>0</v>
      </c>
      <c r="U137" s="11">
        <f>[2]หน้าผ้า!AA146</f>
        <v>0</v>
      </c>
      <c r="V137" s="10">
        <f>[2]หน้าผ้า!AJ146</f>
        <v>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WSWT2125700</v>
      </c>
      <c r="AA137" s="8" t="e">
        <f>[2]หน้าผ้า!AQ146</f>
        <v>#REF!</v>
      </c>
      <c r="AB137" s="8" t="e">
        <f>[2]หน้าผ้า!AR146</f>
        <v>#REF!</v>
      </c>
      <c r="AC137" s="8" t="e">
        <f>[2]หน้าผ้า!AS146</f>
        <v>#REF!</v>
      </c>
      <c r="AD137" s="8" t="e">
        <f>[2]หน้าผ้า!AT146</f>
        <v>#REF!</v>
      </c>
      <c r="AE137" s="8" t="e">
        <f>[2]หน้าผ้า!AU146</f>
        <v>#REF!</v>
      </c>
      <c r="AF137" s="8" t="str">
        <f>[2]หน้าผ้า!AI146</f>
        <v>ระบุในSD</v>
      </c>
      <c r="AG137" s="1" t="str">
        <f>[3]หน้าผ้า!DC149</f>
        <v>ผ้าขาว</v>
      </c>
      <c r="AH137" s="1">
        <f>[2]หน้าผ้า!DL146</f>
        <v>0</v>
      </c>
      <c r="AI137" s="1">
        <f>[2]หน้าผ้า!DM146</f>
        <v>0</v>
      </c>
      <c r="AJ137" s="3">
        <f>[2]หน้าผ้า!DN146</f>
        <v>0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0</v>
      </c>
      <c r="AP137" s="3">
        <f>[2]หน้าผ้า!DP146</f>
        <v>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>
        <f>[2]หน้าผ้า!EC146</f>
        <v>0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WRWT210800/WRWT25650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45803</v>
      </c>
      <c r="B138" s="14" t="str">
        <f>[2]หน้าผ้า!B147</f>
        <v>MK68-000712</v>
      </c>
      <c r="C138" s="9" t="str">
        <f>[2]หน้าผ้า!E147</f>
        <v>บจก.ไลม์มาสเตอร์</v>
      </c>
      <c r="D138" s="13" t="str">
        <f>[2]หน้าผ้า!F147</f>
        <v>LMC 20 kg</v>
      </c>
      <c r="E138" s="9">
        <f>[2]หน้าผ้า!G147</f>
        <v>21</v>
      </c>
      <c r="F138" s="9">
        <f>[2]หน้าผ้า!H147</f>
        <v>34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60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ไม่</v>
      </c>
      <c r="M138" s="10">
        <f>[2]หน้าผ้า!T147</f>
        <v>22</v>
      </c>
      <c r="N138" s="9">
        <f>[2]หน้าผ้า!U147</f>
        <v>36</v>
      </c>
      <c r="O138" s="9">
        <f>[2]หน้าผ้า!V147</f>
        <v>40</v>
      </c>
      <c r="P138" s="10">
        <f>[2]หน้าผ้า!AB147</f>
        <v>195.39367372799995</v>
      </c>
      <c r="Q138" s="10">
        <f>[2]หน้าผ้า!AC147</f>
        <v>0</v>
      </c>
      <c r="R138" s="10">
        <f>[2]หน้าผ้า!AD147</f>
        <v>195.39367372799995</v>
      </c>
      <c r="S138" s="9" t="str">
        <f>[2]หน้าผ้า!Z147</f>
        <v>500กระสอบแบน</v>
      </c>
      <c r="T138" s="12">
        <f>[2]หน้าผ้า!X147</f>
        <v>45820</v>
      </c>
      <c r="U138" s="11">
        <f>[2]หน้าผ้า!AA147</f>
        <v>10000</v>
      </c>
      <c r="V138" s="10">
        <f>[2]หน้าผ้า!AJ147</f>
        <v>0</v>
      </c>
      <c r="W138" s="10">
        <f>[2]หน้าผ้า!AL147</f>
        <v>10000</v>
      </c>
      <c r="X138" s="10">
        <f>[2]หน้าผ้า!AM147</f>
        <v>0</v>
      </c>
      <c r="Y138" s="10">
        <f>[2]หน้าผ้า!AN147</f>
        <v>10500</v>
      </c>
      <c r="Z138" s="9" t="str">
        <f>[2]หน้าผ้า!AO147</f>
        <v>WSWT2125650</v>
      </c>
      <c r="AA138" s="8">
        <f>[2]หน้าผ้า!AQ147</f>
        <v>9918.7000000000007</v>
      </c>
      <c r="AB138" s="8">
        <f>[2]หน้าผ้า!AR147</f>
        <v>7700</v>
      </c>
      <c r="AC138" s="8">
        <f>[2]หน้าผ้า!AS147</f>
        <v>2218.7000000000007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ผ้าขาว</v>
      </c>
      <c r="AH138" s="1" t="str">
        <f>[2]หน้าผ้า!DL147</f>
        <v>P9</v>
      </c>
      <c r="AI138" s="1">
        <f>[2]หน้าผ้า!DM147</f>
        <v>3</v>
      </c>
      <c r="AJ138" s="3">
        <f>[2]หน้าผ้า!DN147</f>
        <v>45820</v>
      </c>
      <c r="AK138" s="3">
        <f>[2]หน้าผ้า!DQ147</f>
        <v>0</v>
      </c>
      <c r="AL138" s="3">
        <f>[2]หน้าผ้า!DR147</f>
        <v>45810</v>
      </c>
      <c r="AM138" s="3">
        <f>[2]หน้าผ้า!DS147</f>
        <v>45817</v>
      </c>
      <c r="AN138" s="3">
        <f>[2]หน้าผ้า!DT147</f>
        <v>45818</v>
      </c>
      <c r="AO138" s="3">
        <f>[2]หน้าผ้า!DU147</f>
        <v>45818</v>
      </c>
      <c r="AP138" s="3">
        <f>[2]หน้าผ้า!DP147</f>
        <v>45815</v>
      </c>
      <c r="AQ138" s="3">
        <f>[2]หน้าผ้า!DW147</f>
        <v>45819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WRWT25650/WRWT25650</v>
      </c>
      <c r="BD138" s="56">
        <f>[2]หน้าผ้า!CA147</f>
        <v>151.42627500000006</v>
      </c>
    </row>
    <row r="139" spans="1:56" ht="27.75" customHeight="1" x14ac:dyDescent="0.45">
      <c r="A139" s="3">
        <f>[2]หน้าผ้า!C148</f>
        <v>45818</v>
      </c>
      <c r="B139" s="14" t="str">
        <f>[2]หน้าผ้า!B148</f>
        <v>ใบรับคำสั่งซื้อ</v>
      </c>
      <c r="C139" s="9" t="str">
        <f>[2]หน้าผ้า!E148</f>
        <v>บจก.ทีเจทีเทรดเดอร์</v>
      </c>
      <c r="D139" s="13" t="str">
        <f>[2]หน้าผ้า!F148</f>
        <v>ไม่พิมพ์</v>
      </c>
      <c r="E139" s="9">
        <f>[2]หน้าผ้า!G148</f>
        <v>21</v>
      </c>
      <c r="F139" s="9">
        <f>[2]หน้าผ้า!H148</f>
        <v>40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73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>
        <f>[2]หน้าผ้า!T148</f>
        <v>22</v>
      </c>
      <c r="N139" s="9">
        <f>[2]หน้าผ้า!U148</f>
        <v>42</v>
      </c>
      <c r="O139" s="9">
        <f>[2]หน้าผ้า!V148</f>
        <v>40</v>
      </c>
      <c r="P139" s="10">
        <f>[2]หน้าผ้า!AB148</f>
        <v>45.591857203199993</v>
      </c>
      <c r="Q139" s="10">
        <f>[2]หน้าผ้า!AC148</f>
        <v>0</v>
      </c>
      <c r="R139" s="10">
        <f>[2]หน้าผ้า!AD148</f>
        <v>45.591857203199993</v>
      </c>
      <c r="S139" s="9" t="str">
        <f>[2]หน้าผ้า!Z148</f>
        <v>500กระสอบ</v>
      </c>
      <c r="T139" s="12">
        <f>[2]หน้าผ้า!X148</f>
        <v>45819</v>
      </c>
      <c r="U139" s="11">
        <f>[2]หน้าผ้า!AA148</f>
        <v>2000</v>
      </c>
      <c r="V139" s="10">
        <f>[2]หน้าผ้า!AJ148</f>
        <v>0</v>
      </c>
      <c r="W139" s="10">
        <f>[2]หน้าผ้า!AL148</f>
        <v>2000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WSWT2125650</v>
      </c>
      <c r="AA139" s="8">
        <f>[2]หน้าผ้า!AQ148</f>
        <v>2319.0200000000004</v>
      </c>
      <c r="AB139" s="8">
        <f>[2]หน้าผ้า!AR148</f>
        <v>0</v>
      </c>
      <c r="AC139" s="8">
        <f>[2]หน้าผ้า!AS148</f>
        <v>2319.0200000000004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P13</v>
      </c>
      <c r="AI139" s="1">
        <f>[2]หน้าผ้า!DM148</f>
        <v>2</v>
      </c>
      <c r="AJ139" s="3">
        <f>[2]หน้าผ้า!DN148</f>
        <v>45819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45817</v>
      </c>
      <c r="AP139" s="3">
        <f>[2]หน้าผ้า!DP148</f>
        <v>45814</v>
      </c>
      <c r="AQ139" s="3">
        <f>[2]หน้าผ้า!DW148</f>
        <v>45818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ตัด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WRWT25650/WRWT25650</v>
      </c>
      <c r="BD139" s="56">
        <f>[2]หน้าผ้า!CA148</f>
        <v>158.27311499999999</v>
      </c>
    </row>
    <row r="140" spans="1:56" ht="27.75" customHeight="1" x14ac:dyDescent="0.45">
      <c r="A140" s="3">
        <f>[2]หน้าผ้า!C149</f>
        <v>45813</v>
      </c>
      <c r="B140" s="14" t="str">
        <f>[2]หน้าผ้า!B149</f>
        <v>MK68-000751</v>
      </c>
      <c r="C140" s="9" t="str">
        <f>[2]หน้าผ้า!E149</f>
        <v>บจก.หนองบัวฟีดมิลล์</v>
      </c>
      <c r="D140" s="13" t="str">
        <f>[2]หน้าผ้า!F149</f>
        <v>ไม่พิมพ์</v>
      </c>
      <c r="E140" s="9">
        <f>[2]หน้าผ้า!G149</f>
        <v>21</v>
      </c>
      <c r="F140" s="9">
        <f>[2]หน้าผ้า!H149</f>
        <v>38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69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ไม่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</v>
      </c>
      <c r="T140" s="12">
        <f>[2]หน้าผ้า!X149</f>
        <v>45820</v>
      </c>
      <c r="U140" s="11">
        <f>[2]หน้าผ้า!AA149</f>
        <v>4000</v>
      </c>
      <c r="V140" s="10">
        <f>[2]หน้าผ้า!AJ149</f>
        <v>0</v>
      </c>
      <c r="W140" s="10">
        <f>[2]หน้าผ้า!AL149</f>
        <v>4000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WSWT2125650</v>
      </c>
      <c r="AA140" s="8">
        <f>[2]หน้าผ้า!AQ149</f>
        <v>4414.5199999999995</v>
      </c>
      <c r="AB140" s="8">
        <f>[2]หน้าผ้า!AR149</f>
        <v>0</v>
      </c>
      <c r="AC140" s="8">
        <f>[2]หน้าผ้า!AS149</f>
        <v>4414.5199999999995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P3</v>
      </c>
      <c r="AI140" s="1">
        <f>[2]หน้าผ้า!DM149</f>
        <v>2</v>
      </c>
      <c r="AJ140" s="3">
        <f>[2]หน้าผ้า!DN149</f>
        <v>45820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45818</v>
      </c>
      <c r="AP140" s="3">
        <f>[2]หน้าผ้า!DP149</f>
        <v>45815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ตัด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WRWT25650/WRWT25650</v>
      </c>
      <c r="BD140" s="56">
        <f>[2]หน้าผ้า!CA149</f>
        <v>301.29098999999991</v>
      </c>
    </row>
    <row r="141" spans="1:56" ht="27.75" customHeight="1" x14ac:dyDescent="0.45">
      <c r="A141" s="3">
        <f>[2]หน้าผ้า!C150</f>
        <v>0</v>
      </c>
      <c r="B141" s="14" t="str">
        <f>[2]หน้าผ้า!B150</f>
        <v>ใบรับคำสั่งซื้อ</v>
      </c>
      <c r="C141" s="9" t="str">
        <f>[2]หน้าผ้า!E150</f>
        <v>บจก.หนองบัวฟีดมิลล์</v>
      </c>
      <c r="D141" s="13" t="str">
        <f>[2]หน้าผ้า!F150</f>
        <v>ไม่พิมพ์</v>
      </c>
      <c r="E141" s="9">
        <f>[2]หน้าผ้า!G150</f>
        <v>21</v>
      </c>
      <c r="F141" s="9">
        <f>[2]หน้าผ้า!H150</f>
        <v>38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69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ไม่</v>
      </c>
      <c r="M141" s="10">
        <f>[2]หน้าผ้า!T150</f>
        <v>22</v>
      </c>
      <c r="N141" s="9">
        <f>[2]หน้าผ้า!U150</f>
        <v>41</v>
      </c>
      <c r="O141" s="9">
        <f>[2]หน้าผ้า!V150</f>
        <v>40</v>
      </c>
      <c r="P141" s="10">
        <f>[2]หน้าผ้า!AB150</f>
        <v>333.79752595199994</v>
      </c>
      <c r="Q141" s="10">
        <f>[2]หน้าผ้า!AC150</f>
        <v>0</v>
      </c>
      <c r="R141" s="10">
        <f>[2]หน้าผ้า!AD150</f>
        <v>333.79752595199994</v>
      </c>
      <c r="S141" s="9" t="str">
        <f>[2]หน้าผ้า!Z150</f>
        <v>500กระสอบ</v>
      </c>
      <c r="T141" s="12">
        <f>[2]หน้าผ้า!X150</f>
        <v>45824</v>
      </c>
      <c r="U141" s="11">
        <f>[2]หน้าผ้า!AA150</f>
        <v>15000</v>
      </c>
      <c r="V141" s="10">
        <f>[2]หน้าผ้า!AJ150</f>
        <v>0</v>
      </c>
      <c r="W141" s="10">
        <f>[2]หน้าผ้า!AL150</f>
        <v>15000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WSWT2125650</v>
      </c>
      <c r="AA141" s="8">
        <f>[2]หน้าผ้า!AQ150</f>
        <v>16554.45</v>
      </c>
      <c r="AB141" s="8">
        <f>[2]หน้าผ้า!AR150</f>
        <v>0</v>
      </c>
      <c r="AC141" s="8">
        <f>[2]หน้าผ้า!AS150</f>
        <v>16554.45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ผ้าขาว</v>
      </c>
      <c r="AH141" s="1" t="str">
        <f>[2]หน้าผ้า!DL150</f>
        <v>P13</v>
      </c>
      <c r="AI141" s="1">
        <f>[2]หน้าผ้า!DM150</f>
        <v>2</v>
      </c>
      <c r="AJ141" s="3">
        <f>[2]หน้าผ้า!DN150</f>
        <v>45824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45822</v>
      </c>
      <c r="AP141" s="3">
        <f>[2]หน้าผ้า!DP150</f>
        <v>45819</v>
      </c>
      <c r="AQ141" s="3">
        <f>[2]หน้าผ้า!DW150</f>
        <v>45823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ตัด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WRWT25650/WRWT25650</v>
      </c>
      <c r="BD141" s="56">
        <f>[2]หน้าผ้า!CA150</f>
        <v>1129.8412125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21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67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WSWT2125650</v>
      </c>
      <c r="AA142" s="8">
        <f>[2]หน้าผ้า!AQ151</f>
        <v>33206.69</v>
      </c>
      <c r="AB142" s="8">
        <f>[2]หน้าผ้า!AR151</f>
        <v>7700</v>
      </c>
      <c r="AC142" s="8">
        <f>[2]หน้าผ้า!AS151</f>
        <v>25506.690000000002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ระบุในSD</v>
      </c>
      <c r="AG142" s="1" t="str">
        <f>[3]หน้าผ้า!DC154</f>
        <v>ยังไม่ได้พิมพ์</v>
      </c>
      <c r="AH142" s="1">
        <f>[2]หน้าผ้า!DL151</f>
        <v>0</v>
      </c>
      <c r="AI142" s="1" t="str">
        <f>[2]หน้าผ้า!DM151</f>
        <v>Lead time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WRWT25650/WRWT25650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21</v>
      </c>
      <c r="F143" s="9">
        <f>[2]หน้าผ้า!H152</f>
        <v>37</v>
      </c>
      <c r="G143" s="9" t="str">
        <f>[2]หน้าผ้า!I152</f>
        <v>ขาวแถบใส5</v>
      </c>
      <c r="H143" s="9">
        <f>[2]หน้าผ้า!J152</f>
        <v>0</v>
      </c>
      <c r="I143" s="9">
        <f>[2]หน้าผ้า!L152</f>
        <v>67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WSWTSCL052125650</v>
      </c>
      <c r="AA143" s="8" t="e">
        <f>[2]หน้าผ้า!AQ152</f>
        <v>#REF!</v>
      </c>
      <c r="AB143" s="8" t="e">
        <f>[2]หน้าผ้า!AR152</f>
        <v>#REF!</v>
      </c>
      <c r="AC143" s="8" t="e">
        <f>[2]หน้าผ้า!AS152</f>
        <v>#REF!</v>
      </c>
      <c r="AD143" s="8" t="e">
        <f>[2]หน้าผ้า!AT152</f>
        <v>#REF!</v>
      </c>
      <c r="AE143" s="8" t="e">
        <f>[2]หน้าผ้า!AU152</f>
        <v>#REF!</v>
      </c>
      <c r="AF143" s="8" t="str">
        <f>[2]หน้าผ้า!AI152</f>
        <v>ระบุในSD</v>
      </c>
      <c r="AG143" s="1" t="str">
        <f>[3]หน้าผ้า!DC155</f>
        <v>พร้อมส่ง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WRWT25650/WRCL25680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45818</v>
      </c>
      <c r="B144" s="14" t="str">
        <f>[2]หน้าผ้า!B153</f>
        <v>ใบรับคำสั่งซื้อ</v>
      </c>
      <c r="C144" s="9" t="str">
        <f>[2]หน้าผ้า!E153</f>
        <v>บจก.ทีเจทีเทรดเดอร์</v>
      </c>
      <c r="D144" s="13" t="str">
        <f>[2]หน้าผ้า!F153</f>
        <v>ไม่พิมพ์</v>
      </c>
      <c r="E144" s="9">
        <f>[2]หน้าผ้า!G153</f>
        <v>21</v>
      </c>
      <c r="F144" s="9">
        <f>[2]หน้าผ้า!H153</f>
        <v>40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73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ไม่</v>
      </c>
      <c r="M144" s="10">
        <f>[2]หน้าผ้า!T153</f>
        <v>22</v>
      </c>
      <c r="N144" s="9">
        <f>[2]หน้าผ้า!U153</f>
        <v>42</v>
      </c>
      <c r="O144" s="9">
        <f>[2]หน้าผ้า!V153</f>
        <v>40</v>
      </c>
      <c r="P144" s="10">
        <f>[2]หน้าผ้า!AB153</f>
        <v>45.591857203199993</v>
      </c>
      <c r="Q144" s="10">
        <f>[2]หน้าผ้า!AC153</f>
        <v>0</v>
      </c>
      <c r="R144" s="10">
        <f>[2]หน้าผ้า!AD153</f>
        <v>45.591857203199993</v>
      </c>
      <c r="S144" s="9" t="str">
        <f>[2]หน้าผ้า!Z153</f>
        <v>500กระสอบ</v>
      </c>
      <c r="T144" s="12">
        <f>[2]หน้าผ้า!X153</f>
        <v>45819</v>
      </c>
      <c r="U144" s="11">
        <f>[2]หน้าผ้า!AA153</f>
        <v>2000</v>
      </c>
      <c r="V144" s="10">
        <f>[2]หน้าผ้า!AJ153</f>
        <v>0</v>
      </c>
      <c r="W144" s="10">
        <f>[2]หน้าผ้า!AL153</f>
        <v>2000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WSWT2125800</v>
      </c>
      <c r="AA144" s="8">
        <f>[2]หน้าผ้า!AQ153</f>
        <v>2319.0200000000004</v>
      </c>
      <c r="AB144" s="8">
        <f>[2]หน้าผ้า!AR153</f>
        <v>2319.0200000000004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พิมพ์ไม่ครบ</v>
      </c>
      <c r="AH144" s="1" t="str">
        <f>[2]หน้าผ้า!DL153</f>
        <v>P13</v>
      </c>
      <c r="AI144" s="1">
        <f>[2]หน้าผ้า!DM153</f>
        <v>2</v>
      </c>
      <c r="AJ144" s="3">
        <f>[2]หน้าผ้า!DN153</f>
        <v>45819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45817</v>
      </c>
      <c r="AP144" s="3">
        <f>[2]หน้าผ้า!DP153</f>
        <v>45814</v>
      </c>
      <c r="AQ144" s="3">
        <f>[2]หน้าผ้า!DW153</f>
        <v>45818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ตัด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45815</v>
      </c>
      <c r="B145" s="14" t="str">
        <f>[2]หน้าผ้า!B154</f>
        <v>MK68-000762</v>
      </c>
      <c r="C145" s="9" t="str">
        <f>[2]หน้าผ้า!E154</f>
        <v>ร้านสมคิดพันธุ์ข้าว</v>
      </c>
      <c r="D145" s="13" t="str">
        <f>[2]หน้าผ้า!F154</f>
        <v>ทองทั้งทุ่ง</v>
      </c>
      <c r="E145" s="9">
        <f>[2]หน้าผ้า!G154</f>
        <v>21</v>
      </c>
      <c r="F145" s="9">
        <f>[2]หน้าผ้า!H154</f>
        <v>34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76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</v>
      </c>
      <c r="T145" s="12">
        <f>[2]หน้าผ้า!X154</f>
        <v>45822</v>
      </c>
      <c r="U145" s="11">
        <f>[2]หน้าผ้า!AA154</f>
        <v>8000</v>
      </c>
      <c r="V145" s="10">
        <f>[2]หน้าผ้า!AJ154</f>
        <v>0</v>
      </c>
      <c r="W145" s="10">
        <f>[2]หน้าผ้า!AL154</f>
        <v>8000</v>
      </c>
      <c r="X145" s="10">
        <f>[2]หน้าผ้า!AM154</f>
        <v>0</v>
      </c>
      <c r="Y145" s="10">
        <f>[2]หน้าผ้า!AN154</f>
        <v>8400</v>
      </c>
      <c r="Z145" s="9" t="str">
        <f>[2]หน้าผ้า!AO154</f>
        <v>WSWT2125800</v>
      </c>
      <c r="AA145" s="8">
        <f>[2]หน้าผ้า!AQ154</f>
        <v>7934.96</v>
      </c>
      <c r="AB145" s="8">
        <f>[2]หน้าผ้า!AR154</f>
        <v>7934.96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45822</v>
      </c>
      <c r="AK145" s="3">
        <f>[2]หน้าผ้า!DQ154</f>
        <v>0</v>
      </c>
      <c r="AL145" s="3">
        <f>[2]หน้าผ้า!DR154</f>
        <v>45813</v>
      </c>
      <c r="AM145" s="3">
        <f>[2]หน้าผ้า!DS154</f>
        <v>45820</v>
      </c>
      <c r="AN145" s="3">
        <f>[2]หน้าผ้า!DT154</f>
        <v>45821</v>
      </c>
      <c r="AO145" s="3">
        <f>[2]หน้าผ้า!DU154</f>
        <v>45821</v>
      </c>
      <c r="AP145" s="3">
        <f>[2]หน้าผ้า!DP154</f>
        <v>45817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>รอART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WRWT25800/WRWT25800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21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83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WSWT2125800</v>
      </c>
      <c r="AA146" s="8">
        <f>[2]หน้าผ้า!AQ155</f>
        <v>10253.98</v>
      </c>
      <c r="AB146" s="8">
        <f>[2]หน้าผ้า!AR155</f>
        <v>10253.98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 t="str">
        <f>[2]หน้าผ้า!AI155</f>
        <v>ระบุในSD</v>
      </c>
      <c r="AG146" s="1" t="str">
        <f>[3]หน้าผ้า!DC158</f>
        <v>ยังไม่ได้พิมพ์</v>
      </c>
      <c r="AH146" s="1">
        <f>[2]หน้าผ้า!DL155</f>
        <v>0</v>
      </c>
      <c r="AI146" s="1">
        <f>[2]หน้าผ้า!DM155</f>
        <v>0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WRWT210800/WRWT25800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45799</v>
      </c>
      <c r="B147" s="14" t="str">
        <f>[2]หน้าผ้า!B156</f>
        <v>MK68-000695</v>
      </c>
      <c r="C147" s="9" t="str">
        <f>[2]หน้าผ้า!E156</f>
        <v>บจก.แอมโก้เวท</v>
      </c>
      <c r="D147" s="13" t="str">
        <f>[2]หน้าผ้า!F156</f>
        <v>แดนโกรว20(เขียวเข้ม)</v>
      </c>
      <c r="E147" s="9">
        <f>[2]หน้าผ้า!G156</f>
        <v>21</v>
      </c>
      <c r="F147" s="9">
        <f>[2]หน้าผ้า!H156</f>
        <v>37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>
        <f>[2]หน้าผ้า!X156</f>
        <v>45819</v>
      </c>
      <c r="U147" s="11">
        <f>[2]หน้าผ้า!AA156</f>
        <v>50000</v>
      </c>
      <c r="V147" s="10">
        <f>[2]หน้าผ้า!AJ156</f>
        <v>30455</v>
      </c>
      <c r="W147" s="10">
        <f>[2]หน้าผ้า!AL156</f>
        <v>19545</v>
      </c>
      <c r="X147" s="10">
        <f>[2]หน้าผ้า!AM156</f>
        <v>31500</v>
      </c>
      <c r="Y147" s="10">
        <f>[2]หน้าผ้า!AN156</f>
        <v>19425</v>
      </c>
      <c r="Z147" s="9" t="str">
        <f>[2]หน้าผ้า!AO156</f>
        <v>WSWT2121670SM</v>
      </c>
      <c r="AA147" s="8">
        <f>[2]หน้าผ้า!AQ156</f>
        <v>20895.278250000003</v>
      </c>
      <c r="AB147" s="8">
        <f>[2]หน้าผ้า!AR156</f>
        <v>20895.278250000003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20895.278250000003</v>
      </c>
      <c r="AF147" s="8">
        <f>[2]หน้าผ้า!AI156</f>
        <v>0</v>
      </c>
      <c r="AG147" s="1" t="str">
        <f>[3]หน้าผ้า!DC159</f>
        <v>พิมพ์ไม่ครบ</v>
      </c>
      <c r="AH147" s="1" t="str">
        <f>[2]หน้าผ้า!DL156</f>
        <v>P8</v>
      </c>
      <c r="AI147" s="1">
        <f>[2]หน้าผ้า!DM156</f>
        <v>4</v>
      </c>
      <c r="AJ147" s="3">
        <f>[2]หน้าผ้า!DN156</f>
        <v>45819</v>
      </c>
      <c r="AK147" s="3">
        <f>[2]หน้าผ้า!DQ156</f>
        <v>45815</v>
      </c>
      <c r="AL147" s="3">
        <f>[2]หน้าผ้า!DR156</f>
        <v>45809</v>
      </c>
      <c r="AM147" s="3">
        <f>[2]หน้าผ้า!DS156</f>
        <v>45816</v>
      </c>
      <c r="AN147" s="3">
        <f>[2]หน้าผ้า!DT156</f>
        <v>45817</v>
      </c>
      <c r="AO147" s="3">
        <f>[2]หน้าผ้า!DU156</f>
        <v>45817</v>
      </c>
      <c r="AP147" s="3">
        <f>[2]หน้าผ้า!DP156</f>
        <v>45814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45799</v>
      </c>
      <c r="B148" s="14" t="str">
        <f>[2]หน้าผ้า!B157</f>
        <v>MK68-000695</v>
      </c>
      <c r="C148" s="9" t="str">
        <f>[2]หน้าผ้า!E157</f>
        <v>บจก.แอมโก้เวท</v>
      </c>
      <c r="D148" s="13" t="str">
        <f>[2]หน้าผ้า!F157</f>
        <v>แดนโกรว10P-L</v>
      </c>
      <c r="E148" s="9">
        <f>[2]หน้าผ้า!G157</f>
        <v>21</v>
      </c>
      <c r="F148" s="9">
        <f>[2]หน้าผ้า!H157</f>
        <v>37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</v>
      </c>
      <c r="T148" s="12">
        <f>[2]หน้าผ้า!X157</f>
        <v>45819</v>
      </c>
      <c r="U148" s="11">
        <f>[2]หน้าผ้า!AA157</f>
        <v>25000</v>
      </c>
      <c r="V148" s="10">
        <f>[2]หน้าผ้า!AJ157</f>
        <v>25858</v>
      </c>
      <c r="W148" s="10">
        <f>[2]หน้าผ้า!AL157</f>
        <v>0</v>
      </c>
      <c r="X148" s="10">
        <f>[2]หน้าผ้า!AM157</f>
        <v>52800</v>
      </c>
      <c r="Y148" s="10">
        <f>[2]หน้าผ้า!AN157</f>
        <v>0</v>
      </c>
      <c r="Z148" s="9" t="str">
        <f>[2]หน้าผ้า!AO157</f>
        <v>WSWT2121670SM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>
        <f>[2]หน้าผ้า!DN157</f>
        <v>45819</v>
      </c>
      <c r="AK148" s="3">
        <f>[2]หน้าผ้า!DQ157</f>
        <v>45815</v>
      </c>
      <c r="AL148" s="3">
        <f>[2]หน้าผ้า!DR157</f>
        <v>45809</v>
      </c>
      <c r="AM148" s="3">
        <f>[2]หน้าผ้า!DS157</f>
        <v>45816</v>
      </c>
      <c r="AN148" s="3">
        <f>[2]หน้าผ้า!DT157</f>
        <v>45817</v>
      </c>
      <c r="AO148" s="3">
        <f>[2]หน้าผ้า!DU157</f>
        <v>45817</v>
      </c>
      <c r="AP148" s="3">
        <f>[2]หน้าผ้า!DP157</f>
        <v>45814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45808</v>
      </c>
      <c r="B149" s="14" t="str">
        <f>[2]หน้าผ้า!B158</f>
        <v>MK68-000723</v>
      </c>
      <c r="C149" s="9" t="str">
        <f>[2]หน้าผ้า!E158</f>
        <v>บจก.เอพีเอ็ม อะโกร</v>
      </c>
      <c r="D149" s="13" t="str">
        <f>[2]หน้าผ้า!F158</f>
        <v>ฟีล กู๊ด 802</v>
      </c>
      <c r="E149" s="9">
        <f>[2]หน้าผ้า!G158</f>
        <v>21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102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22</v>
      </c>
      <c r="N149" s="9">
        <f>[2]หน้าผ้า!U158</f>
        <v>40</v>
      </c>
      <c r="O149" s="9">
        <f>[2]หน้าผ้า!V158</f>
        <v>40</v>
      </c>
      <c r="P149" s="10">
        <f>[2]หน้าผ้า!AB158</f>
        <v>108.55204095999999</v>
      </c>
      <c r="Q149" s="10">
        <f>[2]หน้าผ้า!AC158</f>
        <v>0</v>
      </c>
      <c r="R149" s="10">
        <f>[2]หน้าผ้า!AD158</f>
        <v>108.55204095999999</v>
      </c>
      <c r="S149" s="9" t="str">
        <f>[2]หน้าผ้า!Z158</f>
        <v>500กระสอบแบน</v>
      </c>
      <c r="T149" s="12">
        <f>[2]หน้าผ้า!X158</f>
        <v>45821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WSWT2121670SM</v>
      </c>
      <c r="AA149" s="8">
        <f>[2]หน้าผ้า!AQ158</f>
        <v>5518.15</v>
      </c>
      <c r="AB149" s="8">
        <f>[2]หน้าผ้า!AR158</f>
        <v>5518.15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5518.15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>
        <f>[2]หน้าผ้า!DN158</f>
        <v>45821</v>
      </c>
      <c r="AK149" s="3">
        <f>[2]หน้าผ้า!DQ158</f>
        <v>45817</v>
      </c>
      <c r="AL149" s="3">
        <f>[2]หน้าผ้า!DR158</f>
        <v>45811</v>
      </c>
      <c r="AM149" s="3">
        <f>[2]หน้าผ้า!DS158</f>
        <v>45818</v>
      </c>
      <c r="AN149" s="3">
        <f>[2]หน้าผ้า!DT158</f>
        <v>45819</v>
      </c>
      <c r="AO149" s="3">
        <f>[2]หน้าผ้า!DU158</f>
        <v>45819</v>
      </c>
      <c r="AP149" s="3">
        <f>[2]หน้าผ้า!DP158</f>
        <v>45816</v>
      </c>
      <c r="AQ149" s="3">
        <f>[2]หน้าผ้า!DW158</f>
        <v>45820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45799</v>
      </c>
      <c r="B150" s="14" t="str">
        <f>[2]หน้าผ้า!B159</f>
        <v>MK68-000696</v>
      </c>
      <c r="C150" s="9" t="str">
        <f>[2]หน้าผ้า!E159</f>
        <v>บจก.แอมโก้เวท</v>
      </c>
      <c r="D150" s="13" t="str">
        <f>[2]หน้าผ้า!F159</f>
        <v>แดนโกรวบรีดเดอร์80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</v>
      </c>
      <c r="T150" s="12">
        <f>[2]หน้าผ้า!X159</f>
        <v>45821</v>
      </c>
      <c r="U150" s="11">
        <f>[2]หน้าผ้า!AA159</f>
        <v>30000</v>
      </c>
      <c r="V150" s="10">
        <f>[2]หน้าผ้า!AJ159</f>
        <v>17467</v>
      </c>
      <c r="W150" s="10">
        <f>[2]หน้าผ้า!AL159</f>
        <v>12533</v>
      </c>
      <c r="X150" s="10">
        <f>[2]หน้าผ้า!AM159</f>
        <v>18428</v>
      </c>
      <c r="Y150" s="10">
        <f>[2]หน้าผ้า!AN159</f>
        <v>12150.6</v>
      </c>
      <c r="Z150" s="9" t="str">
        <f>[2]หน้าผ้า!AO159</f>
        <v>WSWT2121670SM</v>
      </c>
      <c r="AA150" s="8">
        <f>[2]หน้าผ้า!AQ159</f>
        <v>13070.278914</v>
      </c>
      <c r="AB150" s="8">
        <f>[2]หน้าผ้า!AR159</f>
        <v>13070.278914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13070.278914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P8</v>
      </c>
      <c r="AI150" s="1">
        <f>[2]หน้าผ้า!DM159</f>
        <v>4</v>
      </c>
      <c r="AJ150" s="3">
        <f>[2]หน้าผ้า!DN159</f>
        <v>45821</v>
      </c>
      <c r="AK150" s="3">
        <f>[2]หน้าผ้า!DQ159</f>
        <v>45817</v>
      </c>
      <c r="AL150" s="3">
        <f>[2]หน้าผ้า!DR159</f>
        <v>45811</v>
      </c>
      <c r="AM150" s="3">
        <f>[2]หน้าผ้า!DS159</f>
        <v>45818</v>
      </c>
      <c r="AN150" s="3">
        <f>[2]หน้าผ้า!DT159</f>
        <v>45819</v>
      </c>
      <c r="AO150" s="3">
        <f>[2]หน้าผ้า!DU159</f>
        <v>45819</v>
      </c>
      <c r="AP150" s="3">
        <f>[2]หน้าผ้า!DP159</f>
        <v>45816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45799</v>
      </c>
      <c r="B151" s="14" t="str">
        <f>[2]หน้าผ้า!B160</f>
        <v>MK68-000696</v>
      </c>
      <c r="C151" s="9" t="str">
        <f>[2]หน้าผ้า!E160</f>
        <v>บจก.แอมโก้เวท</v>
      </c>
      <c r="D151" s="13" t="str">
        <f>[2]หน้าผ้า!F160</f>
        <v>วีโว่ 200</v>
      </c>
      <c r="E151" s="9">
        <f>[2]หน้าผ้า!G160</f>
        <v>21</v>
      </c>
      <c r="F151" s="9">
        <f>[2]หน้าผ้า!H160</f>
        <v>37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>
        <f>[2]หน้าผ้า!X160</f>
        <v>45821</v>
      </c>
      <c r="U151" s="11">
        <f>[2]หน้าผ้า!AA160</f>
        <v>30000</v>
      </c>
      <c r="V151" s="10">
        <f>[2]หน้าผ้า!AJ160</f>
        <v>0</v>
      </c>
      <c r="W151" s="10">
        <f>[2]หน้าผ้า!AL160</f>
        <v>30000</v>
      </c>
      <c r="X151" s="10">
        <f>[2]หน้าผ้า!AM160</f>
        <v>0</v>
      </c>
      <c r="Y151" s="10">
        <f>[2]หน้าผ้า!AN160</f>
        <v>31500</v>
      </c>
      <c r="Z151" s="9" t="str">
        <f>[2]หน้าผ้า!AO160</f>
        <v>WSWT2121670SM</v>
      </c>
      <c r="AA151" s="8">
        <f>[2]หน้าผ้า!AQ160</f>
        <v>32270.700000000004</v>
      </c>
      <c r="AB151" s="8">
        <f>[2]หน้าผ้า!AR160</f>
        <v>8071</v>
      </c>
      <c r="AC151" s="8">
        <f>[2]หน้าผ้า!AS160</f>
        <v>24199.700000000004</v>
      </c>
      <c r="AD151" s="8">
        <f>[2]หน้าผ้า!AT160</f>
        <v>0</v>
      </c>
      <c r="AE151" s="8">
        <f>[2]หน้าผ้า!AU160</f>
        <v>32270.700000000004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>
        <f>[2]หน้าผ้า!DN160</f>
        <v>45821</v>
      </c>
      <c r="AK151" s="3">
        <f>[2]หน้าผ้า!DQ160</f>
        <v>45817</v>
      </c>
      <c r="AL151" s="3">
        <f>[2]หน้าผ้า!DR160</f>
        <v>45811</v>
      </c>
      <c r="AM151" s="3">
        <f>[2]หน้าผ้า!DS160</f>
        <v>45818</v>
      </c>
      <c r="AN151" s="3">
        <f>[2]หน้าผ้า!DT160</f>
        <v>45819</v>
      </c>
      <c r="AO151" s="3">
        <f>[2]หน้าผ้า!DU160</f>
        <v>45819</v>
      </c>
      <c r="AP151" s="3">
        <f>[2]หน้าผ้า!DP160</f>
        <v>45816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1740.2810926666666</v>
      </c>
    </row>
    <row r="152" spans="1:56" ht="27.75" customHeight="1" x14ac:dyDescent="0.45">
      <c r="A152" s="3">
        <f>[2]หน้าผ้า!C161</f>
        <v>45799</v>
      </c>
      <c r="B152" s="14" t="str">
        <f>[2]หน้าผ้า!B161</f>
        <v>MK68-000696</v>
      </c>
      <c r="C152" s="9" t="str">
        <f>[2]หน้าผ้า!E161</f>
        <v>บจก.แอมโก้เวท</v>
      </c>
      <c r="D152" s="13" t="str">
        <f>[2]หน้าผ้า!F161</f>
        <v>วีโว่ 400</v>
      </c>
      <c r="E152" s="9">
        <f>[2]หน้าผ้า!G161</f>
        <v>21</v>
      </c>
      <c r="F152" s="9">
        <f>[2]หน้าผ้า!H161</f>
        <v>37</v>
      </c>
      <c r="G152" s="9" t="str">
        <f>[2]หน้าผ้า!I161</f>
        <v>ขาว</v>
      </c>
      <c r="H152" s="9" t="str">
        <f>[2]หน้าผ้า!J161</f>
        <v>ใส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>
        <f>[2]หน้าผ้า!X161</f>
        <v>45821</v>
      </c>
      <c r="U152" s="11">
        <f>[2]หน้าผ้า!AA161</f>
        <v>20000</v>
      </c>
      <c r="V152" s="10">
        <f>[2]หน้าผ้า!AJ161</f>
        <v>0</v>
      </c>
      <c r="W152" s="10">
        <f>[2]หน้าผ้า!AL161</f>
        <v>20000</v>
      </c>
      <c r="X152" s="10">
        <f>[2]หน้าผ้า!AM161</f>
        <v>0</v>
      </c>
      <c r="Y152" s="10">
        <f>[2]หน้าผ้า!AN161</f>
        <v>21000</v>
      </c>
      <c r="Z152" s="9" t="str">
        <f>[2]หน้าผ้า!AO161</f>
        <v>WSWT2121670SM</v>
      </c>
      <c r="AA152" s="8">
        <f>[2]หน้าผ้า!AQ161</f>
        <v>21513.800000000003</v>
      </c>
      <c r="AB152" s="8">
        <f>[2]หน้าผ้า!AR161</f>
        <v>0</v>
      </c>
      <c r="AC152" s="8">
        <f>[2]หน้าผ้า!AS161</f>
        <v>21513.800000000003</v>
      </c>
      <c r="AD152" s="8">
        <f>[2]หน้าผ้า!AT161</f>
        <v>0</v>
      </c>
      <c r="AE152" s="8">
        <f>[2]หน้าผ้า!AU161</f>
        <v>21513.800000000003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P8</v>
      </c>
      <c r="AI152" s="1">
        <f>[2]หน้าผ้า!DM161</f>
        <v>4</v>
      </c>
      <c r="AJ152" s="3">
        <f>[2]หน้าผ้า!DN161</f>
        <v>45821</v>
      </c>
      <c r="AK152" s="3">
        <f>[2]หน้าผ้า!DQ161</f>
        <v>45817</v>
      </c>
      <c r="AL152" s="3">
        <f>[2]หน้าผ้า!DR161</f>
        <v>45811</v>
      </c>
      <c r="AM152" s="3">
        <f>[2]หน้าผ้า!DS161</f>
        <v>45818</v>
      </c>
      <c r="AN152" s="3">
        <f>[2]หน้าผ้า!DT161</f>
        <v>45819</v>
      </c>
      <c r="AO152" s="3">
        <f>[2]หน้าผ้า!DU161</f>
        <v>45819</v>
      </c>
      <c r="AP152" s="3">
        <f>[2]หน้าผ้า!DP161</f>
        <v>45816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1547.1290706666666</v>
      </c>
    </row>
    <row r="153" spans="1:56" ht="27.75" customHeight="1" x14ac:dyDescent="0.45">
      <c r="A153" s="3">
        <f>[2]หน้าผ้า!C162</f>
        <v>45814</v>
      </c>
      <c r="B153" s="14" t="str">
        <f>[2]หน้าผ้า!B162</f>
        <v>MK68-000760</v>
      </c>
      <c r="C153" s="9" t="str">
        <f>[2]หน้าผ้า!E162</f>
        <v>บจก.เอพีเอ็ม อะโกร</v>
      </c>
      <c r="D153" s="13" t="str">
        <f>[2]หน้าผ้า!F162</f>
        <v>มาซู ฟีดพี040</v>
      </c>
      <c r="E153" s="9">
        <f>[2]หน้าผ้า!G162</f>
        <v>21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102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22</v>
      </c>
      <c r="N153" s="9">
        <f>[2]หน้าผ้า!U162</f>
        <v>40</v>
      </c>
      <c r="O153" s="9">
        <f>[2]หน้าผ้า!V162</f>
        <v>40</v>
      </c>
      <c r="P153" s="10">
        <f>[2]หน้าผ้า!AB162</f>
        <v>65.13122457599998</v>
      </c>
      <c r="Q153" s="10">
        <f>[2]หน้าผ้า!AC162</f>
        <v>0</v>
      </c>
      <c r="R153" s="10">
        <f>[2]หน้าผ้า!AD162</f>
        <v>65.13122457599998</v>
      </c>
      <c r="S153" s="9" t="str">
        <f>[2]หน้าผ้า!Z162</f>
        <v>500กระสอบแบน</v>
      </c>
      <c r="T153" s="12">
        <f>[2]หน้าผ้า!X162</f>
        <v>45821</v>
      </c>
      <c r="U153" s="11">
        <f>[2]หน้าผ้า!AA162</f>
        <v>3000</v>
      </c>
      <c r="V153" s="10">
        <f>[2]หน้าผ้า!AJ162</f>
        <v>0</v>
      </c>
      <c r="W153" s="10">
        <f>[2]หน้าผ้า!AL162</f>
        <v>3000</v>
      </c>
      <c r="X153" s="10">
        <f>[2]หน้าผ้า!AM162</f>
        <v>0</v>
      </c>
      <c r="Y153" s="10">
        <f>[2]หน้าผ้า!AN162</f>
        <v>3150</v>
      </c>
      <c r="Z153" s="9" t="str">
        <f>[2]หน้าผ้า!AO162</f>
        <v>WSWT2121670SM</v>
      </c>
      <c r="AA153" s="8">
        <f>[2]หน้าผ้า!AQ162</f>
        <v>3310.89</v>
      </c>
      <c r="AB153" s="8">
        <f>[2]หน้าผ้า!AR162</f>
        <v>3310.89</v>
      </c>
      <c r="AC153" s="8">
        <f>[2]หน้าผ้า!AS162</f>
        <v>0</v>
      </c>
      <c r="AD153" s="8">
        <f>[2]หน้าผ้า!AT162</f>
        <v>3310.89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P8</v>
      </c>
      <c r="AI153" s="1">
        <f>[2]หน้าผ้า!DM162</f>
        <v>4</v>
      </c>
      <c r="AJ153" s="3">
        <f>[2]หน้าผ้า!DN162</f>
        <v>45821</v>
      </c>
      <c r="AK153" s="3">
        <f>[2]หน้าผ้า!DQ162</f>
        <v>45817</v>
      </c>
      <c r="AL153" s="3">
        <f>[2]หน้าผ้า!DR162</f>
        <v>45811</v>
      </c>
      <c r="AM153" s="3">
        <f>[2]หน้าผ้า!DS162</f>
        <v>45818</v>
      </c>
      <c r="AN153" s="3">
        <f>[2]หน้าผ้า!DT162</f>
        <v>45819</v>
      </c>
      <c r="AO153" s="3">
        <f>[2]หน้าผ้า!DU162</f>
        <v>45819</v>
      </c>
      <c r="AP153" s="3">
        <f>[2]หน้าผ้า!DP162</f>
        <v>45816</v>
      </c>
      <c r="AQ153" s="3">
        <f>[2]หน้าผ้า!DW162</f>
        <v>45820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>รอART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45814</v>
      </c>
      <c r="B154" s="14" t="str">
        <f>[2]หน้าผ้า!B163</f>
        <v>MK68-000759</v>
      </c>
      <c r="C154" s="9" t="str">
        <f>[2]หน้าผ้า!E163</f>
        <v>บจก.เอพีเอ็ม อะโกร</v>
      </c>
      <c r="D154" s="13" t="str">
        <f>[2]หน้าผ้า!F163</f>
        <v>มาซู ฟีดบี0434</v>
      </c>
      <c r="E154" s="9">
        <f>[2]หน้าผ้า!G163</f>
        <v>21</v>
      </c>
      <c r="F154" s="9">
        <f>[2]หน้าผ้า!H163</f>
        <v>40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108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22</v>
      </c>
      <c r="N154" s="9">
        <f>[2]หน้าผ้า!U163</f>
        <v>42</v>
      </c>
      <c r="O154" s="9">
        <f>[2]หน้าผ้า!V163</f>
        <v>40</v>
      </c>
      <c r="P154" s="10">
        <f>[2]หน้าผ้า!AB163</f>
        <v>68.387785804799989</v>
      </c>
      <c r="Q154" s="10">
        <f>[2]หน้าผ้า!AC163</f>
        <v>0</v>
      </c>
      <c r="R154" s="10">
        <f>[2]หน้าผ้า!AD163</f>
        <v>68.387785804799989</v>
      </c>
      <c r="S154" s="9" t="str">
        <f>[2]หน้าผ้า!Z163</f>
        <v>500กระสอบแบน</v>
      </c>
      <c r="T154" s="12">
        <f>[2]หน้าผ้า!X163</f>
        <v>45821</v>
      </c>
      <c r="U154" s="11">
        <f>[2]หน้าผ้า!AA163</f>
        <v>3000</v>
      </c>
      <c r="V154" s="10">
        <f>[2]หน้าผ้า!AJ163</f>
        <v>0</v>
      </c>
      <c r="W154" s="10">
        <f>[2]หน้าผ้า!AL163</f>
        <v>3000</v>
      </c>
      <c r="X154" s="10">
        <f>[2]หน้าผ้า!AM163</f>
        <v>0</v>
      </c>
      <c r="Y154" s="10">
        <f>[2]หน้าผ้า!AN163</f>
        <v>3150</v>
      </c>
      <c r="Z154" s="9" t="str">
        <f>[2]หน้าผ้า!AO163</f>
        <v>WSWT2121670SM</v>
      </c>
      <c r="AA154" s="8">
        <f>[2]หน้าผ้า!AQ163</f>
        <v>3478.5300000000007</v>
      </c>
      <c r="AB154" s="8">
        <f>[2]หน้าผ้า!AR163</f>
        <v>2062</v>
      </c>
      <c r="AC154" s="8">
        <f>[2]หน้าผ้า!AS163</f>
        <v>1416.5300000000007</v>
      </c>
      <c r="AD154" s="8">
        <f>[2]หน้าผ้า!AT163</f>
        <v>2062</v>
      </c>
      <c r="AE154" s="8">
        <f>[2]หน้าผ้า!AU163</f>
        <v>1416.5300000000007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P8</v>
      </c>
      <c r="AI154" s="1">
        <f>[2]หน้าผ้า!DM163</f>
        <v>4</v>
      </c>
      <c r="AJ154" s="3">
        <f>[2]หน้าผ้า!DN163</f>
        <v>45821</v>
      </c>
      <c r="AK154" s="3">
        <f>[2]หน้าผ้า!DQ163</f>
        <v>45817</v>
      </c>
      <c r="AL154" s="3">
        <f>[2]หน้าผ้า!DR163</f>
        <v>45811</v>
      </c>
      <c r="AM154" s="3">
        <f>[2]หน้าผ้า!DS163</f>
        <v>45818</v>
      </c>
      <c r="AN154" s="3">
        <f>[2]หน้าผ้า!DT163</f>
        <v>45819</v>
      </c>
      <c r="AO154" s="3">
        <f>[2]หน้าผ้า!DU163</f>
        <v>45819</v>
      </c>
      <c r="AP154" s="3">
        <f>[2]หน้าผ้า!DP163</f>
        <v>45816</v>
      </c>
      <c r="AQ154" s="3">
        <f>[2]หน้าผ้า!DW163</f>
        <v>45820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>รอART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101.86739406666671</v>
      </c>
    </row>
    <row r="155" spans="1:56" ht="27.75" customHeight="1" x14ac:dyDescent="0.45">
      <c r="A155" s="3">
        <f>[2]หน้าผ้า!C164</f>
        <v>45814</v>
      </c>
      <c r="B155" s="14" t="str">
        <f>[2]หน้าผ้า!B164</f>
        <v>MK68-000752</v>
      </c>
      <c r="C155" s="9" t="str">
        <f>[2]หน้าผ้า!E164</f>
        <v>คุณนพวินทร์ รัตนเศรษฐ์เมธา</v>
      </c>
      <c r="D155" s="13" t="str">
        <f>[2]หน้าผ้า!F164</f>
        <v>ลุงนัย ฟาร์ม104</v>
      </c>
      <c r="E155" s="9">
        <f>[2]หน้าผ้า!G164</f>
        <v>21</v>
      </c>
      <c r="F155" s="9">
        <f>[2]หน้าผ้า!H164</f>
        <v>37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</v>
      </c>
      <c r="T155" s="12">
        <f>[2]หน้าผ้า!X164</f>
        <v>45822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0</v>
      </c>
      <c r="Y155" s="10">
        <f>[2]หน้าผ้า!AN164</f>
        <v>5250</v>
      </c>
      <c r="Z155" s="9" t="str">
        <f>[2]หน้าผ้า!AO164</f>
        <v>WSWT2121670SM</v>
      </c>
      <c r="AA155" s="8">
        <f>[2]หน้าผ้า!AQ164</f>
        <v>5378.4500000000007</v>
      </c>
      <c r="AB155" s="8">
        <f>[2]หน้าผ้า!AR164</f>
        <v>5378.4500000000007</v>
      </c>
      <c r="AC155" s="8">
        <f>[2]หน้าผ้า!AS164</f>
        <v>0</v>
      </c>
      <c r="AD155" s="8">
        <f>[2]หน้าผ้า!AT164</f>
        <v>5378.4500000000007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P8</v>
      </c>
      <c r="AI155" s="1">
        <f>[2]หน้าผ้า!DM164</f>
        <v>4</v>
      </c>
      <c r="AJ155" s="3">
        <f>[2]หน้าผ้า!DN164</f>
        <v>45822</v>
      </c>
      <c r="AK155" s="3">
        <f>[2]หน้าผ้า!DQ164</f>
        <v>45818</v>
      </c>
      <c r="AL155" s="3">
        <f>[2]หน้าผ้า!DR164</f>
        <v>45812</v>
      </c>
      <c r="AM155" s="3">
        <f>[2]หน้าผ้า!DS164</f>
        <v>45819</v>
      </c>
      <c r="AN155" s="3">
        <f>[2]หน้าผ้า!DT164</f>
        <v>45820</v>
      </c>
      <c r="AO155" s="3">
        <f>[2]หน้าผ้า!DU164</f>
        <v>45820</v>
      </c>
      <c r="AP155" s="3">
        <f>[2]หน้าผ้า!DP164</f>
        <v>45817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45815</v>
      </c>
      <c r="B156" s="14" t="str">
        <f>[2]หน้าผ้า!B165</f>
        <v>MK68-000758</v>
      </c>
      <c r="C156" s="9" t="str">
        <f>[2]หน้าผ้า!E165</f>
        <v>บจก.เอ็นบี ดิสทริบิวชั่น</v>
      </c>
      <c r="D156" s="13" t="str">
        <f>[2]หน้าผ้า!F165</f>
        <v>กัสโซ่ฟีด101-102</v>
      </c>
      <c r="E156" s="9">
        <f>[2]หน้าผ้า!G165</f>
        <v>21</v>
      </c>
      <c r="F156" s="9">
        <f>[2]หน้าผ้า!H165</f>
        <v>37</v>
      </c>
      <c r="G156" s="9" t="str">
        <f>[2]หน้าผ้า!I165</f>
        <v>ขาว</v>
      </c>
      <c r="H156" s="9" t="str">
        <f>[2]หน้าผ้า!J165</f>
        <v>ใส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>
        <f>[2]หน้าผ้า!T165</f>
        <v>22</v>
      </c>
      <c r="N156" s="9">
        <f>[2]หน้าผ้า!U165</f>
        <v>40</v>
      </c>
      <c r="O156" s="9">
        <f>[2]หน้าผ้า!V165</f>
        <v>40</v>
      </c>
      <c r="P156" s="10">
        <f>[2]หน้าผ้า!AB165</f>
        <v>217.10408191999997</v>
      </c>
      <c r="Q156" s="10">
        <f>[2]หน้าผ้า!AC165</f>
        <v>0</v>
      </c>
      <c r="R156" s="10">
        <f>[2]หน้าผ้า!AD165</f>
        <v>217.10408191999997</v>
      </c>
      <c r="S156" s="9" t="str">
        <f>[2]หน้าผ้า!Z165</f>
        <v>500กระสอบ</v>
      </c>
      <c r="T156" s="12">
        <f>[2]หน้าผ้า!X165</f>
        <v>45825</v>
      </c>
      <c r="U156" s="11">
        <f>[2]หน้าผ้า!AA165</f>
        <v>10000</v>
      </c>
      <c r="V156" s="10">
        <f>[2]หน้าผ้า!AJ165</f>
        <v>0</v>
      </c>
      <c r="W156" s="10">
        <f>[2]หน้าผ้า!AL165</f>
        <v>10000</v>
      </c>
      <c r="X156" s="10">
        <f>[2]หน้าผ้า!AM165</f>
        <v>0</v>
      </c>
      <c r="Y156" s="10">
        <f>[2]หน้าผ้า!AN165</f>
        <v>10500</v>
      </c>
      <c r="Z156" s="9" t="str">
        <f>[2]หน้าผ้า!AO165</f>
        <v>WSWT2121670SM</v>
      </c>
      <c r="AA156" s="8">
        <f>[2]หน้าผ้า!AQ165</f>
        <v>10756.900000000001</v>
      </c>
      <c r="AB156" s="8">
        <f>[2]หน้าผ้า!AR165</f>
        <v>0</v>
      </c>
      <c r="AC156" s="8">
        <f>[2]หน้าผ้า!AS165</f>
        <v>10756.900000000001</v>
      </c>
      <c r="AD156" s="8">
        <f>[2]หน้าผ้า!AT165</f>
        <v>0</v>
      </c>
      <c r="AE156" s="8">
        <f>[2]หน้าผ้า!AU165</f>
        <v>10756.900000000001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P8</v>
      </c>
      <c r="AI156" s="1">
        <f>[2]หน้าผ้า!DM165</f>
        <v>4</v>
      </c>
      <c r="AJ156" s="3">
        <f>[2]หน้าผ้า!DN165</f>
        <v>45825</v>
      </c>
      <c r="AK156" s="3">
        <f>[2]หน้าผ้า!DQ165</f>
        <v>45821</v>
      </c>
      <c r="AL156" s="3">
        <f>[2]หน้าผ้า!DR165</f>
        <v>45815</v>
      </c>
      <c r="AM156" s="3">
        <f>[2]หน้าผ้า!DS165</f>
        <v>45822</v>
      </c>
      <c r="AN156" s="3">
        <f>[2]หน้าผ้า!DT165</f>
        <v>45823</v>
      </c>
      <c r="AO156" s="3">
        <f>[2]หน้าผ้า!DU165</f>
        <v>45823</v>
      </c>
      <c r="AP156" s="3">
        <f>[2]หน้าผ้า!DP165</f>
        <v>45820</v>
      </c>
      <c r="AQ156" s="3">
        <f>[2]หน้าผ้า!DW165</f>
        <v>45824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>รอART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773.56453533333331</v>
      </c>
    </row>
    <row r="157" spans="1:56" ht="27.75" customHeight="1" x14ac:dyDescent="0.45">
      <c r="A157" s="3">
        <f>[2]หน้าผ้า!C166</f>
        <v>45817</v>
      </c>
      <c r="B157" s="14" t="str">
        <f>[2]หน้าผ้า!B166</f>
        <v>ใบรับคำสั่งซื้อ</v>
      </c>
      <c r="C157" s="9" t="str">
        <f>[2]หน้าผ้า!E166</f>
        <v>บจก.หนองบัวฟีดมิลล์</v>
      </c>
      <c r="D157" s="13" t="str">
        <f>[2]หน้าผ้า!F166</f>
        <v>ยูนิคอร์นฟิช202</v>
      </c>
      <c r="E157" s="9">
        <f>[2]หน้าผ้า!G166</f>
        <v>21</v>
      </c>
      <c r="F157" s="9">
        <f>[2]หน้าผ้า!H166</f>
        <v>37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>
        <f>[2]หน้าผ้า!T166</f>
        <v>22</v>
      </c>
      <c r="N157" s="9">
        <f>[2]หน้าผ้า!U166</f>
        <v>40</v>
      </c>
      <c r="O157" s="9">
        <f>[2]หน้าผ้า!V166</f>
        <v>40</v>
      </c>
      <c r="P157" s="10">
        <f>[2]หน้าผ้า!AB166</f>
        <v>217.10408191999997</v>
      </c>
      <c r="Q157" s="10">
        <f>[2]หน้าผ้า!AC166</f>
        <v>0</v>
      </c>
      <c r="R157" s="10">
        <f>[2]หน้าผ้า!AD166</f>
        <v>217.10408191999997</v>
      </c>
      <c r="S157" s="9" t="str">
        <f>[2]หน้าผ้า!Z166</f>
        <v>500กระสอบ</v>
      </c>
      <c r="T157" s="12">
        <f>[2]หน้าผ้า!X166</f>
        <v>45829</v>
      </c>
      <c r="U157" s="11">
        <f>[2]หน้าผ้า!AA166</f>
        <v>10000</v>
      </c>
      <c r="V157" s="10">
        <f>[2]หน้าผ้า!AJ166</f>
        <v>0</v>
      </c>
      <c r="W157" s="10">
        <f>[2]หน้าผ้า!AL166</f>
        <v>10000</v>
      </c>
      <c r="X157" s="10">
        <f>[2]หน้าผ้า!AM166</f>
        <v>0</v>
      </c>
      <c r="Y157" s="10">
        <f>[2]หน้าผ้า!AN166</f>
        <v>10500</v>
      </c>
      <c r="Z157" s="9" t="str">
        <f>[2]หน้าผ้า!AO166</f>
        <v>WSWT2121670SM</v>
      </c>
      <c r="AA157" s="8">
        <f>[2]หน้าผ้า!AQ166</f>
        <v>10756.900000000001</v>
      </c>
      <c r="AB157" s="8">
        <f>[2]หน้าผ้า!AR166</f>
        <v>0</v>
      </c>
      <c r="AC157" s="8">
        <f>[2]หน้าผ้า!AS166</f>
        <v>10756.900000000001</v>
      </c>
      <c r="AD157" s="8">
        <f>[2]หน้าผ้า!AT166</f>
        <v>0</v>
      </c>
      <c r="AE157" s="8">
        <f>[2]หน้าผ้า!AU166</f>
        <v>10756.900000000001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P8</v>
      </c>
      <c r="AI157" s="1">
        <f>[2]หน้าผ้า!DM166</f>
        <v>4</v>
      </c>
      <c r="AJ157" s="3">
        <f>[2]หน้าผ้า!DN166</f>
        <v>45829</v>
      </c>
      <c r="AK157" s="3">
        <f>[2]หน้าผ้า!DQ166</f>
        <v>45825</v>
      </c>
      <c r="AL157" s="3">
        <f>[2]หน้าผ้า!DR166</f>
        <v>45819</v>
      </c>
      <c r="AM157" s="3">
        <f>[2]หน้าผ้า!DS166</f>
        <v>45826</v>
      </c>
      <c r="AN157" s="3">
        <f>[2]หน้าผ้า!DT166</f>
        <v>45827</v>
      </c>
      <c r="AO157" s="3">
        <f>[2]หน้าผ้า!DU166</f>
        <v>45827</v>
      </c>
      <c r="AP157" s="3">
        <f>[2]หน้าผ้า!DP166</f>
        <v>45824</v>
      </c>
      <c r="AQ157" s="3">
        <f>[2]หน้าผ้า!DW166</f>
        <v>45828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>รอART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773.56453533333331</v>
      </c>
    </row>
    <row r="158" spans="1:56" ht="27.75" customHeight="1" x14ac:dyDescent="0.45">
      <c r="A158" s="3">
        <f>[2]หน้าผ้า!C167</f>
        <v>45803</v>
      </c>
      <c r="B158" s="14" t="str">
        <f>[2]หน้าผ้า!B167</f>
        <v>MK68-000709</v>
      </c>
      <c r="C158" s="9" t="str">
        <f>[2]หน้าผ้า!E167</f>
        <v>บจก.เอพีเอ็ม อะโกร</v>
      </c>
      <c r="D158" s="13" t="str">
        <f>[2]หน้าผ้า!F167</f>
        <v>โมโม่4132</v>
      </c>
      <c r="E158" s="9">
        <f>[2]หน้าผ้า!G167</f>
        <v>21</v>
      </c>
      <c r="F158" s="9">
        <f>[2]หน้าผ้า!H167</f>
        <v>40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108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จับจีบ</v>
      </c>
      <c r="M158" s="10">
        <f>[2]หน้าผ้า!T167</f>
        <v>22</v>
      </c>
      <c r="N158" s="9">
        <f>[2]หน้าผ้า!U167</f>
        <v>42</v>
      </c>
      <c r="O158" s="9">
        <f>[2]หน้าผ้า!V167</f>
        <v>40</v>
      </c>
      <c r="P158" s="10">
        <f>[2]หน้าผ้า!AB167</f>
        <v>113.97964300799998</v>
      </c>
      <c r="Q158" s="10">
        <f>[2]หน้าผ้า!AC167</f>
        <v>0</v>
      </c>
      <c r="R158" s="10">
        <f>[2]หน้าผ้า!AD167</f>
        <v>113.97964300799998</v>
      </c>
      <c r="S158" s="9" t="str">
        <f>[2]หน้าผ้า!Z167</f>
        <v>500กระสอบแบน</v>
      </c>
      <c r="T158" s="12">
        <f>[2]หน้าผ้า!X167</f>
        <v>45831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WSWT2121670SM</v>
      </c>
      <c r="AA158" s="8">
        <f>[2]หน้าผ้า!AQ167</f>
        <v>5797.55</v>
      </c>
      <c r="AB158" s="8">
        <f>[2]หน้าผ้า!AR167</f>
        <v>0</v>
      </c>
      <c r="AC158" s="8">
        <f>[2]หน้าผ้า!AS167</f>
        <v>5797.55</v>
      </c>
      <c r="AD158" s="8">
        <f>[2]หน้าผ้า!AT167</f>
        <v>0</v>
      </c>
      <c r="AE158" s="8">
        <f>[2]หน้าผ้า!AU167</f>
        <v>5797.55</v>
      </c>
      <c r="AF158" s="8">
        <f>[2]หน้าผ้า!AI167</f>
        <v>0</v>
      </c>
      <c r="AG158" s="1" t="str">
        <f>[3]หน้าผ้า!DC170</f>
        <v>รอแบบ</v>
      </c>
      <c r="AH158" s="1" t="str">
        <f>[2]หน้าผ้า!DL167</f>
        <v>P8</v>
      </c>
      <c r="AI158" s="1">
        <f>[2]หน้าผ้า!DM167</f>
        <v>4</v>
      </c>
      <c r="AJ158" s="3">
        <f>[2]หน้าผ้า!DN167</f>
        <v>45831</v>
      </c>
      <c r="AK158" s="3">
        <f>[2]หน้าผ้า!DQ167</f>
        <v>45827</v>
      </c>
      <c r="AL158" s="3">
        <f>[2]หน้าผ้า!DR167</f>
        <v>45821</v>
      </c>
      <c r="AM158" s="3">
        <f>[2]หน้าผ้า!DS167</f>
        <v>45828</v>
      </c>
      <c r="AN158" s="3">
        <f>[2]หน้าผ้า!DT167</f>
        <v>45829</v>
      </c>
      <c r="AO158" s="3">
        <f>[2]หน้าผ้า!DU167</f>
        <v>45829</v>
      </c>
      <c r="AP158" s="3">
        <f>[2]หน้าผ้า!DP167</f>
        <v>45826</v>
      </c>
      <c r="AQ158" s="3">
        <f>[2]หน้าผ้า!DW167</f>
        <v>45830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416.92114566666663</v>
      </c>
    </row>
    <row r="159" spans="1:56" ht="27.75" customHeight="1" x14ac:dyDescent="0.45">
      <c r="A159" s="3">
        <f>[2]หน้าผ้า!C168</f>
        <v>45817</v>
      </c>
      <c r="B159" s="14" t="str">
        <f>[2]หน้าผ้า!B168</f>
        <v>ใบรับคำสั่งซื้อ</v>
      </c>
      <c r="C159" s="9" t="str">
        <f>[2]หน้าผ้า!E168</f>
        <v>บจก.บลูฟาโล่</v>
      </c>
      <c r="D159" s="13" t="str">
        <f>[2]หน้าผ้า!F168</f>
        <v>เมอร์รี่882M</v>
      </c>
      <c r="E159" s="9">
        <f>[2]หน้าผ้า!G168</f>
        <v>21</v>
      </c>
      <c r="F159" s="9">
        <f>[2]หน้าผ้า!H168</f>
        <v>37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>
        <f>[2]หน้าผ้า!T168</f>
        <v>22</v>
      </c>
      <c r="N159" s="9">
        <f>[2]หน้าผ้า!U168</f>
        <v>40</v>
      </c>
      <c r="O159" s="9">
        <f>[2]หน้าผ้า!V168</f>
        <v>40</v>
      </c>
      <c r="P159" s="10">
        <f>[2]หน้าผ้า!AB168</f>
        <v>108.55204095999999</v>
      </c>
      <c r="Q159" s="10">
        <f>[2]หน้าผ้า!AC168</f>
        <v>0</v>
      </c>
      <c r="R159" s="10">
        <f>[2]หน้าผ้า!AD168</f>
        <v>108.55204095999999</v>
      </c>
      <c r="S159" s="9" t="str">
        <f>[2]หน้าผ้า!Z168</f>
        <v>500กระสอบ</v>
      </c>
      <c r="T159" s="12">
        <f>[2]หน้าผ้า!X168</f>
        <v>45831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WSWT2121670SM</v>
      </c>
      <c r="AA159" s="8">
        <f>[2]หน้าผ้า!AQ168</f>
        <v>5378.4500000000007</v>
      </c>
      <c r="AB159" s="8">
        <f>[2]หน้าผ้า!AR168</f>
        <v>0</v>
      </c>
      <c r="AC159" s="8">
        <f>[2]หน้าผ้า!AS168</f>
        <v>5378.4500000000007</v>
      </c>
      <c r="AD159" s="8">
        <f>[2]หน้าผ้า!AT168</f>
        <v>0</v>
      </c>
      <c r="AE159" s="8">
        <f>[2]หน้าผ้า!AU168</f>
        <v>5378.4500000000007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P8</v>
      </c>
      <c r="AI159" s="1">
        <f>[2]หน้าผ้า!DM168</f>
        <v>4</v>
      </c>
      <c r="AJ159" s="3">
        <f>[2]หน้าผ้า!DN168</f>
        <v>45831</v>
      </c>
      <c r="AK159" s="3">
        <f>[2]หน้าผ้า!DQ168</f>
        <v>45827</v>
      </c>
      <c r="AL159" s="3">
        <f>[2]หน้าผ้า!DR168</f>
        <v>45821</v>
      </c>
      <c r="AM159" s="3">
        <f>[2]หน้าผ้า!DS168</f>
        <v>45828</v>
      </c>
      <c r="AN159" s="3">
        <f>[2]หน้าผ้า!DT168</f>
        <v>45829</v>
      </c>
      <c r="AO159" s="3">
        <f>[2]หน้าผ้า!DU168</f>
        <v>45829</v>
      </c>
      <c r="AP159" s="3">
        <f>[2]หน้าผ้า!DP168</f>
        <v>45826</v>
      </c>
      <c r="AQ159" s="3">
        <f>[2]หน้าผ้า!DW168</f>
        <v>45830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>รอART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386.78226766666666</v>
      </c>
    </row>
    <row r="160" spans="1:56" ht="27.75" customHeight="1" x14ac:dyDescent="0.45">
      <c r="A160" s="3">
        <f>[2]หน้าผ้า!C169</f>
        <v>45817</v>
      </c>
      <c r="B160" s="14" t="str">
        <f>[2]หน้าผ้า!B169</f>
        <v>ใบรับคำสั่งซื้อ</v>
      </c>
      <c r="C160" s="9" t="str">
        <f>[2]หน้าผ้า!E169</f>
        <v>บจก.บลูฟาโล่</v>
      </c>
      <c r="D160" s="13" t="str">
        <f>[2]หน้าผ้า!F169</f>
        <v>เมอร์รี่882L</v>
      </c>
      <c r="E160" s="9">
        <f>[2]หน้าผ้า!G169</f>
        <v>21</v>
      </c>
      <c r="F160" s="9">
        <f>[2]หน้าผ้า!H169</f>
        <v>37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>
        <f>[2]หน้าผ้า!T169</f>
        <v>22</v>
      </c>
      <c r="N160" s="9">
        <f>[2]หน้าผ้า!U169</f>
        <v>40</v>
      </c>
      <c r="O160" s="9">
        <f>[2]หน้าผ้า!V169</f>
        <v>40</v>
      </c>
      <c r="P160" s="10">
        <f>[2]หน้าผ้า!AB169</f>
        <v>108.55204095999999</v>
      </c>
      <c r="Q160" s="10">
        <f>[2]หน้าผ้า!AC169</f>
        <v>0</v>
      </c>
      <c r="R160" s="10">
        <f>[2]หน้าผ้า!AD169</f>
        <v>108.55204095999999</v>
      </c>
      <c r="S160" s="9" t="str">
        <f>[2]หน้าผ้า!Z169</f>
        <v>500กระสอบ</v>
      </c>
      <c r="T160" s="12">
        <f>[2]หน้าผ้า!X169</f>
        <v>45831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WSWT2121670SM</v>
      </c>
      <c r="AA160" s="8">
        <f>[2]หน้าผ้า!AQ169</f>
        <v>5378.4500000000007</v>
      </c>
      <c r="AB160" s="8">
        <f>[2]หน้าผ้า!AR169</f>
        <v>0</v>
      </c>
      <c r="AC160" s="8">
        <f>[2]หน้าผ้า!AS169</f>
        <v>5378.4500000000007</v>
      </c>
      <c r="AD160" s="8">
        <f>[2]หน้าผ้า!AT169</f>
        <v>0</v>
      </c>
      <c r="AE160" s="8">
        <f>[2]หน้าผ้า!AU169</f>
        <v>5378.4500000000007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P8</v>
      </c>
      <c r="AI160" s="1">
        <f>[2]หน้าผ้า!DM169</f>
        <v>4</v>
      </c>
      <c r="AJ160" s="3">
        <f>[2]หน้าผ้า!DN169</f>
        <v>45831</v>
      </c>
      <c r="AK160" s="3">
        <f>[2]หน้าผ้า!DQ169</f>
        <v>45827</v>
      </c>
      <c r="AL160" s="3">
        <f>[2]หน้าผ้า!DR169</f>
        <v>45821</v>
      </c>
      <c r="AM160" s="3">
        <f>[2]หน้าผ้า!DS169</f>
        <v>45828</v>
      </c>
      <c r="AN160" s="3">
        <f>[2]หน้าผ้า!DT169</f>
        <v>45829</v>
      </c>
      <c r="AO160" s="3">
        <f>[2]หน้าผ้า!DU169</f>
        <v>45829</v>
      </c>
      <c r="AP160" s="3">
        <f>[2]หน้าผ้า!DP169</f>
        <v>45826</v>
      </c>
      <c r="AQ160" s="3">
        <f>[2]หน้าผ้า!DW169</f>
        <v>45830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>รอART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386.78226766666666</v>
      </c>
    </row>
    <row r="161" spans="1:56" ht="27.75" customHeight="1" x14ac:dyDescent="0.45">
      <c r="A161" s="3" t="str">
        <f>[2]หน้าผ้า!C170</f>
        <v>ประมาณการ</v>
      </c>
      <c r="B161" s="14" t="str">
        <f>[2]หน้าผ้า!B170</f>
        <v>ประมาณการ</v>
      </c>
      <c r="C161" s="9" t="str">
        <f>[2]หน้าผ้า!E170</f>
        <v>บจก.แอมโก้เวท</v>
      </c>
      <c r="D161" s="13" t="str">
        <f>[2]หน้าผ้า!F170</f>
        <v>รอแบบ</v>
      </c>
      <c r="E161" s="9">
        <f>[2]หน้าผ้า!G170</f>
        <v>21</v>
      </c>
      <c r="F161" s="9">
        <f>[2]หน้าผ้า!H170</f>
        <v>37</v>
      </c>
      <c r="G161" s="9" t="str">
        <f>[2]หน้าผ้า!I170</f>
        <v>ขาว</v>
      </c>
      <c r="H161" s="9" t="str">
        <f>[2]หน้าผ้า!J170</f>
        <v>ใส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ไม่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45838</v>
      </c>
      <c r="U161" s="11">
        <f>[2]หน้าผ้า!AA170</f>
        <v>130000</v>
      </c>
      <c r="V161" s="10">
        <f>[2]หน้าผ้า!AJ170</f>
        <v>0</v>
      </c>
      <c r="W161" s="10">
        <f>[2]หน้าผ้า!AL170</f>
        <v>130000</v>
      </c>
      <c r="X161" s="10">
        <f>[2]หน้าผ้า!AM170</f>
        <v>0</v>
      </c>
      <c r="Y161" s="10">
        <f>[2]หน้าผ้า!AN170</f>
        <v>136500</v>
      </c>
      <c r="Z161" s="9" t="str">
        <f>[2]หน้าผ้า!AO170</f>
        <v>WSWT2121670SM</v>
      </c>
      <c r="AA161" s="8">
        <f>[2]หน้าผ้า!AQ170</f>
        <v>139839.70000000001</v>
      </c>
      <c r="AB161" s="8">
        <f>[2]หน้าผ้า!AR170</f>
        <v>0</v>
      </c>
      <c r="AC161" s="8">
        <f>[2]หน้าผ้า!AS170</f>
        <v>139839.70000000001</v>
      </c>
      <c r="AD161" s="8">
        <f>[2]หน้าผ้า!AT170</f>
        <v>0</v>
      </c>
      <c r="AE161" s="8">
        <f>[2]หน้าผ้า!AU170</f>
        <v>139839.70000000001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P8</v>
      </c>
      <c r="AI161" s="1">
        <f>[2]หน้าผ้า!DM170</f>
        <v>4</v>
      </c>
      <c r="AJ161" s="3">
        <f>[2]หน้าผ้า!DN170</f>
        <v>45838</v>
      </c>
      <c r="AK161" s="3">
        <f>[2]หน้าผ้า!DQ170</f>
        <v>45834</v>
      </c>
      <c r="AL161" s="3">
        <f>[2]หน้าผ้า!DR170</f>
        <v>45828</v>
      </c>
      <c r="AM161" s="3">
        <f>[2]หน้าผ้า!DS170</f>
        <v>45835</v>
      </c>
      <c r="AN161" s="3">
        <f>[2]หน้าผ้า!DT170</f>
        <v>45836</v>
      </c>
      <c r="AO161" s="3">
        <f>[2]หน้าผ้า!DU170</f>
        <v>45836</v>
      </c>
      <c r="AP161" s="3">
        <f>[2]หน้าผ้า!DP170</f>
        <v>45833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WRWT21670/WRWT21670</v>
      </c>
      <c r="BD161" s="56">
        <f>[2]หน้าผ้า!CA170</f>
        <v>10056.338959333332</v>
      </c>
    </row>
    <row r="162" spans="1:56" ht="27.75" customHeight="1" x14ac:dyDescent="0.45">
      <c r="A162" s="3">
        <f>[2]หน้าผ้า!C171</f>
        <v>45628</v>
      </c>
      <c r="B162" s="14" t="str">
        <f>[2]หน้าผ้า!B171</f>
        <v>MK67-001617</v>
      </c>
      <c r="C162" s="9" t="str">
        <f>[2]หน้าผ้า!E171</f>
        <v>บจก.ที.ซี.ยูเนี่ยน อโกรเทค</v>
      </c>
      <c r="D162" s="13" t="str">
        <f>[2]หน้าผ้า!F171</f>
        <v>Zhejiang UN</v>
      </c>
      <c r="E162" s="9">
        <f>[2]หน้าผ้า!G171</f>
        <v>21</v>
      </c>
      <c r="F162" s="9">
        <f>[2]หน้าผ้า!H171</f>
        <v>37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ไม่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45838</v>
      </c>
      <c r="U162" s="11">
        <f>[2]หน้าผ้า!AA171</f>
        <v>8000</v>
      </c>
      <c r="V162" s="10">
        <f>[2]หน้าผ้า!AJ171</f>
        <v>0</v>
      </c>
      <c r="W162" s="10">
        <f>[2]หน้าผ้า!AL171</f>
        <v>8000</v>
      </c>
      <c r="X162" s="10">
        <f>[2]หน้าผ้า!AM171</f>
        <v>0</v>
      </c>
      <c r="Y162" s="10">
        <f>[2]หน้าผ้า!AN171</f>
        <v>8400</v>
      </c>
      <c r="Z162" s="9" t="str">
        <f>[2]หน้าผ้า!AO171</f>
        <v>WSWT2121670SM</v>
      </c>
      <c r="AA162" s="8">
        <f>[2]หน้าผ้า!AQ171</f>
        <v>8605.52</v>
      </c>
      <c r="AB162" s="8">
        <f>[2]หน้าผ้า!AR171</f>
        <v>0</v>
      </c>
      <c r="AC162" s="8">
        <f>[2]หน้าผ้า!AS171</f>
        <v>8605.52</v>
      </c>
      <c r="AD162" s="8">
        <f>[2]หน้าผ้า!AT171</f>
        <v>0</v>
      </c>
      <c r="AE162" s="8">
        <f>[2]หน้าผ้า!AU171</f>
        <v>8605.52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P8</v>
      </c>
      <c r="AI162" s="1">
        <f>[2]หน้าผ้า!DM171</f>
        <v>4</v>
      </c>
      <c r="AJ162" s="3">
        <f>[2]หน้าผ้า!DN171</f>
        <v>45838</v>
      </c>
      <c r="AK162" s="3">
        <f>[2]หน้าผ้า!DQ171</f>
        <v>45834</v>
      </c>
      <c r="AL162" s="3">
        <f>[2]หน้าผ้า!DR171</f>
        <v>45828</v>
      </c>
      <c r="AM162" s="3">
        <f>[2]หน้าผ้า!DS171</f>
        <v>45835</v>
      </c>
      <c r="AN162" s="3">
        <f>[2]หน้าผ้า!DT171</f>
        <v>45836</v>
      </c>
      <c r="AO162" s="3">
        <f>[2]หน้าผ้า!DU171</f>
        <v>45836</v>
      </c>
      <c r="AP162" s="3">
        <f>[2]หน้าผ้า!DP171</f>
        <v>45833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 t="str">
        <f>[2]หน้าผ้า!AG171</f>
        <v>20/1--5/3 ลูกค้าแจ้งเลื่อน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WRWT21670/WRWT21670</v>
      </c>
      <c r="BD162" s="56">
        <f>[2]หน้าผ้า!CA171</f>
        <v>618.85162826666658</v>
      </c>
    </row>
    <row r="163" spans="1:56" ht="27.75" customHeight="1" x14ac:dyDescent="0.45">
      <c r="A163" s="3">
        <f>[2]หน้าผ้า!C172</f>
        <v>45800</v>
      </c>
      <c r="B163" s="14" t="str">
        <f>[2]หน้าผ้า!B172</f>
        <v>MK68-000703</v>
      </c>
      <c r="C163" s="9" t="str">
        <f>[2]หน้าผ้า!E172</f>
        <v>บจก.เอสพีเอ็ม อาหารสัตว์</v>
      </c>
      <c r="D163" s="13" t="str">
        <f>[2]หน้าผ้า!F172</f>
        <v>มาซู ฟีดบี0434</v>
      </c>
      <c r="E163" s="9">
        <f>[2]หน้าผ้า!G172</f>
        <v>21</v>
      </c>
      <c r="F163" s="9">
        <f>[2]หน้าผ้า!H172</f>
        <v>40</v>
      </c>
      <c r="G163" s="9" t="str">
        <f>[2]หน้าผ้า!I172</f>
        <v>ขาว</v>
      </c>
      <c r="H163" s="9" t="str">
        <f>[2]หน้าผ้า!J172</f>
        <v>ด้าน</v>
      </c>
      <c r="I163" s="9">
        <f>[2]หน้าผ้า!L172</f>
        <v>108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22</v>
      </c>
      <c r="N163" s="9">
        <f>[2]หน้าผ้า!U172</f>
        <v>42</v>
      </c>
      <c r="O163" s="9">
        <f>[2]หน้าผ้า!V172</f>
        <v>40</v>
      </c>
      <c r="P163" s="10">
        <f>[2]หน้าผ้า!AB172</f>
        <v>5.2886554355711999</v>
      </c>
      <c r="Q163" s="10">
        <f>[2]หน้าผ้า!AC172</f>
        <v>0</v>
      </c>
      <c r="R163" s="10">
        <f>[2]หน้าผ้า!AD172</f>
        <v>5.2886554355711999</v>
      </c>
      <c r="S163" s="9" t="str">
        <f>[2]หน้าผ้า!Z172</f>
        <v>500กระสอบแบน</v>
      </c>
      <c r="T163" s="12">
        <f>[2]หน้าผ้า!X172</f>
        <v>45838</v>
      </c>
      <c r="U163" s="11">
        <f>[2]หน้าผ้า!AA172</f>
        <v>5000</v>
      </c>
      <c r="V163" s="10">
        <f>[2]หน้าผ้า!AJ172</f>
        <v>4768</v>
      </c>
      <c r="W163" s="10">
        <f>[2]หน้าผ้า!AL172</f>
        <v>232</v>
      </c>
      <c r="X163" s="10">
        <f>[2]หน้าผ้า!AM172</f>
        <v>10420</v>
      </c>
      <c r="Y163" s="10">
        <f>[2]หน้าผ้า!AN172</f>
        <v>0</v>
      </c>
      <c r="Z163" s="9" t="str">
        <f>[2]หน้าผ้า!AO172</f>
        <v>WSWT2121670SM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P8</v>
      </c>
      <c r="AI163" s="1">
        <f>[2]หน้าผ้า!DM172</f>
        <v>4</v>
      </c>
      <c r="AJ163" s="3">
        <f>[2]หน้าผ้า!DN172</f>
        <v>45838</v>
      </c>
      <c r="AK163" s="3">
        <f>[2]หน้าผ้า!DQ172</f>
        <v>45834</v>
      </c>
      <c r="AL163" s="3">
        <f>[2]หน้าผ้า!DR172</f>
        <v>45828</v>
      </c>
      <c r="AM163" s="3">
        <f>[2]หน้าผ้า!DS172</f>
        <v>45835</v>
      </c>
      <c r="AN163" s="3">
        <f>[2]หน้าผ้า!DT172</f>
        <v>45836</v>
      </c>
      <c r="AO163" s="3">
        <f>[2]หน้าผ้า!DU172</f>
        <v>45836</v>
      </c>
      <c r="AP163" s="3">
        <f>[2]หน้าผ้า!DP172</f>
        <v>45833</v>
      </c>
      <c r="AQ163" s="3">
        <f>[2]หน้าผ้า!DW172</f>
        <v>45837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WRWT21670/WRWT21670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45798</v>
      </c>
      <c r="B164" s="14" t="str">
        <f>[2]หน้าผ้า!B173</f>
        <v>MK68-000691</v>
      </c>
      <c r="C164" s="9" t="str">
        <f>[2]หน้าผ้า!E173</f>
        <v>บจก.เอพีเอ็ม อะโกร</v>
      </c>
      <c r="D164" s="13" t="str">
        <f>[2]หน้าผ้า!F173</f>
        <v>ฟีล กู๊ด 821</v>
      </c>
      <c r="E164" s="9">
        <f>[2]หน้าผ้า!G173</f>
        <v>21</v>
      </c>
      <c r="F164" s="9">
        <f>[2]หน้าผ้า!H173</f>
        <v>38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102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>
        <f>[2]หน้าผ้า!T173</f>
        <v>22</v>
      </c>
      <c r="N164" s="9">
        <f>[2]หน้าผ้า!U173</f>
        <v>40</v>
      </c>
      <c r="O164" s="9">
        <f>[2]หน้าผ้า!V173</f>
        <v>40</v>
      </c>
      <c r="P164" s="10">
        <f>[2]หน้าผ้า!AB173</f>
        <v>65.13122457599998</v>
      </c>
      <c r="Q164" s="10">
        <f>[2]หน้าผ้า!AC173</f>
        <v>0</v>
      </c>
      <c r="R164" s="10">
        <f>[2]หน้าผ้า!AD173</f>
        <v>65.13122457599998</v>
      </c>
      <c r="S164" s="9" t="str">
        <f>[2]หน้าผ้า!Z173</f>
        <v>500กระสอบแบน</v>
      </c>
      <c r="T164" s="12" t="str">
        <f>[2]หน้าผ้า!X173</f>
        <v>รอแจ้ง</v>
      </c>
      <c r="U164" s="11">
        <f>[2]หน้าผ้า!AA173</f>
        <v>3000</v>
      </c>
      <c r="V164" s="10">
        <f>[2]หน้าผ้า!AJ173</f>
        <v>0</v>
      </c>
      <c r="W164" s="10">
        <f>[2]หน้าผ้า!AL173</f>
        <v>3000</v>
      </c>
      <c r="X164" s="10">
        <f>[2]หน้าผ้า!AM173</f>
        <v>0</v>
      </c>
      <c r="Y164" s="10">
        <f>[2]หน้าผ้า!AN173</f>
        <v>3150</v>
      </c>
      <c r="Z164" s="9" t="str">
        <f>[2]หน้าผ้า!AO173</f>
        <v>WSWT2121670SM</v>
      </c>
      <c r="AA164" s="8">
        <f>[2]หน้าผ้า!AQ173</f>
        <v>3310.89</v>
      </c>
      <c r="AB164" s="8">
        <f>[2]หน้าผ้า!AR173</f>
        <v>0</v>
      </c>
      <c r="AC164" s="8">
        <f>[2]หน้าผ้า!AS173</f>
        <v>3310.89</v>
      </c>
      <c r="AD164" s="8">
        <f>[2]หน้าผ้า!AT173</f>
        <v>0</v>
      </c>
      <c r="AE164" s="8">
        <f>[2]หน้าผ้า!AU173</f>
        <v>3310.89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P8</v>
      </c>
      <c r="AI164" s="1">
        <f>[2]หน้าผ้า!DM173</f>
        <v>4</v>
      </c>
      <c r="AJ164" s="3" t="str">
        <f>[2]หน้าผ้า!DN173</f>
        <v>รอแจ้ง</v>
      </c>
      <c r="AK164" s="3" t="e">
        <f>[2]หน้าผ้า!DQ173</f>
        <v>#VALUE!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 t="e">
        <f>[2]หน้าผ้า!DW173</f>
        <v>#VALUE!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WRWT21670/WRWT21670</v>
      </c>
      <c r="BD164" s="56">
        <f>[2]หน้าผ้า!CA173</f>
        <v>238.09713619999999</v>
      </c>
    </row>
    <row r="165" spans="1:56" ht="27.75" customHeight="1" x14ac:dyDescent="0.45">
      <c r="A165" s="3">
        <f>[2]หน้าผ้า!C174</f>
        <v>45631</v>
      </c>
      <c r="B165" s="14" t="str">
        <f>[2]หน้าผ้า!B174</f>
        <v>MK67-001642</v>
      </c>
      <c r="C165" s="9" t="str">
        <f>[2]หน้าผ้า!E174</f>
        <v>บจก.ที.ซี.ยูเนี่ยน อโกรเทค</v>
      </c>
      <c r="D165" s="13" t="str">
        <f>[2]หน้าผ้า!F174</f>
        <v>Zhejiang UN</v>
      </c>
      <c r="E165" s="9">
        <f>[2]หน้าผ้า!G174</f>
        <v>21</v>
      </c>
      <c r="F165" s="9">
        <f>[2]หน้าผ้า!H174</f>
        <v>37</v>
      </c>
      <c r="G165" s="9" t="str">
        <f>[2]หน้าผ้า!I174</f>
        <v>ขาว</v>
      </c>
      <c r="H165" s="9" t="str">
        <f>[2]หน้าผ้า!J174</f>
        <v>ใส</v>
      </c>
      <c r="I165" s="9">
        <f>[2]หน้าผ้า!L174</f>
        <v>100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ไม่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 t="str">
        <f>[2]หน้าผ้า!X174</f>
        <v>รอแจ้ง</v>
      </c>
      <c r="U165" s="11">
        <f>[2]หน้าผ้า!AA174</f>
        <v>16000</v>
      </c>
      <c r="V165" s="10">
        <f>[2]หน้าผ้า!AJ174</f>
        <v>0</v>
      </c>
      <c r="W165" s="10">
        <f>[2]หน้าผ้า!AL174</f>
        <v>16000</v>
      </c>
      <c r="X165" s="10">
        <f>[2]หน้าผ้า!AM174</f>
        <v>0</v>
      </c>
      <c r="Y165" s="10">
        <f>[2]หน้าผ้า!AN174</f>
        <v>16800</v>
      </c>
      <c r="Z165" s="9" t="str">
        <f>[2]หน้าผ้า!AO174</f>
        <v>WSWT2121670SM</v>
      </c>
      <c r="AA165" s="8">
        <f>[2]หน้าผ้า!AQ174</f>
        <v>17211.04</v>
      </c>
      <c r="AB165" s="8">
        <f>[2]หน้าผ้า!AR174</f>
        <v>0</v>
      </c>
      <c r="AC165" s="8">
        <f>[2]หน้าผ้า!AS174</f>
        <v>17211.04</v>
      </c>
      <c r="AD165" s="8">
        <f>[2]หน้าผ้า!AT174</f>
        <v>0</v>
      </c>
      <c r="AE165" s="8">
        <f>[2]หน้าผ้า!AU174</f>
        <v>17211.04</v>
      </c>
      <c r="AF165" s="8">
        <f>[2]หน้าผ้า!AI174</f>
        <v>0</v>
      </c>
      <c r="AG165" s="1" t="str">
        <f>[3]หน้าผ้า!DC177</f>
        <v>รอแบบ</v>
      </c>
      <c r="AH165" s="1" t="str">
        <f>[2]หน้าผ้า!DL174</f>
        <v>P8</v>
      </c>
      <c r="AI165" s="1">
        <f>[2]หน้าผ้า!DM174</f>
        <v>4</v>
      </c>
      <c r="AJ165" s="3" t="str">
        <f>[2]หน้าผ้า!DN174</f>
        <v>รอแจ้ง</v>
      </c>
      <c r="AK165" s="3" t="e">
        <f>[2]หน้าผ้า!DQ174</f>
        <v>#VALUE!</v>
      </c>
      <c r="AL165" s="3" t="e">
        <f>[2]หน้าผ้า!DR174</f>
        <v>#VALUE!</v>
      </c>
      <c r="AM165" s="3" t="e">
        <f>[2]หน้าผ้า!DS174</f>
        <v>#VALUE!</v>
      </c>
      <c r="AN165" s="3" t="e">
        <f>[2]หน้าผ้า!DT174</f>
        <v>#VALUE!</v>
      </c>
      <c r="AO165" s="3" t="e">
        <f>[2]หน้าผ้า!DU174</f>
        <v>#VALUE!</v>
      </c>
      <c r="AP165" s="3" t="e">
        <f>[2]หน้าผ้า!DP174</f>
        <v>#VALUE!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 t="str">
        <f>[2]หน้าผ้า!AG174</f>
        <v>3/2---19/3 ลูกค้าแจ้งเลื่อน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WRWT21670/WRWT21670</v>
      </c>
      <c r="BD165" s="56">
        <f>[2]หน้าผ้า!CA174</f>
        <v>1237.7032565333332</v>
      </c>
    </row>
    <row r="166" spans="1:56" ht="27.75" customHeight="1" x14ac:dyDescent="0.45">
      <c r="A166" s="3">
        <f>[2]หน้าผ้า!C175</f>
        <v>45631</v>
      </c>
      <c r="B166" s="14" t="str">
        <f>[2]หน้าผ้า!B175</f>
        <v>MK67-001643</v>
      </c>
      <c r="C166" s="9" t="str">
        <f>[2]หน้าผ้า!E175</f>
        <v>บจก.ที.ซี.ยูเนี่ยน อโกรเทค</v>
      </c>
      <c r="D166" s="13" t="str">
        <f>[2]หน้าผ้า!F175</f>
        <v>Zhejiang UN</v>
      </c>
      <c r="E166" s="9">
        <f>[2]หน้าผ้า!G175</f>
        <v>21</v>
      </c>
      <c r="F166" s="9">
        <f>[2]หน้าผ้า!H175</f>
        <v>37</v>
      </c>
      <c r="G166" s="9" t="str">
        <f>[2]หน้าผ้า!I175</f>
        <v>ขาว</v>
      </c>
      <c r="H166" s="9" t="str">
        <f>[2]หน้าผ้า!J175</f>
        <v>ใส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ไม่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 t="str">
        <f>[2]หน้าผ้า!X175</f>
        <v>รอแจ้ง</v>
      </c>
      <c r="U166" s="11">
        <f>[2]หน้าผ้า!AA175</f>
        <v>16000</v>
      </c>
      <c r="V166" s="10">
        <f>[2]หน้าผ้า!AJ175</f>
        <v>0</v>
      </c>
      <c r="W166" s="10">
        <f>[2]หน้าผ้า!AL175</f>
        <v>16000</v>
      </c>
      <c r="X166" s="10">
        <f>[2]หน้าผ้า!AM175</f>
        <v>0</v>
      </c>
      <c r="Y166" s="10">
        <f>[2]หน้าผ้า!AN175</f>
        <v>16800</v>
      </c>
      <c r="Z166" s="9" t="str">
        <f>[2]หน้าผ้า!AO175</f>
        <v>WSWT2121670SM</v>
      </c>
      <c r="AA166" s="8">
        <f>[2]หน้าผ้า!AQ175</f>
        <v>17211.04</v>
      </c>
      <c r="AB166" s="8">
        <f>[2]หน้าผ้า!AR175</f>
        <v>0</v>
      </c>
      <c r="AC166" s="8">
        <f>[2]หน้าผ้า!AS175</f>
        <v>17211.04</v>
      </c>
      <c r="AD166" s="8">
        <f>[2]หน้าผ้า!AT175</f>
        <v>0</v>
      </c>
      <c r="AE166" s="8">
        <f>[2]หน้าผ้า!AU175</f>
        <v>17211.04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P8</v>
      </c>
      <c r="AI166" s="1">
        <f>[2]หน้าผ้า!DM175</f>
        <v>4</v>
      </c>
      <c r="AJ166" s="3" t="str">
        <f>[2]หน้าผ้า!DN175</f>
        <v>รอแจ้ง</v>
      </c>
      <c r="AK166" s="3" t="e">
        <f>[2]หน้าผ้า!DQ175</f>
        <v>#VALUE!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 xml:space="preserve"> /</v>
      </c>
      <c r="AY166" s="2" t="str">
        <f>[2]หน้าผ้า!AG175</f>
        <v>17/2---28/3 ลูกค้าแจ้งเลื่อน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WRWT21670/WRWT21670</v>
      </c>
      <c r="BD166" s="56">
        <f>[2]หน้าผ้า!CA175</f>
        <v>1237.7032565333332</v>
      </c>
    </row>
    <row r="167" spans="1:56" ht="27.75" customHeight="1" x14ac:dyDescent="0.45">
      <c r="A167" s="3" t="str">
        <f>[2]หน้าผ้า!C176</f>
        <v>ประมาณการ</v>
      </c>
      <c r="B167" s="14" t="str">
        <f>[2]หน้าผ้า!B176</f>
        <v>ประมาณการ</v>
      </c>
      <c r="C167" s="9" t="str">
        <f>[2]หน้าผ้า!E176</f>
        <v>บจก.ที.ซี.ยูเนี่ยน อโกรเทค</v>
      </c>
      <c r="D167" s="13" t="str">
        <f>[2]หน้าผ้า!F176</f>
        <v>Zhejiang UN</v>
      </c>
      <c r="E167" s="9">
        <f>[2]หน้าผ้า!G176</f>
        <v>21</v>
      </c>
      <c r="F167" s="9">
        <f>[2]หน้าผ้า!H176</f>
        <v>37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100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 t="str">
        <f>[2]หน้าผ้า!X176</f>
        <v>รอแจ้ง</v>
      </c>
      <c r="U167" s="11">
        <f>[2]หน้าผ้า!AA176</f>
        <v>10000</v>
      </c>
      <c r="V167" s="10">
        <f>[2]หน้าผ้า!AJ176</f>
        <v>0</v>
      </c>
      <c r="W167" s="10">
        <f>[2]หน้าผ้า!AL176</f>
        <v>10000</v>
      </c>
      <c r="X167" s="10">
        <f>[2]หน้าผ้า!AM176</f>
        <v>0</v>
      </c>
      <c r="Y167" s="10">
        <f>[2]หน้าผ้า!AN176</f>
        <v>10500</v>
      </c>
      <c r="Z167" s="9" t="str">
        <f>[2]หน้าผ้า!AO176</f>
        <v>WSWT2121670SM</v>
      </c>
      <c r="AA167" s="8">
        <f>[2]หน้าผ้า!AQ176</f>
        <v>10756.900000000001</v>
      </c>
      <c r="AB167" s="8">
        <f>[2]หน้าผ้า!AR176</f>
        <v>0</v>
      </c>
      <c r="AC167" s="8">
        <f>[2]หน้าผ้า!AS176</f>
        <v>10756.900000000001</v>
      </c>
      <c r="AD167" s="8">
        <f>[2]หน้าผ้า!AT176</f>
        <v>0</v>
      </c>
      <c r="AE167" s="8">
        <f>[2]หน้าผ้า!AU176</f>
        <v>10756.900000000001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P8</v>
      </c>
      <c r="AI167" s="1">
        <f>[2]หน้าผ้า!DM176</f>
        <v>4</v>
      </c>
      <c r="AJ167" s="3" t="str">
        <f>[2]หน้าผ้า!DN176</f>
        <v>รอแจ้ง</v>
      </c>
      <c r="AK167" s="3" t="e">
        <f>[2]หน้าผ้า!DQ176</f>
        <v>#VALUE!</v>
      </c>
      <c r="AL167" s="3" t="e">
        <f>[2]หน้าผ้า!DR176</f>
        <v>#VALUE!</v>
      </c>
      <c r="AM167" s="3" t="e">
        <f>[2]หน้าผ้า!DS176</f>
        <v>#VALUE!</v>
      </c>
      <c r="AN167" s="3" t="e">
        <f>[2]หน้าผ้า!DT176</f>
        <v>#VALUE!</v>
      </c>
      <c r="AO167" s="3" t="e">
        <f>[2]หน้าผ้า!DU176</f>
        <v>#VALUE!</v>
      </c>
      <c r="AP167" s="3" t="e">
        <f>[2]หน้าผ้า!DP176</f>
        <v>#VALUE!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WRWT21670/WRWT21670</v>
      </c>
      <c r="BD167" s="56">
        <f>[2]หน้าผ้า!CA176</f>
        <v>773.56453533333331</v>
      </c>
    </row>
    <row r="168" spans="1:56" ht="27.75" customHeight="1" x14ac:dyDescent="0.45">
      <c r="A168" s="3" t="str">
        <f>[2]หน้าผ้า!C177</f>
        <v>ประมาณการ</v>
      </c>
      <c r="B168" s="14" t="str">
        <f>[2]หน้าผ้า!B177</f>
        <v>ประมาณการ</v>
      </c>
      <c r="C168" s="9" t="str">
        <f>[2]หน้าผ้า!E177</f>
        <v>บจก.เอพีเอ็ม อะโกร</v>
      </c>
      <c r="D168" s="13" t="str">
        <f>[2]หน้าผ้า!F177</f>
        <v>รอแบบ</v>
      </c>
      <c r="E168" s="9">
        <f>[2]หน้าผ้า!G177</f>
        <v>21</v>
      </c>
      <c r="F168" s="9">
        <f>[2]หน้าผ้า!H177</f>
        <v>40</v>
      </c>
      <c r="G168" s="9" t="str">
        <f>[2]หน้าผ้า!I177</f>
        <v>ขาว</v>
      </c>
      <c r="H168" s="9" t="str">
        <f>[2]หน้าผ้า!J177</f>
        <v>ใส</v>
      </c>
      <c r="I168" s="9">
        <f>[2]หน้าผ้า!L177</f>
        <v>108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จับจีบ</v>
      </c>
      <c r="M168" s="10">
        <f>[2]หน้าผ้า!T177</f>
        <v>22</v>
      </c>
      <c r="N168" s="9">
        <f>[2]หน้าผ้า!U177</f>
        <v>42</v>
      </c>
      <c r="O168" s="9">
        <f>[2]หน้าผ้า!V177</f>
        <v>40</v>
      </c>
      <c r="P168" s="10">
        <f>[2]หน้าผ้า!AB177</f>
        <v>227.95928601599996</v>
      </c>
      <c r="Q168" s="10">
        <f>[2]หน้าผ้า!AC177</f>
        <v>0</v>
      </c>
      <c r="R168" s="10">
        <f>[2]หน้าผ้า!AD177</f>
        <v>227.95928601599996</v>
      </c>
      <c r="S168" s="9" t="str">
        <f>[2]หน้าผ้า!Z177</f>
        <v>500กระสอบแบน</v>
      </c>
      <c r="T168" s="12" t="str">
        <f>[2]หน้าผ้า!X177</f>
        <v>รอแจ้ง</v>
      </c>
      <c r="U168" s="11">
        <f>[2]หน้าผ้า!AA177</f>
        <v>10000</v>
      </c>
      <c r="V168" s="10">
        <f>[2]หน้าผ้า!AJ177</f>
        <v>0</v>
      </c>
      <c r="W168" s="10">
        <f>[2]หน้าผ้า!AL177</f>
        <v>10000</v>
      </c>
      <c r="X168" s="10">
        <f>[2]หน้าผ้า!AM177</f>
        <v>0</v>
      </c>
      <c r="Y168" s="10">
        <f>[2]หน้าผ้า!AN177</f>
        <v>10500</v>
      </c>
      <c r="Z168" s="9" t="str">
        <f>[2]หน้าผ้า!AO177</f>
        <v>WSWT2121670SM</v>
      </c>
      <c r="AA168" s="8">
        <f>[2]หน้าผ้า!AQ177</f>
        <v>11595.1</v>
      </c>
      <c r="AB168" s="8">
        <f>[2]หน้าผ้า!AR177</f>
        <v>0</v>
      </c>
      <c r="AC168" s="8">
        <f>[2]หน้าผ้า!AS177</f>
        <v>11595.1</v>
      </c>
      <c r="AD168" s="8">
        <f>[2]หน้าผ้า!AT177</f>
        <v>0</v>
      </c>
      <c r="AE168" s="8">
        <f>[2]หน้าผ้า!AU177</f>
        <v>11595.1</v>
      </c>
      <c r="AF168" s="8">
        <f>[2]หน้าผ้า!AI177</f>
        <v>0</v>
      </c>
      <c r="AG168" s="1" t="str">
        <f>[3]หน้าผ้า!DC180</f>
        <v>พิมพ์ไม่ครบ</v>
      </c>
      <c r="AH168" s="1" t="str">
        <f>[2]หน้าผ้า!DL177</f>
        <v>P8</v>
      </c>
      <c r="AI168" s="1">
        <f>[2]หน้าผ้า!DM177</f>
        <v>4</v>
      </c>
      <c r="AJ168" s="3" t="str">
        <f>[2]หน้าผ้า!DN177</f>
        <v>รอแจ้ง</v>
      </c>
      <c r="AK168" s="3" t="e">
        <f>[2]หน้าผ้า!DQ177</f>
        <v>#VALUE!</v>
      </c>
      <c r="AL168" s="3" t="e">
        <f>[2]หน้าผ้า!DR177</f>
        <v>#VALUE!</v>
      </c>
      <c r="AM168" s="3" t="e">
        <f>[2]หน้าผ้า!DS177</f>
        <v>#VALUE!</v>
      </c>
      <c r="AN168" s="3" t="e">
        <f>[2]หน้าผ้า!DT177</f>
        <v>#VALUE!</v>
      </c>
      <c r="AO168" s="3" t="e">
        <f>[2]หน้าผ้า!DU177</f>
        <v>#VALUE!</v>
      </c>
      <c r="AP168" s="3" t="e">
        <f>[2]หน้าผ้า!DP177</f>
        <v>#VALUE!</v>
      </c>
      <c r="AQ168" s="3" t="e">
        <f>[2]หน้าผ้า!DW177</f>
        <v>#VALUE!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งานเคลือบ+พิมพ์</v>
      </c>
      <c r="AX168" s="2" t="str">
        <f>[2]หน้าผ้า!ED177</f>
        <v>รอART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WRWT21670/WRWT21670</v>
      </c>
      <c r="BD168" s="56">
        <f>[2]หน้าผ้า!CA177</f>
        <v>833.84229133333326</v>
      </c>
    </row>
    <row r="169" spans="1:56" ht="27.75" customHeight="1" x14ac:dyDescent="0.45">
      <c r="A169" s="3">
        <f>[2]หน้าผ้า!C178</f>
        <v>45066</v>
      </c>
      <c r="B169" s="14" t="str">
        <f>[2]หน้าผ้า!B178</f>
        <v>MK66-000701</v>
      </c>
      <c r="C169" s="9" t="str">
        <f>[2]หน้าผ้า!E178</f>
        <v>บจก.เอสพีเอ็ม อาหารสัตว์</v>
      </c>
      <c r="D169" s="13" t="str">
        <f>[2]หน้าผ้า!F178</f>
        <v>มาซูฟีด ซี041</v>
      </c>
      <c r="E169" s="9">
        <f>[2]หน้าผ้า!G178</f>
        <v>21</v>
      </c>
      <c r="F169" s="9">
        <f>[2]หน้าผ้า!H178</f>
        <v>38</v>
      </c>
      <c r="G169" s="9" t="str">
        <f>[2]หน้าผ้า!I178</f>
        <v>ขาว</v>
      </c>
      <c r="H169" s="9" t="str">
        <f>[2]หน้าผ้า!J178</f>
        <v>ด้าน</v>
      </c>
      <c r="I169" s="9">
        <f>[2]หน้าผ้า!L178</f>
        <v>102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>
        <f>[2]หน้าผ้า!T178</f>
        <v>22</v>
      </c>
      <c r="N169" s="9">
        <f>[2]หน้าผ้า!U178</f>
        <v>40</v>
      </c>
      <c r="O169" s="9">
        <f>[2]หน้าผ้า!V178</f>
        <v>40</v>
      </c>
      <c r="P169" s="10">
        <f>[2]หน้าผ้า!AB178</f>
        <v>108.55204095999999</v>
      </c>
      <c r="Q169" s="10">
        <f>[2]หน้าผ้า!AC178</f>
        <v>0</v>
      </c>
      <c r="R169" s="10">
        <f>[2]หน้าผ้า!AD178</f>
        <v>108.55204095999999</v>
      </c>
      <c r="S169" s="9" t="str">
        <f>[2]หน้าผ้า!Z178</f>
        <v>500กระสอบแบน</v>
      </c>
      <c r="T169" s="12" t="str">
        <f>[2]หน้าผ้า!X178</f>
        <v>รอแจ้ง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WSWT2121670SM</v>
      </c>
      <c r="AA169" s="8">
        <f>[2]หน้าผ้า!AQ178</f>
        <v>5518.15</v>
      </c>
      <c r="AB169" s="8">
        <f>[2]หน้าผ้า!AR178</f>
        <v>0</v>
      </c>
      <c r="AC169" s="8">
        <f>[2]หน้าผ้า!AS178</f>
        <v>5518.15</v>
      </c>
      <c r="AD169" s="8">
        <f>[2]หน้าผ้า!AT178</f>
        <v>0</v>
      </c>
      <c r="AE169" s="8">
        <f>[2]หน้าผ้า!AU178</f>
        <v>5518.15</v>
      </c>
      <c r="AF169" s="8">
        <f>[2]หน้าผ้า!AI178</f>
        <v>0</v>
      </c>
      <c r="AG169" s="1" t="str">
        <f>[3]หน้าผ้า!DC181</f>
        <v>พร้อมส่ง</v>
      </c>
      <c r="AH169" s="1" t="str">
        <f>[2]หน้าผ้า!DL178</f>
        <v>P8</v>
      </c>
      <c r="AI169" s="1">
        <f>[2]หน้าผ้า!DM178</f>
        <v>4</v>
      </c>
      <c r="AJ169" s="3" t="str">
        <f>[2]หน้าผ้า!DN178</f>
        <v>รอแจ้ง</v>
      </c>
      <c r="AK169" s="3" t="e">
        <f>[2]หน้าผ้า!DQ178</f>
        <v>#VALUE!</v>
      </c>
      <c r="AL169" s="3" t="e">
        <f>[2]หน้าผ้า!DR178</f>
        <v>#VALUE!</v>
      </c>
      <c r="AM169" s="3" t="e">
        <f>[2]หน้าผ้า!DS178</f>
        <v>#VALUE!</v>
      </c>
      <c r="AN169" s="3" t="e">
        <f>[2]หน้าผ้า!DT178</f>
        <v>#VALUE!</v>
      </c>
      <c r="AO169" s="3" t="e">
        <f>[2]หน้าผ้า!DU178</f>
        <v>#VALUE!</v>
      </c>
      <c r="AP169" s="3" t="e">
        <f>[2]หน้าผ้า!DP178</f>
        <v>#VALUE!</v>
      </c>
      <c r="AQ169" s="3" t="e">
        <f>[2]หน้าผ้า!DW178</f>
        <v>#VALUE!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งานเคลือบ+พิมพ์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WRWT21670/WRWT21670</v>
      </c>
      <c r="BD169" s="56">
        <f>[2]หน้าผ้า!CA178</f>
        <v>396.82856033333326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21</v>
      </c>
      <c r="F170" s="9">
        <f>[2]หน้าผ้า!H179</f>
        <v>37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74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 t="str">
        <f>[2]หน้าผ้า!AC179</f>
        <v>ว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WSWT2121670SM</v>
      </c>
      <c r="AA170" s="8">
        <f>[2]หน้าผ้า!AQ179</f>
        <v>357552.66716400004</v>
      </c>
      <c r="AB170" s="8">
        <f>[2]หน้าผ้า!AR179</f>
        <v>58306.047164000003</v>
      </c>
      <c r="AC170" s="8">
        <f>[2]หน้าผ้า!AS179</f>
        <v>299246.62000000005</v>
      </c>
      <c r="AD170" s="8">
        <f>[2]หน้าผ้า!AT179</f>
        <v>10751.34</v>
      </c>
      <c r="AE170" s="8">
        <f>[2]หน้าผ้า!AU179</f>
        <v>346801.32716400002</v>
      </c>
      <c r="AF170" s="8" t="str">
        <f>[2]หน้าผ้า!AI179</f>
        <v>ระบุในSD</v>
      </c>
      <c r="AG170" s="1" t="str">
        <f>[3]หน้าผ้า!DC182</f>
        <v>รอแบบ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WRWT210670/WRWT21670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9</v>
      </c>
      <c r="B171" s="14" t="str">
        <f>[2]หน้าผ้า!B180</f>
        <v>MK68-000640</v>
      </c>
      <c r="C171" s="9" t="str">
        <f>[2]หน้าผ้า!E180</f>
        <v>กรมการข้าว</v>
      </c>
      <c r="D171" s="13" t="str">
        <f>[2]หน้าผ้า!F180</f>
        <v>เมล็ดพันธุ์ข้าว</v>
      </c>
      <c r="E171" s="9">
        <f>[2]หน้าผ้า!G180</f>
        <v>22</v>
      </c>
      <c r="F171" s="9">
        <f>[2]หน้าผ้า!H180</f>
        <v>34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115</v>
      </c>
      <c r="J171" s="9" t="str">
        <f>[2]หน้าผ้า!M180</f>
        <v>+</v>
      </c>
      <c r="K171" s="9">
        <f>[2]หน้าผ้า!N180</f>
        <v>5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>300กระสอบแบนเต็มใบ</v>
      </c>
      <c r="T171" s="12">
        <f>[2]หน้าผ้า!X180</f>
        <v>45833</v>
      </c>
      <c r="U171" s="11">
        <f>[2]หน้าผ้า!AA180</f>
        <v>239700</v>
      </c>
      <c r="V171" s="10">
        <f>[2]หน้าผ้า!AJ180</f>
        <v>0</v>
      </c>
      <c r="W171" s="10">
        <f>[2]หน้าผ้า!AL180</f>
        <v>239700</v>
      </c>
      <c r="X171" s="10">
        <f>[2]หน้าผ้า!AM180</f>
        <v>117200</v>
      </c>
      <c r="Y171" s="10">
        <f>[2]หน้าผ้า!AN180</f>
        <v>128625</v>
      </c>
      <c r="Z171" s="9" t="str">
        <f>[2]หน้าผ้า!AO180</f>
        <v>WSWT2221940</v>
      </c>
      <c r="AA171" s="8">
        <f>[2]หน้าผ้า!AQ180</f>
        <v>127579.27875</v>
      </c>
      <c r="AB171" s="8">
        <f>[2]หน้าผ้า!AR180</f>
        <v>37618</v>
      </c>
      <c r="AC171" s="8">
        <f>[2]หน้าผ้า!AS180</f>
        <v>89961.278749999998</v>
      </c>
      <c r="AD171" s="8">
        <f>[2]หน้าผ้า!AT180</f>
        <v>7900</v>
      </c>
      <c r="AE171" s="8">
        <f>[2]หน้าผ้า!AU180</f>
        <v>119679.27875</v>
      </c>
      <c r="AF171" s="8" t="str">
        <f>[2]หน้าผ้า!AI180</f>
        <v>ห้ามขาด-ผลิตเกิน 300</v>
      </c>
      <c r="AG171" s="1" t="str">
        <f>[3]หน้าผ้า!DC183</f>
        <v>รอแบบ</v>
      </c>
      <c r="AH171" s="1" t="str">
        <f>[2]หน้าผ้า!DL180</f>
        <v>P8</v>
      </c>
      <c r="AI171" s="1">
        <f>[2]หน้าผ้า!DM180</f>
        <v>4</v>
      </c>
      <c r="AJ171" s="3">
        <f>[2]หน้าผ้า!DN180</f>
        <v>45833</v>
      </c>
      <c r="AK171" s="3">
        <f>[2]หน้าผ้า!DQ180</f>
        <v>45829</v>
      </c>
      <c r="AL171" s="3">
        <f>[2]หน้าผ้า!DR180</f>
        <v>45823</v>
      </c>
      <c r="AM171" s="3">
        <f>[2]หน้าผ้า!DS180</f>
        <v>45830</v>
      </c>
      <c r="AN171" s="3">
        <f>[2]หน้าผ้า!DT180</f>
        <v>45831</v>
      </c>
      <c r="AO171" s="3">
        <f>[2]หน้าผ้า!DU180</f>
        <v>45831</v>
      </c>
      <c r="AP171" s="3">
        <f>[2]หน้าผ้า!DP180</f>
        <v>45828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WRWT21940/WRWT21940</v>
      </c>
      <c r="BD171" s="56">
        <f>[2]หน้าผ้า!CA180</f>
        <v>9612.0627635083347</v>
      </c>
    </row>
    <row r="172" spans="1:56" ht="27.7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>
        <f>[2]หน้าผ้า!F181</f>
        <v>0</v>
      </c>
      <c r="E172" s="9">
        <f>[2]หน้าผ้า!G181</f>
        <v>21.6</v>
      </c>
      <c r="F172" s="9">
        <f>[2]หน้าผ้า!H181</f>
        <v>34</v>
      </c>
      <c r="G172" s="9">
        <f>[2]หน้าผ้า!I181</f>
        <v>0</v>
      </c>
      <c r="H172" s="9">
        <f>[2]หน้าผ้า!J181</f>
        <v>0</v>
      </c>
      <c r="I172" s="9">
        <f>[2]หน้าผ้า!L181</f>
        <v>97</v>
      </c>
      <c r="J172" s="9" t="str">
        <f>[2]หน้าผ้า!M181</f>
        <v>±</v>
      </c>
      <c r="K172" s="9">
        <f>[2]หน้าผ้า!N181</f>
        <v>5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WSWT2221940</v>
      </c>
      <c r="AA172" s="8">
        <f>[2]หน้าผ้า!AQ181</f>
        <v>127579.27875</v>
      </c>
      <c r="AB172" s="8">
        <f>[2]หน้าผ้า!AR181</f>
        <v>37618</v>
      </c>
      <c r="AC172" s="8">
        <f>[2]หน้าผ้า!AS181</f>
        <v>89961.278749999998</v>
      </c>
      <c r="AD172" s="8">
        <f>[2]หน้าผ้า!AT181</f>
        <v>7900</v>
      </c>
      <c r="AE172" s="8">
        <f>[2]หน้าผ้า!AU181</f>
        <v>119679.27875</v>
      </c>
      <c r="AF172" s="8" t="str">
        <f>[2]หน้าผ้า!AI181</f>
        <v>ระบุในSD</v>
      </c>
      <c r="AG172" s="1" t="str">
        <f>[3]หน้าผ้า!DC184</f>
        <v>พร้อมส่ง</v>
      </c>
      <c r="AH172" s="1">
        <f>[2]หน้าผ้า!DL181</f>
        <v>0</v>
      </c>
      <c r="AI172" s="1" t="str">
        <f>[2]หน้าผ้า!DM181</f>
        <v>Lead time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WRWT21940/WRWT21940</v>
      </c>
      <c r="BD172" s="56">
        <f>[2]หน้าผ้า!CA181</f>
        <v>0</v>
      </c>
    </row>
    <row r="173" spans="1:56" ht="27.75" customHeight="1" x14ac:dyDescent="0.45">
      <c r="A173" s="3" t="str">
        <f>[2]หน้าผ้า!C182</f>
        <v>ประมาณการ</v>
      </c>
      <c r="B173" s="14" t="str">
        <f>[2]หน้าผ้า!B182</f>
        <v>ประมาณการ</v>
      </c>
      <c r="C173" s="9" t="str">
        <f>[2]หน้าผ้า!E182</f>
        <v>บจก.ซิเบลโก้(สบปราบ)</v>
      </c>
      <c r="D173" s="13" t="str">
        <f>[2]หน้าผ้า!F182</f>
        <v>รอแบบ</v>
      </c>
      <c r="E173" s="9">
        <f>[2]หน้าผ้า!G182</f>
        <v>23</v>
      </c>
      <c r="F173" s="9">
        <f>[2]หน้าผ้า!H182</f>
        <v>34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92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ไม่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>มัด100</v>
      </c>
      <c r="T173" s="12">
        <f>[2]หน้าผ้า!X182</f>
        <v>45838</v>
      </c>
      <c r="U173" s="11">
        <f>[2]หน้าผ้า!AA182</f>
        <v>10000</v>
      </c>
      <c r="V173" s="10">
        <f>[2]หน้าผ้า!AJ182</f>
        <v>0</v>
      </c>
      <c r="W173" s="10">
        <f>[2]หน้าผ้า!AL182</f>
        <v>10000</v>
      </c>
      <c r="X173" s="10">
        <f>[2]หน้าผ้า!AM182</f>
        <v>0</v>
      </c>
      <c r="Y173" s="10">
        <f>[2]หน้าผ้า!AN182</f>
        <v>10500</v>
      </c>
      <c r="Z173" s="9" t="str">
        <f>[2]หน้าผ้า!AO182</f>
        <v>WSWT2325650</v>
      </c>
      <c r="AA173" s="8">
        <f>[2]หน้าผ้า!AQ182</f>
        <v>9918.7000000000007</v>
      </c>
      <c r="AB173" s="8">
        <f>[2]หน้าผ้า!AR182</f>
        <v>9918.7000000000007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9918.7000000000007</v>
      </c>
      <c r="AF173" s="8">
        <f>[2]หน้าผ้า!AI182</f>
        <v>0</v>
      </c>
      <c r="AG173" s="1" t="str">
        <f>[3]หน้าผ้า!DC185</f>
        <v>รอแบบ</v>
      </c>
      <c r="AH173" s="1" t="str">
        <f>[2]หน้าผ้า!DL182</f>
        <v>P8</v>
      </c>
      <c r="AI173" s="1">
        <f>[2]หน้าผ้า!DM182</f>
        <v>4</v>
      </c>
      <c r="AJ173" s="3">
        <f>[2]หน้าผ้า!DN182</f>
        <v>45838</v>
      </c>
      <c r="AK173" s="3">
        <f>[2]หน้าผ้า!DQ182</f>
        <v>45834</v>
      </c>
      <c r="AL173" s="3">
        <f>[2]หน้าผ้า!DR182</f>
        <v>45828</v>
      </c>
      <c r="AM173" s="3">
        <f>[2]หน้าผ้า!DS182</f>
        <v>45835</v>
      </c>
      <c r="AN173" s="3">
        <f>[2]หน้าผ้า!DT182</f>
        <v>45836</v>
      </c>
      <c r="AO173" s="3">
        <f>[2]หน้าผ้า!DU182</f>
        <v>45836</v>
      </c>
      <c r="AP173" s="3">
        <f>[2]หน้าผ้า!DP182</f>
        <v>45833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งานเคลือบ+พิมพ์</v>
      </c>
      <c r="AX173" s="2" t="str">
        <f>[2]หน้าผ้า!ED182</f>
        <v>รอART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WRWT25650/WRWT25650</v>
      </c>
      <c r="BD173" s="56">
        <f>[2]หน้าผ้า!CA182</f>
        <v>0</v>
      </c>
    </row>
    <row r="174" spans="1:56" ht="27.75" customHeight="1" x14ac:dyDescent="0.45">
      <c r="A174" s="3" t="str">
        <f>[2]หน้าผ้า!C183</f>
        <v>ประมาณการ</v>
      </c>
      <c r="B174" s="14" t="str">
        <f>[2]หน้าผ้า!B183</f>
        <v>ประมาณการ</v>
      </c>
      <c r="C174" s="9" t="str">
        <f>[2]หน้าผ้า!E183</f>
        <v>บจก.ซิเบลโก้(สบปราบ)</v>
      </c>
      <c r="D174" s="13" t="str">
        <f>[2]หน้าผ้า!F183</f>
        <v>รอแบบ</v>
      </c>
      <c r="E174" s="9">
        <f>[2]หน้าผ้า!G183</f>
        <v>23</v>
      </c>
      <c r="F174" s="9">
        <f>[2]หน้าผ้า!H183</f>
        <v>34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68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ไม่</v>
      </c>
      <c r="M174" s="10">
        <f>[2]หน้าผ้า!T183</f>
        <v>24</v>
      </c>
      <c r="N174" s="9">
        <f>[2]หน้าผ้า!U183</f>
        <v>37</v>
      </c>
      <c r="O174" s="9">
        <f>[2]หน้าผ้า!V183</f>
        <v>50</v>
      </c>
      <c r="P174" s="10">
        <f>[2]หน้าผ้า!AB183</f>
        <v>273.84719423999996</v>
      </c>
      <c r="Q174" s="10">
        <f>[2]หน้าผ้า!AC183</f>
        <v>0</v>
      </c>
      <c r="R174" s="10">
        <f>[2]หน้าผ้า!AD183</f>
        <v>273.84719423999996</v>
      </c>
      <c r="S174" s="9" t="str">
        <f>[2]หน้าผ้า!Z183</f>
        <v>มัด100</v>
      </c>
      <c r="T174" s="12">
        <f>[2]หน้าผ้า!X183</f>
        <v>45838</v>
      </c>
      <c r="U174" s="11">
        <f>[2]หน้าผ้า!AA183</f>
        <v>10000</v>
      </c>
      <c r="V174" s="10">
        <f>[2]หน้าผ้า!AJ183</f>
        <v>0</v>
      </c>
      <c r="W174" s="10">
        <f>[2]หน้าผ้า!AL183</f>
        <v>10000</v>
      </c>
      <c r="X174" s="10">
        <f>[2]หน้าผ้า!AM183</f>
        <v>0</v>
      </c>
      <c r="Y174" s="10">
        <f>[2]หน้าผ้า!AN183</f>
        <v>10500</v>
      </c>
      <c r="Z174" s="9" t="str">
        <f>[2]หน้าผ้า!AO183</f>
        <v>WSWT2325650</v>
      </c>
      <c r="AA174" s="8">
        <f>[2]หน้าผ้า!AQ183</f>
        <v>9918.7000000000007</v>
      </c>
      <c r="AB174" s="8">
        <f>[2]หน้าผ้า!AR183</f>
        <v>9918.7000000000007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พร้อมส่ง</v>
      </c>
      <c r="AH174" s="1" t="str">
        <f>[2]หน้าผ้า!DL183</f>
        <v>P9</v>
      </c>
      <c r="AI174" s="1">
        <f>[2]หน้าผ้า!DM183</f>
        <v>3</v>
      </c>
      <c r="AJ174" s="3">
        <f>[2]หน้าผ้า!DN183</f>
        <v>45838</v>
      </c>
      <c r="AK174" s="3">
        <f>[2]หน้าผ้า!DQ183</f>
        <v>0</v>
      </c>
      <c r="AL174" s="3">
        <f>[2]หน้าผ้า!DR183</f>
        <v>45828</v>
      </c>
      <c r="AM174" s="3">
        <f>[2]หน้าผ้า!DS183</f>
        <v>45835</v>
      </c>
      <c r="AN174" s="3">
        <f>[2]หน้าผ้า!DT183</f>
        <v>45836</v>
      </c>
      <c r="AO174" s="3">
        <f>[2]หน้าผ้า!DU183</f>
        <v>45836</v>
      </c>
      <c r="AP174" s="3">
        <f>[2]หน้าผ้า!DP183</f>
        <v>45833</v>
      </c>
      <c r="AQ174" s="3">
        <f>[2]หน้าผ้า!DW183</f>
        <v>45837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>รอART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WRWT25650/WRWT25650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23</v>
      </c>
      <c r="F175" s="9">
        <f>[2]หน้าผ้า!H184</f>
        <v>34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68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WSWT2325650</v>
      </c>
      <c r="AA175" s="8">
        <f>[2]หน้าผ้า!AQ184</f>
        <v>19837.400000000001</v>
      </c>
      <c r="AB175" s="8">
        <f>[2]หน้าผ้า!AR184</f>
        <v>19837.400000000001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9918.7000000000007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WRWT25650/WRWT25650</v>
      </c>
      <c r="BD175" s="56">
        <f>[2]หน้าผ้า!CA184</f>
        <v>0</v>
      </c>
    </row>
    <row r="176" spans="1:56" ht="27.75" customHeight="1" x14ac:dyDescent="0.45">
      <c r="A176" s="3" t="str">
        <f>[2]หน้าผ้า!C185</f>
        <v>ประมาณการ</v>
      </c>
      <c r="B176" s="14" t="str">
        <f>[2]หน้าผ้า!B185</f>
        <v>ประมาณการ</v>
      </c>
      <c r="C176" s="9" t="str">
        <f>[2]หน้าผ้า!E185</f>
        <v>พันธุ์ข้าว</v>
      </c>
      <c r="D176" s="13" t="str">
        <f>[2]หน้าผ้า!F185</f>
        <v>รอแบบ</v>
      </c>
      <c r="E176" s="9">
        <f>[2]หน้าผ้า!G185</f>
        <v>23</v>
      </c>
      <c r="F176" s="9">
        <f>[2]หน้าผ้า!H185</f>
        <v>34</v>
      </c>
      <c r="G176" s="9" t="str">
        <f>[2]หน้าผ้า!I185</f>
        <v>ขาวแถบใส5</v>
      </c>
      <c r="H176" s="9">
        <f>[2]หน้าผ้า!J185</f>
        <v>0</v>
      </c>
      <c r="I176" s="9">
        <f>[2]หน้าผ้า!L185</f>
        <v>68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500กระสอบ</v>
      </c>
      <c r="T176" s="12">
        <f>[2]หน้าผ้า!X185</f>
        <v>45838</v>
      </c>
      <c r="U176" s="11">
        <f>[2]หน้าผ้า!AA185</f>
        <v>10000</v>
      </c>
      <c r="V176" s="10">
        <f>[2]หน้าผ้า!AJ185</f>
        <v>0</v>
      </c>
      <c r="W176" s="10">
        <f>[2]หน้าผ้า!AL185</f>
        <v>10000</v>
      </c>
      <c r="X176" s="10">
        <f>[2]หน้าผ้า!AM185</f>
        <v>0</v>
      </c>
      <c r="Y176" s="10">
        <f>[2]หน้าผ้า!AN185</f>
        <v>10500</v>
      </c>
      <c r="Z176" s="9" t="str">
        <f>[2]หน้าผ้า!AO185</f>
        <v>WSWTSCL052325650</v>
      </c>
      <c r="AA176" s="8">
        <f>[2]หน้าผ้า!AQ185</f>
        <v>9918.7000000000007</v>
      </c>
      <c r="AB176" s="8">
        <f>[2]หน้าผ้า!AR185</f>
        <v>0</v>
      </c>
      <c r="AC176" s="8">
        <f>[2]หน้าผ้า!AS185</f>
        <v>9918.7000000000007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45838</v>
      </c>
      <c r="AK176" s="3">
        <f>[2]หน้าผ้า!DQ185</f>
        <v>0</v>
      </c>
      <c r="AL176" s="3">
        <f>[2]หน้าผ้า!DR185</f>
        <v>45829</v>
      </c>
      <c r="AM176" s="3">
        <f>[2]หน้าผ้า!DS185</f>
        <v>45836</v>
      </c>
      <c r="AN176" s="3">
        <f>[2]หน้าผ้า!DT185</f>
        <v>45837</v>
      </c>
      <c r="AO176" s="3">
        <f>[2]หน้าผ้า!DU185</f>
        <v>45837</v>
      </c>
      <c r="AP176" s="3">
        <f>[2]หน้าผ้า!DP185</f>
        <v>45833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>รอART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WRWT25650/WRCL25680</v>
      </c>
      <c r="BD176" s="56">
        <f>[2]หน้าผ้า!CA185</f>
        <v>800.41704844444439</v>
      </c>
    </row>
    <row r="177" spans="1:56" ht="27.7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23</v>
      </c>
      <c r="F177" s="9">
        <f>[2]หน้าผ้า!H186</f>
        <v>34</v>
      </c>
      <c r="G177" s="9" t="str">
        <f>[2]หน้าผ้า!I186</f>
        <v>ขาวแถบใส5</v>
      </c>
      <c r="H177" s="9">
        <f>[2]หน้าผ้า!J186</f>
        <v>0</v>
      </c>
      <c r="I177" s="9">
        <f>[2]หน้าผ้า!L186</f>
        <v>68</v>
      </c>
      <c r="J177" s="9" t="str">
        <f>[2]หน้าผ้า!M186</f>
        <v>±</v>
      </c>
      <c r="K177" s="9">
        <f>[2]หน้าผ้า!N186</f>
        <v>5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WSWTSCL052325650</v>
      </c>
      <c r="AA177" s="8">
        <f>[2]หน้าผ้า!AQ186</f>
        <v>9918.7000000000007</v>
      </c>
      <c r="AB177" s="8">
        <f>[2]หน้าผ้า!AR186</f>
        <v>0</v>
      </c>
      <c r="AC177" s="8">
        <f>[2]หน้าผ้า!AS186</f>
        <v>9918.7000000000007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ผ้าขาว</v>
      </c>
      <c r="AH177" s="1">
        <f>[2]หน้าผ้า!DL186</f>
        <v>0</v>
      </c>
      <c r="AI177" s="1" t="str">
        <f>[2]หน้าผ้า!DM186</f>
        <v>Lead time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WRWT25650/WRCL25680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23</v>
      </c>
      <c r="F178" s="9">
        <f>[2]หน้าผ้า!H187</f>
        <v>34</v>
      </c>
      <c r="G178" s="9" t="str">
        <f>[2]หน้าผ้า!I187</f>
        <v>ขาวแถบใส2</v>
      </c>
      <c r="H178" s="9">
        <f>[2]หน้าผ้า!J187</f>
        <v>0</v>
      </c>
      <c r="I178" s="9">
        <f>[2]หน้าผ้า!L187</f>
        <v>68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WSWTFCL022325650</v>
      </c>
      <c r="AA178" s="8" t="e">
        <f>[2]หน้าผ้า!AQ187</f>
        <v>#REF!</v>
      </c>
      <c r="AB178" s="8" t="e">
        <f>[2]หน้าผ้า!AR187</f>
        <v>#REF!</v>
      </c>
      <c r="AC178" s="8" t="e">
        <f>[2]หน้าผ้า!AS187</f>
        <v>#REF!</v>
      </c>
      <c r="AD178" s="8" t="e">
        <f>[2]หน้าผ้า!AT187</f>
        <v>#REF!</v>
      </c>
      <c r="AE178" s="8" t="e">
        <f>[2]หน้าผ้า!AU187</f>
        <v>#REF!</v>
      </c>
      <c r="AF178" s="8" t="str">
        <f>[2]หน้าผ้า!AI187</f>
        <v>ระบุในSD</v>
      </c>
      <c r="AG178" s="1" t="str">
        <f>[3]หน้าผ้า!DC190</f>
        <v>พร้อมส่ง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WRWT25650/WRCL25680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23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85</v>
      </c>
      <c r="J179" s="9" t="str">
        <f>[2]หน้าผ้า!M188</f>
        <v>±</v>
      </c>
      <c r="K179" s="9">
        <f>[2]หน้าผ้า!N188</f>
        <v>5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WSWT2325800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 t="e">
        <f>[2]หน้าผ้า!AT188</f>
        <v>#REF!</v>
      </c>
      <c r="AE179" s="8" t="e">
        <f>[2]หน้าผ้า!AU188</f>
        <v>#REF!</v>
      </c>
      <c r="AF179" s="8" t="str">
        <f>[2]หน้าผ้า!AI188</f>
        <v>ระบุในSD</v>
      </c>
      <c r="AG179" s="1" t="str">
        <f>[3]หน้าผ้า!DC191</f>
        <v>พร้อมส่ง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WRWT25800/WRWT28750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45727</v>
      </c>
      <c r="B180" s="14" t="str">
        <f>[2]หน้าผ้า!B189</f>
        <v>MK68-000378</v>
      </c>
      <c r="C180" s="9" t="str">
        <f>[2]หน้าผ้า!E189</f>
        <v>บจก.แอมโก้เวท</v>
      </c>
      <c r="D180" s="13" t="str">
        <f>[2]หน้าผ้า!F189</f>
        <v>ไม่พิมพ์</v>
      </c>
      <c r="E180" s="9">
        <f>[2]หน้าผ้า!G189</f>
        <v>23</v>
      </c>
      <c r="F180" s="9">
        <f>[2]หน้าผ้า!H189</f>
        <v>40</v>
      </c>
      <c r="G180" s="9" t="str">
        <f>[2]หน้าผ้า!I189</f>
        <v>ขาว</v>
      </c>
      <c r="H180" s="9" t="str">
        <f>[2]หน้าผ้า!J189</f>
        <v>ใส</v>
      </c>
      <c r="I180" s="9">
        <f>[2]หน้าผ้า!L189</f>
        <v>125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จับจีบ4"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>500กระสอบแบน</v>
      </c>
      <c r="T180" s="12" t="str">
        <f>[2]หน้าผ้า!X189</f>
        <v>รอแจ้ง</v>
      </c>
      <c r="U180" s="11">
        <f>[2]หน้าผ้า!AA189</f>
        <v>1000</v>
      </c>
      <c r="V180" s="10">
        <f>[2]หน้าผ้า!AJ189</f>
        <v>0</v>
      </c>
      <c r="W180" s="10">
        <f>[2]หน้าผ้า!AL189</f>
        <v>1000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WSWT2321750</v>
      </c>
      <c r="AA180" s="8">
        <f>[2]หน้าผ้า!AQ189</f>
        <v>1159.5100000000002</v>
      </c>
      <c r="AB180" s="8">
        <f>[2]หน้าผ้า!AR189</f>
        <v>1159.5100000000002</v>
      </c>
      <c r="AC180" s="8">
        <f>[2]หน้าผ้า!AS189</f>
        <v>0</v>
      </c>
      <c r="AD180" s="8">
        <f>[2]หน้าผ้า!AT189</f>
        <v>1159.5100000000002</v>
      </c>
      <c r="AE180" s="8">
        <f>[2]หน้าผ้า!AU189</f>
        <v>0</v>
      </c>
      <c r="AF180" s="8" t="str">
        <f>[2]หน้าผ้า!AI189</f>
        <v>ห้ามขาด-เกินได้5%</v>
      </c>
      <c r="AG180" s="1" t="str">
        <f>[3]หน้าผ้า!DC192</f>
        <v>พร้อมส่ง</v>
      </c>
      <c r="AH180" s="1" t="str">
        <f>[2]หน้าผ้า!DL189</f>
        <v>P11</v>
      </c>
      <c r="AI180" s="1">
        <f>[2]หน้าผ้า!DM189</f>
        <v>2</v>
      </c>
      <c r="AJ180" s="3" t="str">
        <f>[2]หน้าผ้า!DN189</f>
        <v>รอแจ้ง</v>
      </c>
      <c r="AK180" s="3" t="e">
        <f>[2]หน้าผ้า!DQ189</f>
        <v>#VALUE!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 t="e">
        <f>[2]หน้าผ้า!DU189</f>
        <v>#VALUE!</v>
      </c>
      <c r="AP180" s="3" t="e">
        <f>[2]หน้าผ้า!DP189</f>
        <v>#VALUE!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งานเคลือบ+ตัด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WRWT21750/WRWT21750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>
        <f>[2]หน้าผ้า!F190</f>
        <v>0</v>
      </c>
      <c r="E181" s="9">
        <f>[2]หน้าผ้า!G190</f>
        <v>23</v>
      </c>
      <c r="F181" s="9">
        <f>[2]หน้าผ้า!H190</f>
        <v>37</v>
      </c>
      <c r="G181" s="9">
        <f>[2]หน้าผ้า!I190</f>
        <v>0</v>
      </c>
      <c r="H181" s="9">
        <f>[2]หน้าผ้า!J190</f>
        <v>0</v>
      </c>
      <c r="I181" s="9">
        <f>[2]หน้าผ้า!L190</f>
        <v>85</v>
      </c>
      <c r="J181" s="9" t="str">
        <f>[2]หน้าผ้า!M190</f>
        <v>±</v>
      </c>
      <c r="K181" s="9">
        <f>[2]หน้าผ้า!N190</f>
        <v>5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WSWT2321750</v>
      </c>
      <c r="AA181" s="8">
        <f>[2]หน้าผ้า!AQ190</f>
        <v>1159.5100000000002</v>
      </c>
      <c r="AB181" s="8">
        <f>[2]หน้าผ้า!AR190</f>
        <v>1159.5100000000002</v>
      </c>
      <c r="AC181" s="8">
        <f>[2]หน้าผ้า!AS190</f>
        <v>0</v>
      </c>
      <c r="AD181" s="8">
        <f>[2]หน้าผ้า!AT190</f>
        <v>1159.5100000000002</v>
      </c>
      <c r="AE181" s="8">
        <f>[2]หน้าผ้า!AU190</f>
        <v>0</v>
      </c>
      <c r="AF181" s="8" t="str">
        <f>[2]หน้าผ้า!AI190</f>
        <v>ระบุในSD</v>
      </c>
      <c r="AG181" s="1" t="str">
        <f>[3]หน้าผ้า!DC193</f>
        <v>พร้อมส่ง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WRWT230750/WRWT21750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23</v>
      </c>
      <c r="F182" s="9">
        <f>[2]หน้าผ้า!H191</f>
        <v>34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68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WSWTSCL1R042325650</v>
      </c>
      <c r="AA182" s="8" t="e">
        <f>[2]หน้าผ้า!AQ191</f>
        <v>#REF!</v>
      </c>
      <c r="AB182" s="8" t="e">
        <f>[2]หน้าผ้า!AR191</f>
        <v>#REF!</v>
      </c>
      <c r="AC182" s="8" t="e">
        <f>[2]หน้าผ้า!AS191</f>
        <v>#REF!</v>
      </c>
      <c r="AD182" s="8" t="e">
        <f>[2]หน้าผ้า!AT191</f>
        <v>#REF!</v>
      </c>
      <c r="AE182" s="8" t="e">
        <f>[2]หน้าผ้า!AU191</f>
        <v>#REF!</v>
      </c>
      <c r="AF182" s="8" t="str">
        <f>[2]หน้าผ้า!AI191</f>
        <v>ระบุในSD</v>
      </c>
      <c r="AG182" s="1" t="str">
        <f>[3]หน้าผ้า!DC194</f>
        <v>พร้อมส่ง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WRWT230650/WRWT25680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23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90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WSWT2325800SM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WRWT21800/WRWT21800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23</v>
      </c>
      <c r="F184" s="9">
        <f>[2]หน้าผ้า!H193</f>
        <v>37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120</v>
      </c>
      <c r="J184" s="9" t="str">
        <f>[2]หน้าผ้า!M193</f>
        <v>+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WSWT23211125120SMFX</v>
      </c>
      <c r="AA184" s="8" t="e">
        <f>[2]หน้าผ้า!AQ193</f>
        <v>#REF!</v>
      </c>
      <c r="AB184" s="8" t="e">
        <f>[2]หน้าผ้า!AR193</f>
        <v>#REF!</v>
      </c>
      <c r="AC184" s="8" t="e">
        <f>[2]หน้าผ้า!AS193</f>
        <v>#REF!</v>
      </c>
      <c r="AD184" s="8" t="e">
        <f>[2]หน้าผ้า!AT193</f>
        <v>#REF!</v>
      </c>
      <c r="AE184" s="8" t="e">
        <f>[2]หน้าผ้า!AU193</f>
        <v>#REF!</v>
      </c>
      <c r="AF184" s="8" t="str">
        <f>[2]หน้าผ้า!AI193</f>
        <v>ระบุในSD</v>
      </c>
      <c r="AG184" s="1" t="str">
        <f>[3]หน้าผ้า!DC196</f>
        <v>ยังไม่ได้พิมพ์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WROP2301125/WRBR21940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 t="str">
        <f>[2]หน้าผ้า!F194</f>
        <v xml:space="preserve">  </v>
      </c>
      <c r="E185" s="9">
        <f>[2]หน้าผ้า!G194</f>
        <v>23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130</v>
      </c>
      <c r="J185" s="9" t="str">
        <f>[2]หน้าผ้า!M194</f>
        <v>+</v>
      </c>
      <c r="K185" s="9">
        <f>[2]หน้าผ้า!N194</f>
        <v>3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WSWT23211125130</v>
      </c>
      <c r="AA185" s="8" t="e">
        <f>[2]หน้าผ้า!AQ194</f>
        <v>#REF!</v>
      </c>
      <c r="AB185" s="8" t="e">
        <f>[2]หน้าผ้า!AR194</f>
        <v>#REF!</v>
      </c>
      <c r="AC185" s="8" t="e">
        <f>[2]หน้าผ้า!AS194</f>
        <v>#REF!</v>
      </c>
      <c r="AD185" s="8" t="e">
        <f>[2]หน้าผ้า!AT194</f>
        <v>#REF!</v>
      </c>
      <c r="AE185" s="8" t="e">
        <f>[2]หน้าผ้า!AU194</f>
        <v>#REF!</v>
      </c>
      <c r="AF185" s="8" t="str">
        <f>[2]หน้าผ้า!AI194</f>
        <v>ระบุในSD</v>
      </c>
      <c r="AG185" s="1" t="str">
        <f>[3]หน้าผ้า!DC197</f>
        <v>ยังไม่ได้พิมพ์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WRWT211125/WRWT251080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23</v>
      </c>
      <c r="F186" s="9">
        <f>[2]หน้าผ้า!H195</f>
        <v>37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120</v>
      </c>
      <c r="J186" s="9" t="str">
        <f>[2]หน้าผ้า!M195</f>
        <v>±</v>
      </c>
      <c r="K186" s="9">
        <f>[2]หน้าผ้า!N195</f>
        <v>3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WSWT2321112512051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ยังไม่ได้พิมพ์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WRWT211125/WRWT21900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45601</v>
      </c>
      <c r="B187" s="14" t="str">
        <f>[2]หน้าผ้า!B196</f>
        <v>MK67-001490</v>
      </c>
      <c r="C187" s="9" t="str">
        <f>[2]หน้าผ้า!E196</f>
        <v>บจก.น้ำตาลทิพย์สุโขทัย</v>
      </c>
      <c r="D187" s="13" t="str">
        <f>[2]หน้าผ้า!F196</f>
        <v>Blue for Refine sugar</v>
      </c>
      <c r="E187" s="9">
        <f>[2]หน้าผ้า!G196</f>
        <v>23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130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บิด</v>
      </c>
      <c r="M187" s="10">
        <f>[2]หน้าผ้า!T196</f>
        <v>24</v>
      </c>
      <c r="N187" s="9">
        <f>[2]หน้าผ้า!U196</f>
        <v>40</v>
      </c>
      <c r="O187" s="9">
        <f>[2]หน้าผ้า!V196</f>
        <v>55</v>
      </c>
      <c r="P187" s="10">
        <f>[2]หน้าผ้า!AB196</f>
        <v>1758.5430635519999</v>
      </c>
      <c r="Q187" s="10">
        <f>[2]หน้าผ้า!AC196</f>
        <v>0</v>
      </c>
      <c r="R187" s="10">
        <f>[2]หน้าผ้า!AD196</f>
        <v>1758.5430635519999</v>
      </c>
      <c r="S187" s="9" t="str">
        <f>[2]หน้าผ้า!Z196</f>
        <v>400แบน</v>
      </c>
      <c r="T187" s="12">
        <f>[2]หน้าผ้า!X196</f>
        <v>45831</v>
      </c>
      <c r="U187" s="11">
        <f>[2]หน้าผ้า!AA196</f>
        <v>54000</v>
      </c>
      <c r="V187" s="10">
        <f>[2]หน้าผ้า!AJ196</f>
        <v>0</v>
      </c>
      <c r="W187" s="10">
        <f>[2]หน้าผ้า!AL196</f>
        <v>54000</v>
      </c>
      <c r="X187" s="10">
        <f>[2]หน้าผ้า!AM196</f>
        <v>0</v>
      </c>
      <c r="Y187" s="10">
        <f>[2]หน้าผ้า!AN196</f>
        <v>56700</v>
      </c>
      <c r="Z187" s="9" t="str">
        <f>[2]หน้าผ้า!AO196</f>
        <v>WSWT2321112512551</v>
      </c>
      <c r="AA187" s="8">
        <f>[2]หน้าผ้า!AQ196</f>
        <v>58087.26</v>
      </c>
      <c r="AB187" s="8">
        <f>[2]หน้าผ้า!AR196</f>
        <v>58087.26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P9</v>
      </c>
      <c r="AI187" s="1">
        <f>[2]หน้าผ้า!DM196</f>
        <v>3</v>
      </c>
      <c r="AJ187" s="3">
        <f>[2]หน้าผ้า!DN196</f>
        <v>45831</v>
      </c>
      <c r="AK187" s="3">
        <f>[2]หน้าผ้า!DQ196</f>
        <v>0</v>
      </c>
      <c r="AL187" s="3">
        <f>[2]หน้าผ้า!DR196</f>
        <v>45821</v>
      </c>
      <c r="AM187" s="3">
        <f>[2]หน้าผ้า!DS196</f>
        <v>45828</v>
      </c>
      <c r="AN187" s="3">
        <f>[2]หน้าผ้า!DT196</f>
        <v>45829</v>
      </c>
      <c r="AO187" s="3">
        <f>[2]หน้าผ้า!DU196</f>
        <v>45829</v>
      </c>
      <c r="AP187" s="3">
        <f>[2]หน้าผ้า!DP196</f>
        <v>45826</v>
      </c>
      <c r="AQ187" s="3">
        <f>[2]หน้าผ้า!DW196</f>
        <v>45830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WRWT211125/WRWT251030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45601</v>
      </c>
      <c r="B188" s="14" t="str">
        <f>[2]หน้าผ้า!B197</f>
        <v>MK67-001490</v>
      </c>
      <c r="C188" s="9" t="str">
        <f>[2]หน้าผ้า!E197</f>
        <v>บจก.น้ำตาลทิพย์สุโขทัย</v>
      </c>
      <c r="D188" s="13" t="str">
        <f>[2]หน้าผ้า!F197</f>
        <v>Blue for Refine sugar</v>
      </c>
      <c r="E188" s="9">
        <f>[2]หน้าผ้า!G197</f>
        <v>23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130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บิด</v>
      </c>
      <c r="M188" s="10">
        <f>[2]หน้าผ้า!T197</f>
        <v>24</v>
      </c>
      <c r="N188" s="9">
        <f>[2]หน้าผ้า!U197</f>
        <v>40</v>
      </c>
      <c r="O188" s="9">
        <f>[2]หน้าผ้า!V197</f>
        <v>55</v>
      </c>
      <c r="P188" s="10">
        <f>[2]หน้าผ้า!AB197</f>
        <v>1758.5430635519999</v>
      </c>
      <c r="Q188" s="10">
        <f>[2]หน้าผ้า!AC197</f>
        <v>0</v>
      </c>
      <c r="R188" s="10">
        <f>[2]หน้าผ้า!AD197</f>
        <v>1758.5430635519999</v>
      </c>
      <c r="S188" s="9" t="str">
        <f>[2]หน้าผ้า!Z197</f>
        <v>400แบน</v>
      </c>
      <c r="T188" s="12">
        <f>[2]หน้าผ้า!X197</f>
        <v>45835</v>
      </c>
      <c r="U188" s="11">
        <f>[2]หน้าผ้า!AA197</f>
        <v>54000</v>
      </c>
      <c r="V188" s="10">
        <f>[2]หน้าผ้า!AJ197</f>
        <v>0</v>
      </c>
      <c r="W188" s="10">
        <f>[2]หน้าผ้า!AL197</f>
        <v>54000</v>
      </c>
      <c r="X188" s="10">
        <f>[2]หน้าผ้า!AM197</f>
        <v>0</v>
      </c>
      <c r="Y188" s="10">
        <f>[2]หน้าผ้า!AN197</f>
        <v>56700</v>
      </c>
      <c r="Z188" s="9" t="str">
        <f>[2]หน้าผ้า!AO197</f>
        <v>WSWT2321112512551</v>
      </c>
      <c r="AA188" s="8">
        <f>[2]หน้าผ้า!AQ197</f>
        <v>58087.26</v>
      </c>
      <c r="AB188" s="8">
        <f>[2]หน้าผ้า!AR197</f>
        <v>4678</v>
      </c>
      <c r="AC188" s="8">
        <f>[2]หน้าผ้า!AS197</f>
        <v>53409.26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P9</v>
      </c>
      <c r="AI188" s="1">
        <f>[2]หน้าผ้า!DM197</f>
        <v>3</v>
      </c>
      <c r="AJ188" s="3">
        <f>[2]หน้าผ้า!DN197</f>
        <v>45835</v>
      </c>
      <c r="AK188" s="3">
        <f>[2]หน้าผ้า!DQ197</f>
        <v>0</v>
      </c>
      <c r="AL188" s="3">
        <f>[2]หน้าผ้า!DR197</f>
        <v>45825</v>
      </c>
      <c r="AM188" s="3">
        <f>[2]หน้าผ้า!DS197</f>
        <v>45832</v>
      </c>
      <c r="AN188" s="3">
        <f>[2]หน้าผ้า!DT197</f>
        <v>45833</v>
      </c>
      <c r="AO188" s="3">
        <f>[2]หน้าผ้า!DU197</f>
        <v>45833</v>
      </c>
      <c r="AP188" s="3">
        <f>[2]หน้าผ้า!DP197</f>
        <v>45830</v>
      </c>
      <c r="AQ188" s="3">
        <f>[2]หน้าผ้า!DW197</f>
        <v>45834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WRWT211125/WRWT251030</v>
      </c>
      <c r="BD188" s="56">
        <f>[2]หน้าผ้า!CA197</f>
        <v>6841.9190727722225</v>
      </c>
    </row>
    <row r="189" spans="1:56" ht="27.75" customHeight="1" x14ac:dyDescent="0.45">
      <c r="A189" s="3">
        <f>[2]หน้าผ้า!C198</f>
        <v>45601</v>
      </c>
      <c r="B189" s="14" t="str">
        <f>[2]หน้าผ้า!B198</f>
        <v>MK67-001490</v>
      </c>
      <c r="C189" s="9" t="str">
        <f>[2]หน้าผ้า!E198</f>
        <v>บจก.น้ำตาลทิพย์สุโขทัย</v>
      </c>
      <c r="D189" s="13" t="str">
        <f>[2]หน้าผ้า!F198</f>
        <v>Blue for Refine sugar</v>
      </c>
      <c r="E189" s="9">
        <f>[2]หน้าผ้า!G198</f>
        <v>23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130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>
        <f>[2]หน้าผ้า!T198</f>
        <v>24</v>
      </c>
      <c r="N189" s="9">
        <f>[2]หน้าผ้า!U198</f>
        <v>40</v>
      </c>
      <c r="O189" s="9">
        <f>[2]หน้าผ้า!V198</f>
        <v>55</v>
      </c>
      <c r="P189" s="10">
        <f>[2]หน้าผ้า!AB198</f>
        <v>1396.4134549094399</v>
      </c>
      <c r="Q189" s="10">
        <f>[2]หน้าผ้า!AC198</f>
        <v>0</v>
      </c>
      <c r="R189" s="10">
        <f>[2]หน้าผ้า!AD198</f>
        <v>1396.4134549094399</v>
      </c>
      <c r="S189" s="9" t="str">
        <f>[2]หน้าผ้า!Z198</f>
        <v>400แบน</v>
      </c>
      <c r="T189" s="12">
        <f>[2]หน้าผ้า!X198</f>
        <v>45842</v>
      </c>
      <c r="U189" s="11">
        <f>[2]หน้าผ้า!AA198</f>
        <v>50800</v>
      </c>
      <c r="V189" s="10">
        <f>[2]หน้าผ้า!AJ198</f>
        <v>7920</v>
      </c>
      <c r="W189" s="10">
        <f>[2]หน้าผ้า!AL198</f>
        <v>42880</v>
      </c>
      <c r="X189" s="10">
        <f>[2]หน้าผ้า!AM198</f>
        <v>0</v>
      </c>
      <c r="Y189" s="10">
        <f>[2]หน้าผ้า!AN198</f>
        <v>45024</v>
      </c>
      <c r="Z189" s="9" t="str">
        <f>[2]หน้าผ้า!AO198</f>
        <v>WSWT2321112512551</v>
      </c>
      <c r="AA189" s="8">
        <f>[2]หน้าผ้า!AQ198</f>
        <v>46125.587200000002</v>
      </c>
      <c r="AB189" s="8">
        <f>[2]หน้าผ้า!AR198</f>
        <v>0</v>
      </c>
      <c r="AC189" s="8">
        <f>[2]หน้าผ้า!AS198</f>
        <v>46125.587200000002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P9</v>
      </c>
      <c r="AI189" s="1">
        <f>[2]หน้าผ้า!DM198</f>
        <v>3</v>
      </c>
      <c r="AJ189" s="3">
        <f>[2]หน้าผ้า!DN198</f>
        <v>45842</v>
      </c>
      <c r="AK189" s="3">
        <f>[2]หน้าผ้า!DQ198</f>
        <v>0</v>
      </c>
      <c r="AL189" s="3">
        <f>[2]หน้าผ้า!DR198</f>
        <v>45832</v>
      </c>
      <c r="AM189" s="3">
        <f>[2]หน้าผ้า!DS198</f>
        <v>45839</v>
      </c>
      <c r="AN189" s="3">
        <f>[2]หน้าผ้า!DT198</f>
        <v>45840</v>
      </c>
      <c r="AO189" s="3">
        <f>[2]หน้าผ้า!DU198</f>
        <v>45840</v>
      </c>
      <c r="AP189" s="3">
        <f>[2]หน้าผ้า!DP198</f>
        <v>45837</v>
      </c>
      <c r="AQ189" s="3">
        <f>[2]หน้าผ้า!DW198</f>
        <v>45841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WRWT211125/WRWT251030</v>
      </c>
      <c r="BD189" s="56">
        <f>[2]หน้าผ้า!CA198</f>
        <v>5908.8542849404448</v>
      </c>
    </row>
    <row r="190" spans="1:56" ht="27.75" customHeight="1" x14ac:dyDescent="0.45">
      <c r="A190" s="3">
        <f>[2]หน้าผ้า!C199</f>
        <v>45601</v>
      </c>
      <c r="B190" s="14" t="str">
        <f>[2]หน้าผ้า!B199</f>
        <v>MK67-001490</v>
      </c>
      <c r="C190" s="9" t="str">
        <f>[2]หน้าผ้า!E199</f>
        <v>บจก.น้ำตาลทิพย์สุโขทัย</v>
      </c>
      <c r="D190" s="13" t="str">
        <f>[2]หน้าผ้า!F199</f>
        <v>Green for white sugar</v>
      </c>
      <c r="E190" s="9">
        <f>[2]หน้าผ้า!G199</f>
        <v>23</v>
      </c>
      <c r="F190" s="9">
        <f>[2]หน้าผ้า!H199</f>
        <v>37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130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บิด</v>
      </c>
      <c r="M190" s="10">
        <f>[2]หน้าผ้า!T199</f>
        <v>24</v>
      </c>
      <c r="N190" s="9">
        <f>[2]หน้าผ้า!U199</f>
        <v>40</v>
      </c>
      <c r="O190" s="9">
        <f>[2]หน้าผ้า!V199</f>
        <v>55</v>
      </c>
      <c r="P190" s="10">
        <f>[2]หน้าผ้า!AB199</f>
        <v>4070.701536</v>
      </c>
      <c r="Q190" s="10">
        <f>[2]หน้าผ้า!AC199</f>
        <v>264</v>
      </c>
      <c r="R190" s="10">
        <f>[2]หน้าผ้า!AD199</f>
        <v>3806.701536</v>
      </c>
      <c r="S190" s="9" t="str">
        <f>[2]หน้าผ้า!Z199</f>
        <v>400แบน</v>
      </c>
      <c r="T190" s="12" t="str">
        <f>[2]หน้าผ้า!X199</f>
        <v>รอแจ้ง</v>
      </c>
      <c r="U190" s="11">
        <f>[2]หน้าผ้า!AA199</f>
        <v>200000</v>
      </c>
      <c r="V190" s="10">
        <f>[2]หน้าผ้า!AJ199</f>
        <v>75000</v>
      </c>
      <c r="W190" s="10">
        <f>[2]หน้าผ้า!AL199</f>
        <v>125000</v>
      </c>
      <c r="X190" s="10">
        <f>[2]หน้าผ้า!AM199</f>
        <v>0</v>
      </c>
      <c r="Y190" s="10">
        <f>[2]หน้าผ้า!AN199</f>
        <v>131250</v>
      </c>
      <c r="Z190" s="9" t="str">
        <f>[2]หน้าผ้า!AO199</f>
        <v>WSWT2321112512551VN</v>
      </c>
      <c r="AA190" s="8">
        <f>[2]หน้าผ้า!AQ199</f>
        <v>134461.25</v>
      </c>
      <c r="AB190" s="8">
        <f>[2]หน้าผ้า!AR199</f>
        <v>0</v>
      </c>
      <c r="AC190" s="8">
        <f>[2]หน้าผ้า!AS199</f>
        <v>134461.25</v>
      </c>
      <c r="AD190" s="8">
        <f>[2]หน้าผ้า!AT199</f>
        <v>0</v>
      </c>
      <c r="AE190" s="8">
        <f>[2]หน้าผ้า!AU199</f>
        <v>0</v>
      </c>
      <c r="AF190" s="8" t="str">
        <f>[2]หน้าผ้า!AI199</f>
        <v>สั่งเวียดนามสำเร็จรูปทั้งหมด</v>
      </c>
      <c r="AG190" s="1" t="str">
        <f>[3]หน้าผ้า!DC202</f>
        <v>ยังไม่ได้พิมพ์</v>
      </c>
      <c r="AH190" s="1" t="str">
        <f>[2]หน้าผ้า!DL199</f>
        <v>P9</v>
      </c>
      <c r="AI190" s="1">
        <f>[2]หน้าผ้า!DM199</f>
        <v>3</v>
      </c>
      <c r="AJ190" s="3" t="str">
        <f>[2]หน้าผ้า!DN199</f>
        <v>รอแจ้ง</v>
      </c>
      <c r="AK190" s="3">
        <f>[2]หน้าผ้า!DQ199</f>
        <v>0</v>
      </c>
      <c r="AL190" s="3" t="e">
        <f>[2]หน้าผ้า!DR199</f>
        <v>#VALUE!</v>
      </c>
      <c r="AM190" s="3" t="e">
        <f>[2]หน้าผ้า!DS199</f>
        <v>#VALUE!</v>
      </c>
      <c r="AN190" s="3" t="e">
        <f>[2]หน้าผ้า!DT199</f>
        <v>#VALUE!</v>
      </c>
      <c r="AO190" s="3" t="e">
        <f>[2]หน้าผ้า!DU199</f>
        <v>#VALUE!</v>
      </c>
      <c r="AP190" s="3" t="e">
        <f>[2]หน้าผ้า!DP199</f>
        <v>#VALUE!</v>
      </c>
      <c r="AQ190" s="3" t="e">
        <f>[2]หน้าผ้า!DW199</f>
        <v>#VALUE!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 t="str">
        <f>[2]หน้าผ้า!AG199</f>
        <v>FG   20/6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WRWT211125/WRWT251030</v>
      </c>
      <c r="BD190" s="56">
        <f>[2]หน้าผ้า!CA199</f>
        <v>17224.971679513892</v>
      </c>
    </row>
    <row r="191" spans="1:56" ht="27.75" customHeight="1" x14ac:dyDescent="0.45">
      <c r="A191" s="3">
        <f>[2]หน้าผ้า!C200</f>
        <v>45601</v>
      </c>
      <c r="B191" s="14" t="str">
        <f>[2]หน้าผ้า!B200</f>
        <v>MK67-001490</v>
      </c>
      <c r="C191" s="9" t="str">
        <f>[2]หน้าผ้า!E200</f>
        <v>บจก.น้ำตาลทิพย์สุโขทัย</v>
      </c>
      <c r="D191" s="13" t="str">
        <f>[2]หน้าผ้า!F200</f>
        <v>Green for white sugar</v>
      </c>
      <c r="E191" s="9">
        <f>[2]หน้าผ้า!G200</f>
        <v>23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130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>
        <f>[2]หน้าผ้า!T200</f>
        <v>24</v>
      </c>
      <c r="N191" s="9">
        <f>[2]หน้าผ้า!U200</f>
        <v>40</v>
      </c>
      <c r="O191" s="9">
        <f>[2]หน้าผ้า!V200</f>
        <v>55</v>
      </c>
      <c r="P191" s="10">
        <f>[2]หน้าผ้า!AB200</f>
        <v>6513.1224575999995</v>
      </c>
      <c r="Q191" s="10">
        <f>[2]หน้าผ้า!AC200</f>
        <v>0</v>
      </c>
      <c r="R191" s="10">
        <f>[2]หน้าผ้า!AD200</f>
        <v>6513.1224575999995</v>
      </c>
      <c r="S191" s="9" t="str">
        <f>[2]หน้าผ้า!Z200</f>
        <v>400แบน</v>
      </c>
      <c r="T191" s="12" t="str">
        <f>[2]หน้าผ้า!X200</f>
        <v>รอแจ้ง</v>
      </c>
      <c r="U191" s="11">
        <f>[2]หน้าผ้า!AA200</f>
        <v>200000</v>
      </c>
      <c r="V191" s="10">
        <f>[2]หน้าผ้า!AJ200</f>
        <v>0</v>
      </c>
      <c r="W191" s="10">
        <f>[2]หน้าผ้า!AL200</f>
        <v>200000</v>
      </c>
      <c r="X191" s="10">
        <f>[2]หน้าผ้า!AM200</f>
        <v>0</v>
      </c>
      <c r="Y191" s="10">
        <f>[2]หน้าผ้า!AN200</f>
        <v>210000</v>
      </c>
      <c r="Z191" s="9" t="str">
        <f>[2]หน้าผ้า!AO200</f>
        <v>WSWT2321112512551VN</v>
      </c>
      <c r="AA191" s="8">
        <f>[2]หน้าผ้า!AQ200</f>
        <v>215138.00000000003</v>
      </c>
      <c r="AB191" s="8">
        <f>[2]หน้าผ้า!AR200</f>
        <v>0</v>
      </c>
      <c r="AC191" s="8">
        <f>[2]หน้าผ้า!AS200</f>
        <v>215138.00000000003</v>
      </c>
      <c r="AD191" s="8">
        <f>[2]หน้าผ้า!AT200</f>
        <v>0</v>
      </c>
      <c r="AE191" s="8">
        <f>[2]หน้าผ้า!AU200</f>
        <v>0</v>
      </c>
      <c r="AF191" s="8" t="str">
        <f>[2]หน้าผ้า!AI200</f>
        <v>สั่งเวียดนามสำเร็จรูปทั้งหมด</v>
      </c>
      <c r="AG191" s="1" t="str">
        <f>[3]หน้าผ้า!DC203</f>
        <v>พร้อมส่ง</v>
      </c>
      <c r="AH191" s="1" t="str">
        <f>[2]หน้าผ้า!DL200</f>
        <v>P9</v>
      </c>
      <c r="AI191" s="1">
        <f>[2]หน้าผ้า!DM200</f>
        <v>3</v>
      </c>
      <c r="AJ191" s="3" t="str">
        <f>[2]หน้าผ้า!DN200</f>
        <v>รอแจ้ง</v>
      </c>
      <c r="AK191" s="3">
        <f>[2]หน้าผ้า!DQ200</f>
        <v>0</v>
      </c>
      <c r="AL191" s="3" t="e">
        <f>[2]หน้าผ้า!DR200</f>
        <v>#VALUE!</v>
      </c>
      <c r="AM191" s="3" t="e">
        <f>[2]หน้าผ้า!DS200</f>
        <v>#VALUE!</v>
      </c>
      <c r="AN191" s="3" t="e">
        <f>[2]หน้าผ้า!DT200</f>
        <v>#VALUE!</v>
      </c>
      <c r="AO191" s="3" t="e">
        <f>[2]หน้าผ้า!DU200</f>
        <v>#VALUE!</v>
      </c>
      <c r="AP191" s="3" t="e">
        <f>[2]หน้าผ้า!DP200</f>
        <v>#VALUE!</v>
      </c>
      <c r="AQ191" s="3" t="e">
        <f>[2]หน้าผ้า!DW200</f>
        <v>#VALUE!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45858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WRWT211125/WRWT251030</v>
      </c>
      <c r="BD191" s="56">
        <f>[2]หน้าผ้า!CA200</f>
        <v>27559.954687222227</v>
      </c>
    </row>
    <row r="192" spans="1:56" ht="27.75" customHeight="1" x14ac:dyDescent="0.45">
      <c r="A192" s="3">
        <f>[2]หน้าผ้า!C201</f>
        <v>45601</v>
      </c>
      <c r="B192" s="14" t="str">
        <f>[2]หน้าผ้า!B201</f>
        <v>MK67-001490</v>
      </c>
      <c r="C192" s="9" t="str">
        <f>[2]หน้าผ้า!E201</f>
        <v>บจก.น้ำตาลทิพย์สุโขทัย</v>
      </c>
      <c r="D192" s="13" t="str">
        <f>[2]หน้าผ้า!F201</f>
        <v>Green for white sugar</v>
      </c>
      <c r="E192" s="9">
        <f>[2]หน้าผ้า!G201</f>
        <v>23</v>
      </c>
      <c r="F192" s="9">
        <f>[2]หน้าผ้า!H201</f>
        <v>37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130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บิด</v>
      </c>
      <c r="M192" s="10">
        <f>[2]หน้าผ้า!T201</f>
        <v>24</v>
      </c>
      <c r="N192" s="9">
        <f>[2]หน้าผ้า!U201</f>
        <v>40</v>
      </c>
      <c r="O192" s="9">
        <f>[2]หน้าผ้า!V201</f>
        <v>55</v>
      </c>
      <c r="P192" s="10">
        <f>[2]หน้าผ้า!AB201</f>
        <v>6513.1224575999995</v>
      </c>
      <c r="Q192" s="10">
        <f>[2]หน้าผ้า!AC201</f>
        <v>0</v>
      </c>
      <c r="R192" s="10">
        <f>[2]หน้าผ้า!AD201</f>
        <v>6513.1224575999995</v>
      </c>
      <c r="S192" s="9" t="str">
        <f>[2]หน้าผ้า!Z201</f>
        <v>400แบน</v>
      </c>
      <c r="T192" s="12" t="str">
        <f>[2]หน้าผ้า!X201</f>
        <v>รอแจ้ง</v>
      </c>
      <c r="U192" s="11">
        <f>[2]หน้าผ้า!AA201</f>
        <v>200000</v>
      </c>
      <c r="V192" s="10">
        <f>[2]หน้าผ้า!AJ201</f>
        <v>0</v>
      </c>
      <c r="W192" s="10">
        <f>[2]หน้าผ้า!AL201</f>
        <v>200000</v>
      </c>
      <c r="X192" s="10">
        <f>[2]หน้าผ้า!AM201</f>
        <v>0</v>
      </c>
      <c r="Y192" s="10">
        <f>[2]หน้าผ้า!AN201</f>
        <v>210000</v>
      </c>
      <c r="Z192" s="9" t="str">
        <f>[2]หน้าผ้า!AO201</f>
        <v>WSWT2321112512551</v>
      </c>
      <c r="AA192" s="8">
        <f>[2]หน้าผ้า!AQ201</f>
        <v>215138.00000000003</v>
      </c>
      <c r="AB192" s="8">
        <f>[2]หน้าผ้า!AR201</f>
        <v>0</v>
      </c>
      <c r="AC192" s="8">
        <f>[2]หน้าผ้า!AS201</f>
        <v>215138.00000000003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สั่งเวียดนามสำเร็จรูปทั้งหมด</v>
      </c>
      <c r="AG192" s="1" t="str">
        <f>[3]หน้าผ้า!DC204</f>
        <v>พร้อมส่ง</v>
      </c>
      <c r="AH192" s="1" t="str">
        <f>[2]หน้าผ้า!DL201</f>
        <v>P9</v>
      </c>
      <c r="AI192" s="1">
        <f>[2]หน้าผ้า!DM201</f>
        <v>3</v>
      </c>
      <c r="AJ192" s="3" t="str">
        <f>[2]หน้าผ้า!DN201</f>
        <v>รอแจ้ง</v>
      </c>
      <c r="AK192" s="3">
        <f>[2]หน้าผ้า!DQ201</f>
        <v>0</v>
      </c>
      <c r="AL192" s="3" t="e">
        <f>[2]หน้าผ้า!DR201</f>
        <v>#VALUE!</v>
      </c>
      <c r="AM192" s="3" t="e">
        <f>[2]หน้าผ้า!DS201</f>
        <v>#VALUE!</v>
      </c>
      <c r="AN192" s="3" t="e">
        <f>[2]หน้าผ้า!DT201</f>
        <v>#VALUE!</v>
      </c>
      <c r="AO192" s="3" t="e">
        <f>[2]หน้าผ้า!DU201</f>
        <v>#VALUE!</v>
      </c>
      <c r="AP192" s="3" t="e">
        <f>[2]หน้าผ้า!DP201</f>
        <v>#VALUE!</v>
      </c>
      <c r="AQ192" s="3" t="e">
        <f>[2]หน้าผ้า!DW201</f>
        <v>#VALUE!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45889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WRWT211125/WRWT251030</v>
      </c>
      <c r="BD192" s="56">
        <f>[2]หน้าผ้า!CA201</f>
        <v>27559.954687222227</v>
      </c>
    </row>
    <row r="193" spans="1:56" ht="27.75" customHeight="1" x14ac:dyDescent="0.45">
      <c r="A193" s="3">
        <f>[2]หน้าผ้า!C202</f>
        <v>45601</v>
      </c>
      <c r="B193" s="14" t="str">
        <f>[2]หน้าผ้า!B202</f>
        <v>MK67-001490</v>
      </c>
      <c r="C193" s="9" t="str">
        <f>[2]หน้าผ้า!E202</f>
        <v>บจก.น้ำตาลทิพย์สุโขทัย</v>
      </c>
      <c r="D193" s="13" t="str">
        <f>[2]หน้าผ้า!F202</f>
        <v>Green for white sugar</v>
      </c>
      <c r="E193" s="9">
        <f>[2]หน้าผ้า!G202</f>
        <v>23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130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บิด</v>
      </c>
      <c r="M193" s="10">
        <f>[2]หน้าผ้า!T202</f>
        <v>24</v>
      </c>
      <c r="N193" s="9">
        <f>[2]หน้าผ้า!U202</f>
        <v>40</v>
      </c>
      <c r="O193" s="9">
        <f>[2]หน้าผ้า!V202</f>
        <v>55</v>
      </c>
      <c r="P193" s="10">
        <f>[2]หน้าผ้า!AB202</f>
        <v>3461.0081427440637</v>
      </c>
      <c r="Q193" s="10">
        <f>[2]หน้าผ้า!AC202</f>
        <v>0</v>
      </c>
      <c r="R193" s="10">
        <f>[2]หน้าผ้า!AD202</f>
        <v>3461.0081427440637</v>
      </c>
      <c r="S193" s="9" t="str">
        <f>[2]หน้าผ้า!Z202</f>
        <v>400แบน</v>
      </c>
      <c r="T193" s="12" t="str">
        <f>[2]หน้าผ้า!X202</f>
        <v>รอแจ้ง</v>
      </c>
      <c r="U193" s="11">
        <f>[2]หน้าผ้า!AA202</f>
        <v>106278</v>
      </c>
      <c r="V193" s="10">
        <f>[2]หน้าผ้า!AJ202</f>
        <v>0</v>
      </c>
      <c r="W193" s="10">
        <f>[2]หน้าผ้า!AL202</f>
        <v>106278</v>
      </c>
      <c r="X193" s="10">
        <f>[2]หน้าผ้า!AM202</f>
        <v>0</v>
      </c>
      <c r="Y193" s="10">
        <f>[2]หน้าผ้า!AN202</f>
        <v>111591.90000000001</v>
      </c>
      <c r="Z193" s="9" t="str">
        <f>[2]หน้าผ้า!AO202</f>
        <v>WSWT2321112512551</v>
      </c>
      <c r="AA193" s="8">
        <f>[2]หน้าผ้า!AQ202</f>
        <v>114322.18182000001</v>
      </c>
      <c r="AB193" s="8">
        <f>[2]หน้าผ้า!AR202</f>
        <v>0</v>
      </c>
      <c r="AC193" s="8">
        <f>[2]หน้าผ้า!AS202</f>
        <v>114322.18182000001</v>
      </c>
      <c r="AD193" s="8">
        <f>[2]หน้าผ้า!AT202</f>
        <v>0</v>
      </c>
      <c r="AE193" s="8">
        <f>[2]หน้าผ้า!AU202</f>
        <v>0</v>
      </c>
      <c r="AF193" s="8" t="str">
        <f>[2]หน้าผ้า!AI202</f>
        <v>สั่งเวียดนามสำเร็จรูปทั้งหมด</v>
      </c>
      <c r="AG193" s="1" t="str">
        <f>[3]หน้าผ้า!DC205</f>
        <v>พร้อมส่ง</v>
      </c>
      <c r="AH193" s="1" t="str">
        <f>[2]หน้าผ้า!DL202</f>
        <v>P9</v>
      </c>
      <c r="AI193" s="1">
        <f>[2]หน้าผ้า!DM202</f>
        <v>3</v>
      </c>
      <c r="AJ193" s="3" t="str">
        <f>[2]หน้าผ้า!DN202</f>
        <v>รอแจ้ง</v>
      </c>
      <c r="AK193" s="3">
        <f>[2]หน้าผ้า!DQ202</f>
        <v>0</v>
      </c>
      <c r="AL193" s="3" t="e">
        <f>[2]หน้าผ้า!DR202</f>
        <v>#VALUE!</v>
      </c>
      <c r="AM193" s="3" t="e">
        <f>[2]หน้าผ้า!DS202</f>
        <v>#VALUE!</v>
      </c>
      <c r="AN193" s="3" t="e">
        <f>[2]หน้าผ้า!DT202</f>
        <v>#VALUE!</v>
      </c>
      <c r="AO193" s="3" t="e">
        <f>[2]หน้าผ้า!DU202</f>
        <v>#VALUE!</v>
      </c>
      <c r="AP193" s="3" t="e">
        <f>[2]หน้าผ้า!DP202</f>
        <v>#VALUE!</v>
      </c>
      <c r="AQ193" s="3" t="e">
        <f>[2]หน้าผ้า!DW202</f>
        <v>#VALUE!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WRWT211125/WRWT251030</v>
      </c>
      <c r="BD193" s="56">
        <f>[2]หน้าผ้า!CA202</f>
        <v>14645.084321243019</v>
      </c>
    </row>
    <row r="194" spans="1:56" ht="27.75" customHeight="1" x14ac:dyDescent="0.45">
      <c r="A194" s="3">
        <f>[2]หน้าผ้า!C203</f>
        <v>45601</v>
      </c>
      <c r="B194" s="14" t="str">
        <f>[2]หน้าผ้า!B203</f>
        <v>MK67-001490</v>
      </c>
      <c r="C194" s="9" t="str">
        <f>[2]หน้าผ้า!E203</f>
        <v>บจก.น้ำตาลทิพย์สุโขทัย</v>
      </c>
      <c r="D194" s="13" t="str">
        <f>[2]หน้าผ้า!F203</f>
        <v>Green for white sugar</v>
      </c>
      <c r="E194" s="9">
        <f>[2]หน้าผ้า!G203</f>
        <v>23</v>
      </c>
      <c r="F194" s="9">
        <f>[2]หน้าผ้า!H203</f>
        <v>37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130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บิด</v>
      </c>
      <c r="M194" s="10">
        <f>[2]หน้าผ้า!T203</f>
        <v>24</v>
      </c>
      <c r="N194" s="9">
        <f>[2]หน้าผ้า!U203</f>
        <v>40</v>
      </c>
      <c r="O194" s="9">
        <f>[2]หน้าผ้า!V203</f>
        <v>55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>400แบน</v>
      </c>
      <c r="T194" s="12" t="str">
        <f>[2]หน้าผ้า!X203</f>
        <v>รอส่ง</v>
      </c>
      <c r="U194" s="11">
        <f>[2]หน้าผ้า!AA203</f>
        <v>10000</v>
      </c>
      <c r="V194" s="10">
        <f>[2]หน้าผ้า!AJ203</f>
        <v>12607</v>
      </c>
      <c r="W194" s="10">
        <f>[2]หน้าผ้า!AL203</f>
        <v>0</v>
      </c>
      <c r="X194" s="10">
        <f>[2]หน้าผ้า!AM203</f>
        <v>56730</v>
      </c>
      <c r="Y194" s="10">
        <f>[2]หน้าผ้า!AN203</f>
        <v>0</v>
      </c>
      <c r="Z194" s="9" t="str">
        <f>[2]หน้าผ้า!AO203</f>
        <v>WSWT2321112512551VN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พร้อมส่ง</v>
      </c>
      <c r="AH194" s="1" t="str">
        <f>[2]หน้าผ้า!DL203</f>
        <v>P9</v>
      </c>
      <c r="AI194" s="1">
        <f>[2]หน้าผ้า!DM203</f>
        <v>3</v>
      </c>
      <c r="AJ194" s="3" t="str">
        <f>[2]หน้าผ้า!DN203</f>
        <v>รอส่ง</v>
      </c>
      <c r="AK194" s="3">
        <f>[2]หน้าผ้า!DQ203</f>
        <v>0</v>
      </c>
      <c r="AL194" s="3" t="e">
        <f>[2]หน้าผ้า!DR203</f>
        <v>#VALUE!</v>
      </c>
      <c r="AM194" s="3" t="e">
        <f>[2]หน้าผ้า!DS203</f>
        <v>#VALUE!</v>
      </c>
      <c r="AN194" s="3" t="e">
        <f>[2]หน้าผ้า!DT203</f>
        <v>#VALUE!</v>
      </c>
      <c r="AO194" s="3" t="e">
        <f>[2]หน้าผ้า!DU203</f>
        <v>#VALUE!</v>
      </c>
      <c r="AP194" s="3" t="e">
        <f>[2]หน้าผ้า!DP203</f>
        <v>#VALUE!</v>
      </c>
      <c r="AQ194" s="3" t="e">
        <f>[2]หน้าผ้า!DW203</f>
        <v>#VALUE!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 t="str">
        <f>[2]หน้าผ้า!AG203</f>
        <v>ผ้าเข้า 25-26/2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WRWT211125/WRWT251030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23</v>
      </c>
      <c r="F195" s="9">
        <f>[2]หน้าผ้า!H204</f>
        <v>37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128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WSWT2321112512551</v>
      </c>
      <c r="AA195" s="8">
        <f>[2]หน้าผ้า!AQ204</f>
        <v>841359.53902000003</v>
      </c>
      <c r="AB195" s="8">
        <f>[2]หน้าผ้า!AR204</f>
        <v>62765.26</v>
      </c>
      <c r="AC195" s="8">
        <f>[2]หน้าผ้า!AS204</f>
        <v>778594.27902000013</v>
      </c>
      <c r="AD195" s="8">
        <f>[2]หน้าผ้า!AT204</f>
        <v>0</v>
      </c>
      <c r="AE195" s="8">
        <f>[2]หน้าผ้า!AU204</f>
        <v>0</v>
      </c>
      <c r="AF195" s="8" t="str">
        <f>[2]หน้าผ้า!AI204</f>
        <v>ระบุในSD</v>
      </c>
      <c r="AG195" s="1" t="str">
        <f>[3]หน้าผ้า!DC207</f>
        <v>พร้อมส่ง</v>
      </c>
      <c r="AH195" s="1">
        <f>[2]หน้าผ้า!DL204</f>
        <v>0</v>
      </c>
      <c r="AI195" s="1">
        <f>[2]หน้าผ้า!DM204</f>
        <v>0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WRWT2301125/WRWT251030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24</v>
      </c>
      <c r="F196" s="9">
        <f>[2]หน้าผ้า!H205</f>
        <v>37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120</v>
      </c>
      <c r="J196" s="9" t="str">
        <f>[2]หน้าผ้า!M205</f>
        <v>+</v>
      </c>
      <c r="K196" s="9">
        <f>[2]หน้าผ้า!N205</f>
        <v>3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WSWT24211125120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 t="str">
        <f>[3]หน้าผ้า!DC208</f>
        <v>ผ้าขาว</v>
      </c>
      <c r="AH196" s="1">
        <f>[2]หน้าผ้า!DL205</f>
        <v>0</v>
      </c>
      <c r="AI196" s="1">
        <f>[2]หน้าผ้า!DM205</f>
        <v>0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WRWT2401125/WRWT25850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 t="str">
        <f>[2]หน้าผ้า!F206</f>
        <v xml:space="preserve"> </v>
      </c>
      <c r="E197" s="9">
        <f>[2]หน้าผ้า!G206</f>
        <v>24</v>
      </c>
      <c r="F197" s="9">
        <f>[2]หน้าผ้า!H206</f>
        <v>37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125</v>
      </c>
      <c r="J197" s="9" t="str">
        <f>[2]หน้าผ้า!M206</f>
        <v>+</v>
      </c>
      <c r="K197" s="9">
        <f>[2]หน้าผ้า!N206</f>
        <v>3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WSWT2421112512551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ผ้าขาว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WRWT2401125/WRWT25960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26</v>
      </c>
      <c r="F198" s="9">
        <f>[2]หน้าผ้า!H207</f>
        <v>38</v>
      </c>
      <c r="G198" s="9" t="str">
        <f>[2]หน้าผ้า!I207</f>
        <v>เหลือง</v>
      </c>
      <c r="H198" s="9">
        <f>[2]หน้าผ้า!J207</f>
        <v>0</v>
      </c>
      <c r="I198" s="9">
        <f>[2]หน้าผ้า!L207</f>
        <v>105</v>
      </c>
      <c r="J198" s="9" t="str">
        <f>[2]หน้าผ้า!M207</f>
        <v>±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WSYL2625850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 t="e">
        <f>[2]หน้าผ้า!AT207</f>
        <v>#REF!</v>
      </c>
      <c r="AE198" s="8" t="e">
        <f>[2]หน้าผ้า!AU207</f>
        <v>#REF!</v>
      </c>
      <c r="AF198" s="8" t="str">
        <f>[2]หน้าผ้า!AI207</f>
        <v>ระบุในSD</v>
      </c>
      <c r="AG198" s="1" t="str">
        <f>[3]หน้าผ้า!DC210</f>
        <v>รอแบบ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WRYL25850/WRYL25850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45804</v>
      </c>
      <c r="B199" s="14" t="str">
        <f>[2]หน้าผ้า!B208</f>
        <v>MK68-000714</v>
      </c>
      <c r="C199" s="9" t="str">
        <f>[2]หน้าผ้า!E208</f>
        <v>คุณธนนท์ อุทัยไพศาลวงศ์</v>
      </c>
      <c r="D199" s="13" t="str">
        <f>[2]หน้าผ้า!F208</f>
        <v>ไม่พิมพ์</v>
      </c>
      <c r="E199" s="9">
        <f>[2]หน้าผ้า!G208</f>
        <v>26</v>
      </c>
      <c r="F199" s="9">
        <f>[2]หน้าผ้า!H208</f>
        <v>39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93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ไม่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มัด100</v>
      </c>
      <c r="T199" s="12">
        <f>[2]หน้าผ้า!X208</f>
        <v>45821</v>
      </c>
      <c r="U199" s="11">
        <f>[2]หน้าผ้า!AA208</f>
        <v>8800</v>
      </c>
      <c r="V199" s="10">
        <f>[2]หน้าผ้า!AJ208</f>
        <v>3500</v>
      </c>
      <c r="W199" s="10">
        <f>[2]หน้าผ้า!AL208</f>
        <v>5300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WSWT2625650</v>
      </c>
      <c r="AA199" s="8">
        <f>[2]หน้าผ้า!AQ208</f>
        <v>5997.3209999999999</v>
      </c>
      <c r="AB199" s="8">
        <f>[2]หน้าผ้า!AR208</f>
        <v>0</v>
      </c>
      <c r="AC199" s="8">
        <f>[2]หน้าผ้า!AS208</f>
        <v>5997.3209999999999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พร้อมส่ง</v>
      </c>
      <c r="AH199" s="1" t="str">
        <f>[2]หน้าผ้า!DL208</f>
        <v>P3</v>
      </c>
      <c r="AI199" s="1">
        <f>[2]หน้าผ้า!DM208</f>
        <v>1</v>
      </c>
      <c r="AJ199" s="3">
        <f>[2]หน้าผ้า!DN208</f>
        <v>45821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45820</v>
      </c>
      <c r="AP199" s="3">
        <f>[2]หน้าผ้า!DP208</f>
        <v>45816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ตัด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WRWT25650/WRWT25650</v>
      </c>
      <c r="BD199" s="56">
        <f>[2]หน้าผ้า!CA208</f>
        <v>484.25035229999992</v>
      </c>
    </row>
    <row r="200" spans="1:56" ht="27.75" customHeight="1" x14ac:dyDescent="0.45">
      <c r="A200" s="3" t="str">
        <f>[2]หน้าผ้า!C209</f>
        <v>ประมาณการ</v>
      </c>
      <c r="B200" s="14" t="str">
        <f>[2]หน้าผ้า!B209</f>
        <v>ประมาณการ</v>
      </c>
      <c r="C200" s="9" t="str">
        <f>[2]หน้าผ้า!E209</f>
        <v>บจก.โอเชี่ยนฟีด</v>
      </c>
      <c r="D200" s="13" t="str">
        <f>[2]หน้าผ้า!F209</f>
        <v>ไม่พิมพ์</v>
      </c>
      <c r="E200" s="9">
        <f>[2]หน้าผ้า!G209</f>
        <v>26</v>
      </c>
      <c r="F200" s="9">
        <f>[2]หน้าผ้า!H209</f>
        <v>42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100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ไม่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>500กระสอบ</v>
      </c>
      <c r="T200" s="12">
        <f>[2]หน้าผ้า!X209</f>
        <v>45838</v>
      </c>
      <c r="U200" s="11">
        <f>[2]หน้าผ้า!AA209</f>
        <v>40000</v>
      </c>
      <c r="V200" s="10">
        <f>[2]หน้าผ้า!AJ209</f>
        <v>0</v>
      </c>
      <c r="W200" s="10">
        <f>[2]หน้าผ้า!AL209</f>
        <v>40000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WSWT2625650</v>
      </c>
      <c r="AA200" s="8">
        <f>[2]หน้าผ้า!AQ209</f>
        <v>48615.600000000006</v>
      </c>
      <c r="AB200" s="8">
        <f>[2]หน้าผ้า!AR209</f>
        <v>0</v>
      </c>
      <c r="AC200" s="8">
        <f>[2]หน้าผ้า!AS209</f>
        <v>48615.600000000006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รอตัด</v>
      </c>
      <c r="AH200" s="1" t="str">
        <f>[2]หน้าผ้า!DL209</f>
        <v>P3</v>
      </c>
      <c r="AI200" s="1">
        <f>[2]หน้าผ้า!DM209</f>
        <v>1</v>
      </c>
      <c r="AJ200" s="3">
        <f>[2]หน้าผ้า!DN209</f>
        <v>45838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45837</v>
      </c>
      <c r="AP200" s="3">
        <f>[2]หน้าผ้า!DP209</f>
        <v>45833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ตัด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WRWT25650/WRWT25650</v>
      </c>
      <c r="BD200" s="56">
        <f>[2]หน้าผ้า!CA209</f>
        <v>3925.4396133333335</v>
      </c>
    </row>
    <row r="201" spans="1:56" ht="27.75" customHeight="1" x14ac:dyDescent="0.45">
      <c r="A201" s="3" t="str">
        <f>[2]หน้าผ้า!C210</f>
        <v>ประมาณการ</v>
      </c>
      <c r="B201" s="14" t="str">
        <f>[2]หน้าผ้า!B210</f>
        <v>ประมาณการ</v>
      </c>
      <c r="C201" s="9" t="str">
        <f>[2]หน้าผ้า!E210</f>
        <v>บจก.กบินทร์อินทรีย์</v>
      </c>
      <c r="D201" s="13" t="str">
        <f>[2]หน้าผ้า!F210</f>
        <v>รอแบบ</v>
      </c>
      <c r="E201" s="9">
        <f>[2]หน้าผ้า!G210</f>
        <v>26</v>
      </c>
      <c r="F201" s="9">
        <f>[2]หน้าผ้า!H210</f>
        <v>41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97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>
        <f>[2]หน้าผ้า!T210</f>
        <v>27</v>
      </c>
      <c r="N201" s="9">
        <f>[2]หน้าผ้า!U210</f>
        <v>43</v>
      </c>
      <c r="O201" s="9">
        <f>[2]หน้าผ้า!V210</f>
        <v>40</v>
      </c>
      <c r="P201" s="10">
        <f>[2]หน้าผ้า!AB210</f>
        <v>286.42936262399996</v>
      </c>
      <c r="Q201" s="10">
        <f>[2]หน้าผ้า!AC210</f>
        <v>0</v>
      </c>
      <c r="R201" s="10">
        <f>[2]หน้าผ้า!AD210</f>
        <v>286.42936262399996</v>
      </c>
      <c r="S201" s="9" t="str">
        <f>[2]หน้าผ้า!Z210</f>
        <v>300กระสอบ</v>
      </c>
      <c r="T201" s="12">
        <f>[2]หน้าผ้า!X210</f>
        <v>45838</v>
      </c>
      <c r="U201" s="11">
        <f>[2]หน้าผ้า!AA210</f>
        <v>10000</v>
      </c>
      <c r="V201" s="10">
        <f>[2]หน้าผ้า!AJ210</f>
        <v>0</v>
      </c>
      <c r="W201" s="10">
        <f>[2]หน้าผ้า!AL210</f>
        <v>10000</v>
      </c>
      <c r="X201" s="10">
        <f>[2]หน้าผ้า!AM210</f>
        <v>0</v>
      </c>
      <c r="Y201" s="10">
        <f>[2]หน้าผ้า!AN210</f>
        <v>10500</v>
      </c>
      <c r="Z201" s="9" t="str">
        <f>[2]หน้าผ้า!AO210</f>
        <v>WSWT2625650</v>
      </c>
      <c r="AA201" s="8">
        <f>[2]หน้าผ้า!AQ210</f>
        <v>11874.499999999998</v>
      </c>
      <c r="AB201" s="8">
        <f>[2]หน้าผ้า!AR210</f>
        <v>0</v>
      </c>
      <c r="AC201" s="8">
        <f>[2]หน้าผ้า!AS210</f>
        <v>11874.499999999998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รอตัด</v>
      </c>
      <c r="AH201" s="1" t="str">
        <f>[2]หน้าผ้า!DL210</f>
        <v>P9</v>
      </c>
      <c r="AI201" s="1">
        <f>[2]หน้าผ้า!DM210</f>
        <v>3</v>
      </c>
      <c r="AJ201" s="3">
        <f>[2]หน้าผ้า!DN210</f>
        <v>45838</v>
      </c>
      <c r="AK201" s="3">
        <f>[2]หน้าผ้า!DQ210</f>
        <v>0</v>
      </c>
      <c r="AL201" s="3">
        <f>[2]หน้าผ้า!DR210</f>
        <v>45828</v>
      </c>
      <c r="AM201" s="3">
        <f>[2]หน้าผ้า!DS210</f>
        <v>45835</v>
      </c>
      <c r="AN201" s="3">
        <f>[2]หน้าผ้า!DT210</f>
        <v>45836</v>
      </c>
      <c r="AO201" s="3">
        <f>[2]หน้าผ้า!DU210</f>
        <v>45836</v>
      </c>
      <c r="AP201" s="3">
        <f>[2]หน้าผ้า!DP210</f>
        <v>45833</v>
      </c>
      <c r="AQ201" s="3">
        <f>[2]หน้าผ้า!DW210</f>
        <v>45837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>รอART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WRWT25650/WRWT25650</v>
      </c>
      <c r="BD201" s="56">
        <f>[2]หน้าผ้า!CA210</f>
        <v>958.79990555555537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26</v>
      </c>
      <c r="F202" s="9">
        <f>[2]หน้าผ้า!H211</f>
        <v>43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102</v>
      </c>
      <c r="J202" s="9" t="str">
        <f>[2]หน้าผ้า!M211</f>
        <v>±</v>
      </c>
      <c r="K202" s="9">
        <f>[2]หน้าผ้า!N211</f>
        <v>5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>WSWT2625650</v>
      </c>
      <c r="AA202" s="8">
        <f>[2]หน้าผ้า!AQ211</f>
        <v>66487.421000000002</v>
      </c>
      <c r="AB202" s="8">
        <f>[2]หน้าผ้า!AR211</f>
        <v>0</v>
      </c>
      <c r="AC202" s="8">
        <f>[2]หน้าผ้า!AS211</f>
        <v>66487.421000000002</v>
      </c>
      <c r="AD202" s="8">
        <f>[2]หน้าผ้า!AT211</f>
        <v>0</v>
      </c>
      <c r="AE202" s="8">
        <f>[2]หน้าผ้า!AU211</f>
        <v>0</v>
      </c>
      <c r="AF202" s="8" t="str">
        <f>[2]หน้าผ้า!AI211</f>
        <v>ระบุในSD</v>
      </c>
      <c r="AG202" s="1" t="str">
        <f>[3]หน้าผ้า!DC214</f>
        <v>ยังไม่ได้พิมพ์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WRWT25650/WRWT25650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45806</v>
      </c>
      <c r="B203" s="14" t="str">
        <f>[2]หน้าผ้า!B212</f>
        <v>MK68-000719</v>
      </c>
      <c r="C203" s="9" t="str">
        <f>[2]หน้าผ้า!E212</f>
        <v>บจก.กบินทร์อินทรีย์</v>
      </c>
      <c r="D203" s="13" t="str">
        <f>[2]หน้าผ้า!F212</f>
        <v>ไก่เหยียบศรแสงสิริ</v>
      </c>
      <c r="E203" s="9">
        <f>[2]หน้าผ้า!G212</f>
        <v>26</v>
      </c>
      <c r="F203" s="9">
        <f>[2]หน้าผ้า!H212</f>
        <v>41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97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บิด</v>
      </c>
      <c r="M203" s="10">
        <f>[2]หน้าผ้า!T212</f>
        <v>27</v>
      </c>
      <c r="N203" s="9">
        <f>[2]หน้าผ้า!U212</f>
        <v>43</v>
      </c>
      <c r="O203" s="9">
        <f>[2]หน้าผ้า!V212</f>
        <v>40</v>
      </c>
      <c r="P203" s="10">
        <f>[2]หน้าผ้า!AB212</f>
        <v>114.57174504959998</v>
      </c>
      <c r="Q203" s="10">
        <f>[2]หน้าผ้า!AC212</f>
        <v>0</v>
      </c>
      <c r="R203" s="10">
        <f>[2]หน้าผ้า!AD212</f>
        <v>114.57174504959998</v>
      </c>
      <c r="S203" s="9" t="str">
        <f>[2]หน้าผ้า!Z212</f>
        <v>300กระสอบ</v>
      </c>
      <c r="T203" s="12">
        <f>[2]หน้าผ้า!X212</f>
        <v>45819</v>
      </c>
      <c r="U203" s="11">
        <f>[2]หน้าผ้า!AA212</f>
        <v>4000</v>
      </c>
      <c r="V203" s="10">
        <f>[2]หน้าผ้า!AJ212</f>
        <v>0</v>
      </c>
      <c r="W203" s="10">
        <f>[2]หน้าผ้า!AL212</f>
        <v>4000</v>
      </c>
      <c r="X203" s="10">
        <f>[2]หน้าผ้า!AM212</f>
        <v>4300</v>
      </c>
      <c r="Y203" s="10">
        <f>[2]หน้าผ้า!AN212</f>
        <v>0</v>
      </c>
      <c r="Z203" s="9" t="str">
        <f>[2]หน้าผ้า!AO212</f>
        <v>WSWT262575051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P9</v>
      </c>
      <c r="AI203" s="1">
        <f>[2]หน้าผ้า!DM212</f>
        <v>3</v>
      </c>
      <c r="AJ203" s="3">
        <f>[2]หน้าผ้า!DN212</f>
        <v>45819</v>
      </c>
      <c r="AK203" s="3">
        <f>[2]หน้าผ้า!DQ212</f>
        <v>0</v>
      </c>
      <c r="AL203" s="3">
        <f>[2]หน้าผ้า!DR212</f>
        <v>45809</v>
      </c>
      <c r="AM203" s="3">
        <f>[2]หน้าผ้า!DS212</f>
        <v>45816</v>
      </c>
      <c r="AN203" s="3">
        <f>[2]หน้าผ้า!DT212</f>
        <v>45817</v>
      </c>
      <c r="AO203" s="3">
        <f>[2]หน้าผ้า!DU212</f>
        <v>45817</v>
      </c>
      <c r="AP203" s="3">
        <f>[2]หน้าผ้า!DP212</f>
        <v>45814</v>
      </c>
      <c r="AQ203" s="3">
        <f>[2]หน้าผ้า!DW212</f>
        <v>45818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>
        <f>[2]หน้าผ้า!ED212</f>
        <v>0</v>
      </c>
      <c r="AY203" s="2" t="str">
        <f>[2]หน้าผ้า!AG212</f>
        <v>สวมถุงในไม่ทัน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WRWT25800/WRWT25650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45806</v>
      </c>
      <c r="B204" s="14" t="str">
        <f>[2]หน้าผ้า!B213</f>
        <v>MK68-000719</v>
      </c>
      <c r="C204" s="9" t="str">
        <f>[2]หน้าผ้า!E213</f>
        <v>บจก.กบินทร์อินทรีย์</v>
      </c>
      <c r="D204" s="13" t="str">
        <f>[2]หน้าผ้า!F213</f>
        <v>ช้างเผือก</v>
      </c>
      <c r="E204" s="9">
        <f>[2]หน้าผ้า!G213</f>
        <v>26</v>
      </c>
      <c r="F204" s="9">
        <f>[2]หน้าผ้า!H213</f>
        <v>41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97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บิด</v>
      </c>
      <c r="M204" s="10">
        <f>[2]หน้าผ้า!T213</f>
        <v>27</v>
      </c>
      <c r="N204" s="9">
        <f>[2]หน้าผ้า!U213</f>
        <v>43</v>
      </c>
      <c r="O204" s="9">
        <f>[2]หน้าผ้า!V213</f>
        <v>40</v>
      </c>
      <c r="P204" s="10">
        <f>[2]หน้าผ้า!AB213</f>
        <v>114.57174504959998</v>
      </c>
      <c r="Q204" s="10">
        <f>[2]หน้าผ้า!AC213</f>
        <v>0</v>
      </c>
      <c r="R204" s="10">
        <f>[2]หน้าผ้า!AD213</f>
        <v>114.57174504959998</v>
      </c>
      <c r="S204" s="9" t="str">
        <f>[2]หน้าผ้า!Z213</f>
        <v>300กระสอบ</v>
      </c>
      <c r="T204" s="12">
        <f>[2]หน้าผ้า!X213</f>
        <v>45819</v>
      </c>
      <c r="U204" s="11">
        <f>[2]หน้าผ้า!AA213</f>
        <v>4000</v>
      </c>
      <c r="V204" s="10">
        <f>[2]หน้าผ้า!AJ213</f>
        <v>0</v>
      </c>
      <c r="W204" s="10">
        <f>[2]หน้าผ้า!AL213</f>
        <v>4000</v>
      </c>
      <c r="X204" s="10">
        <f>[2]หน้าผ้า!AM213</f>
        <v>4405</v>
      </c>
      <c r="Y204" s="10">
        <f>[2]หน้าผ้า!AN213</f>
        <v>0</v>
      </c>
      <c r="Z204" s="9" t="str">
        <f>[2]หน้าผ้า!AO213</f>
        <v>WSWT262575051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P9</v>
      </c>
      <c r="AI204" s="1">
        <f>[2]หน้าผ้า!DM213</f>
        <v>3</v>
      </c>
      <c r="AJ204" s="3">
        <f>[2]หน้าผ้า!DN213</f>
        <v>45819</v>
      </c>
      <c r="AK204" s="3">
        <f>[2]หน้าผ้า!DQ213</f>
        <v>0</v>
      </c>
      <c r="AL204" s="3">
        <f>[2]หน้าผ้า!DR213</f>
        <v>45809</v>
      </c>
      <c r="AM204" s="3">
        <f>[2]หน้าผ้า!DS213</f>
        <v>45816</v>
      </c>
      <c r="AN204" s="3">
        <f>[2]หน้าผ้า!DT213</f>
        <v>45817</v>
      </c>
      <c r="AO204" s="3">
        <f>[2]หน้าผ้า!DU213</f>
        <v>45817</v>
      </c>
      <c r="AP204" s="3">
        <f>[2]หน้าผ้า!DP213</f>
        <v>45814</v>
      </c>
      <c r="AQ204" s="3">
        <f>[2]หน้าผ้า!DW213</f>
        <v>45818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>
        <f>[2]หน้าผ้า!ED213</f>
        <v>0</v>
      </c>
      <c r="AY204" s="2" t="str">
        <f>[2]หน้าผ้า!AG213</f>
        <v>สวมถุงในไม่ทัน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WRWT25800/WRWT25650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45817</v>
      </c>
      <c r="B205" s="14" t="str">
        <f>[2]หน้าผ้า!B214</f>
        <v>ใบรับคำสั่งซื้อ</v>
      </c>
      <c r="C205" s="9" t="str">
        <f>[2]หน้าผ้า!E214</f>
        <v>บจก.กบินทร์อินทรีย์</v>
      </c>
      <c r="D205" s="13" t="str">
        <f>[2]หน้าผ้า!F214</f>
        <v>หลอดไฟ</v>
      </c>
      <c r="E205" s="9">
        <f>[2]หน้าผ้า!G214</f>
        <v>26</v>
      </c>
      <c r="F205" s="9">
        <f>[2]หน้าผ้า!H214</f>
        <v>41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97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บิด</v>
      </c>
      <c r="M205" s="10">
        <f>[2]หน้าผ้า!T214</f>
        <v>27</v>
      </c>
      <c r="N205" s="9">
        <f>[2]หน้าผ้า!U214</f>
        <v>43</v>
      </c>
      <c r="O205" s="9">
        <f>[2]หน้าผ้า!V214</f>
        <v>40</v>
      </c>
      <c r="P205" s="10">
        <f>[2]หน้าผ้า!AB214</f>
        <v>114.57174504959998</v>
      </c>
      <c r="Q205" s="10">
        <f>[2]หน้าผ้า!AC214</f>
        <v>0</v>
      </c>
      <c r="R205" s="10">
        <f>[2]หน้าผ้า!AD214</f>
        <v>114.57174504959998</v>
      </c>
      <c r="S205" s="9" t="str">
        <f>[2]หน้าผ้า!Z214</f>
        <v>300กระสอบ</v>
      </c>
      <c r="T205" s="12">
        <f>[2]หน้าผ้า!X214</f>
        <v>45828</v>
      </c>
      <c r="U205" s="11">
        <f>[2]หน้าผ้า!AA214</f>
        <v>4000</v>
      </c>
      <c r="V205" s="10">
        <f>[2]หน้าผ้า!AJ214</f>
        <v>0</v>
      </c>
      <c r="W205" s="10">
        <f>[2]หน้าผ้า!AL214</f>
        <v>4000</v>
      </c>
      <c r="X205" s="10">
        <f>[2]หน้าผ้า!AM214</f>
        <v>0</v>
      </c>
      <c r="Y205" s="10">
        <f>[2]หน้าผ้า!AN214</f>
        <v>4200</v>
      </c>
      <c r="Z205" s="9" t="str">
        <f>[2]หน้าผ้า!AO214</f>
        <v>WSWT262575051</v>
      </c>
      <c r="AA205" s="8">
        <f>[2]หน้าผ้า!AQ214</f>
        <v>4749.8</v>
      </c>
      <c r="AB205" s="8">
        <f>[2]หน้าผ้า!AR214</f>
        <v>4749.8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พร้อมส่ง</v>
      </c>
      <c r="AH205" s="1" t="str">
        <f>[2]หน้าผ้า!DL214</f>
        <v>P9</v>
      </c>
      <c r="AI205" s="1">
        <f>[2]หน้าผ้า!DM214</f>
        <v>3</v>
      </c>
      <c r="AJ205" s="3">
        <f>[2]หน้าผ้า!DN214</f>
        <v>45828</v>
      </c>
      <c r="AK205" s="3">
        <f>[2]หน้าผ้า!DQ214</f>
        <v>0</v>
      </c>
      <c r="AL205" s="3">
        <f>[2]หน้าผ้า!DR214</f>
        <v>45818</v>
      </c>
      <c r="AM205" s="3">
        <f>[2]หน้าผ้า!DS214</f>
        <v>45825</v>
      </c>
      <c r="AN205" s="3">
        <f>[2]หน้าผ้า!DT214</f>
        <v>45826</v>
      </c>
      <c r="AO205" s="3">
        <f>[2]หน้าผ้า!DU214</f>
        <v>45826</v>
      </c>
      <c r="AP205" s="3">
        <f>[2]หน้าผ้า!DP214</f>
        <v>45823</v>
      </c>
      <c r="AQ205" s="3">
        <f>[2]หน้าผ้า!DW214</f>
        <v>45827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WRWT25800/WRWT25650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45817</v>
      </c>
      <c r="B206" s="14" t="str">
        <f>[2]หน้าผ้า!B215</f>
        <v>ใบรับคำสั่งซื้อ</v>
      </c>
      <c r="C206" s="9" t="str">
        <f>[2]หน้าผ้า!E215</f>
        <v>บจก.กบินทร์อินทรีย์</v>
      </c>
      <c r="D206" s="13" t="str">
        <f>[2]หน้าผ้า!F215</f>
        <v>ไก่เยียบศรกบินทร์</v>
      </c>
      <c r="E206" s="9">
        <f>[2]หน้าผ้า!G215</f>
        <v>26</v>
      </c>
      <c r="F206" s="9">
        <f>[2]หน้าผ้า!H215</f>
        <v>41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97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>
        <f>[2]หน้าผ้า!T215</f>
        <v>27</v>
      </c>
      <c r="N206" s="9">
        <f>[2]หน้าผ้า!U215</f>
        <v>43</v>
      </c>
      <c r="O206" s="9">
        <f>[2]หน้าผ้า!V215</f>
        <v>40</v>
      </c>
      <c r="P206" s="10">
        <f>[2]หน้าผ้า!AB215</f>
        <v>114.57174504959998</v>
      </c>
      <c r="Q206" s="10">
        <f>[2]หน้าผ้า!AC215</f>
        <v>0</v>
      </c>
      <c r="R206" s="10">
        <f>[2]หน้าผ้า!AD215</f>
        <v>114.57174504959998</v>
      </c>
      <c r="S206" s="9" t="str">
        <f>[2]หน้าผ้า!Z215</f>
        <v>300กระสอบ</v>
      </c>
      <c r="T206" s="12">
        <f>[2]หน้าผ้า!X215</f>
        <v>45828</v>
      </c>
      <c r="U206" s="11">
        <f>[2]หน้าผ้า!AA215</f>
        <v>4000</v>
      </c>
      <c r="V206" s="10">
        <f>[2]หน้าผ้า!AJ215</f>
        <v>0</v>
      </c>
      <c r="W206" s="10">
        <f>[2]หน้าผ้า!AL215</f>
        <v>4000</v>
      </c>
      <c r="X206" s="10">
        <f>[2]หน้าผ้า!AM215</f>
        <v>0</v>
      </c>
      <c r="Y206" s="10">
        <f>[2]หน้าผ้า!AN215</f>
        <v>4200</v>
      </c>
      <c r="Z206" s="9" t="str">
        <f>[2]หน้าผ้า!AO215</f>
        <v>WSWT262575051</v>
      </c>
      <c r="AA206" s="8">
        <f>[2]หน้าผ้า!AQ215</f>
        <v>4749.8</v>
      </c>
      <c r="AB206" s="8">
        <f>[2]หน้าผ้า!AR215</f>
        <v>4749.8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พร้อมส่ง</v>
      </c>
      <c r="AH206" s="1" t="str">
        <f>[2]หน้าผ้า!DL215</f>
        <v>P9</v>
      </c>
      <c r="AI206" s="1">
        <f>[2]หน้าผ้า!DM215</f>
        <v>3</v>
      </c>
      <c r="AJ206" s="3">
        <f>[2]หน้าผ้า!DN215</f>
        <v>45828</v>
      </c>
      <c r="AK206" s="3">
        <f>[2]หน้าผ้า!DQ215</f>
        <v>0</v>
      </c>
      <c r="AL206" s="3">
        <f>[2]หน้าผ้า!DR215</f>
        <v>45818</v>
      </c>
      <c r="AM206" s="3">
        <f>[2]หน้าผ้า!DS215</f>
        <v>45825</v>
      </c>
      <c r="AN206" s="3">
        <f>[2]หน้าผ้า!DT215</f>
        <v>45826</v>
      </c>
      <c r="AO206" s="3">
        <f>[2]หน้าผ้า!DU215</f>
        <v>45826</v>
      </c>
      <c r="AP206" s="3">
        <f>[2]หน้าผ้า!DP215</f>
        <v>45823</v>
      </c>
      <c r="AQ206" s="3">
        <f>[2]หน้าผ้า!DW215</f>
        <v>45827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WRWT25800/WRWT25650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26</v>
      </c>
      <c r="F207" s="9">
        <f>[2]หน้าผ้า!H216</f>
        <v>43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100</v>
      </c>
      <c r="J207" s="9" t="str">
        <f>[2]หน้าผ้า!M216</f>
        <v>±</v>
      </c>
      <c r="K207" s="9">
        <f>[2]หน้าผ้า!N216</f>
        <v>5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WSWT262575051</v>
      </c>
      <c r="AA207" s="8">
        <f>[2]หน้าผ้า!AQ216</f>
        <v>9499.6</v>
      </c>
      <c r="AB207" s="8">
        <f>[2]หน้าผ้า!AR216</f>
        <v>9499.6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 t="str">
        <f>[2]หน้าผ้า!AI216</f>
        <v>ระบุในSD</v>
      </c>
      <c r="AG207" s="1" t="str">
        <f>[3]หน้าผ้า!DC219</f>
        <v>ยังไม่ได้พิมพ์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WRWT25800/WRWT25650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26</v>
      </c>
      <c r="F208" s="9">
        <f>[2]หน้าผ้า!H217</f>
        <v>43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113</v>
      </c>
      <c r="J208" s="9" t="str">
        <f>[2]หน้าผ้า!M217</f>
        <v>±</v>
      </c>
      <c r="K208" s="9">
        <f>[2]หน้าผ้า!N217</f>
        <v>5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WSWT2625700</v>
      </c>
      <c r="AA208" s="8" t="e">
        <f>[2]หน้าผ้า!AQ217</f>
        <v>#REF!</v>
      </c>
      <c r="AB208" s="8" t="e">
        <f>[2]หน้าผ้า!AR217</f>
        <v>#REF!</v>
      </c>
      <c r="AC208" s="8" t="e">
        <f>[2]หน้าผ้า!AS217</f>
        <v>#REF!</v>
      </c>
      <c r="AD208" s="8" t="e">
        <f>[2]หน้าผ้า!AT217</f>
        <v>#REF!</v>
      </c>
      <c r="AE208" s="8" t="e">
        <f>[2]หน้าผ้า!AU217</f>
        <v>#REF!</v>
      </c>
      <c r="AF208" s="8" t="str">
        <f>[2]หน้าผ้า!AI217</f>
        <v>ระบุในSD</v>
      </c>
      <c r="AG208" s="1" t="str">
        <f>[3]หน้าผ้า!DC220</f>
        <v>ผ้าขาว</v>
      </c>
      <c r="AH208" s="1">
        <f>[2]หน้าผ้า!DL217</f>
        <v>0</v>
      </c>
      <c r="AI208" s="1" t="str">
        <f>[2]หน้าผ้า!DM217</f>
        <v>Lead time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WRWT260800/WRWT25650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26</v>
      </c>
      <c r="F209" s="9">
        <f>[2]หน้าผ้า!H218</f>
        <v>41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90</v>
      </c>
      <c r="J209" s="9" t="str">
        <f>[2]หน้าผ้า!M218</f>
        <v>±</v>
      </c>
      <c r="K209" s="9">
        <f>[2]หน้าผ้า!N218</f>
        <v>5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WSWT2625800SM</v>
      </c>
      <c r="AA209" s="8" t="e">
        <f>[2]หน้าผ้า!AQ218</f>
        <v>#REF!</v>
      </c>
      <c r="AB209" s="8" t="e">
        <f>[2]หน้าผ้า!AR218</f>
        <v>#REF!</v>
      </c>
      <c r="AC209" s="8" t="e">
        <f>[2]หน้าผ้า!AS218</f>
        <v>#REF!</v>
      </c>
      <c r="AD209" s="8" t="e">
        <f>[2]หน้าผ้า!AT218</f>
        <v>#REF!</v>
      </c>
      <c r="AE209" s="8" t="e">
        <f>[2]หน้าผ้า!AU218</f>
        <v>#REF!</v>
      </c>
      <c r="AF209" s="8" t="str">
        <f>[2]หน้าผ้า!AI218</f>
        <v>ระบุในSD</v>
      </c>
      <c r="AG209" s="1" t="str">
        <f>[3]หน้าผ้า!DC221</f>
        <v>พร้อมส่ง</v>
      </c>
      <c r="AH209" s="1">
        <f>[2]หน้าผ้า!DL218</f>
        <v>0</v>
      </c>
      <c r="AI209" s="1" t="str">
        <f>[2]หน้าผ้า!DM218</f>
        <v>Lead time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WRWT260800/WRWT25650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45813</v>
      </c>
      <c r="B210" s="14" t="str">
        <f>[2]หน้าผ้า!B219</f>
        <v>MK68-000749</v>
      </c>
      <c r="C210" s="9" t="str">
        <f>[2]หน้าผ้า!E219</f>
        <v>บจก.แลบอินเตอร์</v>
      </c>
      <c r="D210" s="13" t="str">
        <f>[2]หน้าผ้า!F219</f>
        <v>Soybean Meal</v>
      </c>
      <c r="E210" s="9">
        <f>[2]หน้าผ้า!G219</f>
        <v>26</v>
      </c>
      <c r="F210" s="9">
        <f>[2]หน้าผ้า!H219</f>
        <v>40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108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ไม่</v>
      </c>
      <c r="M210" s="10">
        <f>[2]หน้าผ้า!T219</f>
        <v>27</v>
      </c>
      <c r="N210" s="9">
        <f>[2]หน้าผ้า!U219</f>
        <v>43</v>
      </c>
      <c r="O210" s="9">
        <f>[2]หน้าผ้า!V219</f>
        <v>40</v>
      </c>
      <c r="P210" s="10">
        <f>[2]หน้าผ้า!AB219</f>
        <v>286.42936262399996</v>
      </c>
      <c r="Q210" s="10">
        <f>[2]หน้าผ้า!AC219</f>
        <v>0</v>
      </c>
      <c r="R210" s="10">
        <f>[2]หน้าผ้า!AD219</f>
        <v>286.42936262399996</v>
      </c>
      <c r="S210" s="9" t="str">
        <f>[2]หน้าผ้า!Z219</f>
        <v>มัด80ใช้สายรัด</v>
      </c>
      <c r="T210" s="12">
        <f>[2]หน้าผ้า!X219</f>
        <v>45825</v>
      </c>
      <c r="U210" s="11">
        <f>[2]หน้าผ้า!AA219</f>
        <v>10000</v>
      </c>
      <c r="V210" s="10">
        <f>[2]หน้าผ้า!AJ219</f>
        <v>0</v>
      </c>
      <c r="W210" s="10">
        <f>[2]หน้าผ้า!AL219</f>
        <v>10000</v>
      </c>
      <c r="X210" s="10">
        <f>[2]หน้าผ้า!AM219</f>
        <v>0</v>
      </c>
      <c r="Y210" s="10">
        <f>[2]หน้าผ้า!AN219</f>
        <v>10500</v>
      </c>
      <c r="Z210" s="9" t="str">
        <f>[2]หน้าผ้า!AO219</f>
        <v xml:space="preserve">WSWT2625800 </v>
      </c>
      <c r="AA210" s="8">
        <f>[2]หน้าผ้า!AQ219</f>
        <v>11595.1</v>
      </c>
      <c r="AB210" s="8">
        <f>[2]หน้าผ้า!AR219</f>
        <v>11595.1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ผ้าขาว</v>
      </c>
      <c r="AH210" s="1" t="str">
        <f>[2]หน้าผ้า!DL219</f>
        <v>P9</v>
      </c>
      <c r="AI210" s="1">
        <f>[2]หน้าผ้า!DM219</f>
        <v>3</v>
      </c>
      <c r="AJ210" s="3">
        <f>[2]หน้าผ้า!DN219</f>
        <v>45825</v>
      </c>
      <c r="AK210" s="3">
        <f>[2]หน้าผ้า!DQ219</f>
        <v>0</v>
      </c>
      <c r="AL210" s="3">
        <f>[2]หน้าผ้า!DR219</f>
        <v>45815</v>
      </c>
      <c r="AM210" s="3">
        <f>[2]หน้าผ้า!DS219</f>
        <v>45822</v>
      </c>
      <c r="AN210" s="3">
        <f>[2]หน้าผ้า!DT219</f>
        <v>45823</v>
      </c>
      <c r="AO210" s="3">
        <f>[2]หน้าผ้า!DU219</f>
        <v>45823</v>
      </c>
      <c r="AP210" s="3">
        <f>[2]หน้าผ้า!DP219</f>
        <v>45820</v>
      </c>
      <c r="AQ210" s="3">
        <f>[2]หน้าผ้า!DW219</f>
        <v>45824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>รอART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WRWT25800/WRWT25800</v>
      </c>
      <c r="BD210" s="56">
        <f>[2]หน้าผ้า!CA219</f>
        <v>0</v>
      </c>
    </row>
    <row r="211" spans="1:56" ht="27.75" customHeight="1" x14ac:dyDescent="0.45">
      <c r="A211" s="3" t="str">
        <f>[2]หน้าผ้า!C220</f>
        <v>ประมาณการ</v>
      </c>
      <c r="B211" s="14" t="str">
        <f>[2]หน้าผ้า!B220</f>
        <v>ประมาณการ</v>
      </c>
      <c r="C211" s="9" t="str">
        <f>[2]หน้าผ้า!E220</f>
        <v>บจก.ที.ซี.ยูเนี่ยน อโกรเทค</v>
      </c>
      <c r="D211" s="13" t="str">
        <f>[2]หน้าผ้า!F220</f>
        <v>ไม่พิมพ์</v>
      </c>
      <c r="E211" s="9">
        <f>[2]หน้าผ้า!G220</f>
        <v>26</v>
      </c>
      <c r="F211" s="9">
        <f>[2]หน้าผ้า!H220</f>
        <v>43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116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45838</v>
      </c>
      <c r="U211" s="11">
        <f>[2]หน้าผ้า!AA220</f>
        <v>20000</v>
      </c>
      <c r="V211" s="10">
        <f>[2]หน้าผ้า!AJ220</f>
        <v>0</v>
      </c>
      <c r="W211" s="10">
        <f>[2]หน้าผ้า!AL220</f>
        <v>20000</v>
      </c>
      <c r="X211" s="10">
        <f>[2]หน้าผ้า!AM220</f>
        <v>0</v>
      </c>
      <c r="Y211" s="10">
        <f>[2]หน้าผ้า!AN220</f>
        <v>0</v>
      </c>
      <c r="Z211" s="9" t="str">
        <f>[2]หน้าผ้า!AO220</f>
        <v xml:space="preserve">WSWT2625800 </v>
      </c>
      <c r="AA211" s="8">
        <f>[2]หน้าผ้า!AQ220</f>
        <v>24866.6</v>
      </c>
      <c r="AB211" s="8">
        <f>[2]หน้าผ้า!AR220</f>
        <v>3896</v>
      </c>
      <c r="AC211" s="8">
        <f>[2]หน้าผ้า!AS220</f>
        <v>20970.599999999999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ผ้าขาว</v>
      </c>
      <c r="AH211" s="1" t="str">
        <f>[2]หน้าผ้า!DL220</f>
        <v>P3</v>
      </c>
      <c r="AI211" s="1">
        <f>[2]หน้าผ้า!DM220</f>
        <v>1</v>
      </c>
      <c r="AJ211" s="3">
        <f>[2]หน้าผ้า!DN220</f>
        <v>45838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45837</v>
      </c>
      <c r="AP211" s="3">
        <f>[2]หน้าผ้า!DP220</f>
        <v>45833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ตัด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WRWT25800/WRWT25800</v>
      </c>
      <c r="BD211" s="56">
        <f>[2]หน้าผ้า!CA220</f>
        <v>2084.0116266666669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26</v>
      </c>
      <c r="F212" s="9">
        <f>[2]หน้าผ้า!H221</f>
        <v>43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116</v>
      </c>
      <c r="J212" s="9" t="str">
        <f>[2]หน้าผ้า!M221</f>
        <v>±</v>
      </c>
      <c r="K212" s="9">
        <f>[2]หน้าผ้า!N221</f>
        <v>5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 xml:space="preserve">WSWT2625800 </v>
      </c>
      <c r="AA212" s="8">
        <f>[2]หน้าผ้า!AQ221</f>
        <v>36461.699999999997</v>
      </c>
      <c r="AB212" s="8">
        <f>[2]หน้าผ้า!AR221</f>
        <v>15491.1</v>
      </c>
      <c r="AC212" s="8">
        <f>[2]หน้าผ้า!AS221</f>
        <v>20970.599999999999</v>
      </c>
      <c r="AD212" s="8">
        <f>[2]หน้าผ้า!AT221</f>
        <v>0</v>
      </c>
      <c r="AE212" s="8">
        <f>[2]หน้าผ้า!AU221</f>
        <v>0</v>
      </c>
      <c r="AF212" s="8" t="str">
        <f>[2]หน้าผ้า!AI221</f>
        <v>ระบุในSD</v>
      </c>
      <c r="AG212" s="1" t="str">
        <f>[3]หน้าผ้า!DC224</f>
        <v>พร้อมส่ง</v>
      </c>
      <c r="AH212" s="1">
        <f>[2]หน้าผ้า!DL221</f>
        <v>0</v>
      </c>
      <c r="AI212" s="1" t="str">
        <f>[2]หน้าผ้า!DM221</f>
        <v>Lead time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WRWT260800/WRWT25800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45799</v>
      </c>
      <c r="B213" s="14" t="str">
        <f>[2]หน้าผ้า!B222</f>
        <v>MK68-000699</v>
      </c>
      <c r="C213" s="9" t="str">
        <f>[2]หน้าผ้า!E222</f>
        <v>บจก.ที.ซี.ยูเนี่ยน อโกรเทค</v>
      </c>
      <c r="D213" s="13" t="str">
        <f>[2]หน้าผ้า!F222</f>
        <v>ไม่พิมพ์</v>
      </c>
      <c r="E213" s="9">
        <f>[2]หน้าผ้า!G222</f>
        <v>26</v>
      </c>
      <c r="F213" s="9">
        <f>[2]หน้าผ้า!H222</f>
        <v>43</v>
      </c>
      <c r="G213" s="9" t="str">
        <f>[2]หน้าผ้า!I222</f>
        <v>ขาว</v>
      </c>
      <c r="H213" s="9" t="str">
        <f>[2]หน้าผ้า!J222</f>
        <v>ใส</v>
      </c>
      <c r="I213" s="9">
        <f>[2]หน้าผ้า!L222</f>
        <v>150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>
        <f>[2]หน้าผ้า!X222</f>
        <v>45825</v>
      </c>
      <c r="U213" s="11">
        <f>[2]หน้าผ้า!AA222</f>
        <v>15000</v>
      </c>
      <c r="V213" s="10">
        <f>[2]หน้าผ้า!AJ222</f>
        <v>0</v>
      </c>
      <c r="W213" s="10">
        <f>[2]หน้าผ้า!AL222</f>
        <v>15000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WSWT2625850SM</v>
      </c>
      <c r="AA213" s="8">
        <f>[2]หน้าผ้า!AQ222</f>
        <v>18649.949999999997</v>
      </c>
      <c r="AB213" s="8">
        <f>[2]หน้าผ้า!AR222</f>
        <v>18649.949999999997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18649.949999999997</v>
      </c>
      <c r="AF213" s="8" t="str">
        <f>[2]หน้าผ้า!AI222</f>
        <v>ห้ามขาด-เกินได้5%</v>
      </c>
      <c r="AG213" s="1" t="str">
        <f>[3]หน้าผ้า!DC225</f>
        <v>พร้อมส่ง</v>
      </c>
      <c r="AH213" s="1" t="str">
        <f>[2]หน้าผ้า!DL222</f>
        <v>P13</v>
      </c>
      <c r="AI213" s="1">
        <f>[2]หน้าผ้า!DM222</f>
        <v>2</v>
      </c>
      <c r="AJ213" s="3">
        <f>[2]หน้าผ้า!DN222</f>
        <v>45825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45823</v>
      </c>
      <c r="AP213" s="3">
        <f>[2]หน้าผ้า!DP222</f>
        <v>45820</v>
      </c>
      <c r="AQ213" s="3">
        <f>[2]หน้าผ้า!DW222</f>
        <v>45824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งานเคลือบ+ตัด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WRWT25850/WRWT25850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45815</v>
      </c>
      <c r="B214" s="14" t="str">
        <f>[2]หน้าผ้า!B223</f>
        <v>MK68-000761</v>
      </c>
      <c r="C214" s="9" t="str">
        <f>[2]หน้าผ้า!E223</f>
        <v>บจก.ที.ซี.ยูเนี่ยน อโกรเทค</v>
      </c>
      <c r="D214" s="13" t="str">
        <f>[2]หน้าผ้า!F223</f>
        <v>ไม่พิมพ์</v>
      </c>
      <c r="E214" s="9">
        <f>[2]หน้าผ้า!G223</f>
        <v>26</v>
      </c>
      <c r="F214" s="9">
        <f>[2]หน้าผ้า!H223</f>
        <v>43</v>
      </c>
      <c r="G214" s="9" t="str">
        <f>[2]หน้าผ้า!I223</f>
        <v>ขาว</v>
      </c>
      <c r="H214" s="9" t="str">
        <f>[2]หน้าผ้า!J223</f>
        <v>ใส</v>
      </c>
      <c r="I214" s="9">
        <f>[2]หน้าผ้า!L223</f>
        <v>150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บิด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 xml:space="preserve">300กระสอบแบนเต็มใบ </v>
      </c>
      <c r="T214" s="12">
        <f>[2]หน้าผ้า!X223</f>
        <v>45835</v>
      </c>
      <c r="U214" s="11">
        <f>[2]หน้าผ้า!AA223</f>
        <v>15000</v>
      </c>
      <c r="V214" s="10">
        <f>[2]หน้าผ้า!AJ223</f>
        <v>0</v>
      </c>
      <c r="W214" s="10">
        <f>[2]หน้าผ้า!AL223</f>
        <v>15000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WSWT2625850SM</v>
      </c>
      <c r="AA214" s="8">
        <f>[2]หน้าผ้า!AQ223</f>
        <v>18649.949999999997</v>
      </c>
      <c r="AB214" s="8">
        <f>[2]หน้าผ้า!AR223</f>
        <v>18649.949999999997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18649.949999999997</v>
      </c>
      <c r="AF214" s="8" t="str">
        <f>[2]หน้าผ้า!AI223</f>
        <v>ห้ามขาด-เกินได้5%</v>
      </c>
      <c r="AG214" s="1" t="str">
        <f>[3]หน้าผ้า!DC226</f>
        <v>พิมพ์ไม่ครบ</v>
      </c>
      <c r="AH214" s="1" t="str">
        <f>[2]หน้าผ้า!DL223</f>
        <v>P13</v>
      </c>
      <c r="AI214" s="1">
        <f>[2]หน้าผ้า!DM223</f>
        <v>2</v>
      </c>
      <c r="AJ214" s="3">
        <f>[2]หน้าผ้า!DN223</f>
        <v>45835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45833</v>
      </c>
      <c r="AP214" s="3">
        <f>[2]หน้าผ้า!DP223</f>
        <v>45830</v>
      </c>
      <c r="AQ214" s="3">
        <f>[2]หน้าผ้า!DW223</f>
        <v>45834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งานเคลือบ+ตัด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WRWT25850/WRWT25850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26</v>
      </c>
      <c r="F215" s="9">
        <f>[2]หน้าผ้า!H224</f>
        <v>43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120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WSWT2625850SM</v>
      </c>
      <c r="AA215" s="8">
        <f>[2]หน้าผ้า!AQ224</f>
        <v>37299.899999999994</v>
      </c>
      <c r="AB215" s="8">
        <f>[2]หน้าผ้า!AR224</f>
        <v>37299.899999999994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37299.899999999994</v>
      </c>
      <c r="AF215" s="8" t="str">
        <f>[2]หน้าผ้า!AI224</f>
        <v>ระบุในSD</v>
      </c>
      <c r="AG215" s="1" t="str">
        <f>[3]หน้าผ้า!DC227</f>
        <v>ผ้าขาว</v>
      </c>
      <c r="AH215" s="1">
        <f>[2]หน้าผ้า!DL224</f>
        <v>0</v>
      </c>
      <c r="AI215" s="1" t="str">
        <f>[2]หน้าผ้า!DM224</f>
        <v>Lead time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WRWT260850/WRWT25850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28</v>
      </c>
      <c r="F216" s="9">
        <f>[2]หน้าผ้า!H225</f>
        <v>41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122</v>
      </c>
      <c r="J216" s="9" t="str">
        <f>[2]หน้าผ้า!M225</f>
        <v>+</v>
      </c>
      <c r="K216" s="9">
        <f>[2]หน้าผ้า!N225</f>
        <v>3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>WSWT2825800</v>
      </c>
      <c r="AA216" s="8" t="e">
        <f>[2]หน้าผ้า!AQ225</f>
        <v>#REF!</v>
      </c>
      <c r="AB216" s="8" t="e">
        <f>[2]หน้าผ้า!AR225</f>
        <v>#REF!</v>
      </c>
      <c r="AC216" s="8" t="e">
        <f>[2]หน้าผ้า!AS225</f>
        <v>#REF!</v>
      </c>
      <c r="AD216" s="8" t="e">
        <f>[2]หน้าผ้า!AT225</f>
        <v>#REF!</v>
      </c>
      <c r="AE216" s="8" t="e">
        <f>[2]หน้าผ้า!AU225</f>
        <v>#REF!</v>
      </c>
      <c r="AF216" s="8" t="str">
        <f>[2]หน้าผ้า!AI225</f>
        <v>ระบุในSD</v>
      </c>
      <c r="AG216" s="1" t="str">
        <f>[3]หน้าผ้า!DC228</f>
        <v>พร้อมส่ง</v>
      </c>
      <c r="AH216" s="1">
        <f>[2]หน้าผ้า!DL225</f>
        <v>0</v>
      </c>
      <c r="AI216" s="1" t="str">
        <f>[2]หน้าผ้า!DM225</f>
        <v>Lead time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WRWT25850/WRWT25800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45800</v>
      </c>
      <c r="B217" s="14" t="str">
        <f>[2]หน้าผ้า!B226</f>
        <v>MK68-000702</v>
      </c>
      <c r="C217" s="9" t="str">
        <f>[2]หน้าผ้า!E226</f>
        <v>บจก.ไทยร่วมใจน้ำมันพืช</v>
      </c>
      <c r="D217" s="13" t="str">
        <f>[2]หน้าผ้า!F226</f>
        <v>TRJ</v>
      </c>
      <c r="E217" s="9">
        <f>[2]หน้าผ้า!G226</f>
        <v>28</v>
      </c>
      <c r="F217" s="9">
        <f>[2]หน้าผ้า!H226</f>
        <v>41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120</v>
      </c>
      <c r="J217" s="9" t="str">
        <f>[2]หน้าผ้า!M226</f>
        <v>±</v>
      </c>
      <c r="K217" s="9">
        <f>[2]หน้าผ้า!N226</f>
        <v>3</v>
      </c>
      <c r="L217" s="9" t="str">
        <f>[2]หน้าผ้า!R226</f>
        <v>ไม่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500กระสอบ</v>
      </c>
      <c r="T217" s="12">
        <f>[2]หน้าผ้า!X226</f>
        <v>45824</v>
      </c>
      <c r="U217" s="11">
        <f>[2]หน้าผ้า!AA226</f>
        <v>50000</v>
      </c>
      <c r="V217" s="10">
        <f>[2]หน้าผ้า!AJ226</f>
        <v>8339</v>
      </c>
      <c r="W217" s="10">
        <f>[2]หน้าผ้า!AL226</f>
        <v>41661</v>
      </c>
      <c r="X217" s="10">
        <f>[2]หน้าผ้า!AM226</f>
        <v>27330</v>
      </c>
      <c r="Y217" s="10">
        <f>[2]หน้าผ้า!AN226</f>
        <v>23803.5</v>
      </c>
      <c r="Z217" s="9" t="str">
        <f>[2]หน้าผ้า!AO226</f>
        <v>WSWT2825850</v>
      </c>
      <c r="AA217" s="8">
        <f>[2]หน้าผ้า!AQ226</f>
        <v>28265.466075</v>
      </c>
      <c r="AB217" s="8">
        <f>[2]หน้าผ้า!AR226</f>
        <v>5880</v>
      </c>
      <c r="AC217" s="8">
        <f>[2]หน้าผ้า!AS226</f>
        <v>22385.466075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P1</v>
      </c>
      <c r="AI217" s="1">
        <f>[2]หน้าผ้า!DM226</f>
        <v>2</v>
      </c>
      <c r="AJ217" s="3">
        <f>[2]หน้าผ้า!DN226</f>
        <v>45824</v>
      </c>
      <c r="AK217" s="3">
        <f>[2]หน้าผ้า!DQ226</f>
        <v>0</v>
      </c>
      <c r="AL217" s="3">
        <f>[2]หน้าผ้า!DR226</f>
        <v>45815</v>
      </c>
      <c r="AM217" s="3">
        <f>[2]หน้าผ้า!DS226</f>
        <v>45822</v>
      </c>
      <c r="AN217" s="3">
        <f>[2]หน้าผ้า!DT226</f>
        <v>0</v>
      </c>
      <c r="AO217" s="3">
        <f>[2]หน้าผ้า!DU226</f>
        <v>45823</v>
      </c>
      <c r="AP217" s="3">
        <f>[2]หน้าผ้า!DP226</f>
        <v>45819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WRWT25850/WRWT25850</v>
      </c>
      <c r="BD217" s="56">
        <f>[2]หน้าผ้า!CA226</f>
        <v>2515.8776594291671</v>
      </c>
    </row>
    <row r="218" spans="1:56" ht="27.75" customHeight="1" x14ac:dyDescent="0.45">
      <c r="A218" s="3" t="str">
        <f>[2]หน้าผ้า!C227</f>
        <v>ประมาณการ</v>
      </c>
      <c r="B218" s="14" t="str">
        <f>[2]หน้าผ้า!B227</f>
        <v>ประมาณการ</v>
      </c>
      <c r="C218" s="9" t="str">
        <f>[2]หน้าผ้า!E227</f>
        <v>บจก.ที.ซี.ยูเนี่ยน อโกรเทค</v>
      </c>
      <c r="D218" s="13" t="str">
        <f>[2]หน้าผ้า!F227</f>
        <v>ไม่พิมพ์</v>
      </c>
      <c r="E218" s="9">
        <f>[2]หน้าผ้า!G227</f>
        <v>28</v>
      </c>
      <c r="F218" s="9">
        <f>[2]หน้าผ้า!H227</f>
        <v>47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180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45838</v>
      </c>
      <c r="U218" s="11">
        <f>[2]หน้าผ้า!AA227</f>
        <v>10000</v>
      </c>
      <c r="V218" s="10">
        <f>[2]หน้าผ้า!AJ227</f>
        <v>0</v>
      </c>
      <c r="W218" s="10">
        <f>[2]หน้าผ้า!AL227</f>
        <v>10000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>WSWT2825850</v>
      </c>
      <c r="AA218" s="8">
        <f>[2]หน้าผ้า!AQ227</f>
        <v>13550.900000000001</v>
      </c>
      <c r="AB218" s="8">
        <f>[2]หน้าผ้า!AR227</f>
        <v>0</v>
      </c>
      <c r="AC218" s="8">
        <f>[2]หน้าผ้า!AS227</f>
        <v>13550.900000000001</v>
      </c>
      <c r="AD218" s="8">
        <f>[2]หน้าผ้า!AT227</f>
        <v>0</v>
      </c>
      <c r="AE218" s="8">
        <f>[2]หน้าผ้า!AU227</f>
        <v>13550.900000000001</v>
      </c>
      <c r="AF218" s="8">
        <f>[2]หน้าผ้า!AI227</f>
        <v>0</v>
      </c>
      <c r="AG218" s="1">
        <f>[3]หน้าผ้า!DC230</f>
        <v>0</v>
      </c>
      <c r="AH218" s="1" t="str">
        <f>[2]หน้าผ้า!DL227</f>
        <v>P3</v>
      </c>
      <c r="AI218" s="1">
        <f>[2]หน้าผ้า!DM227</f>
        <v>1</v>
      </c>
      <c r="AJ218" s="3">
        <f>[2]หน้าผ้า!DN227</f>
        <v>45838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45837</v>
      </c>
      <c r="AP218" s="3">
        <f>[2]หน้าผ้า!DP227</f>
        <v>45833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ตัด</v>
      </c>
      <c r="AX218" s="2">
        <f>[2]หน้าผ้า!ED227</f>
        <v>0</v>
      </c>
      <c r="AY218" s="2" t="str">
        <f>[2]หน้าผ้า!AG227</f>
        <v>TUN+F233ARIN TRUST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WRWT25850/WRWT25850</v>
      </c>
      <c r="BD218" s="56">
        <f>[2]หน้าผ้า!CA227</f>
        <v>1522.9705944444447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28</v>
      </c>
      <c r="F219" s="9">
        <f>[2]หน้าผ้า!H228</f>
        <v>43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130</v>
      </c>
      <c r="J219" s="9" t="str">
        <f>[2]หน้าผ้า!M228</f>
        <v>±</v>
      </c>
      <c r="K219" s="9">
        <f>[2]หน้าผ้า!N228</f>
        <v>3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WSWT2825850</v>
      </c>
      <c r="AA219" s="8">
        <f>[2]หน้าผ้า!AQ228</f>
        <v>41816.366074999998</v>
      </c>
      <c r="AB219" s="8">
        <f>[2]หน้าผ้า!AR228</f>
        <v>5880</v>
      </c>
      <c r="AC219" s="8">
        <f>[2]หน้าผ้า!AS228</f>
        <v>35936.366074999998</v>
      </c>
      <c r="AD219" s="8">
        <f>[2]หน้าผ้า!AT228</f>
        <v>0</v>
      </c>
      <c r="AE219" s="8">
        <f>[2]หน้าผ้า!AU228</f>
        <v>13550.900000000001</v>
      </c>
      <c r="AF219" s="8" t="str">
        <f>[2]หน้าผ้า!AI228</f>
        <v>ระบุในSD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WRWT280850/WRWT25850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30</v>
      </c>
      <c r="F220" s="9">
        <f>[2]หน้าผ้า!H229</f>
        <v>41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122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WSWT3025800</v>
      </c>
      <c r="AA220" s="8" t="e">
        <f>[2]หน้าผ้า!AQ229</f>
        <v>#REF!</v>
      </c>
      <c r="AB220" s="8" t="e">
        <f>[2]หน้าผ้า!AR229</f>
        <v>#REF!</v>
      </c>
      <c r="AC220" s="8" t="e">
        <f>[2]หน้าผ้า!AS229</f>
        <v>#REF!</v>
      </c>
      <c r="AD220" s="8" t="e">
        <f>[2]หน้าผ้า!AT229</f>
        <v>#REF!</v>
      </c>
      <c r="AE220" s="8" t="e">
        <f>[2]หน้าผ้า!AU229</f>
        <v>#REF!</v>
      </c>
      <c r="AF220" s="8" t="str">
        <f>[2]หน้าผ้า!AI229</f>
        <v>ระบุในSD</v>
      </c>
      <c r="AG220" s="1">
        <f>[3]หน้าผ้า!DC232</f>
        <v>0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WRWT25800/WRWT28750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 t="str">
        <f>[2]หน้าผ้า!X230</f>
        <v>ค้างส่งทั้งหมด</v>
      </c>
      <c r="U221" s="11">
        <f>[2]หน้าผ้า!AA230</f>
        <v>4574495</v>
      </c>
      <c r="V221" s="10">
        <f>[2]หน้าผ้า!AJ230</f>
        <v>290663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 xml:space="preserve"> 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-5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252693.52722564666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140000</v>
      </c>
      <c r="T222" s="12">
        <f>[2]หน้าผ้า!X231</f>
        <v>0</v>
      </c>
      <c r="U222" s="11">
        <f>[2]หน้าผ้า!AA231</f>
        <v>32.674964285714289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 t="e">
        <f>[2]หน้าผ้า!AQ231</f>
        <v>#REF!</v>
      </c>
      <c r="AB222" s="8">
        <f>[2]หน้าผ้า!AR231</f>
        <v>0</v>
      </c>
      <c r="AC222" s="8" t="e">
        <f>[2]หน้าผ้า!AS231</f>
        <v>#REF!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 t="str">
        <f>[2]หน้าผ้า!DL231</f>
        <v>P1</v>
      </c>
      <c r="AI222" s="1">
        <f>[2]หน้าผ้า!DM231</f>
        <v>2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-9</v>
      </c>
      <c r="AM222" s="3">
        <f>[2]หน้าผ้า!DS231</f>
        <v>-2</v>
      </c>
      <c r="AN222" s="3">
        <f>[2]หน้าผ้า!DT231</f>
        <v>0</v>
      </c>
      <c r="AO222" s="3">
        <f>[2]หน้าผ้า!DU231</f>
        <v>-1</v>
      </c>
      <c r="AP222" s="3">
        <f>[2]หน้าผ้า!DP231</f>
        <v>-5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>รอART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 t="str">
        <f>[2]หน้าผ้า!CA231</f>
        <v>ห้ามลบ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 t="str">
        <f>[2]หน้าผ้า!X232</f>
        <v>ประมาณการ</v>
      </c>
      <c r="U223" s="11">
        <f>[2]หน้าผ้า!AA232</f>
        <v>900000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 t="str">
        <f>[2]หน้าผ้า!DL232</f>
        <v>P3</v>
      </c>
      <c r="AI223" s="1">
        <f>[2]หน้าผ้า!DM232</f>
        <v>1</v>
      </c>
      <c r="AJ223" s="3" t="str">
        <f>[2]หน้าผ้า!DN232</f>
        <v>ประมาณการ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 t="e">
        <f>[2]หน้าผ้า!DU232</f>
        <v>#VALUE!</v>
      </c>
      <c r="AP223" s="3" t="e">
        <f>[2]หน้าผ้า!DP232</f>
        <v>#VALUE!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ตัด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 t="str">
        <f>[2]หน้าผ้า!X233</f>
        <v>รอแจ้ง</v>
      </c>
      <c r="U224" s="11">
        <f>[2]หน้าผ้า!AA233</f>
        <v>809853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784560.87182000012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 t="str">
        <f>[2]หน้าผ้า!DL233</f>
        <v>P2</v>
      </c>
      <c r="AI224" s="1">
        <f>[2]หน้าผ้า!DM233</f>
        <v>3</v>
      </c>
      <c r="AJ224" s="3" t="str">
        <f>[2]หน้าผ้า!DN233</f>
        <v>รอแจ้ง</v>
      </c>
      <c r="AK224" s="3" t="e">
        <f>[2]หน้าผ้า!DQ233</f>
        <v>#VALUE!</v>
      </c>
      <c r="AL224" s="3" t="e">
        <f>[2]หน้าผ้า!DR233</f>
        <v>#VALUE!</v>
      </c>
      <c r="AM224" s="3" t="e">
        <f>[2]หน้าผ้า!DS233</f>
        <v>#VALUE!</v>
      </c>
      <c r="AN224" s="3">
        <f>[2]หน้าผ้า!DT233</f>
        <v>0</v>
      </c>
      <c r="AO224" s="3" t="e">
        <f>[2]หน้าผ้า!DU233</f>
        <v>#VALUE!</v>
      </c>
      <c r="AP224" s="3" t="e">
        <f>[2]หน้าผ้า!DP233</f>
        <v>#VALUE!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 t="str">
        <f>[2]หน้าผ้า!X234</f>
        <v>รอส่ง</v>
      </c>
      <c r="U225" s="11">
        <f>[2]หน้าผ้า!AA234</f>
        <v>29500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 t="str">
        <f>[2]หน้าผ้า!DL234</f>
        <v>P6</v>
      </c>
      <c r="AI225" s="1">
        <f>[2]หน้าผ้า!DM234</f>
        <v>4</v>
      </c>
      <c r="AJ225" s="3" t="str">
        <f>[2]หน้าผ้า!DN234</f>
        <v>รอส่ง</v>
      </c>
      <c r="AK225" s="3" t="e">
        <f>[2]หน้าผ้า!DQ234</f>
        <v>#VALUE!</v>
      </c>
      <c r="AL225" s="3" t="e">
        <f>[2]หน้าผ้า!DR234</f>
        <v>#VALUE!</v>
      </c>
      <c r="AM225" s="3" t="e">
        <f>[2]หน้าผ้า!DS234</f>
        <v>#VALUE!</v>
      </c>
      <c r="AN225" s="3" t="e">
        <f>[2]หน้าผ้า!DT234</f>
        <v>#VALUE!</v>
      </c>
      <c r="AO225" s="3" t="e">
        <f>[2]หน้าผ้า!DU234</f>
        <v>#VALUE!</v>
      </c>
      <c r="AP225" s="3" t="e">
        <f>[2]หน้าผ้า!DP234</f>
        <v>#VALUE!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งานเคลือบ+พิมพ์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 t="str">
        <f>[2]หน้าผ้า!X235</f>
        <v>มีกำหนดส่ง</v>
      </c>
      <c r="U226" s="11">
        <f>[2]หน้าผ้า!AA235</f>
        <v>2835142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 t="e">
        <f>[2]หน้าผ้า!AS235</f>
        <v>#REF!</v>
      </c>
      <c r="AD226" s="8" t="e">
        <f>[2]หน้าผ้า!AT235</f>
        <v>#REF!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 t="str">
        <f>[2]หน้าผ้า!DL235</f>
        <v>P11</v>
      </c>
      <c r="AI226" s="1">
        <f>[2]หน้าผ้า!DM235</f>
        <v>2</v>
      </c>
      <c r="AJ226" s="3" t="str">
        <f>[2]หน้าผ้า!DN235</f>
        <v>มีกำหนดส่ง</v>
      </c>
      <c r="AK226" s="3" t="e">
        <f>[2]หน้าผ้า!DQ235</f>
        <v>#VALUE!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 t="e">
        <f>[2]หน้าผ้า!DU235</f>
        <v>#VALUE!</v>
      </c>
      <c r="AP226" s="3" t="e">
        <f>[2]หน้าผ้า!DP235</f>
        <v>#VALUE!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งานเคลือบ+ตัด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 t="str">
        <f>[2]หน้าผ้า!E236</f>
        <v>ผู้สั่งผลิต..................................................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 t="str">
        <f>[2]หน้าผ้า!I236</f>
        <v xml:space="preserve"> </v>
      </c>
      <c r="H227" s="9">
        <f>[2]หน้าผ้า!J236</f>
        <v>0</v>
      </c>
      <c r="I227" s="9">
        <f>[2]หน้าผ้า!L236</f>
        <v>0</v>
      </c>
      <c r="J227" s="9" t="str">
        <f>[2]หน้าผ้า!M236</f>
        <v xml:space="preserve"> 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 t="str">
        <f>[2]หน้าผ้า!DL236</f>
        <v>P9</v>
      </c>
      <c r="AI227" s="1">
        <f>[2]หน้าผ้า!DM236</f>
        <v>3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-10</v>
      </c>
      <c r="AM227" s="3">
        <f>[2]หน้าผ้า!DS236</f>
        <v>-3</v>
      </c>
      <c r="AN227" s="3">
        <f>[2]หน้าผ้า!DT236</f>
        <v>-2</v>
      </c>
      <c r="AO227" s="3">
        <f>[2]หน้าผ้า!DU236</f>
        <v>-1</v>
      </c>
      <c r="AP227" s="3">
        <f>[2]หน้าผ้า!DP236</f>
        <v>-5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 t="str">
        <f>[2]หน้าผ้า!E237</f>
        <v>เจ้าหน้าที่วางแผนการผลิต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 t="str">
        <f>[2]หน้าผ้า!M237</f>
        <v>ผู้อนุมัติ..................................................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 t="str">
        <f>[2]หน้าผ้า!AT237</f>
        <v xml:space="preserve"> 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 t="str">
        <f>[2]หน้าผ้า!DL237</f>
        <v>P4</v>
      </c>
      <c r="AI228" s="1">
        <f>[2]หน้าผ้า!DM237</f>
        <v>3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-10</v>
      </c>
      <c r="AM228" s="3">
        <f>[2]หน้าผ้า!DS237</f>
        <v>-3</v>
      </c>
      <c r="AN228" s="3">
        <f>[2]หน้าผ้า!DT237</f>
        <v>0</v>
      </c>
      <c r="AO228" s="3">
        <f>[2]หน้าผ้า!DU237</f>
        <v>-2</v>
      </c>
      <c r="AP228" s="3">
        <f>[2]หน้าผ้า!DP237</f>
        <v>-5</v>
      </c>
      <c r="AQ228" s="3">
        <f>[2]หน้าผ้า!DW237</f>
        <v>-1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 t="str">
        <f>[2]หน้าผ้า!E238</f>
        <v xml:space="preserve">        /         /        .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 t="str">
        <f>[2]หน้าผ้า!M238</f>
        <v>ผู้จัดการฝ่ายผลิต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 t="str">
        <f>[2]หน้าผ้า!V238</f>
        <v xml:space="preserve"> 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-9</v>
      </c>
      <c r="AM229" s="3">
        <f>[2]หน้าผ้า!DS238</f>
        <v>-2</v>
      </c>
      <c r="AN229" s="3">
        <f>[2]หน้าผ้า!DT238</f>
        <v>-1</v>
      </c>
      <c r="AO229" s="3">
        <f>[2]หน้าผ้า!DU238</f>
        <v>-1</v>
      </c>
      <c r="AP229" s="3">
        <f>[2]หน้าผ้า!DP238</f>
        <v>-5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 t="str">
        <f>[2]หน้าผ้า!M239</f>
        <v xml:space="preserve">        /         /        .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 t="str">
        <f>[2]หน้าผ้า!DL239</f>
        <v>P8</v>
      </c>
      <c r="AI230" s="1">
        <f>[2]หน้าผ้า!DM239</f>
        <v>4</v>
      </c>
      <c r="AJ230" s="3">
        <f>[2]หน้าผ้า!DN239</f>
        <v>0</v>
      </c>
      <c r="AK230" s="3">
        <f>[2]หน้าผ้า!DQ239</f>
        <v>-4</v>
      </c>
      <c r="AL230" s="3">
        <f>[2]หน้าผ้า!DR239</f>
        <v>-10</v>
      </c>
      <c r="AM230" s="3">
        <f>[2]หน้าผ้า!DS239</f>
        <v>-3</v>
      </c>
      <c r="AN230" s="3">
        <f>[2]หน้าผ้า!DT239</f>
        <v>-2</v>
      </c>
      <c r="AO230" s="3">
        <f>[2]หน้าผ้า!DU239</f>
        <v>-2</v>
      </c>
      <c r="AP230" s="3">
        <f>[2]หน้าผ้า!DP239</f>
        <v>-5</v>
      </c>
      <c r="AQ230" s="3">
        <f>[2]หน้าผ้า!DW239</f>
        <v>-1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 t="str">
        <f>[2]หน้าผ้า!F240</f>
        <v xml:space="preserve"> </v>
      </c>
      <c r="E231" s="9" t="str">
        <f>[2]หน้าผ้า!G240</f>
        <v xml:space="preserve"> 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 t="str">
        <f>[2]หน้าผ้า!DL240</f>
        <v>P13</v>
      </c>
      <c r="AI231" s="1">
        <f>[2]หน้าผ้า!DM240</f>
        <v>2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-2</v>
      </c>
      <c r="AP231" s="3">
        <f>[2]หน้าผ้า!DP240</f>
        <v>-5</v>
      </c>
      <c r="AQ231" s="3">
        <f>[2]หน้าผ้า!DW240</f>
        <v>-1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ตัด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 t="str">
        <f>[2]หน้าผ้า!V241</f>
        <v xml:space="preserve"> 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 t="str">
        <f>[2]หน้าผ้า!DL241</f>
        <v>P10</v>
      </c>
      <c r="AI232" s="1">
        <f>[2]หน้าผ้า!DM241</f>
        <v>3</v>
      </c>
      <c r="AJ232" s="3">
        <f>[2]หน้าผ้า!DN241</f>
        <v>0</v>
      </c>
      <c r="AK232" s="3">
        <f>[2]หน้าผ้า!DQ241</f>
        <v>-3</v>
      </c>
      <c r="AL232" s="3">
        <f>[2]หน้าผ้า!DR241</f>
        <v>-9</v>
      </c>
      <c r="AM232" s="3">
        <f>[2]หน้าผ้า!DS241</f>
        <v>-2</v>
      </c>
      <c r="AN232" s="3">
        <f>[2]หน้าผ้า!DT241</f>
        <v>0</v>
      </c>
      <c r="AO232" s="3">
        <f>[2]หน้าผ้า!DU241</f>
        <v>-1</v>
      </c>
      <c r="AP232" s="3">
        <f>[2]หน้าผ้า!DP241</f>
        <v>-5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 t="str">
        <f>[2]หน้าผ้า!AA242</f>
        <v xml:space="preserve"> </v>
      </c>
      <c r="V233" s="10" t="str">
        <f>[2]หน้าผ้า!AJ242</f>
        <v>.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 t="str">
        <f>[2]หน้าผ้า!DM242</f>
        <v>Lead time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-5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 t="str">
        <f>[2]หน้าผ้า!DL243</f>
        <v>P5.2</v>
      </c>
      <c r="AI234" s="1">
        <f>[2]หน้าผ้า!DM243</f>
        <v>4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-11</v>
      </c>
      <c r="AM234" s="3">
        <f>[2]หน้าผ้า!DS243</f>
        <v>-4</v>
      </c>
      <c r="AN234" s="3">
        <f>[2]หน้าผ้า!DT243</f>
        <v>-3</v>
      </c>
      <c r="AO234" s="3">
        <f>[2]หน้าผ้า!DU243</f>
        <v>-3</v>
      </c>
      <c r="AP234" s="3">
        <f>[2]หน้าผ้า!DP243</f>
        <v>-15</v>
      </c>
      <c r="AQ234" s="3">
        <f>[2]หน้าผ้า!DW243</f>
        <v>-2</v>
      </c>
      <c r="AR234" s="3">
        <f>[2]หน้าผ้า!DX243</f>
        <v>-1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 t="str">
        <f>[2]หน้าผ้า!DL244</f>
        <v>P5.3</v>
      </c>
      <c r="AI235" s="1">
        <f>[2]หน้าผ้า!DM244</f>
        <v>6</v>
      </c>
      <c r="AJ235" s="3">
        <f>[2]หน้าผ้า!DN244</f>
        <v>0</v>
      </c>
      <c r="AK235" s="3">
        <f>[2]หน้าผ้า!DQ244</f>
        <v>-6</v>
      </c>
      <c r="AL235" s="3">
        <f>[2]หน้าผ้า!DR244</f>
        <v>-12</v>
      </c>
      <c r="AM235" s="3">
        <f>[2]หน้าผ้า!DS244</f>
        <v>-5</v>
      </c>
      <c r="AN235" s="3">
        <f>[2]หน้าผ้า!DT244</f>
        <v>-4</v>
      </c>
      <c r="AO235" s="3">
        <f>[2]หน้าผ้า!DU244</f>
        <v>-3</v>
      </c>
      <c r="AP235" s="3">
        <f>[2]หน้าผ้า!DP244</f>
        <v>-15</v>
      </c>
      <c r="AQ235" s="3">
        <f>[2]หน้าผ้า!DW244</f>
        <v>-2</v>
      </c>
      <c r="AR235" s="3">
        <f>[2]หน้าผ้า!DX244</f>
        <v>-1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 t="str">
        <f>[2]หน้าผ้า!H261</f>
        <v xml:space="preserve"> 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I575" activeCellId="1" sqref="A6:XFD574 F575:I576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163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181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166</v>
      </c>
      <c r="F6" t="s">
        <v>182</v>
      </c>
      <c r="G6" t="s">
        <v>149</v>
      </c>
    </row>
    <row r="7" spans="1:10" ht="20.25" customHeight="1" x14ac:dyDescent="0.2">
      <c r="A7" t="s">
        <v>287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143</v>
      </c>
      <c r="B8" s="59">
        <v>10000</v>
      </c>
      <c r="C8" s="59">
        <v>10500</v>
      </c>
      <c r="D8" s="59">
        <v>10000</v>
      </c>
      <c r="E8" s="59">
        <v>3198</v>
      </c>
      <c r="F8" s="59">
        <v>8801.1</v>
      </c>
      <c r="G8" s="59">
        <v>5603.1</v>
      </c>
      <c r="H8" s="59">
        <f t="shared" ref="H8:H25" si="0">+J8-I8</f>
        <v>5603.1</v>
      </c>
      <c r="J8" s="59">
        <f t="shared" ref="J8:J25" si="1">G8</f>
        <v>5603.1</v>
      </c>
    </row>
    <row r="9" spans="1:10" ht="20.25" customHeight="1" x14ac:dyDescent="0.2">
      <c r="A9" t="s">
        <v>186</v>
      </c>
      <c r="B9" s="59">
        <v>600000</v>
      </c>
      <c r="C9" s="59">
        <v>630000</v>
      </c>
      <c r="D9" s="59">
        <v>600000</v>
      </c>
      <c r="E9" s="59">
        <v>0</v>
      </c>
      <c r="F9" s="59">
        <v>528066</v>
      </c>
      <c r="G9" s="59">
        <v>528066</v>
      </c>
      <c r="H9" s="59">
        <f t="shared" si="0"/>
        <v>528066</v>
      </c>
      <c r="J9" s="59">
        <f t="shared" si="1"/>
        <v>528066</v>
      </c>
    </row>
    <row r="10" spans="1:10" ht="20.25" customHeight="1" x14ac:dyDescent="0.2">
      <c r="A10" t="s">
        <v>180</v>
      </c>
      <c r="B10" s="59">
        <v>10000</v>
      </c>
      <c r="C10" s="59">
        <v>10500</v>
      </c>
      <c r="D10" s="59">
        <v>10000</v>
      </c>
      <c r="E10" s="59">
        <v>0</v>
      </c>
      <c r="F10" s="59">
        <v>9359.9000000000015</v>
      </c>
      <c r="G10" s="59">
        <v>9359.9000000000015</v>
      </c>
      <c r="H10" s="59">
        <f t="shared" si="0"/>
        <v>9359.9000000000015</v>
      </c>
      <c r="J10" s="59">
        <f t="shared" si="1"/>
        <v>9359.9000000000015</v>
      </c>
    </row>
    <row r="11" spans="1:10" ht="20.25" customHeight="1" x14ac:dyDescent="0.2">
      <c r="A11" t="s">
        <v>79</v>
      </c>
      <c r="B11" s="59">
        <v>50000</v>
      </c>
      <c r="C11" s="59">
        <v>0</v>
      </c>
      <c r="D11" s="59">
        <v>50000</v>
      </c>
      <c r="E11" s="59">
        <v>9009</v>
      </c>
      <c r="F11" s="59">
        <v>55181.5</v>
      </c>
      <c r="G11" s="59">
        <v>46172.5</v>
      </c>
      <c r="H11" s="59">
        <f t="shared" si="0"/>
        <v>46172.5</v>
      </c>
      <c r="J11" s="59">
        <f t="shared" si="1"/>
        <v>46172.5</v>
      </c>
    </row>
    <row r="12" spans="1:10" ht="20.25" customHeight="1" x14ac:dyDescent="0.2">
      <c r="A12" t="s">
        <v>82</v>
      </c>
      <c r="B12" s="59">
        <v>110000</v>
      </c>
      <c r="C12" s="59">
        <v>115500</v>
      </c>
      <c r="D12" s="59">
        <v>110000</v>
      </c>
      <c r="E12" s="59">
        <v>0</v>
      </c>
      <c r="F12" s="59">
        <v>115252.50000000001</v>
      </c>
      <c r="G12" s="59">
        <v>115252.50000000001</v>
      </c>
      <c r="H12" s="59">
        <f t="shared" si="0"/>
        <v>115252.50000000001</v>
      </c>
      <c r="J12" s="59">
        <f t="shared" si="1"/>
        <v>115252.50000000001</v>
      </c>
    </row>
    <row r="13" spans="1:10" ht="20.25" customHeight="1" x14ac:dyDescent="0.2">
      <c r="A13" t="s">
        <v>81</v>
      </c>
      <c r="B13" s="59">
        <v>69250</v>
      </c>
      <c r="C13" s="59">
        <v>66150</v>
      </c>
      <c r="D13" s="59">
        <v>69183</v>
      </c>
      <c r="E13" s="59">
        <v>0</v>
      </c>
      <c r="F13" s="59">
        <v>68578.73000000001</v>
      </c>
      <c r="G13" s="59">
        <v>68578.73000000001</v>
      </c>
      <c r="H13" s="59">
        <f t="shared" si="0"/>
        <v>68578.73000000001</v>
      </c>
      <c r="J13" s="59">
        <f t="shared" si="1"/>
        <v>68578.73000000001</v>
      </c>
    </row>
    <row r="14" spans="1:10" ht="20.25" customHeight="1" x14ac:dyDescent="0.2">
      <c r="A14" t="s">
        <v>124</v>
      </c>
      <c r="B14" s="59">
        <v>71000</v>
      </c>
      <c r="C14" s="59">
        <v>74550</v>
      </c>
      <c r="D14" s="59">
        <v>71000</v>
      </c>
      <c r="E14" s="59">
        <v>0</v>
      </c>
      <c r="F14" s="59">
        <v>77743.050000000017</v>
      </c>
      <c r="G14" s="59">
        <v>77743.050000000017</v>
      </c>
      <c r="H14" s="59">
        <f t="shared" si="0"/>
        <v>77743.050000000017</v>
      </c>
      <c r="J14" s="59">
        <f t="shared" si="1"/>
        <v>77743.050000000017</v>
      </c>
    </row>
    <row r="15" spans="1:10" ht="20.25" customHeight="1" x14ac:dyDescent="0.2">
      <c r="A15" t="s">
        <v>101</v>
      </c>
      <c r="B15" s="59">
        <v>106278</v>
      </c>
      <c r="C15" s="59">
        <v>111591.90000000001</v>
      </c>
      <c r="D15" s="59">
        <v>106278</v>
      </c>
      <c r="E15" s="59">
        <v>0</v>
      </c>
      <c r="F15" s="59">
        <v>114322.18182000001</v>
      </c>
      <c r="G15" s="59">
        <v>114322.18182000001</v>
      </c>
      <c r="H15" s="59">
        <f t="shared" si="0"/>
        <v>114322.18182000001</v>
      </c>
      <c r="I15" s="59"/>
      <c r="J15" s="59">
        <f t="shared" si="1"/>
        <v>114322.18182000001</v>
      </c>
    </row>
    <row r="16" spans="1:10" ht="20.25" customHeight="1" x14ac:dyDescent="0.2">
      <c r="A16" t="s">
        <v>85</v>
      </c>
      <c r="B16" s="59">
        <v>50000</v>
      </c>
      <c r="C16" s="59">
        <v>10500</v>
      </c>
      <c r="D16" s="59">
        <v>50000</v>
      </c>
      <c r="E16" s="59">
        <v>0</v>
      </c>
      <c r="F16" s="59">
        <v>60490.100000000006</v>
      </c>
      <c r="G16" s="59">
        <v>60490.100000000006</v>
      </c>
      <c r="H16" s="59">
        <f t="shared" si="0"/>
        <v>60490.100000000006</v>
      </c>
      <c r="J16" s="59">
        <f t="shared" si="1"/>
        <v>60490.100000000006</v>
      </c>
    </row>
    <row r="17" spans="1:13" ht="20.25" customHeight="1" x14ac:dyDescent="0.2">
      <c r="A17" t="s">
        <v>223</v>
      </c>
      <c r="B17" s="59">
        <v>30000</v>
      </c>
      <c r="C17" s="59">
        <v>0</v>
      </c>
      <c r="D17" s="59">
        <v>30000</v>
      </c>
      <c r="E17" s="59">
        <v>6278</v>
      </c>
      <c r="F17" s="59">
        <v>37299.899999999994</v>
      </c>
      <c r="G17" s="59">
        <v>31021.899999999998</v>
      </c>
      <c r="H17" s="59">
        <v>0</v>
      </c>
      <c r="I17" s="59">
        <v>160000</v>
      </c>
      <c r="J17" s="59">
        <f>G17</f>
        <v>31021.899999999998</v>
      </c>
    </row>
    <row r="18" spans="1:13" ht="20.25" customHeight="1" x14ac:dyDescent="0.2">
      <c r="A18" t="s">
        <v>89</v>
      </c>
      <c r="B18" s="59">
        <v>20000</v>
      </c>
      <c r="C18" s="59">
        <v>21000</v>
      </c>
      <c r="D18" s="59">
        <v>20000</v>
      </c>
      <c r="E18" s="59">
        <v>7700</v>
      </c>
      <c r="F18" s="59">
        <v>24866.6</v>
      </c>
      <c r="G18" s="59">
        <v>17166.599999999999</v>
      </c>
      <c r="H18" s="59">
        <f t="shared" si="0"/>
        <v>17166.599999999999</v>
      </c>
      <c r="J18" s="59">
        <f t="shared" si="1"/>
        <v>17166.599999999999</v>
      </c>
    </row>
    <row r="19" spans="1:13" ht="20.25" customHeight="1" x14ac:dyDescent="0.2">
      <c r="A19" t="s">
        <v>97</v>
      </c>
      <c r="B19" s="59">
        <v>1131528</v>
      </c>
      <c r="C19" s="59">
        <v>1055541.8999999999</v>
      </c>
      <c r="D19" s="59">
        <v>1131461</v>
      </c>
      <c r="E19" s="59">
        <v>29557</v>
      </c>
      <c r="F19" s="59">
        <v>1103663.6118200002</v>
      </c>
      <c r="G19" s="59">
        <v>1074106.6118200002</v>
      </c>
      <c r="H19" s="59">
        <f t="shared" si="0"/>
        <v>1074106.6118200002</v>
      </c>
      <c r="J19" s="59">
        <f t="shared" si="1"/>
        <v>1074106.6118200002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2116861.2736400003</v>
      </c>
      <c r="J27" s="59">
        <f>SUM(J8:J25)</f>
        <v>2147883.1736400006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1193663.6118200002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2116861.2736400003</v>
      </c>
    </row>
    <row r="31" spans="1:13" ht="20.25" customHeight="1" x14ac:dyDescent="0.2">
      <c r="A31" t="s">
        <v>275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2116861.2736400003</v>
      </c>
      <c r="I33">
        <v>85</v>
      </c>
      <c r="J33" s="58">
        <f>+H33*I33</f>
        <v>179933208.25940001</v>
      </c>
      <c r="K33" s="58">
        <f>+J33/1000</f>
        <v>179933.20825940001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2206861.2736400003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147124.08490933335</v>
      </c>
      <c r="K35" s="59">
        <f>+K33+K31</f>
        <v>188483.20825940001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276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2912083.2736400003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15" sqref="F15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163</v>
      </c>
    </row>
    <row r="3" spans="1:13" x14ac:dyDescent="0.2">
      <c r="A3" s="57" t="s">
        <v>29</v>
      </c>
      <c r="B3" t="s">
        <v>163</v>
      </c>
    </row>
    <row r="4" spans="1:13" x14ac:dyDescent="0.2">
      <c r="A4" s="57" t="s">
        <v>42</v>
      </c>
      <c r="B4" t="s">
        <v>181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3" ht="20.25" customHeight="1" x14ac:dyDescent="0.2">
      <c r="A7" t="s">
        <v>138</v>
      </c>
      <c r="B7" s="59">
        <v>10000</v>
      </c>
      <c r="C7" s="59">
        <v>0</v>
      </c>
      <c r="D7" s="59">
        <v>10000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186</v>
      </c>
      <c r="B8" s="59">
        <v>90000</v>
      </c>
      <c r="C8" s="59">
        <v>41976.9</v>
      </c>
      <c r="D8" s="59">
        <v>74828</v>
      </c>
      <c r="E8" s="59">
        <v>40423.787580000004</v>
      </c>
      <c r="F8" s="59">
        <v>8801.1</v>
      </c>
      <c r="G8" s="59">
        <v>31622.687580000002</v>
      </c>
      <c r="H8" s="59">
        <f t="shared" ref="H8:H28" si="0">+J8-I8</f>
        <v>31622.687580000002</v>
      </c>
      <c r="J8" s="59">
        <f t="shared" ref="J8:J28" si="1">G8</f>
        <v>31622.687580000002</v>
      </c>
    </row>
    <row r="9" spans="1:13" ht="20.25" customHeight="1" x14ac:dyDescent="0.2">
      <c r="A9" t="s">
        <v>180</v>
      </c>
      <c r="B9" s="59">
        <v>118000</v>
      </c>
      <c r="C9" s="59">
        <v>54869.85</v>
      </c>
      <c r="D9" s="59">
        <v>118000</v>
      </c>
      <c r="E9" s="59">
        <v>45972.483683499995</v>
      </c>
      <c r="F9" s="59">
        <v>8242.3000000000011</v>
      </c>
      <c r="G9" s="59">
        <v>37730.183683499999</v>
      </c>
      <c r="H9" s="59">
        <f t="shared" si="0"/>
        <v>37730.183683499999</v>
      </c>
      <c r="J9" s="59">
        <f t="shared" si="1"/>
        <v>37730.183683499999</v>
      </c>
    </row>
    <row r="10" spans="1:13" ht="20.2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0</v>
      </c>
      <c r="G10" s="59">
        <v>8801.1</v>
      </c>
      <c r="H10" s="59">
        <f t="shared" si="0"/>
        <v>8801.1</v>
      </c>
      <c r="J10" s="59">
        <f t="shared" si="1"/>
        <v>8801.1</v>
      </c>
    </row>
    <row r="11" spans="1:13" ht="20.25" customHeight="1" x14ac:dyDescent="0.2">
      <c r="A11" t="s">
        <v>82</v>
      </c>
      <c r="B11" s="59">
        <v>193960</v>
      </c>
      <c r="C11" s="59">
        <v>70687.05</v>
      </c>
      <c r="D11" s="59">
        <v>193960</v>
      </c>
      <c r="E11" s="59">
        <v>74062.356637500008</v>
      </c>
      <c r="F11" s="59">
        <v>50571</v>
      </c>
      <c r="G11" s="59">
        <v>23491.356637500008</v>
      </c>
      <c r="H11" s="59">
        <f t="shared" si="0"/>
        <v>23491.356637500008</v>
      </c>
      <c r="J11" s="59">
        <f t="shared" si="1"/>
        <v>23491.356637500008</v>
      </c>
    </row>
    <row r="12" spans="1:13" ht="20.25" customHeight="1" x14ac:dyDescent="0.2">
      <c r="A12" t="s">
        <v>81</v>
      </c>
      <c r="B12" s="59">
        <v>142160</v>
      </c>
      <c r="C12" s="59">
        <v>123783.45</v>
      </c>
      <c r="D12" s="59">
        <v>139160</v>
      </c>
      <c r="E12" s="59">
        <v>123659.06973750002</v>
      </c>
      <c r="F12" s="59">
        <v>74605.089737500006</v>
      </c>
      <c r="G12" s="59">
        <v>49053.98000000001</v>
      </c>
      <c r="H12" s="59">
        <f t="shared" si="0"/>
        <v>49053.98000000001</v>
      </c>
      <c r="J12" s="59">
        <f t="shared" si="1"/>
        <v>49053.98000000001</v>
      </c>
      <c r="K12" s="58">
        <v>40000</v>
      </c>
      <c r="L12" s="58">
        <f>+K5*K12</f>
        <v>360000</v>
      </c>
      <c r="M12" s="59">
        <f>+L12-J12</f>
        <v>310946.02</v>
      </c>
    </row>
    <row r="13" spans="1:13" ht="20.25" customHeight="1" x14ac:dyDescent="0.2">
      <c r="A13" t="s">
        <v>124</v>
      </c>
      <c r="B13" s="59">
        <v>82000</v>
      </c>
      <c r="C13" s="59">
        <v>54153.75</v>
      </c>
      <c r="D13" s="59">
        <v>79000</v>
      </c>
      <c r="E13" s="59">
        <v>55670.991337500003</v>
      </c>
      <c r="F13" s="59">
        <v>17415.391337500001</v>
      </c>
      <c r="G13" s="59">
        <v>38255.600000000006</v>
      </c>
      <c r="H13" s="59">
        <f t="shared" si="0"/>
        <v>38255.600000000006</v>
      </c>
      <c r="J13" s="59">
        <f t="shared" si="1"/>
        <v>38255.600000000006</v>
      </c>
      <c r="K13" s="58">
        <v>14000</v>
      </c>
      <c r="L13" s="58">
        <f>+K13*K5</f>
        <v>126000</v>
      </c>
      <c r="M13" s="59">
        <f>+L13-J13</f>
        <v>87744.4</v>
      </c>
    </row>
    <row r="14" spans="1:13" ht="20.25" customHeight="1" x14ac:dyDescent="0.2">
      <c r="A14" t="s">
        <v>245</v>
      </c>
      <c r="B14" s="59">
        <v>8000</v>
      </c>
      <c r="C14" s="59">
        <v>0</v>
      </c>
      <c r="D14" s="59">
        <v>8000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84</v>
      </c>
      <c r="B15" s="59">
        <v>40000</v>
      </c>
      <c r="C15" s="59">
        <v>0</v>
      </c>
      <c r="D15" s="59">
        <v>40000</v>
      </c>
      <c r="E15" s="59">
        <v>0</v>
      </c>
      <c r="F15" s="59">
        <v>0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85</v>
      </c>
      <c r="B16" s="59">
        <v>12563</v>
      </c>
      <c r="C16" s="59">
        <v>8400</v>
      </c>
      <c r="D16" s="59">
        <v>8000</v>
      </c>
      <c r="E16" s="59">
        <v>9499.6</v>
      </c>
      <c r="F16" s="59">
        <v>6749.8</v>
      </c>
      <c r="G16" s="59">
        <v>2749.8</v>
      </c>
      <c r="H16" s="59">
        <f t="shared" si="0"/>
        <v>2749.8</v>
      </c>
      <c r="J16" s="59">
        <f t="shared" si="1"/>
        <v>2749.8</v>
      </c>
    </row>
    <row r="17" spans="1:13" ht="20.25" customHeight="1" x14ac:dyDescent="0.2">
      <c r="A17" t="s">
        <v>89</v>
      </c>
      <c r="B17" s="59">
        <v>10000</v>
      </c>
      <c r="C17" s="59">
        <v>0</v>
      </c>
      <c r="D17" s="59">
        <v>10000</v>
      </c>
      <c r="E17" s="59">
        <v>0</v>
      </c>
      <c r="F17" s="59">
        <v>0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132</v>
      </c>
      <c r="B18" s="59">
        <v>31500</v>
      </c>
      <c r="C18" s="59">
        <v>0</v>
      </c>
      <c r="D18" s="59">
        <v>10500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97</v>
      </c>
      <c r="B19" s="59">
        <v>748183</v>
      </c>
      <c r="C19" s="59">
        <v>353871</v>
      </c>
      <c r="D19" s="59">
        <v>701448</v>
      </c>
      <c r="E19" s="59">
        <v>358089.38897599996</v>
      </c>
      <c r="F19" s="59">
        <v>166384.681075</v>
      </c>
      <c r="G19" s="59">
        <v>191704.70790100002</v>
      </c>
      <c r="H19" s="59">
        <v>0</v>
      </c>
      <c r="I19" s="59">
        <v>54000</v>
      </c>
      <c r="J19" s="59">
        <f t="shared" si="1"/>
        <v>191704.70790100002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639794.09687699995</v>
      </c>
    </row>
    <row r="29" spans="1:13" ht="20.25" customHeight="1" x14ac:dyDescent="0.2">
      <c r="C29"/>
      <c r="H29" s="59">
        <f>SUM(H7:H28)</f>
        <v>191704.70790100002</v>
      </c>
      <c r="I29" s="59">
        <f t="shared" ref="I29:J29" si="2">SUM(I7:I28)</f>
        <v>54000</v>
      </c>
      <c r="J29" s="59">
        <f t="shared" si="2"/>
        <v>383409.41580200003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16294900.171585001</v>
      </c>
      <c r="K32" s="58">
        <f>+J32/1000</f>
        <v>16294.900171585001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281704.70790100005</v>
      </c>
      <c r="J35" s="59"/>
      <c r="K35" s="59">
        <f>+K32+K33</f>
        <v>24844.900171585003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283</v>
      </c>
      <c r="B37" s="58">
        <v>1565717</v>
      </c>
      <c r="C37"/>
      <c r="D37" s="59"/>
      <c r="H37">
        <v>15</v>
      </c>
      <c r="I37" s="58">
        <f>+H35/H37</f>
        <v>18780.313860066668</v>
      </c>
    </row>
    <row r="38" spans="1:14" ht="20.25" customHeight="1" x14ac:dyDescent="0.2">
      <c r="C38"/>
      <c r="N38" s="59">
        <f>+H35+N36</f>
        <v>986926.70790100005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tabSelected="1" zoomScale="80" zoomScaleNormal="80" workbookViewId="0">
      <selection activeCell="F13" sqref="F13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163</v>
      </c>
    </row>
    <row r="3" spans="1:11" x14ac:dyDescent="0.2">
      <c r="A3" s="57" t="s">
        <v>29</v>
      </c>
      <c r="B3" t="s">
        <v>163</v>
      </c>
    </row>
    <row r="4" spans="1:11" x14ac:dyDescent="0.2">
      <c r="A4" s="57" t="s">
        <v>42</v>
      </c>
      <c r="B4" t="s">
        <v>181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1" ht="16.5" customHeight="1" x14ac:dyDescent="0.2">
      <c r="A7" t="s">
        <v>143</v>
      </c>
      <c r="B7" s="59">
        <v>10000</v>
      </c>
      <c r="C7" s="59">
        <v>10500</v>
      </c>
      <c r="D7" s="59">
        <v>10000</v>
      </c>
      <c r="E7" s="59">
        <v>8801.1</v>
      </c>
      <c r="F7" s="59">
        <v>4000</v>
      </c>
      <c r="G7" s="59">
        <v>4801.1000000000004</v>
      </c>
      <c r="I7" s="59">
        <f>+K7-J7</f>
        <v>4801.1000000000004</v>
      </c>
      <c r="K7" s="59">
        <f>G7</f>
        <v>4801.1000000000004</v>
      </c>
    </row>
    <row r="8" spans="1:11" ht="16.5" customHeight="1" x14ac:dyDescent="0.2">
      <c r="A8" t="s">
        <v>82</v>
      </c>
      <c r="B8" s="59">
        <v>205000</v>
      </c>
      <c r="C8" s="59">
        <v>204750</v>
      </c>
      <c r="D8" s="77">
        <v>205000</v>
      </c>
      <c r="E8" s="59">
        <v>209759.55000000002</v>
      </c>
      <c r="F8" s="59">
        <v>148777.35</v>
      </c>
      <c r="G8" s="59">
        <v>60982.200000000012</v>
      </c>
      <c r="I8" s="59">
        <f t="shared" ref="I8:I25" si="0">+K8-J8</f>
        <v>60982.200000000012</v>
      </c>
      <c r="K8" s="59">
        <f t="shared" ref="K8:K25" si="1">G8</f>
        <v>60982.200000000012</v>
      </c>
    </row>
    <row r="9" spans="1:11" ht="16.5" customHeight="1" x14ac:dyDescent="0.2">
      <c r="A9" t="s">
        <v>101</v>
      </c>
      <c r="B9" s="59">
        <v>50800</v>
      </c>
      <c r="C9" s="59">
        <v>45024</v>
      </c>
      <c r="D9" s="59">
        <v>42880</v>
      </c>
      <c r="E9" s="59">
        <v>46125.587200000002</v>
      </c>
      <c r="F9" s="59">
        <v>0</v>
      </c>
      <c r="G9" s="59">
        <v>46125.587200000002</v>
      </c>
      <c r="I9" s="59">
        <f t="shared" si="0"/>
        <v>46125.587200000002</v>
      </c>
      <c r="K9" s="59">
        <f t="shared" si="1"/>
        <v>46125.587200000002</v>
      </c>
    </row>
    <row r="10" spans="1:11" ht="16.5" customHeight="1" x14ac:dyDescent="0.2">
      <c r="A10" t="s">
        <v>97</v>
      </c>
      <c r="B10" s="59">
        <v>265800</v>
      </c>
      <c r="C10" s="59">
        <v>260274</v>
      </c>
      <c r="D10" s="59">
        <v>257880</v>
      </c>
      <c r="E10" s="59">
        <v>264686.23720000003</v>
      </c>
      <c r="F10" s="59">
        <v>152777.35</v>
      </c>
      <c r="G10" s="59">
        <v>111908.88720000003</v>
      </c>
      <c r="I10" s="59">
        <f t="shared" si="0"/>
        <v>111908.88720000003</v>
      </c>
      <c r="K10" s="59">
        <f t="shared" si="1"/>
        <v>111908.88720000003</v>
      </c>
    </row>
    <row r="11" spans="1:11" ht="16.5" customHeight="1" x14ac:dyDescent="0.2">
      <c r="C11"/>
      <c r="I11" s="59">
        <f t="shared" si="0"/>
        <v>0</v>
      </c>
      <c r="K11" s="59">
        <f t="shared" si="1"/>
        <v>0</v>
      </c>
    </row>
    <row r="12" spans="1:11" ht="16.5" customHeight="1" x14ac:dyDescent="0.2">
      <c r="C12"/>
      <c r="I12" s="59">
        <f t="shared" si="0"/>
        <v>0</v>
      </c>
      <c r="K12" s="59">
        <f t="shared" si="1"/>
        <v>0</v>
      </c>
    </row>
    <row r="13" spans="1:11" ht="16.5" customHeight="1" x14ac:dyDescent="0.2">
      <c r="C13"/>
      <c r="I13" s="59">
        <f t="shared" si="0"/>
        <v>0</v>
      </c>
      <c r="K13" s="59">
        <f t="shared" si="1"/>
        <v>0</v>
      </c>
    </row>
    <row r="14" spans="1:11" ht="16.5" customHeight="1" x14ac:dyDescent="0.2">
      <c r="C14"/>
      <c r="I14" s="59">
        <f t="shared" si="0"/>
        <v>0</v>
      </c>
      <c r="K14" s="59">
        <f t="shared" si="1"/>
        <v>0</v>
      </c>
    </row>
    <row r="15" spans="1:11" ht="16.5" customHeight="1" x14ac:dyDescent="0.2">
      <c r="C15"/>
      <c r="I15" s="59">
        <f t="shared" si="0"/>
        <v>0</v>
      </c>
      <c r="K15" s="59">
        <f t="shared" si="1"/>
        <v>0</v>
      </c>
    </row>
    <row r="16" spans="1:11" ht="16.5" customHeight="1" x14ac:dyDescent="0.2">
      <c r="C16"/>
      <c r="I16" s="59">
        <f t="shared" si="0"/>
        <v>0</v>
      </c>
      <c r="K16" s="59">
        <f t="shared" si="1"/>
        <v>0</v>
      </c>
    </row>
    <row r="17" spans="3:11" ht="16.5" customHeight="1" x14ac:dyDescent="0.2">
      <c r="C17"/>
      <c r="I17" s="59">
        <v>0</v>
      </c>
      <c r="J17" s="59">
        <v>54000</v>
      </c>
      <c r="K17" s="59">
        <f t="shared" si="1"/>
        <v>0</v>
      </c>
    </row>
    <row r="18" spans="3:11" ht="16.5" customHeight="1" x14ac:dyDescent="0.2">
      <c r="C18"/>
      <c r="I18" s="59">
        <f t="shared" si="0"/>
        <v>0</v>
      </c>
      <c r="K18" s="59">
        <f t="shared" si="1"/>
        <v>0</v>
      </c>
    </row>
    <row r="19" spans="3:11" ht="16.5" customHeight="1" x14ac:dyDescent="0.2">
      <c r="C19"/>
      <c r="I19" s="59">
        <f t="shared" si="0"/>
        <v>0</v>
      </c>
      <c r="K19" s="59">
        <f t="shared" si="1"/>
        <v>0</v>
      </c>
    </row>
    <row r="20" spans="3:11" ht="16.5" customHeight="1" x14ac:dyDescent="0.2">
      <c r="C20"/>
      <c r="I20" s="59">
        <f t="shared" si="0"/>
        <v>0</v>
      </c>
      <c r="K20" s="59">
        <f t="shared" si="1"/>
        <v>0</v>
      </c>
    </row>
    <row r="21" spans="3:11" ht="16.5" customHeight="1" x14ac:dyDescent="0.2">
      <c r="C21"/>
      <c r="I21" s="59">
        <f t="shared" si="0"/>
        <v>0</v>
      </c>
      <c r="K21" s="59">
        <f t="shared" si="1"/>
        <v>0</v>
      </c>
    </row>
    <row r="22" spans="3:11" ht="16.5" customHeight="1" x14ac:dyDescent="0.2">
      <c r="C22"/>
      <c r="I22" s="59">
        <f t="shared" si="0"/>
        <v>0</v>
      </c>
      <c r="K22" s="59">
        <f t="shared" si="1"/>
        <v>0</v>
      </c>
    </row>
    <row r="23" spans="3:11" ht="16.5" customHeight="1" x14ac:dyDescent="0.2">
      <c r="C23"/>
      <c r="I23" s="59">
        <f t="shared" si="0"/>
        <v>0</v>
      </c>
      <c r="K23" s="59">
        <f t="shared" si="1"/>
        <v>0</v>
      </c>
    </row>
    <row r="24" spans="3:11" ht="16.5" customHeight="1" x14ac:dyDescent="0.2">
      <c r="C24"/>
      <c r="I24" s="59">
        <f t="shared" si="0"/>
        <v>0</v>
      </c>
      <c r="K24" s="59">
        <f t="shared" si="1"/>
        <v>0</v>
      </c>
    </row>
    <row r="25" spans="3:11" ht="16.5" customHeight="1" x14ac:dyDescent="0.2">
      <c r="C25"/>
      <c r="I25" s="59">
        <f t="shared" si="0"/>
        <v>0</v>
      </c>
      <c r="K25" s="59">
        <f t="shared" si="1"/>
        <v>0</v>
      </c>
    </row>
    <row r="26" spans="3:11" ht="16.5" customHeight="1" x14ac:dyDescent="0.2">
      <c r="C26"/>
      <c r="I26" s="59">
        <f>SUM(I7:I25)</f>
        <v>223817.77440000005</v>
      </c>
      <c r="J26" s="59">
        <f t="shared" ref="J26:K26" si="2">SUM(J7:J25)</f>
        <v>54000</v>
      </c>
      <c r="K26" s="59">
        <f t="shared" si="2"/>
        <v>223817.77440000005</v>
      </c>
    </row>
    <row r="27" spans="3:11" ht="16.5" customHeight="1" x14ac:dyDescent="0.2">
      <c r="C27"/>
      <c r="J27" s="58"/>
    </row>
    <row r="28" spans="3:11" ht="16.5" customHeight="1" x14ac:dyDescent="0.2">
      <c r="C28"/>
    </row>
    <row r="29" spans="3:11" ht="16.5" customHeight="1" x14ac:dyDescent="0.2">
      <c r="C29"/>
    </row>
    <row r="30" spans="3:11" ht="16.5" customHeight="1" x14ac:dyDescent="0.2">
      <c r="C30"/>
    </row>
    <row r="31" spans="3:11" ht="16.5" customHeight="1" x14ac:dyDescent="0.2">
      <c r="C31"/>
    </row>
    <row r="32" spans="3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323</v>
      </c>
      <c r="B37" s="58">
        <v>887615</v>
      </c>
      <c r="C37"/>
    </row>
    <row r="38" spans="1:11" ht="20.25" customHeight="1" x14ac:dyDescent="0.2">
      <c r="A38" t="s">
        <v>192</v>
      </c>
      <c r="B38" s="65">
        <f>++B25+B37</f>
        <v>887615</v>
      </c>
      <c r="C38"/>
    </row>
    <row r="39" spans="1:11" ht="20.25" customHeight="1" x14ac:dyDescent="0.2">
      <c r="A39" t="s">
        <v>141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197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20" sqref="D20"/>
    </sheetView>
  </sheetViews>
  <sheetFormatPr defaultRowHeight="14.25" x14ac:dyDescent="0.2"/>
  <cols>
    <col min="1" max="1" width="35.375" customWidth="1"/>
    <col min="2" max="2" width="22.6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163</v>
      </c>
    </row>
    <row r="2" spans="1:11" x14ac:dyDescent="0.2">
      <c r="A2" s="57" t="s">
        <v>29</v>
      </c>
      <c r="B2" t="s">
        <v>163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149</v>
      </c>
      <c r="I4" t="s">
        <v>244</v>
      </c>
    </row>
    <row r="5" spans="1:11" ht="20.25" customHeight="1" x14ac:dyDescent="0.2">
      <c r="A5" t="s">
        <v>138</v>
      </c>
      <c r="B5" t="s">
        <v>73</v>
      </c>
      <c r="C5" s="59">
        <v>10000</v>
      </c>
      <c r="D5" s="59">
        <v>0</v>
      </c>
      <c r="E5" s="59">
        <v>10000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317</v>
      </c>
      <c r="B6" s="61"/>
      <c r="C6" s="62">
        <v>10000</v>
      </c>
      <c r="D6" s="62">
        <v>0</v>
      </c>
      <c r="E6" s="62">
        <v>10000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324</v>
      </c>
      <c r="B7" t="s">
        <v>316</v>
      </c>
      <c r="C7" s="59">
        <v>24200</v>
      </c>
      <c r="D7" s="59">
        <v>25410</v>
      </c>
      <c r="E7" s="59">
        <v>24200</v>
      </c>
      <c r="F7" s="59">
        <v>15615</v>
      </c>
      <c r="G7" s="59">
        <v>2979.0700000000033</v>
      </c>
      <c r="H7" s="59">
        <f t="shared" si="0"/>
        <v>2979.0700000000033</v>
      </c>
    </row>
    <row r="8" spans="1:11" ht="20.25" customHeight="1" x14ac:dyDescent="0.2">
      <c r="A8" s="61" t="s">
        <v>335</v>
      </c>
      <c r="B8" s="61"/>
      <c r="C8" s="62">
        <v>24200</v>
      </c>
      <c r="D8" s="62">
        <v>25410</v>
      </c>
      <c r="E8" s="62">
        <v>24200</v>
      </c>
      <c r="F8" s="62">
        <v>15615</v>
      </c>
      <c r="G8" s="62">
        <v>2979.0700000000033</v>
      </c>
      <c r="H8" s="59">
        <f t="shared" si="0"/>
        <v>2979.0700000000033</v>
      </c>
    </row>
    <row r="9" spans="1:11" ht="20.25" customHeight="1" x14ac:dyDescent="0.2">
      <c r="A9" t="s">
        <v>186</v>
      </c>
      <c r="B9" t="s">
        <v>73</v>
      </c>
      <c r="C9" s="59">
        <v>90000</v>
      </c>
      <c r="D9" s="59">
        <v>41976.9</v>
      </c>
      <c r="E9" s="59">
        <v>74828</v>
      </c>
      <c r="F9" s="59">
        <v>8801.1</v>
      </c>
      <c r="G9" s="59">
        <v>31622.687580000002</v>
      </c>
      <c r="H9" s="59">
        <f t="shared" si="0"/>
        <v>31622.687580000002</v>
      </c>
    </row>
    <row r="10" spans="1:11" ht="20.25" customHeight="1" x14ac:dyDescent="0.2">
      <c r="A10" s="61" t="s">
        <v>270</v>
      </c>
      <c r="B10" s="61"/>
      <c r="C10" s="62">
        <v>90000</v>
      </c>
      <c r="D10" s="62">
        <v>41976.9</v>
      </c>
      <c r="E10" s="62">
        <v>74828</v>
      </c>
      <c r="F10" s="62">
        <v>8801.1</v>
      </c>
      <c r="G10" s="62">
        <v>31622.687580000002</v>
      </c>
      <c r="H10" s="59">
        <f t="shared" si="0"/>
        <v>31622.687580000002</v>
      </c>
    </row>
    <row r="11" spans="1:11" ht="20.25" customHeight="1" x14ac:dyDescent="0.2">
      <c r="A11" t="s">
        <v>180</v>
      </c>
      <c r="B11" t="s">
        <v>142</v>
      </c>
      <c r="C11" s="59">
        <v>60000</v>
      </c>
      <c r="D11" s="59">
        <v>12869.85</v>
      </c>
      <c r="E11" s="59">
        <v>60000</v>
      </c>
      <c r="F11" s="59">
        <v>0</v>
      </c>
      <c r="G11" s="59">
        <v>11326.8836835</v>
      </c>
      <c r="H11" s="59">
        <f t="shared" si="0"/>
        <v>11326.8836835</v>
      </c>
    </row>
    <row r="12" spans="1:11" ht="20.25" customHeight="1" x14ac:dyDescent="0.2">
      <c r="B12" t="s">
        <v>289</v>
      </c>
      <c r="C12" s="59">
        <v>28000</v>
      </c>
      <c r="D12" s="59">
        <v>10500</v>
      </c>
      <c r="E12" s="59">
        <v>28000</v>
      </c>
      <c r="F12" s="59">
        <v>8242.3000000000011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B13" t="s">
        <v>293</v>
      </c>
      <c r="C13" s="59">
        <v>30000</v>
      </c>
      <c r="D13" s="59">
        <v>31500</v>
      </c>
      <c r="E13" s="59">
        <v>30000</v>
      </c>
      <c r="F13" s="59">
        <v>0</v>
      </c>
      <c r="G13" s="59">
        <v>26403.300000000003</v>
      </c>
      <c r="H13" s="59">
        <f t="shared" si="0"/>
        <v>26403.300000000003</v>
      </c>
    </row>
    <row r="14" spans="1:11" ht="20.25" customHeight="1" x14ac:dyDescent="0.2">
      <c r="A14" s="61" t="s">
        <v>271</v>
      </c>
      <c r="B14" s="61"/>
      <c r="C14" s="62">
        <v>118000</v>
      </c>
      <c r="D14" s="62">
        <v>54869.85</v>
      </c>
      <c r="E14" s="62">
        <v>118000</v>
      </c>
      <c r="F14" s="62">
        <v>8242.3000000000011</v>
      </c>
      <c r="G14" s="62">
        <v>37730.183683499999</v>
      </c>
      <c r="H14" s="59">
        <f t="shared" si="0"/>
        <v>37730.183683499999</v>
      </c>
    </row>
    <row r="15" spans="1:11" ht="20.25" customHeight="1" x14ac:dyDescent="0.2">
      <c r="A15" t="s">
        <v>79</v>
      </c>
      <c r="B15" t="s">
        <v>185</v>
      </c>
      <c r="C15" s="59">
        <v>10000</v>
      </c>
      <c r="D15" s="59">
        <v>0</v>
      </c>
      <c r="E15" s="59">
        <v>10000</v>
      </c>
      <c r="F15" s="59">
        <v>0</v>
      </c>
      <c r="G15" s="59">
        <v>8801.1</v>
      </c>
      <c r="H15" s="59">
        <f t="shared" si="0"/>
        <v>8801.1</v>
      </c>
      <c r="I15" s="63"/>
      <c r="J15" s="63"/>
      <c r="K15" s="60"/>
    </row>
    <row r="16" spans="1:11" ht="20.25" customHeight="1" x14ac:dyDescent="0.2">
      <c r="A16" s="61" t="s">
        <v>313</v>
      </c>
      <c r="B16" s="61"/>
      <c r="C16" s="62">
        <v>10000</v>
      </c>
      <c r="D16" s="62">
        <v>0</v>
      </c>
      <c r="E16" s="62">
        <v>10000</v>
      </c>
      <c r="F16" s="62">
        <v>0</v>
      </c>
      <c r="G16" s="62">
        <v>8801.1</v>
      </c>
      <c r="H16" s="59">
        <f t="shared" si="0"/>
        <v>8801.1</v>
      </c>
    </row>
    <row r="17" spans="1:8" ht="20.25" customHeight="1" x14ac:dyDescent="0.2">
      <c r="A17" t="s">
        <v>82</v>
      </c>
      <c r="B17" t="s">
        <v>86</v>
      </c>
      <c r="C17" s="59">
        <v>65000</v>
      </c>
      <c r="D17" s="59">
        <v>0</v>
      </c>
      <c r="E17" s="59">
        <v>65000</v>
      </c>
      <c r="F17" s="59">
        <v>0</v>
      </c>
      <c r="G17" s="59">
        <v>0</v>
      </c>
      <c r="H17" s="59">
        <f t="shared" si="0"/>
        <v>0</v>
      </c>
    </row>
    <row r="18" spans="1:8" ht="20.25" customHeight="1" x14ac:dyDescent="0.2">
      <c r="B18" t="s">
        <v>147</v>
      </c>
      <c r="C18" s="59">
        <v>128960</v>
      </c>
      <c r="D18" s="59">
        <v>70687.05</v>
      </c>
      <c r="E18" s="59">
        <v>128960</v>
      </c>
      <c r="F18" s="59">
        <v>50571</v>
      </c>
      <c r="G18" s="59">
        <v>23491.356637500008</v>
      </c>
      <c r="H18" s="59">
        <f t="shared" si="0"/>
        <v>23491.356637500008</v>
      </c>
    </row>
    <row r="19" spans="1:8" ht="20.25" customHeight="1" x14ac:dyDescent="0.2">
      <c r="A19" s="61" t="s">
        <v>272</v>
      </c>
      <c r="B19" s="61"/>
      <c r="C19" s="62">
        <v>193960</v>
      </c>
      <c r="D19" s="62">
        <v>70687.05</v>
      </c>
      <c r="E19" s="62">
        <v>193960</v>
      </c>
      <c r="F19" s="62">
        <v>50571</v>
      </c>
      <c r="G19" s="62">
        <v>23491.356637500008</v>
      </c>
      <c r="H19" s="59">
        <f t="shared" si="0"/>
        <v>23491.356637500008</v>
      </c>
    </row>
    <row r="20" spans="1:8" ht="20.25" customHeight="1" x14ac:dyDescent="0.2">
      <c r="A20" t="s">
        <v>81</v>
      </c>
      <c r="B20" t="s">
        <v>86</v>
      </c>
      <c r="C20" s="59">
        <v>12000</v>
      </c>
      <c r="D20" s="59">
        <v>0</v>
      </c>
      <c r="E20" s="59">
        <v>9000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B21" t="s">
        <v>147</v>
      </c>
      <c r="C21" s="59">
        <v>130160</v>
      </c>
      <c r="D21" s="59">
        <v>123783.45</v>
      </c>
      <c r="E21" s="59">
        <v>130160</v>
      </c>
      <c r="F21" s="59">
        <v>74605.089737500006</v>
      </c>
      <c r="G21" s="59">
        <v>49053.98000000001</v>
      </c>
      <c r="H21" s="59">
        <f t="shared" si="0"/>
        <v>49053.98000000001</v>
      </c>
    </row>
    <row r="22" spans="1:8" ht="20.25" customHeight="1" x14ac:dyDescent="0.2">
      <c r="A22" s="61" t="s">
        <v>165</v>
      </c>
      <c r="B22" s="61"/>
      <c r="C22" s="62">
        <v>142160</v>
      </c>
      <c r="D22" s="62">
        <v>123783.45</v>
      </c>
      <c r="E22" s="62">
        <v>139160</v>
      </c>
      <c r="F22" s="62">
        <v>74605.089737500006</v>
      </c>
      <c r="G22" s="62">
        <v>49053.98000000001</v>
      </c>
      <c r="H22" s="59">
        <f t="shared" si="0"/>
        <v>49053.98000000001</v>
      </c>
    </row>
    <row r="23" spans="1:8" ht="20.25" customHeight="1" x14ac:dyDescent="0.2">
      <c r="A23" t="s">
        <v>124</v>
      </c>
      <c r="B23" t="s">
        <v>111</v>
      </c>
      <c r="C23" s="59">
        <v>3000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B24" t="s">
        <v>115</v>
      </c>
      <c r="C24" s="59">
        <v>60000</v>
      </c>
      <c r="D24" s="59">
        <v>40503.75</v>
      </c>
      <c r="E24" s="59">
        <v>60000</v>
      </c>
      <c r="F24" s="59">
        <v>14188.321337500001</v>
      </c>
      <c r="G24" s="59">
        <v>27498.700000000004</v>
      </c>
      <c r="H24" s="59">
        <f t="shared" si="0"/>
        <v>27498.700000000004</v>
      </c>
    </row>
    <row r="25" spans="1:8" ht="20.25" customHeight="1" x14ac:dyDescent="0.2">
      <c r="B25" t="s">
        <v>185</v>
      </c>
      <c r="C25" s="59">
        <v>10000</v>
      </c>
      <c r="D25" s="59">
        <v>10500</v>
      </c>
      <c r="E25" s="59">
        <v>10000</v>
      </c>
      <c r="F25" s="59">
        <v>0</v>
      </c>
      <c r="G25" s="59">
        <v>10756.900000000001</v>
      </c>
      <c r="H25" s="59">
        <f t="shared" si="0"/>
        <v>10756.900000000001</v>
      </c>
    </row>
    <row r="26" spans="1:8" ht="20.25" customHeight="1" x14ac:dyDescent="0.2">
      <c r="B26" t="s">
        <v>332</v>
      </c>
      <c r="C26" s="59">
        <v>6000</v>
      </c>
      <c r="D26" s="59">
        <v>0</v>
      </c>
      <c r="E26" s="59">
        <v>6000</v>
      </c>
      <c r="F26" s="59">
        <v>0</v>
      </c>
      <c r="G26" s="59">
        <v>0</v>
      </c>
      <c r="H26" s="59">
        <f t="shared" si="0"/>
        <v>0</v>
      </c>
    </row>
    <row r="27" spans="1:8" ht="20.25" customHeight="1" x14ac:dyDescent="0.2">
      <c r="B27" t="s">
        <v>331</v>
      </c>
      <c r="C27" s="59">
        <v>3000</v>
      </c>
      <c r="D27" s="59">
        <v>3150</v>
      </c>
      <c r="E27" s="59">
        <v>3000</v>
      </c>
      <c r="F27" s="59">
        <v>3227.07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205</v>
      </c>
      <c r="B28" s="61"/>
      <c r="C28" s="62">
        <v>82000</v>
      </c>
      <c r="D28" s="62">
        <v>54153.75</v>
      </c>
      <c r="E28" s="62">
        <v>79000</v>
      </c>
      <c r="F28" s="62">
        <v>17415.391337500001</v>
      </c>
      <c r="G28" s="62">
        <v>38255.600000000006</v>
      </c>
      <c r="H28" s="59">
        <f t="shared" si="0"/>
        <v>38255.600000000006</v>
      </c>
    </row>
    <row r="29" spans="1:8" ht="20.25" customHeight="1" x14ac:dyDescent="0.2">
      <c r="A29" t="s">
        <v>327</v>
      </c>
      <c r="B29" t="s">
        <v>316</v>
      </c>
      <c r="C29" s="59">
        <v>6600</v>
      </c>
      <c r="D29" s="59">
        <v>0</v>
      </c>
      <c r="E29" s="59">
        <v>6600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336</v>
      </c>
      <c r="B30" s="61"/>
      <c r="C30" s="62">
        <v>6600</v>
      </c>
      <c r="D30" s="62">
        <v>0</v>
      </c>
      <c r="E30" s="62">
        <v>6600</v>
      </c>
      <c r="F30" s="62">
        <v>0</v>
      </c>
      <c r="G30" s="62">
        <v>0</v>
      </c>
      <c r="H30" s="59">
        <f t="shared" si="0"/>
        <v>0</v>
      </c>
    </row>
    <row r="31" spans="1:8" ht="20.25" customHeight="1" x14ac:dyDescent="0.2">
      <c r="A31" t="s">
        <v>245</v>
      </c>
      <c r="B31" t="s">
        <v>309</v>
      </c>
      <c r="C31" s="59">
        <v>8000</v>
      </c>
      <c r="D31" s="59">
        <v>0</v>
      </c>
      <c r="E31" s="59">
        <v>8000</v>
      </c>
      <c r="F31" s="59">
        <v>0</v>
      </c>
      <c r="G31" s="59">
        <v>0</v>
      </c>
      <c r="H31" s="59">
        <f t="shared" si="0"/>
        <v>0</v>
      </c>
    </row>
    <row r="32" spans="1:8" ht="20.25" customHeight="1" x14ac:dyDescent="0.2">
      <c r="A32" s="61" t="s">
        <v>284</v>
      </c>
      <c r="B32" s="61"/>
      <c r="C32" s="62">
        <v>8000</v>
      </c>
      <c r="D32" s="62">
        <v>0</v>
      </c>
      <c r="E32" s="62">
        <v>8000</v>
      </c>
      <c r="F32" s="62">
        <v>0</v>
      </c>
      <c r="G32" s="62">
        <v>0</v>
      </c>
      <c r="H32" s="59">
        <f t="shared" si="0"/>
        <v>0</v>
      </c>
    </row>
    <row r="33" spans="1:8" ht="20.25" customHeight="1" x14ac:dyDescent="0.2">
      <c r="A33" t="s">
        <v>84</v>
      </c>
      <c r="B33" t="s">
        <v>227</v>
      </c>
      <c r="C33" s="59">
        <v>40000</v>
      </c>
      <c r="D33" s="59">
        <v>0</v>
      </c>
      <c r="E33" s="59">
        <v>40000</v>
      </c>
      <c r="F33" s="59">
        <v>0</v>
      </c>
      <c r="G33" s="59">
        <v>0</v>
      </c>
      <c r="H33" s="59">
        <f t="shared" si="0"/>
        <v>0</v>
      </c>
    </row>
    <row r="34" spans="1:8" ht="20.25" customHeight="1" x14ac:dyDescent="0.2">
      <c r="A34" s="61" t="s">
        <v>273</v>
      </c>
      <c r="B34" s="61"/>
      <c r="C34" s="62">
        <v>40000</v>
      </c>
      <c r="D34" s="62">
        <v>0</v>
      </c>
      <c r="E34" s="62">
        <v>40000</v>
      </c>
      <c r="F34" s="62">
        <v>0</v>
      </c>
      <c r="G34" s="62">
        <v>0</v>
      </c>
      <c r="H34" s="59">
        <f t="shared" si="0"/>
        <v>0</v>
      </c>
    </row>
    <row r="35" spans="1:8" ht="20.25" customHeight="1" x14ac:dyDescent="0.2">
      <c r="A35" t="s">
        <v>85</v>
      </c>
      <c r="B35" t="s">
        <v>196</v>
      </c>
      <c r="C35" s="59">
        <v>8000</v>
      </c>
      <c r="D35" s="59">
        <v>8400</v>
      </c>
      <c r="E35" s="59">
        <v>8000</v>
      </c>
      <c r="F35" s="59">
        <v>6749.8</v>
      </c>
      <c r="G35" s="59">
        <v>2749.8</v>
      </c>
      <c r="H35" s="59">
        <f t="shared" si="0"/>
        <v>2749.8</v>
      </c>
    </row>
    <row r="36" spans="1:8" ht="20.25" customHeight="1" x14ac:dyDescent="0.2">
      <c r="B36" t="s">
        <v>145</v>
      </c>
      <c r="C36" s="59">
        <v>4563</v>
      </c>
      <c r="D36" s="59">
        <v>0</v>
      </c>
      <c r="E36" s="59">
        <v>0</v>
      </c>
      <c r="F36" s="59">
        <v>0</v>
      </c>
      <c r="G36" s="59">
        <v>0</v>
      </c>
      <c r="H36" s="59">
        <f t="shared" si="0"/>
        <v>0</v>
      </c>
    </row>
    <row r="37" spans="1:8" ht="20.25" customHeight="1" x14ac:dyDescent="0.2">
      <c r="A37" s="61" t="s">
        <v>213</v>
      </c>
      <c r="B37" s="61"/>
      <c r="C37" s="62">
        <v>12563</v>
      </c>
      <c r="D37" s="62">
        <v>8400</v>
      </c>
      <c r="E37" s="62">
        <v>8000</v>
      </c>
      <c r="F37" s="62">
        <v>6749.8</v>
      </c>
      <c r="G37" s="62">
        <v>2749.8</v>
      </c>
      <c r="H37" s="59">
        <f t="shared" si="0"/>
        <v>2749.8</v>
      </c>
    </row>
    <row r="38" spans="1:8" ht="20.25" customHeight="1" x14ac:dyDescent="0.2">
      <c r="A38" t="s">
        <v>89</v>
      </c>
      <c r="B38" t="s">
        <v>113</v>
      </c>
      <c r="C38" s="59">
        <v>10000</v>
      </c>
      <c r="D38" s="59">
        <v>0</v>
      </c>
      <c r="E38" s="59">
        <v>10000</v>
      </c>
      <c r="F38" s="59">
        <v>0</v>
      </c>
      <c r="G38" s="59">
        <v>0</v>
      </c>
      <c r="H38" s="59">
        <f t="shared" si="0"/>
        <v>0</v>
      </c>
    </row>
    <row r="39" spans="1:8" ht="20.25" customHeight="1" x14ac:dyDescent="0.2">
      <c r="A39" s="61" t="s">
        <v>206</v>
      </c>
      <c r="B39" s="61"/>
      <c r="C39" s="62">
        <v>10000</v>
      </c>
      <c r="D39" s="62">
        <v>0</v>
      </c>
      <c r="E39" s="62">
        <v>10000</v>
      </c>
      <c r="F39" s="62">
        <v>0</v>
      </c>
      <c r="G39" s="62">
        <v>0</v>
      </c>
      <c r="H39" s="59">
        <f t="shared" si="0"/>
        <v>0</v>
      </c>
    </row>
    <row r="40" spans="1:8" ht="20.25" customHeight="1" x14ac:dyDescent="0.2">
      <c r="A40" t="s">
        <v>132</v>
      </c>
      <c r="B40" t="s">
        <v>158</v>
      </c>
      <c r="C40" s="59">
        <v>31500</v>
      </c>
      <c r="D40" s="59">
        <v>0</v>
      </c>
      <c r="E40" s="59">
        <v>10500</v>
      </c>
      <c r="F40" s="59">
        <v>0</v>
      </c>
      <c r="G40" s="59">
        <v>0</v>
      </c>
      <c r="H40" s="59">
        <f t="shared" si="0"/>
        <v>0</v>
      </c>
    </row>
    <row r="41" spans="1:8" ht="20.25" customHeight="1" x14ac:dyDescent="0.2">
      <c r="A41" s="61" t="s">
        <v>274</v>
      </c>
      <c r="B41" s="61"/>
      <c r="C41" s="62">
        <v>31500</v>
      </c>
      <c r="D41" s="62">
        <v>0</v>
      </c>
      <c r="E41" s="62">
        <v>10500</v>
      </c>
      <c r="F41" s="62">
        <v>0</v>
      </c>
      <c r="G41" s="62">
        <v>0</v>
      </c>
      <c r="H41" s="59">
        <f t="shared" si="0"/>
        <v>0</v>
      </c>
    </row>
    <row r="42" spans="1:8" ht="20.25" customHeight="1" x14ac:dyDescent="0.2">
      <c r="A42" t="s">
        <v>302</v>
      </c>
      <c r="B42" t="s">
        <v>227</v>
      </c>
      <c r="C42" s="59">
        <v>15000</v>
      </c>
      <c r="D42" s="59">
        <v>15750</v>
      </c>
      <c r="E42" s="59">
        <v>15000</v>
      </c>
      <c r="F42" s="59">
        <v>2640</v>
      </c>
      <c r="G42" s="59">
        <v>12238.050000000001</v>
      </c>
      <c r="H42" s="59">
        <f t="shared" si="0"/>
        <v>12238.050000000001</v>
      </c>
    </row>
    <row r="43" spans="1:8" ht="20.25" customHeight="1" x14ac:dyDescent="0.2">
      <c r="A43" s="61" t="s">
        <v>337</v>
      </c>
      <c r="B43" s="61"/>
      <c r="C43" s="62">
        <v>15000</v>
      </c>
      <c r="D43" s="62">
        <v>15750</v>
      </c>
      <c r="E43" s="62">
        <v>15000</v>
      </c>
      <c r="F43" s="62">
        <v>2640</v>
      </c>
      <c r="G43" s="62">
        <v>12238.050000000001</v>
      </c>
      <c r="H43" s="59">
        <f t="shared" si="0"/>
        <v>12238.050000000001</v>
      </c>
    </row>
    <row r="44" spans="1:8" ht="20.25" customHeight="1" x14ac:dyDescent="0.2">
      <c r="A44" t="s">
        <v>97</v>
      </c>
      <c r="C44" s="59">
        <v>793983</v>
      </c>
      <c r="D44" s="59">
        <v>395031</v>
      </c>
      <c r="E44" s="59">
        <v>747248</v>
      </c>
      <c r="F44" s="59">
        <v>184639.681075</v>
      </c>
      <c r="G44" s="59">
        <v>206921.82790100001</v>
      </c>
      <c r="H44" s="59">
        <f t="shared" si="0"/>
        <v>206921.82790100001</v>
      </c>
    </row>
    <row r="45" spans="1:8" ht="20.25" customHeight="1" x14ac:dyDescent="0.2">
      <c r="C45"/>
      <c r="H45" s="59">
        <f t="shared" si="0"/>
        <v>0</v>
      </c>
    </row>
    <row r="46" spans="1:8" ht="20.25" customHeight="1" x14ac:dyDescent="0.2">
      <c r="C46"/>
      <c r="H46" s="59">
        <f t="shared" si="0"/>
        <v>0</v>
      </c>
    </row>
    <row r="47" spans="1:8" ht="20.25" customHeight="1" x14ac:dyDescent="0.2">
      <c r="C47"/>
      <c r="H47" s="59">
        <f t="shared" si="0"/>
        <v>0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620765.48370300012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12" sqref="D12"/>
    </sheetView>
  </sheetViews>
  <sheetFormatPr defaultRowHeight="14.25" x14ac:dyDescent="0.2"/>
  <cols>
    <col min="1" max="1" width="35.375" customWidth="1"/>
    <col min="2" max="2" width="14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141</v>
      </c>
    </row>
    <row r="2" spans="1:11" x14ac:dyDescent="0.2">
      <c r="A2" s="57" t="s">
        <v>29</v>
      </c>
      <c r="B2" t="s">
        <v>163</v>
      </c>
      <c r="D2">
        <v>12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182</v>
      </c>
      <c r="G4" t="s">
        <v>166</v>
      </c>
      <c r="H4" t="s">
        <v>149</v>
      </c>
    </row>
    <row r="5" spans="1:11" ht="20.25" customHeight="1" x14ac:dyDescent="0.2">
      <c r="A5" t="s">
        <v>97</v>
      </c>
      <c r="C5" s="59"/>
      <c r="D5" s="59"/>
      <c r="E5" s="59"/>
      <c r="F5" s="59"/>
      <c r="G5" s="59"/>
      <c r="H5" s="59"/>
      <c r="I5" s="59"/>
    </row>
    <row r="6" spans="1:11" ht="20.25" customHeight="1" x14ac:dyDescent="0.2">
      <c r="C6"/>
    </row>
    <row r="7" spans="1:11" ht="20.25" customHeight="1" x14ac:dyDescent="0.2">
      <c r="C7"/>
      <c r="I7" s="59"/>
      <c r="J7" s="59"/>
      <c r="K7" s="59"/>
    </row>
    <row r="8" spans="1:11" ht="20.25" customHeight="1" x14ac:dyDescent="0.2">
      <c r="C8"/>
      <c r="J8" s="59"/>
      <c r="K8" s="59"/>
    </row>
    <row r="9" spans="1:11" ht="20.25" customHeight="1" x14ac:dyDescent="0.2">
      <c r="C9"/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49" zoomScale="85" zoomScaleNormal="85" workbookViewId="0">
      <selection activeCell="F70" sqref="F7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163</v>
      </c>
    </row>
    <row r="2" spans="1:17" x14ac:dyDescent="0.2">
      <c r="A2" s="57" t="s">
        <v>29</v>
      </c>
      <c r="B2" t="s">
        <v>163</v>
      </c>
      <c r="D2">
        <v>12</v>
      </c>
      <c r="I2" t="s">
        <v>237</v>
      </c>
      <c r="J2" t="s">
        <v>244</v>
      </c>
      <c r="K2" t="s">
        <v>236</v>
      </c>
      <c r="P2" t="s">
        <v>238</v>
      </c>
    </row>
    <row r="4" spans="1:17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182</v>
      </c>
      <c r="H4" t="s">
        <v>149</v>
      </c>
    </row>
    <row r="5" spans="1:17" ht="20.25" customHeight="1" x14ac:dyDescent="0.2">
      <c r="A5" t="s">
        <v>392</v>
      </c>
      <c r="B5" t="s">
        <v>390</v>
      </c>
      <c r="C5" s="59">
        <v>10000</v>
      </c>
      <c r="D5" s="59">
        <v>10500</v>
      </c>
      <c r="E5" s="59">
        <v>10000</v>
      </c>
      <c r="F5" s="59">
        <v>5557</v>
      </c>
      <c r="G5" s="59">
        <v>6565.9000000000005</v>
      </c>
      <c r="H5" s="59">
        <v>1008.9000000000005</v>
      </c>
      <c r="I5" s="59">
        <f>H5</f>
        <v>1008.9000000000005</v>
      </c>
    </row>
    <row r="6" spans="1:17" ht="20.25" customHeight="1" x14ac:dyDescent="0.2">
      <c r="A6" s="61" t="s">
        <v>465</v>
      </c>
      <c r="B6" s="61"/>
      <c r="C6" s="62">
        <v>10000</v>
      </c>
      <c r="D6" s="62">
        <v>10500</v>
      </c>
      <c r="E6" s="62">
        <v>10000</v>
      </c>
      <c r="F6" s="62">
        <v>5557</v>
      </c>
      <c r="G6" s="62">
        <v>6565.9000000000005</v>
      </c>
      <c r="H6" s="62">
        <v>1008.9000000000005</v>
      </c>
      <c r="I6" s="59"/>
    </row>
    <row r="7" spans="1:17" ht="20.25" customHeight="1" x14ac:dyDescent="0.2">
      <c r="A7" t="s">
        <v>308</v>
      </c>
      <c r="B7" t="s">
        <v>504</v>
      </c>
      <c r="C7" s="59">
        <v>5000</v>
      </c>
      <c r="D7" s="59">
        <v>5250</v>
      </c>
      <c r="E7" s="59">
        <v>5000</v>
      </c>
      <c r="F7" s="59">
        <v>3702.0499999999997</v>
      </c>
      <c r="G7" s="59">
        <v>3702.0499999999997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553</v>
      </c>
      <c r="B8" s="61"/>
      <c r="C8" s="62">
        <v>5000</v>
      </c>
      <c r="D8" s="62">
        <v>5250</v>
      </c>
      <c r="E8" s="62">
        <v>5000</v>
      </c>
      <c r="F8" s="62">
        <v>3702.0499999999997</v>
      </c>
      <c r="G8" s="62">
        <v>3702.0499999999997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139</v>
      </c>
      <c r="B9" t="s">
        <v>243</v>
      </c>
      <c r="C9" s="59">
        <v>15000</v>
      </c>
      <c r="D9" s="59">
        <v>15750</v>
      </c>
      <c r="E9" s="59">
        <v>15000</v>
      </c>
      <c r="F9" s="59">
        <v>6301</v>
      </c>
      <c r="G9" s="59">
        <v>13201.65</v>
      </c>
      <c r="H9" s="59">
        <v>6900.65</v>
      </c>
      <c r="I9" s="59">
        <f t="shared" si="0"/>
        <v>6900.65</v>
      </c>
    </row>
    <row r="10" spans="1:17" ht="20.25" customHeight="1" x14ac:dyDescent="0.2">
      <c r="A10" s="61" t="s">
        <v>348</v>
      </c>
      <c r="B10" s="61"/>
      <c r="C10" s="62">
        <v>15000</v>
      </c>
      <c r="D10" s="62">
        <v>15750</v>
      </c>
      <c r="E10" s="62">
        <v>15000</v>
      </c>
      <c r="F10" s="62">
        <v>6301</v>
      </c>
      <c r="G10" s="62">
        <v>13201.65</v>
      </c>
      <c r="H10" s="62">
        <v>6900.65</v>
      </c>
      <c r="I10" s="59">
        <f t="shared" si="0"/>
        <v>6900.65</v>
      </c>
    </row>
    <row r="11" spans="1:17" ht="20.25" customHeight="1" x14ac:dyDescent="0.2">
      <c r="A11" t="s">
        <v>143</v>
      </c>
      <c r="B11" t="s">
        <v>339</v>
      </c>
      <c r="C11" s="59">
        <v>10000</v>
      </c>
      <c r="D11" s="59">
        <v>10500</v>
      </c>
      <c r="E11" s="59">
        <v>10000</v>
      </c>
      <c r="F11" s="59">
        <v>8242.3000000000011</v>
      </c>
      <c r="G11" s="59">
        <v>8242.3000000000011</v>
      </c>
      <c r="H11" s="59">
        <v>0</v>
      </c>
      <c r="I11" s="59"/>
    </row>
    <row r="12" spans="1:17" ht="20.25" customHeight="1" x14ac:dyDescent="0.2">
      <c r="A12" s="61" t="s">
        <v>466</v>
      </c>
      <c r="B12" s="61"/>
      <c r="C12" s="62">
        <v>10000</v>
      </c>
      <c r="D12" s="62">
        <v>10500</v>
      </c>
      <c r="E12" s="62">
        <v>10000</v>
      </c>
      <c r="F12" s="62">
        <v>8242.3000000000011</v>
      </c>
      <c r="G12" s="62">
        <v>8242.3000000000011</v>
      </c>
      <c r="H12" s="62">
        <v>0</v>
      </c>
      <c r="I12" s="59">
        <f t="shared" si="0"/>
        <v>0</v>
      </c>
    </row>
    <row r="13" spans="1:17" ht="20.25" customHeight="1" x14ac:dyDescent="0.2">
      <c r="A13" t="s">
        <v>186</v>
      </c>
      <c r="B13" t="s">
        <v>73</v>
      </c>
      <c r="C13" s="59">
        <v>473000</v>
      </c>
      <c r="D13" s="59">
        <v>391650</v>
      </c>
      <c r="E13" s="59">
        <v>473000</v>
      </c>
      <c r="F13" s="59">
        <v>2854</v>
      </c>
      <c r="G13" s="59">
        <v>350633.03</v>
      </c>
      <c r="H13" s="59">
        <v>347779.03</v>
      </c>
      <c r="I13" s="59"/>
    </row>
    <row r="14" spans="1:17" ht="20.25" customHeight="1" x14ac:dyDescent="0.2">
      <c r="A14" s="61" t="s">
        <v>270</v>
      </c>
      <c r="B14" s="61"/>
      <c r="C14" s="62">
        <v>473000</v>
      </c>
      <c r="D14" s="62">
        <v>391650</v>
      </c>
      <c r="E14" s="62">
        <v>473000</v>
      </c>
      <c r="F14" s="62">
        <v>2854</v>
      </c>
      <c r="G14" s="62">
        <v>350633.03</v>
      </c>
      <c r="H14" s="62">
        <v>347779.03</v>
      </c>
      <c r="I14" s="59">
        <f t="shared" si="0"/>
        <v>347779.03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180</v>
      </c>
      <c r="B15" t="s">
        <v>142</v>
      </c>
      <c r="C15" s="59">
        <v>70000</v>
      </c>
      <c r="D15" s="59">
        <v>0</v>
      </c>
      <c r="E15" s="59">
        <v>14790</v>
      </c>
      <c r="F15" s="59">
        <v>0</v>
      </c>
      <c r="G15" s="59">
        <v>0</v>
      </c>
      <c r="H15" s="59">
        <v>0</v>
      </c>
      <c r="I15" s="59"/>
    </row>
    <row r="16" spans="1:17" ht="20.25" customHeight="1" x14ac:dyDescent="0.2">
      <c r="B16" t="s">
        <v>233</v>
      </c>
      <c r="C16" s="59">
        <v>10000</v>
      </c>
      <c r="D16" s="59">
        <v>10500</v>
      </c>
      <c r="E16" s="59">
        <v>10000</v>
      </c>
      <c r="F16" s="59">
        <v>0</v>
      </c>
      <c r="G16" s="59">
        <v>9359.9000000000015</v>
      </c>
      <c r="H16" s="59">
        <v>9359.9000000000015</v>
      </c>
      <c r="I16" s="59">
        <f t="shared" si="0"/>
        <v>9359.9000000000015</v>
      </c>
    </row>
    <row r="17" spans="1:17" ht="20.25" customHeight="1" x14ac:dyDescent="0.2">
      <c r="B17" t="s">
        <v>293</v>
      </c>
      <c r="C17" s="59">
        <v>30000</v>
      </c>
      <c r="D17" s="59">
        <v>31500</v>
      </c>
      <c r="E17" s="59">
        <v>30000</v>
      </c>
      <c r="F17" s="59">
        <v>0</v>
      </c>
      <c r="G17" s="59">
        <v>26403.3</v>
      </c>
      <c r="H17" s="59">
        <v>26403.3</v>
      </c>
      <c r="I17" s="59">
        <f t="shared" si="0"/>
        <v>26403.3</v>
      </c>
    </row>
    <row r="18" spans="1:17" ht="20.25" customHeight="1" x14ac:dyDescent="0.2">
      <c r="A18" s="61" t="s">
        <v>271</v>
      </c>
      <c r="B18" s="61"/>
      <c r="C18" s="62">
        <v>110000</v>
      </c>
      <c r="D18" s="62">
        <v>42000</v>
      </c>
      <c r="E18" s="62">
        <v>54790</v>
      </c>
      <c r="F18" s="62">
        <v>0</v>
      </c>
      <c r="G18" s="62">
        <v>35763.199999999997</v>
      </c>
      <c r="H18" s="62">
        <v>35763.199999999997</v>
      </c>
      <c r="I18" s="59">
        <f t="shared" si="0"/>
        <v>35763.199999999997</v>
      </c>
      <c r="K18" s="59"/>
      <c r="L18" s="59"/>
      <c r="M18" s="59"/>
    </row>
    <row r="19" spans="1:17" ht="20.25" customHeight="1" x14ac:dyDescent="0.2">
      <c r="A19" t="s">
        <v>146</v>
      </c>
      <c r="B19" t="s">
        <v>340</v>
      </c>
      <c r="C19" s="59">
        <v>20000</v>
      </c>
      <c r="D19" s="59">
        <v>21000</v>
      </c>
      <c r="E19" s="59">
        <v>20000</v>
      </c>
      <c r="F19" s="59">
        <v>7658</v>
      </c>
      <c r="G19" s="59">
        <v>18719.800000000003</v>
      </c>
      <c r="H19" s="59">
        <v>11061.800000000003</v>
      </c>
      <c r="I19" s="59">
        <f t="shared" si="0"/>
        <v>11061.800000000003</v>
      </c>
      <c r="K19" s="59"/>
      <c r="L19" s="59"/>
      <c r="M19" s="59"/>
    </row>
    <row r="20" spans="1:17" ht="20.25" customHeight="1" x14ac:dyDescent="0.2">
      <c r="A20" s="61" t="s">
        <v>346</v>
      </c>
      <c r="B20" s="61"/>
      <c r="C20" s="62">
        <v>20000</v>
      </c>
      <c r="D20" s="62">
        <v>21000</v>
      </c>
      <c r="E20" s="62">
        <v>20000</v>
      </c>
      <c r="F20" s="62">
        <v>7658</v>
      </c>
      <c r="G20" s="62">
        <v>18719.800000000003</v>
      </c>
      <c r="H20" s="62">
        <v>11061.800000000003</v>
      </c>
      <c r="I20" s="59">
        <f t="shared" si="0"/>
        <v>11061.800000000003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82</v>
      </c>
      <c r="B21" t="s">
        <v>73</v>
      </c>
      <c r="C21" s="59">
        <v>5000</v>
      </c>
      <c r="D21" s="59">
        <v>5250</v>
      </c>
      <c r="E21" s="59">
        <v>5000</v>
      </c>
      <c r="F21" s="59">
        <v>4679.9500000000007</v>
      </c>
      <c r="G21" s="59">
        <v>4679.9500000000007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86</v>
      </c>
      <c r="C22" s="59">
        <v>60000</v>
      </c>
      <c r="D22" s="59">
        <v>52500</v>
      </c>
      <c r="E22" s="59">
        <v>50000</v>
      </c>
      <c r="F22" s="59">
        <v>53784.5</v>
      </c>
      <c r="G22" s="59">
        <v>53784.5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147</v>
      </c>
      <c r="C23" s="59">
        <v>150000</v>
      </c>
      <c r="D23" s="59">
        <v>157500</v>
      </c>
      <c r="E23" s="59">
        <v>150000</v>
      </c>
      <c r="F23" s="59">
        <v>0</v>
      </c>
      <c r="G23" s="59">
        <v>157162.5</v>
      </c>
      <c r="H23" s="59">
        <v>157162.5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272</v>
      </c>
      <c r="B24" s="61"/>
      <c r="C24" s="62">
        <v>215000</v>
      </c>
      <c r="D24" s="62">
        <v>215250</v>
      </c>
      <c r="E24" s="62">
        <v>205000</v>
      </c>
      <c r="F24" s="62">
        <v>58464.45</v>
      </c>
      <c r="G24" s="62">
        <v>215626.95</v>
      </c>
      <c r="H24" s="62">
        <v>157162.5</v>
      </c>
      <c r="I24" s="59">
        <f t="shared" si="0"/>
        <v>157162.5</v>
      </c>
    </row>
    <row r="25" spans="1:17" ht="20.25" customHeight="1" x14ac:dyDescent="0.2">
      <c r="A25" t="s">
        <v>81</v>
      </c>
      <c r="B25" t="s">
        <v>98</v>
      </c>
      <c r="C25" s="59">
        <v>40000</v>
      </c>
      <c r="D25" s="59">
        <v>42000</v>
      </c>
      <c r="E25" s="59">
        <v>40000</v>
      </c>
      <c r="F25" s="59">
        <v>0</v>
      </c>
      <c r="G25" s="59">
        <v>43027.600000000006</v>
      </c>
      <c r="H25" s="59">
        <v>43027.600000000006</v>
      </c>
      <c r="I25" s="59"/>
    </row>
    <row r="26" spans="1:17" ht="20.25" customHeight="1" x14ac:dyDescent="0.2">
      <c r="B26" t="s">
        <v>147</v>
      </c>
      <c r="C26" s="59">
        <v>144842</v>
      </c>
      <c r="D26" s="59">
        <v>114858.45</v>
      </c>
      <c r="E26" s="59">
        <v>136515</v>
      </c>
      <c r="F26" s="59">
        <v>9837.3247499999998</v>
      </c>
      <c r="G26" s="59">
        <v>114612.32475000001</v>
      </c>
      <c r="H26" s="59">
        <v>104775.00000000001</v>
      </c>
      <c r="I26" s="59">
        <f t="shared" si="0"/>
        <v>104775.00000000001</v>
      </c>
    </row>
    <row r="27" spans="1:17" ht="20.25" customHeight="1" x14ac:dyDescent="0.2">
      <c r="B27" t="s">
        <v>111</v>
      </c>
      <c r="C27" s="59">
        <v>6000</v>
      </c>
      <c r="D27" s="59">
        <v>6300</v>
      </c>
      <c r="E27" s="59">
        <v>6000</v>
      </c>
      <c r="F27" s="59">
        <v>6621.78</v>
      </c>
      <c r="G27" s="59">
        <v>6621.78</v>
      </c>
      <c r="H27" s="59">
        <v>0</v>
      </c>
      <c r="I27" s="59"/>
    </row>
    <row r="28" spans="1:17" ht="20.25" customHeight="1" x14ac:dyDescent="0.2">
      <c r="B28" t="s">
        <v>80</v>
      </c>
      <c r="C28" s="59">
        <v>35500</v>
      </c>
      <c r="D28" s="59">
        <v>26250</v>
      </c>
      <c r="E28" s="59">
        <v>25000</v>
      </c>
      <c r="F28" s="59">
        <v>5518.15</v>
      </c>
      <c r="G28" s="59">
        <v>27590.75</v>
      </c>
      <c r="H28" s="59">
        <v>22072.6</v>
      </c>
      <c r="I28" s="59">
        <f t="shared" si="0"/>
        <v>22072.6</v>
      </c>
    </row>
    <row r="29" spans="1:17" ht="20.25" customHeight="1" x14ac:dyDescent="0.2">
      <c r="B29" t="s">
        <v>394</v>
      </c>
      <c r="C29" s="59">
        <v>20000</v>
      </c>
      <c r="D29" s="59">
        <v>4152.75</v>
      </c>
      <c r="E29" s="59">
        <v>20000</v>
      </c>
      <c r="F29" s="59">
        <v>4118.9881425000003</v>
      </c>
      <c r="G29" s="59">
        <v>4118.9881425000003</v>
      </c>
      <c r="H29" s="59">
        <v>0</v>
      </c>
      <c r="I29" s="59">
        <f t="shared" si="0"/>
        <v>0</v>
      </c>
    </row>
    <row r="30" spans="1:17" ht="20.25" customHeight="1" x14ac:dyDescent="0.2">
      <c r="B30" t="s">
        <v>461</v>
      </c>
      <c r="C30" s="59">
        <v>2500</v>
      </c>
      <c r="D30" s="59">
        <v>1575</v>
      </c>
      <c r="E30" s="59">
        <v>2500</v>
      </c>
      <c r="F30" s="59">
        <v>1487.8050000000001</v>
      </c>
      <c r="G30" s="59">
        <v>1487.8050000000001</v>
      </c>
      <c r="H30" s="59">
        <v>0</v>
      </c>
      <c r="I30" s="59">
        <f t="shared" si="0"/>
        <v>0</v>
      </c>
    </row>
    <row r="31" spans="1:17" ht="20.25" customHeight="1" x14ac:dyDescent="0.2">
      <c r="B31" t="s">
        <v>445</v>
      </c>
      <c r="C31" s="59">
        <v>10000</v>
      </c>
      <c r="D31" s="59">
        <v>10500</v>
      </c>
      <c r="E31" s="59">
        <v>10000</v>
      </c>
      <c r="F31" s="59">
        <v>8801.1</v>
      </c>
      <c r="G31" s="59">
        <v>8801.1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509</v>
      </c>
      <c r="C32" s="59">
        <v>55000</v>
      </c>
      <c r="D32" s="59">
        <v>57750</v>
      </c>
      <c r="E32" s="59">
        <v>55000</v>
      </c>
      <c r="F32" s="59">
        <v>32270.700000000004</v>
      </c>
      <c r="G32" s="59">
        <v>59162.950000000004</v>
      </c>
      <c r="H32" s="59">
        <v>26892.250000000004</v>
      </c>
      <c r="I32" s="59">
        <f t="shared" si="0"/>
        <v>26892.250000000004</v>
      </c>
      <c r="K32" s="68"/>
      <c r="L32" s="68"/>
      <c r="M32" s="68"/>
    </row>
    <row r="33" spans="1:16" ht="20.25" customHeight="1" x14ac:dyDescent="0.2">
      <c r="A33" s="61" t="s">
        <v>165</v>
      </c>
      <c r="B33" s="61"/>
      <c r="C33" s="62">
        <v>313842</v>
      </c>
      <c r="D33" s="62">
        <v>263386.2</v>
      </c>
      <c r="E33" s="62">
        <v>295015</v>
      </c>
      <c r="F33" s="62">
        <v>68655.847892499994</v>
      </c>
      <c r="G33" s="62">
        <v>265423.29789250001</v>
      </c>
      <c r="H33" s="62">
        <v>196767.45000000004</v>
      </c>
      <c r="I33" s="59">
        <f t="shared" si="0"/>
        <v>196767.45000000004</v>
      </c>
      <c r="K33" s="68"/>
      <c r="L33" s="68"/>
      <c r="M33" s="68"/>
    </row>
    <row r="34" spans="1:16" ht="20.25" customHeight="1" x14ac:dyDescent="0.2">
      <c r="A34" t="s">
        <v>124</v>
      </c>
      <c r="B34" t="s">
        <v>113</v>
      </c>
      <c r="C34" s="59">
        <v>8000</v>
      </c>
      <c r="D34" s="59">
        <v>8400</v>
      </c>
      <c r="E34" s="59">
        <v>8000</v>
      </c>
      <c r="F34" s="59">
        <v>0</v>
      </c>
      <c r="G34" s="59">
        <v>8605.52</v>
      </c>
      <c r="H34" s="59">
        <v>8605.52</v>
      </c>
      <c r="I34" s="59">
        <f t="shared" si="0"/>
        <v>8605.52</v>
      </c>
      <c r="J34" s="63"/>
      <c r="K34" s="68"/>
      <c r="L34" s="68"/>
      <c r="M34" s="68"/>
      <c r="P34" s="60"/>
    </row>
    <row r="35" spans="1:16" ht="20.25" customHeight="1" x14ac:dyDescent="0.2">
      <c r="B35" t="s">
        <v>111</v>
      </c>
      <c r="C35" s="59">
        <v>16000</v>
      </c>
      <c r="D35" s="59">
        <v>16800</v>
      </c>
      <c r="E35" s="59">
        <v>16000</v>
      </c>
      <c r="F35" s="59">
        <v>10891.039999999999</v>
      </c>
      <c r="G35" s="59">
        <v>18105.120000000003</v>
      </c>
      <c r="H35" s="59">
        <v>7214.0800000000008</v>
      </c>
      <c r="I35" s="59">
        <f t="shared" si="0"/>
        <v>7214.0800000000008</v>
      </c>
    </row>
    <row r="36" spans="1:16" ht="20.25" customHeight="1" x14ac:dyDescent="0.2">
      <c r="B36" t="s">
        <v>80</v>
      </c>
      <c r="C36" s="59">
        <v>5000</v>
      </c>
      <c r="D36" s="59">
        <v>0</v>
      </c>
      <c r="E36" s="59">
        <v>232</v>
      </c>
      <c r="F36" s="59">
        <v>0</v>
      </c>
      <c r="G36" s="59">
        <v>0</v>
      </c>
      <c r="H36" s="59">
        <v>0</v>
      </c>
      <c r="I36" s="59">
        <f t="shared" si="0"/>
        <v>0</v>
      </c>
    </row>
    <row r="37" spans="1:16" ht="20.25" customHeight="1" x14ac:dyDescent="0.2">
      <c r="B37" t="s">
        <v>115</v>
      </c>
      <c r="C37" s="59">
        <v>285000</v>
      </c>
      <c r="D37" s="59">
        <v>220575.6</v>
      </c>
      <c r="E37" s="59">
        <v>212078</v>
      </c>
      <c r="F37" s="59">
        <v>42036.557164000005</v>
      </c>
      <c r="G37" s="59">
        <v>227589.75716400001</v>
      </c>
      <c r="H37" s="59">
        <v>185553.2</v>
      </c>
      <c r="I37" s="59">
        <f t="shared" si="0"/>
        <v>185553.2</v>
      </c>
    </row>
    <row r="38" spans="1:16" ht="20.25" customHeight="1" x14ac:dyDescent="0.2">
      <c r="B38" t="s">
        <v>185</v>
      </c>
      <c r="C38" s="59">
        <v>10000</v>
      </c>
      <c r="D38" s="59">
        <v>10500</v>
      </c>
      <c r="E38" s="59">
        <v>10000</v>
      </c>
      <c r="F38" s="59">
        <v>0</v>
      </c>
      <c r="G38" s="59">
        <v>10756.900000000001</v>
      </c>
      <c r="H38" s="59">
        <v>10756.900000000001</v>
      </c>
      <c r="I38" s="59">
        <f t="shared" si="0"/>
        <v>10756.900000000001</v>
      </c>
    </row>
    <row r="39" spans="1:16" ht="20.25" customHeight="1" x14ac:dyDescent="0.2">
      <c r="B39" t="s">
        <v>523</v>
      </c>
      <c r="C39" s="59">
        <v>5000</v>
      </c>
      <c r="D39" s="59">
        <v>5250</v>
      </c>
      <c r="E39" s="59">
        <v>5000</v>
      </c>
      <c r="F39" s="59">
        <v>5378.4500000000007</v>
      </c>
      <c r="G39" s="59">
        <v>5378.4500000000007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517</v>
      </c>
      <c r="C40" s="59">
        <v>10000</v>
      </c>
      <c r="D40" s="59">
        <v>10500</v>
      </c>
      <c r="E40" s="59">
        <v>10000</v>
      </c>
      <c r="F40" s="59">
        <v>0</v>
      </c>
      <c r="G40" s="59">
        <v>10756.900000000001</v>
      </c>
      <c r="H40" s="59">
        <v>10756.900000000001</v>
      </c>
      <c r="I40" s="59">
        <f t="shared" si="0"/>
        <v>10756.900000000001</v>
      </c>
    </row>
    <row r="41" spans="1:16" ht="20.25" customHeight="1" x14ac:dyDescent="0.2">
      <c r="B41" t="s">
        <v>546</v>
      </c>
      <c r="C41" s="59">
        <v>10000</v>
      </c>
      <c r="D41" s="59">
        <v>10500</v>
      </c>
      <c r="E41" s="59">
        <v>10000</v>
      </c>
      <c r="F41" s="59">
        <v>0</v>
      </c>
      <c r="G41" s="59">
        <v>10756.900000000001</v>
      </c>
      <c r="H41" s="59">
        <v>10756.900000000001</v>
      </c>
      <c r="I41" s="59"/>
    </row>
    <row r="42" spans="1:16" ht="20.25" customHeight="1" x14ac:dyDescent="0.2">
      <c r="A42" s="61" t="s">
        <v>205</v>
      </c>
      <c r="B42" s="61"/>
      <c r="C42" s="62">
        <v>349000</v>
      </c>
      <c r="D42" s="62">
        <v>282525.59999999998</v>
      </c>
      <c r="E42" s="62">
        <v>271310</v>
      </c>
      <c r="F42" s="62">
        <v>58306.047164000003</v>
      </c>
      <c r="G42" s="62">
        <v>291949.54716400011</v>
      </c>
      <c r="H42" s="62">
        <v>233643.5</v>
      </c>
      <c r="I42" s="59">
        <f t="shared" si="0"/>
        <v>233643.5</v>
      </c>
    </row>
    <row r="43" spans="1:16" ht="20.25" customHeight="1" x14ac:dyDescent="0.2">
      <c r="A43" t="s">
        <v>135</v>
      </c>
      <c r="B43" t="s">
        <v>185</v>
      </c>
      <c r="C43" s="59">
        <v>19000</v>
      </c>
      <c r="D43" s="59">
        <v>0</v>
      </c>
      <c r="E43" s="59">
        <v>19000</v>
      </c>
      <c r="F43" s="59">
        <v>0</v>
      </c>
      <c r="G43" s="59">
        <v>20968.97</v>
      </c>
      <c r="H43" s="59">
        <v>20968.97</v>
      </c>
      <c r="I43" s="59"/>
    </row>
    <row r="44" spans="1:16" ht="20.25" customHeight="1" x14ac:dyDescent="0.2">
      <c r="B44" t="s">
        <v>233</v>
      </c>
      <c r="C44" s="59">
        <v>10000</v>
      </c>
      <c r="D44" s="59">
        <v>10500</v>
      </c>
      <c r="E44" s="59">
        <v>10000</v>
      </c>
      <c r="F44" s="59">
        <v>7700</v>
      </c>
      <c r="G44" s="59">
        <v>9918.7000000000007</v>
      </c>
      <c r="H44" s="59">
        <v>2218.7000000000007</v>
      </c>
      <c r="I44" s="59">
        <f t="shared" si="0"/>
        <v>2218.7000000000007</v>
      </c>
    </row>
    <row r="45" spans="1:16" ht="20.25" customHeight="1" x14ac:dyDescent="0.2">
      <c r="A45" s="61" t="s">
        <v>347</v>
      </c>
      <c r="B45" s="61"/>
      <c r="C45" s="62">
        <v>29000</v>
      </c>
      <c r="D45" s="62">
        <v>10500</v>
      </c>
      <c r="E45" s="62">
        <v>29000</v>
      </c>
      <c r="F45" s="62">
        <v>7700</v>
      </c>
      <c r="G45" s="62">
        <v>30887.670000000002</v>
      </c>
      <c r="H45" s="62">
        <v>23187.670000000002</v>
      </c>
      <c r="I45" s="59">
        <f t="shared" si="0"/>
        <v>23187.670000000002</v>
      </c>
    </row>
    <row r="46" spans="1:16" ht="20.25" customHeight="1" x14ac:dyDescent="0.2">
      <c r="A46" t="s">
        <v>327</v>
      </c>
      <c r="B46" t="s">
        <v>544</v>
      </c>
      <c r="C46" s="59">
        <v>2000</v>
      </c>
      <c r="D46" s="59">
        <v>0</v>
      </c>
      <c r="E46" s="59">
        <v>2000</v>
      </c>
      <c r="F46" s="59">
        <v>2319.0200000000004</v>
      </c>
      <c r="G46" s="59">
        <v>2319.0200000000004</v>
      </c>
      <c r="H46" s="59">
        <v>0</v>
      </c>
      <c r="I46" s="69"/>
      <c r="J46" s="69">
        <v>74000</v>
      </c>
    </row>
    <row r="47" spans="1:16" ht="20.25" customHeight="1" x14ac:dyDescent="0.2">
      <c r="B47" t="s">
        <v>530</v>
      </c>
      <c r="C47" s="59">
        <v>8000</v>
      </c>
      <c r="D47" s="59">
        <v>8400</v>
      </c>
      <c r="E47" s="59">
        <v>8000</v>
      </c>
      <c r="F47" s="59">
        <v>7934.96</v>
      </c>
      <c r="G47" s="59">
        <v>7934.96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336</v>
      </c>
      <c r="B48" s="61"/>
      <c r="C48" s="62">
        <v>10000</v>
      </c>
      <c r="D48" s="62">
        <v>8400</v>
      </c>
      <c r="E48" s="62">
        <v>10000</v>
      </c>
      <c r="F48" s="62">
        <v>10253.98</v>
      </c>
      <c r="G48" s="62">
        <v>10253.98</v>
      </c>
      <c r="H48" s="62">
        <v>0</v>
      </c>
      <c r="I48" s="59">
        <f t="shared" si="0"/>
        <v>0</v>
      </c>
    </row>
    <row r="49" spans="1:16" ht="20.25" customHeight="1" x14ac:dyDescent="0.2">
      <c r="A49" t="s">
        <v>84</v>
      </c>
      <c r="B49" t="s">
        <v>259</v>
      </c>
      <c r="C49" s="59">
        <v>20000</v>
      </c>
      <c r="D49" s="59">
        <v>21000</v>
      </c>
      <c r="E49" s="59">
        <v>20000</v>
      </c>
      <c r="F49" s="59">
        <v>19837.400000000001</v>
      </c>
      <c r="G49" s="59">
        <v>19837.400000000001</v>
      </c>
      <c r="H49" s="59">
        <v>0</v>
      </c>
      <c r="I49" s="69"/>
      <c r="J49" s="70"/>
    </row>
    <row r="50" spans="1:16" ht="20.25" customHeight="1" x14ac:dyDescent="0.2">
      <c r="A50" s="61" t="s">
        <v>273</v>
      </c>
      <c r="B50" s="61"/>
      <c r="C50" s="62">
        <v>20000</v>
      </c>
      <c r="D50" s="62">
        <v>21000</v>
      </c>
      <c r="E50" s="62">
        <v>20000</v>
      </c>
      <c r="F50" s="62">
        <v>19837.400000000001</v>
      </c>
      <c r="G50" s="62">
        <v>19837.400000000001</v>
      </c>
      <c r="H50" s="62">
        <v>0</v>
      </c>
      <c r="I50" s="59"/>
    </row>
    <row r="51" spans="1:16" ht="20.25" customHeight="1" x14ac:dyDescent="0.2">
      <c r="A51" t="s">
        <v>85</v>
      </c>
      <c r="B51" t="s">
        <v>148</v>
      </c>
      <c r="C51" s="59">
        <v>40000</v>
      </c>
      <c r="D51" s="59">
        <v>0</v>
      </c>
      <c r="E51" s="59">
        <v>40000</v>
      </c>
      <c r="F51" s="59">
        <v>0</v>
      </c>
      <c r="G51" s="59">
        <v>48615.600000000006</v>
      </c>
      <c r="H51" s="59">
        <v>48615.600000000006</v>
      </c>
      <c r="I51" s="59">
        <f t="shared" si="0"/>
        <v>48615.600000000006</v>
      </c>
      <c r="J51" s="59"/>
    </row>
    <row r="52" spans="1:16" ht="20.25" customHeight="1" x14ac:dyDescent="0.2">
      <c r="B52" t="s">
        <v>196</v>
      </c>
      <c r="C52" s="59">
        <v>10000</v>
      </c>
      <c r="D52" s="59">
        <v>10500</v>
      </c>
      <c r="E52" s="59">
        <v>10000</v>
      </c>
      <c r="F52" s="59">
        <v>0</v>
      </c>
      <c r="G52" s="59">
        <v>11874.499999999998</v>
      </c>
      <c r="H52" s="59">
        <v>11874.499999999998</v>
      </c>
      <c r="I52" s="59">
        <f t="shared" si="0"/>
        <v>11874.499999999998</v>
      </c>
    </row>
    <row r="53" spans="1:16" ht="20.25" customHeight="1" x14ac:dyDescent="0.2">
      <c r="B53" t="s">
        <v>145</v>
      </c>
      <c r="C53" s="59">
        <v>8800</v>
      </c>
      <c r="D53" s="59">
        <v>0</v>
      </c>
      <c r="E53" s="59">
        <v>5300</v>
      </c>
      <c r="F53" s="59">
        <v>0</v>
      </c>
      <c r="G53" s="59">
        <v>5997.3209999999999</v>
      </c>
      <c r="H53" s="59">
        <v>5997.3209999999999</v>
      </c>
      <c r="I53" s="59"/>
    </row>
    <row r="54" spans="1:16" ht="20.25" customHeight="1" x14ac:dyDescent="0.2">
      <c r="A54" s="61" t="s">
        <v>213</v>
      </c>
      <c r="B54" s="61"/>
      <c r="C54" s="62">
        <v>58800</v>
      </c>
      <c r="D54" s="62">
        <v>10500</v>
      </c>
      <c r="E54" s="62">
        <v>55300</v>
      </c>
      <c r="F54" s="62">
        <v>0</v>
      </c>
      <c r="G54" s="62">
        <v>66487.421000000002</v>
      </c>
      <c r="H54" s="62">
        <v>66487.421000000002</v>
      </c>
      <c r="I54" s="59">
        <f t="shared" si="0"/>
        <v>66487.421000000002</v>
      </c>
    </row>
    <row r="55" spans="1:16" ht="20.25" customHeight="1" x14ac:dyDescent="0.2">
      <c r="A55" t="s">
        <v>157</v>
      </c>
      <c r="B55" t="s">
        <v>196</v>
      </c>
      <c r="C55" s="59">
        <v>16000</v>
      </c>
      <c r="D55" s="59">
        <v>8400</v>
      </c>
      <c r="E55" s="59">
        <v>16000</v>
      </c>
      <c r="F55" s="59">
        <v>9499.6</v>
      </c>
      <c r="G55" s="59">
        <v>9499.6</v>
      </c>
      <c r="H55" s="59">
        <v>0</v>
      </c>
      <c r="I55" s="59">
        <f t="shared" si="0"/>
        <v>0</v>
      </c>
      <c r="J55" s="59"/>
      <c r="K55" s="68"/>
      <c r="L55" s="68"/>
      <c r="M55" s="68"/>
    </row>
    <row r="56" spans="1:16" ht="20.25" customHeight="1" x14ac:dyDescent="0.2">
      <c r="A56" s="61" t="s">
        <v>468</v>
      </c>
      <c r="B56" s="61"/>
      <c r="C56" s="62">
        <v>16000</v>
      </c>
      <c r="D56" s="62">
        <v>8400</v>
      </c>
      <c r="E56" s="62">
        <v>16000</v>
      </c>
      <c r="F56" s="62">
        <v>9499.6</v>
      </c>
      <c r="G56" s="62">
        <v>9499.6</v>
      </c>
      <c r="H56" s="62">
        <v>0</v>
      </c>
      <c r="I56" s="69">
        <f>H56-J56</f>
        <v>-166000</v>
      </c>
      <c r="J56" s="69">
        <v>166000</v>
      </c>
    </row>
    <row r="57" spans="1:16" ht="20.25" customHeight="1" x14ac:dyDescent="0.2">
      <c r="A57" t="s">
        <v>223</v>
      </c>
      <c r="B57" t="s">
        <v>113</v>
      </c>
      <c r="C57" s="59">
        <v>20000</v>
      </c>
      <c r="D57" s="59">
        <v>0</v>
      </c>
      <c r="E57" s="59">
        <v>20000</v>
      </c>
      <c r="F57" s="59">
        <v>3896</v>
      </c>
      <c r="G57" s="59">
        <v>24866.6</v>
      </c>
      <c r="H57" s="59">
        <v>20970.599999999999</v>
      </c>
      <c r="I57" s="59"/>
      <c r="J57" s="59"/>
      <c r="K57" s="68"/>
      <c r="L57" s="68"/>
      <c r="M57" s="68"/>
      <c r="P57" s="60"/>
    </row>
    <row r="58" spans="1:16" ht="20.25" customHeight="1" x14ac:dyDescent="0.2">
      <c r="B58" t="s">
        <v>500</v>
      </c>
      <c r="C58" s="59">
        <v>10000</v>
      </c>
      <c r="D58" s="59">
        <v>10500</v>
      </c>
      <c r="E58" s="59">
        <v>10000</v>
      </c>
      <c r="F58" s="59">
        <v>11595.1</v>
      </c>
      <c r="G58" s="59">
        <v>11595.1</v>
      </c>
      <c r="H58" s="59">
        <v>0</v>
      </c>
      <c r="I58" s="59">
        <f t="shared" si="0"/>
        <v>0</v>
      </c>
    </row>
    <row r="59" spans="1:16" ht="20.25" customHeight="1" x14ac:dyDescent="0.2">
      <c r="A59" s="61" t="s">
        <v>228</v>
      </c>
      <c r="B59" s="61"/>
      <c r="C59" s="62">
        <v>30000</v>
      </c>
      <c r="D59" s="62">
        <v>10500</v>
      </c>
      <c r="E59" s="62">
        <v>30000</v>
      </c>
      <c r="F59" s="62">
        <v>15491.1</v>
      </c>
      <c r="G59" s="62">
        <v>36461.699999999997</v>
      </c>
      <c r="H59" s="62">
        <v>20970.599999999999</v>
      </c>
      <c r="I59" s="59">
        <f t="shared" si="0"/>
        <v>20970.599999999999</v>
      </c>
      <c r="J59" s="59"/>
    </row>
    <row r="60" spans="1:16" ht="20.25" customHeight="1" x14ac:dyDescent="0.2">
      <c r="A60" t="s">
        <v>89</v>
      </c>
      <c r="B60" t="s">
        <v>113</v>
      </c>
      <c r="C60" s="59">
        <v>30000</v>
      </c>
      <c r="D60" s="59">
        <v>0</v>
      </c>
      <c r="E60" s="59">
        <v>30000</v>
      </c>
      <c r="F60" s="59">
        <v>37299.899999999994</v>
      </c>
      <c r="G60" s="59">
        <v>37299.899999999994</v>
      </c>
      <c r="H60" s="59">
        <v>0</v>
      </c>
      <c r="I60" s="59">
        <f t="shared" si="0"/>
        <v>0</v>
      </c>
    </row>
    <row r="61" spans="1:16" ht="20.25" customHeight="1" x14ac:dyDescent="0.2">
      <c r="A61" s="61" t="s">
        <v>206</v>
      </c>
      <c r="B61" s="61"/>
      <c r="C61" s="62">
        <v>30000</v>
      </c>
      <c r="D61" s="62">
        <v>0</v>
      </c>
      <c r="E61" s="62">
        <v>30000</v>
      </c>
      <c r="F61" s="62">
        <v>37299.899999999994</v>
      </c>
      <c r="G61" s="62">
        <v>37299.899999999994</v>
      </c>
      <c r="H61" s="62">
        <v>0</v>
      </c>
      <c r="I61" s="59">
        <f t="shared" si="0"/>
        <v>0</v>
      </c>
    </row>
    <row r="62" spans="1:16" ht="20.25" customHeight="1" x14ac:dyDescent="0.2">
      <c r="A62" t="s">
        <v>132</v>
      </c>
      <c r="B62" t="s">
        <v>113</v>
      </c>
      <c r="C62" s="59">
        <v>10000</v>
      </c>
      <c r="D62" s="59">
        <v>0</v>
      </c>
      <c r="E62" s="59">
        <v>10000</v>
      </c>
      <c r="F62" s="59">
        <v>0</v>
      </c>
      <c r="G62" s="59">
        <v>13550.900000000001</v>
      </c>
      <c r="H62" s="59">
        <v>13550.900000000001</v>
      </c>
      <c r="I62" s="59">
        <f t="shared" si="0"/>
        <v>13550.900000000001</v>
      </c>
    </row>
    <row r="63" spans="1:16" ht="20.25" customHeight="1" x14ac:dyDescent="0.2">
      <c r="B63" t="s">
        <v>158</v>
      </c>
      <c r="C63" s="59">
        <v>50000</v>
      </c>
      <c r="D63" s="59">
        <v>23803.5</v>
      </c>
      <c r="E63" s="59">
        <v>41661</v>
      </c>
      <c r="F63" s="59">
        <v>5880</v>
      </c>
      <c r="G63" s="59">
        <v>28265.466075</v>
      </c>
      <c r="H63" s="59">
        <v>22385.466075</v>
      </c>
      <c r="I63" s="59"/>
    </row>
    <row r="64" spans="1:16" ht="20.25" customHeight="1" x14ac:dyDescent="0.2">
      <c r="A64" s="61" t="s">
        <v>274</v>
      </c>
      <c r="B64" s="61"/>
      <c r="C64" s="62">
        <v>60000</v>
      </c>
      <c r="D64" s="62">
        <v>23803.5</v>
      </c>
      <c r="E64" s="62">
        <v>51661</v>
      </c>
      <c r="F64" s="62">
        <v>5880</v>
      </c>
      <c r="G64" s="62">
        <v>41816.366074999998</v>
      </c>
      <c r="H64" s="62">
        <v>35936.366074999998</v>
      </c>
      <c r="I64" s="59">
        <f t="shared" si="0"/>
        <v>35936.366074999998</v>
      </c>
    </row>
    <row r="65" spans="1:11" ht="20.25" customHeight="1" x14ac:dyDescent="0.2">
      <c r="A65" t="s">
        <v>191</v>
      </c>
      <c r="B65" t="s">
        <v>251</v>
      </c>
      <c r="C65" s="59">
        <v>10000</v>
      </c>
      <c r="D65" s="59">
        <v>10500</v>
      </c>
      <c r="E65" s="59">
        <v>10000</v>
      </c>
      <c r="F65" s="59">
        <v>0</v>
      </c>
      <c r="G65" s="59">
        <v>9918.7000000000007</v>
      </c>
      <c r="H65" s="59">
        <v>9918.7000000000007</v>
      </c>
      <c r="I65" s="59">
        <f t="shared" si="0"/>
        <v>9918.7000000000007</v>
      </c>
    </row>
    <row r="66" spans="1:11" ht="20.25" customHeight="1" x14ac:dyDescent="0.2">
      <c r="A66" s="61" t="s">
        <v>464</v>
      </c>
      <c r="B66" s="61"/>
      <c r="C66" s="62">
        <v>10000</v>
      </c>
      <c r="D66" s="62">
        <v>10500</v>
      </c>
      <c r="E66" s="62">
        <v>10000</v>
      </c>
      <c r="F66" s="62">
        <v>0</v>
      </c>
      <c r="G66" s="62">
        <v>9918.7000000000007</v>
      </c>
      <c r="H66" s="62">
        <v>9918.7000000000007</v>
      </c>
      <c r="I66" s="59">
        <f t="shared" si="0"/>
        <v>9918.7000000000007</v>
      </c>
    </row>
    <row r="67" spans="1:11" ht="20.25" customHeight="1" x14ac:dyDescent="0.2">
      <c r="A67" t="s">
        <v>97</v>
      </c>
      <c r="C67" s="59">
        <v>1784642</v>
      </c>
      <c r="D67" s="59">
        <v>1361415.3</v>
      </c>
      <c r="E67" s="59">
        <v>1611076</v>
      </c>
      <c r="F67" s="59">
        <v>325702.67505650001</v>
      </c>
      <c r="G67" s="59">
        <v>1472290.4621314998</v>
      </c>
      <c r="H67" s="59">
        <v>1146587.7870749999</v>
      </c>
      <c r="I67" s="59"/>
    </row>
    <row r="68" spans="1:11" ht="20.25" customHeight="1" x14ac:dyDescent="0.2">
      <c r="C68"/>
      <c r="I68" s="59">
        <f t="shared" si="0"/>
        <v>0</v>
      </c>
    </row>
    <row r="69" spans="1:11" ht="20.25" customHeight="1" x14ac:dyDescent="0.2">
      <c r="C69"/>
      <c r="I69" s="59"/>
    </row>
    <row r="70" spans="1:11" ht="20.25" customHeight="1" x14ac:dyDescent="0.2">
      <c r="C70"/>
      <c r="I70" s="59">
        <f t="shared" ref="I70:I73" si="1">H70</f>
        <v>0</v>
      </c>
    </row>
    <row r="71" spans="1:11" ht="20.25" customHeight="1" x14ac:dyDescent="0.2">
      <c r="C71"/>
      <c r="I71" s="59"/>
    </row>
    <row r="72" spans="1:11" ht="20.25" customHeight="1" x14ac:dyDescent="0.2">
      <c r="C72"/>
      <c r="I72" s="59">
        <f t="shared" si="1"/>
        <v>0</v>
      </c>
    </row>
    <row r="73" spans="1:11" ht="20.25" customHeight="1" x14ac:dyDescent="0.2">
      <c r="C73"/>
      <c r="I73" s="59">
        <f t="shared" si="1"/>
        <v>0</v>
      </c>
    </row>
    <row r="74" spans="1:11" ht="20.25" customHeight="1" x14ac:dyDescent="0.2">
      <c r="C74"/>
      <c r="I74" s="59"/>
    </row>
    <row r="75" spans="1:11" ht="20.25" customHeight="1" x14ac:dyDescent="0.2">
      <c r="C75"/>
      <c r="I75" s="59">
        <f>SUM(I5:I74)</f>
        <v>1497118.2870749999</v>
      </c>
    </row>
    <row r="76" spans="1:11" ht="20.25" customHeight="1" x14ac:dyDescent="0.2">
      <c r="C76"/>
      <c r="I76" s="59"/>
    </row>
    <row r="77" spans="1:11" ht="20.25" customHeight="1" x14ac:dyDescent="0.2">
      <c r="C77"/>
      <c r="I77" s="59"/>
    </row>
    <row r="78" spans="1:11" ht="20.25" customHeight="1" x14ac:dyDescent="0.2">
      <c r="C78"/>
      <c r="I78" s="59"/>
    </row>
    <row r="79" spans="1:11" ht="20.25" customHeight="1" x14ac:dyDescent="0.2">
      <c r="C79"/>
      <c r="I79" s="65">
        <f>I75+I77</f>
        <v>1497118.2870749999</v>
      </c>
      <c r="J79">
        <v>16</v>
      </c>
      <c r="K79" s="58">
        <f>+I79*0.9779</f>
        <v>1464031.9729306423</v>
      </c>
    </row>
    <row r="80" spans="1:11" ht="20.25" customHeight="1" x14ac:dyDescent="0.2">
      <c r="C80"/>
      <c r="K80" s="58"/>
    </row>
    <row r="81" spans="3:11" ht="20.25" customHeight="1" x14ac:dyDescent="0.2">
      <c r="C81"/>
      <c r="I81" s="58">
        <f>+I79/J79</f>
        <v>93569.892942187493</v>
      </c>
      <c r="K81" s="58">
        <f>+K79*85</f>
        <v>124442717.69910459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124442.71769910459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9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176</v>
      </c>
      <c r="B122">
        <v>20700</v>
      </c>
      <c r="C122" s="58">
        <v>424374</v>
      </c>
    </row>
    <row r="123" spans="1:9" x14ac:dyDescent="0.2">
      <c r="A123" s="64" t="s">
        <v>176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9" x14ac:dyDescent="0.2">
      <c r="C127" s="65">
        <f>+C50+C121</f>
        <v>1995256</v>
      </c>
      <c r="D127" s="60">
        <f>+D121-D50</f>
        <v>1899000</v>
      </c>
      <c r="E127" s="60">
        <f>+E121-E50</f>
        <v>1900000</v>
      </c>
      <c r="F127" s="60">
        <f>+F121-F50</f>
        <v>805309.6</v>
      </c>
      <c r="G127" s="59">
        <f>+G121-G50</f>
        <v>1420162.6</v>
      </c>
    </row>
    <row r="128" spans="1:9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C19" sqref="C19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163</v>
      </c>
    </row>
    <row r="3" spans="1:12" x14ac:dyDescent="0.2">
      <c r="A3" s="57" t="s">
        <v>29</v>
      </c>
      <c r="B3" t="s">
        <v>163</v>
      </c>
    </row>
    <row r="4" spans="1:12" x14ac:dyDescent="0.2">
      <c r="A4" s="57" t="s">
        <v>42</v>
      </c>
      <c r="B4" t="s">
        <v>181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2" ht="20.25" customHeight="1" x14ac:dyDescent="0.2">
      <c r="A7" t="s">
        <v>392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5557</v>
      </c>
      <c r="G7" s="59">
        <v>1008.9000000000005</v>
      </c>
    </row>
    <row r="8" spans="1:12" ht="20.25" customHeight="1" x14ac:dyDescent="0.2">
      <c r="A8" t="s">
        <v>308</v>
      </c>
      <c r="B8" s="59">
        <v>5000</v>
      </c>
      <c r="C8" s="59">
        <v>5250</v>
      </c>
      <c r="D8" s="59">
        <v>5000</v>
      </c>
      <c r="E8" s="59">
        <v>3702.0499999999997</v>
      </c>
      <c r="F8" s="59">
        <v>3702.0499999999997</v>
      </c>
      <c r="G8" s="59">
        <v>0</v>
      </c>
    </row>
    <row r="9" spans="1:12" ht="20.25" customHeight="1" x14ac:dyDescent="0.2">
      <c r="A9" t="s">
        <v>143</v>
      </c>
      <c r="B9" s="59">
        <v>10000</v>
      </c>
      <c r="C9" s="59">
        <v>10500</v>
      </c>
      <c r="D9" s="59">
        <v>10000</v>
      </c>
      <c r="E9" s="59">
        <v>8242.3000000000011</v>
      </c>
      <c r="F9" s="59">
        <v>8242.3000000000011</v>
      </c>
      <c r="G9" s="59">
        <v>0</v>
      </c>
    </row>
    <row r="10" spans="1:12" ht="20.25" customHeight="1" x14ac:dyDescent="0.2">
      <c r="A10" t="s">
        <v>186</v>
      </c>
      <c r="B10" s="59">
        <v>198000</v>
      </c>
      <c r="C10" s="59">
        <v>102900</v>
      </c>
      <c r="D10" s="59">
        <v>198000</v>
      </c>
      <c r="E10" s="59">
        <v>108602.78000000001</v>
      </c>
      <c r="F10" s="59">
        <v>2854</v>
      </c>
      <c r="G10" s="59">
        <v>105748.78000000001</v>
      </c>
    </row>
    <row r="11" spans="1:12" ht="20.25" customHeight="1" x14ac:dyDescent="0.2">
      <c r="A11" t="s">
        <v>180</v>
      </c>
      <c r="B11" s="59">
        <v>70000</v>
      </c>
      <c r="C11" s="59">
        <v>0</v>
      </c>
      <c r="D11" s="59">
        <v>14790</v>
      </c>
      <c r="E11" s="59">
        <v>0</v>
      </c>
      <c r="F11" s="59">
        <v>0</v>
      </c>
      <c r="G11" s="59">
        <v>0</v>
      </c>
      <c r="L11">
        <f>76*2500</f>
        <v>190000</v>
      </c>
    </row>
    <row r="12" spans="1:12" ht="20.25" customHeight="1" x14ac:dyDescent="0.2">
      <c r="A12" t="s">
        <v>343</v>
      </c>
      <c r="B12" s="59">
        <v>1345000</v>
      </c>
      <c r="C12" s="59">
        <v>618123.45000000007</v>
      </c>
      <c r="D12" s="59">
        <v>1345000</v>
      </c>
      <c r="E12" s="59">
        <v>562935.53401365003</v>
      </c>
      <c r="F12" s="59">
        <v>73641.007366014645</v>
      </c>
      <c r="G12" s="59">
        <v>489294.52664763539</v>
      </c>
    </row>
    <row r="13" spans="1:12" ht="20.25" customHeight="1" x14ac:dyDescent="0.2">
      <c r="A13" t="s">
        <v>146</v>
      </c>
      <c r="B13" s="59">
        <v>20000</v>
      </c>
      <c r="C13" s="59">
        <v>21000</v>
      </c>
      <c r="D13" s="59">
        <v>20000</v>
      </c>
      <c r="E13" s="59">
        <v>18719.800000000003</v>
      </c>
      <c r="F13" s="59">
        <v>7658</v>
      </c>
      <c r="G13" s="59">
        <v>11061.800000000003</v>
      </c>
    </row>
    <row r="14" spans="1:12" ht="20.25" customHeight="1" x14ac:dyDescent="0.2">
      <c r="A14" t="s">
        <v>82</v>
      </c>
      <c r="B14" s="59">
        <v>65000</v>
      </c>
      <c r="C14" s="59">
        <v>57750</v>
      </c>
      <c r="D14" s="59">
        <v>55000</v>
      </c>
      <c r="E14" s="59">
        <v>58464.450000000004</v>
      </c>
      <c r="F14" s="59">
        <v>58464.450000000004</v>
      </c>
      <c r="G14" s="59">
        <v>0</v>
      </c>
    </row>
    <row r="15" spans="1:12" ht="20.25" customHeight="1" x14ac:dyDescent="0.2">
      <c r="A15" t="s">
        <v>81</v>
      </c>
      <c r="B15" s="59">
        <v>153842</v>
      </c>
      <c r="C15" s="59">
        <v>95386.2</v>
      </c>
      <c r="D15" s="59">
        <v>135015</v>
      </c>
      <c r="E15" s="59">
        <v>95548.097892500024</v>
      </c>
      <c r="F15" s="59">
        <v>68655.847892500009</v>
      </c>
      <c r="G15" s="59">
        <v>26892.250000000004</v>
      </c>
    </row>
    <row r="16" spans="1:12" ht="20.25" customHeight="1" x14ac:dyDescent="0.2">
      <c r="A16" t="s">
        <v>124</v>
      </c>
      <c r="B16" s="59">
        <v>219000</v>
      </c>
      <c r="C16" s="59">
        <v>146025.60000000001</v>
      </c>
      <c r="D16" s="59">
        <v>141310</v>
      </c>
      <c r="E16" s="59">
        <v>152109.84716400001</v>
      </c>
      <c r="F16" s="59">
        <v>58306.047164000003</v>
      </c>
      <c r="G16" s="59">
        <v>93803.800000000017</v>
      </c>
    </row>
    <row r="17" spans="1:7" ht="20.25" customHeight="1" x14ac:dyDescent="0.2">
      <c r="A17" t="s">
        <v>135</v>
      </c>
      <c r="B17" s="59">
        <v>29000</v>
      </c>
      <c r="C17" s="59">
        <v>10500</v>
      </c>
      <c r="D17" s="59">
        <v>29000</v>
      </c>
      <c r="E17" s="59">
        <v>30887.670000000002</v>
      </c>
      <c r="F17" s="59">
        <v>7700</v>
      </c>
      <c r="G17" s="59">
        <v>23187.670000000002</v>
      </c>
    </row>
    <row r="18" spans="1:7" ht="20.25" customHeight="1" x14ac:dyDescent="0.2">
      <c r="A18" t="s">
        <v>327</v>
      </c>
      <c r="B18" s="59">
        <v>10000</v>
      </c>
      <c r="C18" s="59">
        <v>8400</v>
      </c>
      <c r="D18" s="59">
        <v>10000</v>
      </c>
      <c r="E18" s="59">
        <v>10253.98</v>
      </c>
      <c r="F18" s="59">
        <v>10253.98</v>
      </c>
      <c r="G18" s="59">
        <v>0</v>
      </c>
    </row>
    <row r="19" spans="1:7" ht="20.25" customHeight="1" x14ac:dyDescent="0.2">
      <c r="A19" t="s">
        <v>280</v>
      </c>
      <c r="B19" s="59">
        <v>239700</v>
      </c>
      <c r="C19" s="59">
        <v>128625</v>
      </c>
      <c r="D19" s="59">
        <v>239700</v>
      </c>
      <c r="E19" s="59">
        <v>127579.27875</v>
      </c>
      <c r="F19" s="59">
        <v>37618</v>
      </c>
      <c r="G19" s="59">
        <v>89961.278749999998</v>
      </c>
    </row>
    <row r="20" spans="1:7" ht="20.25" customHeight="1" x14ac:dyDescent="0.2">
      <c r="A20" t="s">
        <v>101</v>
      </c>
      <c r="B20" s="59">
        <v>108000</v>
      </c>
      <c r="C20" s="59">
        <v>113400</v>
      </c>
      <c r="D20" s="59">
        <v>108000</v>
      </c>
      <c r="E20" s="59">
        <v>116174.52</v>
      </c>
      <c r="F20" s="59">
        <v>62765.26</v>
      </c>
      <c r="G20" s="59">
        <v>53409.26</v>
      </c>
    </row>
    <row r="21" spans="1:7" ht="20.25" customHeight="1" x14ac:dyDescent="0.2">
      <c r="A21" t="s">
        <v>85</v>
      </c>
      <c r="B21" s="59">
        <v>8800</v>
      </c>
      <c r="C21" s="59">
        <v>0</v>
      </c>
      <c r="D21" s="59">
        <v>5300</v>
      </c>
      <c r="E21" s="94">
        <v>5997.3209999999999</v>
      </c>
      <c r="F21" s="59">
        <v>0</v>
      </c>
      <c r="G21" s="59">
        <v>5997.3209999999999</v>
      </c>
    </row>
    <row r="22" spans="1:7" ht="20.25" customHeight="1" x14ac:dyDescent="0.2">
      <c r="A22" t="s">
        <v>157</v>
      </c>
      <c r="B22" s="59">
        <v>16000</v>
      </c>
      <c r="C22" s="59">
        <v>8400</v>
      </c>
      <c r="D22" s="59">
        <v>16000</v>
      </c>
      <c r="E22" s="59">
        <v>9499.6</v>
      </c>
      <c r="F22" s="59">
        <v>9499.6</v>
      </c>
      <c r="G22" s="59">
        <v>0</v>
      </c>
    </row>
    <row r="23" spans="1:7" ht="20.25" customHeight="1" x14ac:dyDescent="0.2">
      <c r="A23" t="s">
        <v>223</v>
      </c>
      <c r="B23" s="59">
        <v>10000</v>
      </c>
      <c r="C23" s="59">
        <v>10500</v>
      </c>
      <c r="D23" s="59">
        <v>10000</v>
      </c>
      <c r="E23" s="59">
        <v>11595.1</v>
      </c>
      <c r="F23" s="59">
        <v>11595.1</v>
      </c>
      <c r="G23" s="59">
        <v>0</v>
      </c>
    </row>
    <row r="24" spans="1:7" ht="20.25" customHeight="1" x14ac:dyDescent="0.2">
      <c r="A24" t="s">
        <v>89</v>
      </c>
      <c r="B24" s="59">
        <v>30000</v>
      </c>
      <c r="C24" s="59">
        <v>0</v>
      </c>
      <c r="D24" s="59">
        <v>30000</v>
      </c>
      <c r="E24" s="59">
        <v>37299.899999999994</v>
      </c>
      <c r="F24" s="59">
        <v>37299.899999999994</v>
      </c>
      <c r="G24" s="59">
        <v>0</v>
      </c>
    </row>
    <row r="25" spans="1:7" ht="20.25" customHeight="1" x14ac:dyDescent="0.2">
      <c r="A25" t="s">
        <v>132</v>
      </c>
      <c r="B25" s="59">
        <v>50000</v>
      </c>
      <c r="C25" s="59">
        <v>23803.5</v>
      </c>
      <c r="D25" s="59">
        <v>41661</v>
      </c>
      <c r="E25" s="59">
        <v>28265.466075</v>
      </c>
      <c r="F25" s="59">
        <v>5880</v>
      </c>
      <c r="G25" s="59">
        <v>22385.466075</v>
      </c>
    </row>
    <row r="26" spans="1:7" ht="20.25" customHeight="1" x14ac:dyDescent="0.2">
      <c r="A26" t="s">
        <v>97</v>
      </c>
      <c r="B26" s="59">
        <v>2597342</v>
      </c>
      <c r="C26" s="59">
        <v>1371063.75</v>
      </c>
      <c r="D26" s="59">
        <v>2423776</v>
      </c>
      <c r="E26" s="59">
        <v>1392443.5948951503</v>
      </c>
      <c r="F26" s="59">
        <v>469692.54242251464</v>
      </c>
      <c r="G26" s="59">
        <v>922751.05247263552</v>
      </c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261</v>
      </c>
      <c r="B37" s="58">
        <v>1287052</v>
      </c>
      <c r="C37"/>
      <c r="G37" s="59"/>
    </row>
    <row r="38" spans="1:9" ht="20.25" customHeight="1" x14ac:dyDescent="0.2">
      <c r="A38" t="s">
        <v>192</v>
      </c>
      <c r="B38" s="65">
        <f>++B22+B37</f>
        <v>1303052</v>
      </c>
      <c r="C38"/>
      <c r="G38" s="59"/>
    </row>
    <row r="39" spans="1:9" ht="20.25" customHeight="1" x14ac:dyDescent="0.2">
      <c r="A39" t="s">
        <v>141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197</v>
      </c>
      <c r="B41" s="59">
        <f>+B22+B37+B39+B29</f>
        <v>1303052</v>
      </c>
      <c r="C41" s="59">
        <f t="shared" ref="C41:G41" si="0">+C22+C37+C39+C29</f>
        <v>8400</v>
      </c>
      <c r="D41" s="59">
        <f>+D22+D37+D39+D29</f>
        <v>16000</v>
      </c>
      <c r="E41" s="59">
        <f t="shared" si="0"/>
        <v>9499.6</v>
      </c>
      <c r="F41" s="59">
        <f t="shared" si="0"/>
        <v>9499.6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-1696948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1777.7777777777778</v>
      </c>
      <c r="G46" s="59"/>
    </row>
    <row r="47" spans="1:9" ht="20.25" customHeight="1" x14ac:dyDescent="0.2">
      <c r="B47" s="65"/>
      <c r="C47" s="59">
        <f>+C41/I43</f>
        <v>933.33333333333337</v>
      </c>
      <c r="D47" s="59">
        <f>+D41/I43</f>
        <v>1777.7777777777778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9" zoomScale="85" zoomScaleNormal="85" workbookViewId="0">
      <selection activeCell="C29" sqref="C29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163</v>
      </c>
    </row>
    <row r="2" spans="1:11" x14ac:dyDescent="0.2">
      <c r="A2" s="57" t="s">
        <v>29</v>
      </c>
      <c r="B2" t="s">
        <v>163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149</v>
      </c>
      <c r="I4" t="s">
        <v>244</v>
      </c>
    </row>
    <row r="5" spans="1:11" ht="20.25" customHeight="1" x14ac:dyDescent="0.2">
      <c r="A5" t="s">
        <v>392</v>
      </c>
      <c r="B5" t="s">
        <v>390</v>
      </c>
      <c r="C5" s="59">
        <v>10000</v>
      </c>
      <c r="D5" s="59">
        <v>10500</v>
      </c>
      <c r="E5" s="59">
        <v>10000</v>
      </c>
      <c r="F5" s="59">
        <v>5557</v>
      </c>
      <c r="G5" s="59">
        <v>1008.9000000000005</v>
      </c>
      <c r="H5" s="59">
        <f>G5</f>
        <v>1008.9000000000005</v>
      </c>
    </row>
    <row r="6" spans="1:11" ht="20.25" customHeight="1" x14ac:dyDescent="0.2">
      <c r="A6" s="61" t="s">
        <v>465</v>
      </c>
      <c r="B6" s="61"/>
      <c r="C6" s="62">
        <v>10000</v>
      </c>
      <c r="D6" s="62">
        <v>10500</v>
      </c>
      <c r="E6" s="62">
        <v>10000</v>
      </c>
      <c r="F6" s="62">
        <v>5557</v>
      </c>
      <c r="G6" s="62">
        <v>1008.9000000000005</v>
      </c>
      <c r="H6" s="59">
        <f t="shared" ref="H6:H68" si="0">G6</f>
        <v>1008.9000000000005</v>
      </c>
    </row>
    <row r="7" spans="1:11" ht="20.25" customHeight="1" x14ac:dyDescent="0.2">
      <c r="A7" t="s">
        <v>143</v>
      </c>
      <c r="B7" t="s">
        <v>339</v>
      </c>
      <c r="C7" s="59">
        <v>10000</v>
      </c>
      <c r="D7" s="59">
        <v>10500</v>
      </c>
      <c r="E7" s="59">
        <v>10000</v>
      </c>
      <c r="F7" s="59">
        <v>8242.3000000000011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466</v>
      </c>
      <c r="B8" s="61"/>
      <c r="C8" s="62">
        <v>10000</v>
      </c>
      <c r="D8" s="62">
        <v>10500</v>
      </c>
      <c r="E8" s="62">
        <v>10000</v>
      </c>
      <c r="F8" s="62">
        <v>8242.3000000000011</v>
      </c>
      <c r="G8" s="62">
        <v>0</v>
      </c>
      <c r="H8" s="59"/>
    </row>
    <row r="9" spans="1:11" ht="20.25" customHeight="1" x14ac:dyDescent="0.2">
      <c r="A9" t="s">
        <v>186</v>
      </c>
      <c r="B9" t="s">
        <v>73</v>
      </c>
      <c r="C9" s="59">
        <v>30000</v>
      </c>
      <c r="D9" s="59">
        <v>0</v>
      </c>
      <c r="E9" s="59">
        <v>30000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270</v>
      </c>
      <c r="B10" s="61"/>
      <c r="C10" s="62">
        <v>30000</v>
      </c>
      <c r="D10" s="62">
        <v>0</v>
      </c>
      <c r="E10" s="62">
        <v>30000</v>
      </c>
      <c r="F10" s="62">
        <v>0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180</v>
      </c>
      <c r="B11" t="s">
        <v>142</v>
      </c>
      <c r="C11" s="59">
        <v>70000</v>
      </c>
      <c r="D11" s="59">
        <v>0</v>
      </c>
      <c r="E11" s="59">
        <v>14790</v>
      </c>
      <c r="F11" s="59">
        <v>0</v>
      </c>
      <c r="G11" s="59">
        <v>0</v>
      </c>
      <c r="H11" s="59"/>
    </row>
    <row r="12" spans="1:11" ht="20.25" customHeight="1" x14ac:dyDescent="0.2">
      <c r="A12" s="61" t="s">
        <v>271</v>
      </c>
      <c r="B12" s="61"/>
      <c r="C12" s="62">
        <v>70000</v>
      </c>
      <c r="D12" s="62">
        <v>0</v>
      </c>
      <c r="E12" s="62">
        <v>14790</v>
      </c>
      <c r="F12" s="62">
        <v>0</v>
      </c>
      <c r="G12" s="62">
        <v>0</v>
      </c>
      <c r="H12" s="59">
        <f t="shared" si="0"/>
        <v>0</v>
      </c>
      <c r="I12" s="66"/>
    </row>
    <row r="13" spans="1:11" ht="20.25" customHeight="1" x14ac:dyDescent="0.2">
      <c r="A13" t="s">
        <v>82</v>
      </c>
      <c r="B13" t="s">
        <v>86</v>
      </c>
      <c r="C13" s="59">
        <v>40000</v>
      </c>
      <c r="D13" s="59">
        <v>31500</v>
      </c>
      <c r="E13" s="59">
        <v>30000</v>
      </c>
      <c r="F13" s="59">
        <v>32270.700000000004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272</v>
      </c>
      <c r="B14" s="61"/>
      <c r="C14" s="62">
        <v>40000</v>
      </c>
      <c r="D14" s="62">
        <v>31500</v>
      </c>
      <c r="E14" s="62">
        <v>30000</v>
      </c>
      <c r="F14" s="62">
        <v>32270.700000000004</v>
      </c>
      <c r="G14" s="62">
        <v>0</v>
      </c>
      <c r="H14" s="59">
        <f t="shared" si="0"/>
        <v>0</v>
      </c>
    </row>
    <row r="15" spans="1:11" ht="20.25" customHeight="1" x14ac:dyDescent="0.2">
      <c r="A15" t="s">
        <v>81</v>
      </c>
      <c r="B15" t="s">
        <v>147</v>
      </c>
      <c r="C15" s="59">
        <v>44842</v>
      </c>
      <c r="D15" s="59">
        <v>9858.4500000000007</v>
      </c>
      <c r="E15" s="59">
        <v>36515</v>
      </c>
      <c r="F15" s="59">
        <v>9837.3247499999998</v>
      </c>
      <c r="G15" s="59">
        <v>0</v>
      </c>
      <c r="H15" s="59"/>
      <c r="I15" s="63"/>
      <c r="J15" s="63"/>
      <c r="K15" s="60"/>
    </row>
    <row r="16" spans="1:11" ht="20.25" customHeight="1" x14ac:dyDescent="0.2">
      <c r="B16" t="s">
        <v>111</v>
      </c>
      <c r="C16" s="59">
        <v>6000</v>
      </c>
      <c r="D16" s="59">
        <v>6300</v>
      </c>
      <c r="E16" s="59">
        <v>6000</v>
      </c>
      <c r="F16" s="59">
        <v>6621.78</v>
      </c>
      <c r="G16" s="59">
        <v>0</v>
      </c>
      <c r="H16" s="59">
        <f t="shared" si="0"/>
        <v>0</v>
      </c>
    </row>
    <row r="17" spans="1:8" ht="20.25" customHeight="1" x14ac:dyDescent="0.2">
      <c r="B17" t="s">
        <v>80</v>
      </c>
      <c r="C17" s="59">
        <v>15500</v>
      </c>
      <c r="D17" s="59">
        <v>5250</v>
      </c>
      <c r="E17" s="59">
        <v>5000</v>
      </c>
      <c r="F17" s="59">
        <v>5518.15</v>
      </c>
      <c r="G17" s="59">
        <v>0</v>
      </c>
      <c r="H17" s="59"/>
    </row>
    <row r="18" spans="1:8" ht="20.25" customHeight="1" x14ac:dyDescent="0.2">
      <c r="B18" t="s">
        <v>394</v>
      </c>
      <c r="C18" s="59">
        <v>20000</v>
      </c>
      <c r="D18" s="59">
        <v>4152.75</v>
      </c>
      <c r="E18" s="59">
        <v>20000</v>
      </c>
      <c r="F18" s="59">
        <v>4118.9881425000003</v>
      </c>
      <c r="G18" s="59">
        <v>0</v>
      </c>
      <c r="H18" s="59">
        <f t="shared" si="0"/>
        <v>0</v>
      </c>
    </row>
    <row r="19" spans="1:8" ht="20.25" customHeight="1" x14ac:dyDescent="0.2">
      <c r="B19" t="s">
        <v>461</v>
      </c>
      <c r="C19" s="59">
        <v>2500</v>
      </c>
      <c r="D19" s="59">
        <v>1575</v>
      </c>
      <c r="E19" s="59">
        <v>2500</v>
      </c>
      <c r="F19" s="59">
        <v>1487.8050000000001</v>
      </c>
      <c r="G19" s="59">
        <v>0</v>
      </c>
      <c r="H19" s="59">
        <f t="shared" si="0"/>
        <v>0</v>
      </c>
    </row>
    <row r="20" spans="1:8" ht="20.25" customHeight="1" x14ac:dyDescent="0.2">
      <c r="B20" t="s">
        <v>445</v>
      </c>
      <c r="C20" s="59">
        <v>10000</v>
      </c>
      <c r="D20" s="59">
        <v>10500</v>
      </c>
      <c r="E20" s="59">
        <v>10000</v>
      </c>
      <c r="F20" s="59">
        <v>8801.1</v>
      </c>
      <c r="G20" s="59">
        <v>0</v>
      </c>
      <c r="H20" s="59">
        <f t="shared" si="0"/>
        <v>0</v>
      </c>
    </row>
    <row r="21" spans="1:8" ht="20.25" customHeight="1" x14ac:dyDescent="0.2">
      <c r="A21" s="61" t="s">
        <v>165</v>
      </c>
      <c r="B21" s="61"/>
      <c r="C21" s="62">
        <v>98842</v>
      </c>
      <c r="D21" s="62">
        <v>37636.199999999997</v>
      </c>
      <c r="E21" s="62">
        <v>80015</v>
      </c>
      <c r="F21" s="62">
        <v>36385.147892499997</v>
      </c>
      <c r="G21" s="62">
        <v>0</v>
      </c>
      <c r="H21" s="59">
        <f t="shared" si="0"/>
        <v>0</v>
      </c>
    </row>
    <row r="22" spans="1:8" ht="20.25" customHeight="1" x14ac:dyDescent="0.2">
      <c r="A22" t="s">
        <v>124</v>
      </c>
      <c r="B22" t="s">
        <v>113</v>
      </c>
      <c r="C22" s="59">
        <v>8000</v>
      </c>
      <c r="D22" s="59">
        <v>8400</v>
      </c>
      <c r="E22" s="59">
        <v>8000</v>
      </c>
      <c r="F22" s="59">
        <v>0</v>
      </c>
      <c r="G22" s="59">
        <v>8605.52</v>
      </c>
      <c r="H22" s="59"/>
    </row>
    <row r="23" spans="1:8" ht="20.25" customHeight="1" x14ac:dyDescent="0.2">
      <c r="B23" t="s">
        <v>111</v>
      </c>
      <c r="C23" s="59">
        <v>10000</v>
      </c>
      <c r="D23" s="59">
        <v>10500</v>
      </c>
      <c r="E23" s="59">
        <v>10000</v>
      </c>
      <c r="F23" s="59">
        <v>5518.15</v>
      </c>
      <c r="G23" s="59">
        <v>5797.55</v>
      </c>
      <c r="H23" s="59">
        <f t="shared" si="0"/>
        <v>5797.55</v>
      </c>
    </row>
    <row r="24" spans="1:8" ht="20.25" customHeight="1" x14ac:dyDescent="0.2">
      <c r="B24" t="s">
        <v>80</v>
      </c>
      <c r="C24" s="59">
        <v>5000</v>
      </c>
      <c r="D24" s="59">
        <v>0</v>
      </c>
      <c r="E24" s="59">
        <v>232</v>
      </c>
      <c r="F24" s="59">
        <v>0</v>
      </c>
      <c r="G24" s="59">
        <v>0</v>
      </c>
      <c r="H24" s="59"/>
    </row>
    <row r="25" spans="1:8" ht="20.25" customHeight="1" x14ac:dyDescent="0.2">
      <c r="B25" t="s">
        <v>115</v>
      </c>
      <c r="C25" s="59">
        <v>155000</v>
      </c>
      <c r="D25" s="59">
        <v>84075.6</v>
      </c>
      <c r="E25" s="59">
        <v>82078</v>
      </c>
      <c r="F25" s="59">
        <v>42036.557164000005</v>
      </c>
      <c r="G25" s="59">
        <v>45713.500000000007</v>
      </c>
      <c r="H25" s="59">
        <f t="shared" si="0"/>
        <v>45713.500000000007</v>
      </c>
    </row>
    <row r="26" spans="1:8" ht="20.25" customHeight="1" x14ac:dyDescent="0.2">
      <c r="B26" t="s">
        <v>546</v>
      </c>
      <c r="C26" s="59">
        <v>10000</v>
      </c>
      <c r="D26" s="59">
        <v>10500</v>
      </c>
      <c r="E26" s="59">
        <v>10000</v>
      </c>
      <c r="F26" s="59">
        <v>0</v>
      </c>
      <c r="G26" s="59">
        <v>10756.900000000001</v>
      </c>
      <c r="H26" s="59"/>
    </row>
    <row r="27" spans="1:8" ht="20.25" customHeight="1" x14ac:dyDescent="0.2">
      <c r="A27" s="61" t="s">
        <v>205</v>
      </c>
      <c r="B27" s="61"/>
      <c r="C27" s="62">
        <v>188000</v>
      </c>
      <c r="D27" s="62">
        <v>113475.6</v>
      </c>
      <c r="E27" s="62">
        <v>110310</v>
      </c>
      <c r="F27" s="62">
        <v>47554.707164000007</v>
      </c>
      <c r="G27" s="62">
        <v>70873.47</v>
      </c>
      <c r="H27" s="59">
        <f t="shared" si="0"/>
        <v>70873.47</v>
      </c>
    </row>
    <row r="28" spans="1:8" ht="20.25" customHeight="1" x14ac:dyDescent="0.2">
      <c r="A28" t="s">
        <v>135</v>
      </c>
      <c r="B28" t="s">
        <v>185</v>
      </c>
      <c r="C28" s="59">
        <v>15000</v>
      </c>
      <c r="D28" s="59">
        <v>0</v>
      </c>
      <c r="E28" s="59">
        <v>15000</v>
      </c>
      <c r="F28" s="59">
        <v>0</v>
      </c>
      <c r="G28" s="59">
        <v>16554.45</v>
      </c>
      <c r="H28" s="59">
        <f t="shared" si="0"/>
        <v>16554.45</v>
      </c>
    </row>
    <row r="29" spans="1:8" ht="20.25" customHeight="1" x14ac:dyDescent="0.2">
      <c r="B29" t="s">
        <v>233</v>
      </c>
      <c r="C29" s="59">
        <v>10000</v>
      </c>
      <c r="D29" s="59">
        <v>10500</v>
      </c>
      <c r="E29" s="59">
        <v>10000</v>
      </c>
      <c r="F29" s="59">
        <v>7700</v>
      </c>
      <c r="G29" s="59">
        <v>2218.7000000000007</v>
      </c>
      <c r="H29" s="59">
        <f t="shared" si="0"/>
        <v>2218.7000000000007</v>
      </c>
    </row>
    <row r="30" spans="1:8" ht="20.25" customHeight="1" x14ac:dyDescent="0.2">
      <c r="A30" s="61" t="s">
        <v>347</v>
      </c>
      <c r="B30" s="61"/>
      <c r="C30" s="62">
        <v>25000</v>
      </c>
      <c r="D30" s="62">
        <v>10500</v>
      </c>
      <c r="E30" s="62">
        <v>25000</v>
      </c>
      <c r="F30" s="62">
        <v>7700</v>
      </c>
      <c r="G30" s="62">
        <v>18773.150000000001</v>
      </c>
      <c r="H30" s="59"/>
    </row>
    <row r="31" spans="1:8" ht="20.25" customHeight="1" x14ac:dyDescent="0.2">
      <c r="A31" t="s">
        <v>327</v>
      </c>
      <c r="B31" t="s">
        <v>544</v>
      </c>
      <c r="C31" s="59">
        <v>2000</v>
      </c>
      <c r="D31" s="59">
        <v>0</v>
      </c>
      <c r="E31" s="59">
        <v>2000</v>
      </c>
      <c r="F31" s="59">
        <v>2319.0200000000004</v>
      </c>
      <c r="G31" s="59">
        <v>0</v>
      </c>
      <c r="H31" s="59">
        <f t="shared" si="0"/>
        <v>0</v>
      </c>
    </row>
    <row r="32" spans="1:8" ht="20.25" customHeight="1" x14ac:dyDescent="0.2">
      <c r="A32" s="61" t="s">
        <v>336</v>
      </c>
      <c r="B32" s="61"/>
      <c r="C32" s="62">
        <v>2000</v>
      </c>
      <c r="D32" s="62">
        <v>0</v>
      </c>
      <c r="E32" s="62">
        <v>2000</v>
      </c>
      <c r="F32" s="62">
        <v>2319.0200000000004</v>
      </c>
      <c r="G32" s="62">
        <v>0</v>
      </c>
      <c r="H32" s="59">
        <f t="shared" si="0"/>
        <v>0</v>
      </c>
    </row>
    <row r="33" spans="1:8" ht="20.25" customHeight="1" x14ac:dyDescent="0.2">
      <c r="A33" t="s">
        <v>280</v>
      </c>
      <c r="B33" t="s">
        <v>361</v>
      </c>
      <c r="C33" s="59">
        <v>239700</v>
      </c>
      <c r="D33" s="59">
        <v>128625</v>
      </c>
      <c r="E33" s="59">
        <v>239700</v>
      </c>
      <c r="F33" s="59">
        <v>37618</v>
      </c>
      <c r="G33" s="59">
        <v>89961.278749999998</v>
      </c>
      <c r="H33" s="59">
        <f t="shared" si="0"/>
        <v>89961.278749999998</v>
      </c>
    </row>
    <row r="34" spans="1:8" ht="20.25" customHeight="1" x14ac:dyDescent="0.2">
      <c r="A34" s="61" t="s">
        <v>467</v>
      </c>
      <c r="B34" s="61"/>
      <c r="C34" s="62">
        <v>239700</v>
      </c>
      <c r="D34" s="62">
        <v>128625</v>
      </c>
      <c r="E34" s="62">
        <v>239700</v>
      </c>
      <c r="F34" s="62">
        <v>37618</v>
      </c>
      <c r="G34" s="62">
        <v>89961.278749999998</v>
      </c>
      <c r="H34" s="59">
        <f t="shared" si="0"/>
        <v>89961.278749999998</v>
      </c>
    </row>
    <row r="35" spans="1:8" ht="20.25" customHeight="1" x14ac:dyDescent="0.2">
      <c r="A35" t="s">
        <v>101</v>
      </c>
      <c r="B35" t="s">
        <v>94</v>
      </c>
      <c r="C35" s="59">
        <v>108000</v>
      </c>
      <c r="D35" s="59">
        <v>113400</v>
      </c>
      <c r="E35" s="59">
        <v>108000</v>
      </c>
      <c r="F35" s="59">
        <v>62765.26</v>
      </c>
      <c r="G35" s="59">
        <v>53409.26</v>
      </c>
      <c r="H35" s="59">
        <f t="shared" si="0"/>
        <v>53409.26</v>
      </c>
    </row>
    <row r="36" spans="1:8" ht="20.25" customHeight="1" x14ac:dyDescent="0.2">
      <c r="A36" s="61" t="s">
        <v>312</v>
      </c>
      <c r="B36" s="61"/>
      <c r="C36" s="62">
        <v>108000</v>
      </c>
      <c r="D36" s="62">
        <v>113400</v>
      </c>
      <c r="E36" s="62">
        <v>108000</v>
      </c>
      <c r="F36" s="62">
        <v>62765.26</v>
      </c>
      <c r="G36" s="62">
        <v>53409.26</v>
      </c>
      <c r="H36" s="59">
        <f t="shared" si="0"/>
        <v>53409.26</v>
      </c>
    </row>
    <row r="37" spans="1:8" ht="20.25" customHeight="1" x14ac:dyDescent="0.2">
      <c r="A37" t="s">
        <v>157</v>
      </c>
      <c r="B37" t="s">
        <v>196</v>
      </c>
      <c r="C37" s="59">
        <v>8000</v>
      </c>
      <c r="D37" s="59">
        <v>0</v>
      </c>
      <c r="E37" s="59">
        <v>8000</v>
      </c>
      <c r="F37" s="59">
        <v>0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468</v>
      </c>
      <c r="B38" s="61"/>
      <c r="C38" s="62">
        <v>8000</v>
      </c>
      <c r="D38" s="62">
        <v>0</v>
      </c>
      <c r="E38" s="62">
        <v>8000</v>
      </c>
      <c r="F38" s="62">
        <v>0</v>
      </c>
      <c r="G38" s="62">
        <v>0</v>
      </c>
      <c r="H38" s="59">
        <f t="shared" si="0"/>
        <v>0</v>
      </c>
    </row>
    <row r="39" spans="1:8" ht="20.25" customHeight="1" x14ac:dyDescent="0.2">
      <c r="A39" t="s">
        <v>89</v>
      </c>
      <c r="B39" t="s">
        <v>113</v>
      </c>
      <c r="C39" s="59">
        <v>15000</v>
      </c>
      <c r="D39" s="59">
        <v>0</v>
      </c>
      <c r="E39" s="59">
        <v>15000</v>
      </c>
      <c r="F39" s="59">
        <v>18649.949999999997</v>
      </c>
      <c r="G39" s="59">
        <v>0</v>
      </c>
      <c r="H39" s="59">
        <f t="shared" si="0"/>
        <v>0</v>
      </c>
    </row>
    <row r="40" spans="1:8" ht="20.25" customHeight="1" x14ac:dyDescent="0.2">
      <c r="A40" s="61" t="s">
        <v>206</v>
      </c>
      <c r="B40" s="61"/>
      <c r="C40" s="62">
        <v>15000</v>
      </c>
      <c r="D40" s="62">
        <v>0</v>
      </c>
      <c r="E40" s="62">
        <v>15000</v>
      </c>
      <c r="F40" s="62">
        <v>18649.949999999997</v>
      </c>
      <c r="G40" s="62">
        <v>0</v>
      </c>
      <c r="H40" s="59"/>
    </row>
    <row r="41" spans="1:8" ht="20.25" customHeight="1" x14ac:dyDescent="0.2">
      <c r="A41" t="s">
        <v>132</v>
      </c>
      <c r="B41" t="s">
        <v>158</v>
      </c>
      <c r="C41" s="59">
        <v>50000</v>
      </c>
      <c r="D41" s="59">
        <v>23803.5</v>
      </c>
      <c r="E41" s="59">
        <v>41661</v>
      </c>
      <c r="F41" s="59">
        <v>5880</v>
      </c>
      <c r="G41" s="59">
        <v>22385.466075</v>
      </c>
      <c r="H41" s="59">
        <f t="shared" si="0"/>
        <v>22385.466075</v>
      </c>
    </row>
    <row r="42" spans="1:8" ht="20.25" customHeight="1" x14ac:dyDescent="0.2">
      <c r="A42" s="61" t="s">
        <v>274</v>
      </c>
      <c r="B42" s="61"/>
      <c r="C42" s="62">
        <v>50000</v>
      </c>
      <c r="D42" s="62">
        <v>23803.5</v>
      </c>
      <c r="E42" s="62">
        <v>41661</v>
      </c>
      <c r="F42" s="62">
        <v>5880</v>
      </c>
      <c r="G42" s="62">
        <v>22385.466075</v>
      </c>
      <c r="H42" s="59">
        <f t="shared" si="0"/>
        <v>22385.466075</v>
      </c>
    </row>
    <row r="43" spans="1:8" ht="20.25" customHeight="1" x14ac:dyDescent="0.2">
      <c r="A43" t="s">
        <v>97</v>
      </c>
      <c r="C43" s="59">
        <v>894542</v>
      </c>
      <c r="D43" s="59">
        <v>479940.3</v>
      </c>
      <c r="E43" s="59">
        <v>724476</v>
      </c>
      <c r="F43" s="59">
        <v>264942.08505649999</v>
      </c>
      <c r="G43" s="59">
        <v>256411.52482500003</v>
      </c>
      <c r="H43" s="59"/>
    </row>
    <row r="44" spans="1:8" ht="20.25" customHeight="1" x14ac:dyDescent="0.2">
      <c r="C44"/>
      <c r="H44" s="59">
        <f t="shared" si="0"/>
        <v>0</v>
      </c>
    </row>
    <row r="45" spans="1:8" ht="20.25" customHeight="1" x14ac:dyDescent="0.2">
      <c r="C45"/>
      <c r="H45" s="59">
        <f t="shared" si="0"/>
        <v>0</v>
      </c>
    </row>
    <row r="46" spans="1:8" ht="20.25" customHeight="1" x14ac:dyDescent="0.2">
      <c r="C46"/>
      <c r="H46" s="59">
        <f t="shared" si="0"/>
        <v>0</v>
      </c>
    </row>
    <row r="47" spans="1:8" ht="20.25" customHeight="1" x14ac:dyDescent="0.2">
      <c r="C47"/>
      <c r="H47" s="59">
        <f t="shared" si="0"/>
        <v>0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474687.47965000005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4" zoomScale="85" zoomScaleNormal="85" workbookViewId="0">
      <selection activeCell="E20" sqref="E2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141</v>
      </c>
    </row>
    <row r="2" spans="1:11" x14ac:dyDescent="0.2">
      <c r="A2" s="57" t="s">
        <v>29</v>
      </c>
      <c r="B2" t="s">
        <v>163</v>
      </c>
      <c r="D2">
        <v>12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182</v>
      </c>
      <c r="H4" t="s">
        <v>149</v>
      </c>
    </row>
    <row r="5" spans="1:11" ht="20.25" customHeight="1" x14ac:dyDescent="0.2">
      <c r="A5" t="s">
        <v>139</v>
      </c>
      <c r="B5" t="s">
        <v>243</v>
      </c>
      <c r="C5" s="59">
        <v>15000</v>
      </c>
      <c r="D5" s="59">
        <v>15750</v>
      </c>
      <c r="E5" s="59">
        <v>15000</v>
      </c>
      <c r="F5" s="59">
        <v>6301</v>
      </c>
      <c r="G5" s="59">
        <v>13201.65</v>
      </c>
      <c r="H5" s="59">
        <v>6900.65</v>
      </c>
      <c r="I5" s="59"/>
    </row>
    <row r="6" spans="1:11" ht="20.25" customHeight="1" x14ac:dyDescent="0.2">
      <c r="A6" s="61" t="s">
        <v>348</v>
      </c>
      <c r="B6" s="61"/>
      <c r="C6" s="62">
        <v>15000</v>
      </c>
      <c r="D6" s="62">
        <v>15750</v>
      </c>
      <c r="E6" s="62">
        <v>15000</v>
      </c>
      <c r="F6" s="62">
        <v>6301</v>
      </c>
      <c r="G6" s="62">
        <v>13201.65</v>
      </c>
      <c r="H6" s="62">
        <v>6900.65</v>
      </c>
    </row>
    <row r="7" spans="1:11" ht="20.25" customHeight="1" x14ac:dyDescent="0.2">
      <c r="A7" t="s">
        <v>186</v>
      </c>
      <c r="B7" t="s">
        <v>73</v>
      </c>
      <c r="C7" s="59">
        <v>275000</v>
      </c>
      <c r="D7" s="59">
        <v>288750</v>
      </c>
      <c r="E7" s="59">
        <v>275000</v>
      </c>
      <c r="F7" s="59">
        <v>0</v>
      </c>
      <c r="G7" s="59">
        <v>242030.25</v>
      </c>
      <c r="H7" s="59">
        <v>242030.25</v>
      </c>
      <c r="I7" s="59"/>
      <c r="J7" s="59"/>
      <c r="K7" s="59"/>
    </row>
    <row r="8" spans="1:11" ht="20.25" customHeight="1" x14ac:dyDescent="0.2">
      <c r="A8" s="61" t="s">
        <v>270</v>
      </c>
      <c r="B8" s="61"/>
      <c r="C8" s="62">
        <v>275000</v>
      </c>
      <c r="D8" s="62">
        <v>288750</v>
      </c>
      <c r="E8" s="62">
        <v>275000</v>
      </c>
      <c r="F8" s="62">
        <v>0</v>
      </c>
      <c r="G8" s="62">
        <v>242030.25</v>
      </c>
      <c r="H8" s="62">
        <v>242030.25</v>
      </c>
      <c r="J8" s="59"/>
      <c r="K8" s="59"/>
    </row>
    <row r="9" spans="1:11" ht="20.25" customHeight="1" x14ac:dyDescent="0.2">
      <c r="A9" t="s">
        <v>180</v>
      </c>
      <c r="B9" t="s">
        <v>233</v>
      </c>
      <c r="C9" s="59">
        <v>10000</v>
      </c>
      <c r="D9" s="59">
        <v>10500</v>
      </c>
      <c r="E9" s="59">
        <v>10000</v>
      </c>
      <c r="F9" s="59">
        <v>0</v>
      </c>
      <c r="G9" s="59">
        <v>9359.9000000000015</v>
      </c>
      <c r="H9" s="59">
        <v>9359.9000000000015</v>
      </c>
      <c r="I9" s="59"/>
    </row>
    <row r="10" spans="1:11" ht="20.25" customHeight="1" x14ac:dyDescent="0.2">
      <c r="B10" t="s">
        <v>293</v>
      </c>
      <c r="C10" s="59">
        <v>30000</v>
      </c>
      <c r="D10" s="59">
        <v>31500</v>
      </c>
      <c r="E10" s="59">
        <v>30000</v>
      </c>
      <c r="F10" s="59">
        <v>0</v>
      </c>
      <c r="G10" s="59">
        <v>26403.3</v>
      </c>
      <c r="H10" s="59">
        <v>26403.3</v>
      </c>
    </row>
    <row r="11" spans="1:11" ht="20.25" customHeight="1" x14ac:dyDescent="0.2">
      <c r="A11" s="61" t="s">
        <v>271</v>
      </c>
      <c r="B11" s="61"/>
      <c r="C11" s="62">
        <v>40000</v>
      </c>
      <c r="D11" s="62">
        <v>42000</v>
      </c>
      <c r="E11" s="62">
        <v>40000</v>
      </c>
      <c r="F11" s="62">
        <v>0</v>
      </c>
      <c r="G11" s="62">
        <v>35763.199999999997</v>
      </c>
      <c r="H11" s="62">
        <v>35763.199999999997</v>
      </c>
      <c r="I11" s="59"/>
    </row>
    <row r="12" spans="1:11" ht="20.25" customHeight="1" x14ac:dyDescent="0.2">
      <c r="A12" t="s">
        <v>82</v>
      </c>
      <c r="B12" t="s">
        <v>147</v>
      </c>
      <c r="C12" s="59">
        <v>150000</v>
      </c>
      <c r="D12" s="59">
        <v>157500</v>
      </c>
      <c r="E12" s="59">
        <v>150000</v>
      </c>
      <c r="F12" s="59">
        <v>0</v>
      </c>
      <c r="G12" s="59">
        <v>157162.5</v>
      </c>
      <c r="H12" s="59">
        <v>157162.5</v>
      </c>
      <c r="I12" s="59"/>
    </row>
    <row r="13" spans="1:11" ht="20.25" customHeight="1" x14ac:dyDescent="0.2">
      <c r="A13" s="61" t="s">
        <v>272</v>
      </c>
      <c r="B13" s="61"/>
      <c r="C13" s="62">
        <v>150000</v>
      </c>
      <c r="D13" s="62">
        <v>157500</v>
      </c>
      <c r="E13" s="62">
        <v>150000</v>
      </c>
      <c r="F13" s="62">
        <v>0</v>
      </c>
      <c r="G13" s="62">
        <v>157162.5</v>
      </c>
      <c r="H13" s="62">
        <v>157162.5</v>
      </c>
    </row>
    <row r="14" spans="1:11" ht="20.25" customHeight="1" x14ac:dyDescent="0.2">
      <c r="A14" t="s">
        <v>81</v>
      </c>
      <c r="B14" t="s">
        <v>98</v>
      </c>
      <c r="C14" s="59">
        <v>40000</v>
      </c>
      <c r="D14" s="59">
        <v>42000</v>
      </c>
      <c r="E14" s="59">
        <v>40000</v>
      </c>
      <c r="F14" s="59">
        <v>0</v>
      </c>
      <c r="G14" s="59">
        <v>43027.600000000006</v>
      </c>
      <c r="H14" s="59">
        <v>43027.600000000006</v>
      </c>
      <c r="I14" s="59"/>
    </row>
    <row r="15" spans="1:11" ht="20.25" customHeight="1" x14ac:dyDescent="0.2">
      <c r="B15" t="s">
        <v>147</v>
      </c>
      <c r="C15" s="59">
        <v>100000</v>
      </c>
      <c r="D15" s="59">
        <v>105000</v>
      </c>
      <c r="E15" s="59">
        <v>100000</v>
      </c>
      <c r="F15" s="59">
        <v>0</v>
      </c>
      <c r="G15" s="59">
        <v>104775.00000000001</v>
      </c>
      <c r="H15" s="59">
        <v>104775.00000000001</v>
      </c>
    </row>
    <row r="16" spans="1:11" ht="20.25" customHeight="1" x14ac:dyDescent="0.2">
      <c r="B16" t="s">
        <v>80</v>
      </c>
      <c r="C16" s="59">
        <v>20000</v>
      </c>
      <c r="D16" s="59">
        <v>21000</v>
      </c>
      <c r="E16" s="59">
        <v>20000</v>
      </c>
      <c r="F16" s="59">
        <v>0</v>
      </c>
      <c r="G16" s="59">
        <v>22072.6</v>
      </c>
      <c r="H16" s="59">
        <v>22072.6</v>
      </c>
      <c r="I16" s="59"/>
    </row>
    <row r="17" spans="1:9" ht="20.25" customHeight="1" x14ac:dyDescent="0.2">
      <c r="A17" s="61" t="s">
        <v>165</v>
      </c>
      <c r="B17" s="61"/>
      <c r="C17" s="62">
        <v>160000</v>
      </c>
      <c r="D17" s="62">
        <v>168000</v>
      </c>
      <c r="E17" s="62">
        <v>160000</v>
      </c>
      <c r="F17" s="62">
        <v>0</v>
      </c>
      <c r="G17" s="62">
        <v>169875.20000000004</v>
      </c>
      <c r="H17" s="62">
        <v>169875.20000000004</v>
      </c>
      <c r="I17" s="59"/>
    </row>
    <row r="18" spans="1:9" ht="20.25" customHeight="1" x14ac:dyDescent="0.2">
      <c r="A18" t="s">
        <v>124</v>
      </c>
      <c r="B18" t="s">
        <v>115</v>
      </c>
      <c r="C18" s="59">
        <v>130000</v>
      </c>
      <c r="D18" s="59">
        <v>136500</v>
      </c>
      <c r="E18" s="59">
        <v>130000</v>
      </c>
      <c r="F18" s="59">
        <v>0</v>
      </c>
      <c r="G18" s="59">
        <v>139839.70000000001</v>
      </c>
      <c r="H18" s="59">
        <v>139839.70000000001</v>
      </c>
      <c r="I18" s="59"/>
    </row>
    <row r="19" spans="1:9" ht="20.25" customHeight="1" x14ac:dyDescent="0.2">
      <c r="A19" s="61" t="s">
        <v>205</v>
      </c>
      <c r="B19" s="61"/>
      <c r="C19" s="62">
        <v>130000</v>
      </c>
      <c r="D19" s="62">
        <v>136500</v>
      </c>
      <c r="E19" s="62">
        <v>130000</v>
      </c>
      <c r="F19" s="62">
        <v>0</v>
      </c>
      <c r="G19" s="62">
        <v>139839.70000000001</v>
      </c>
      <c r="H19" s="62">
        <v>139839.70000000001</v>
      </c>
    </row>
    <row r="20" spans="1:9" ht="20.25" customHeight="1" x14ac:dyDescent="0.2">
      <c r="A20" t="s">
        <v>84</v>
      </c>
      <c r="B20" t="s">
        <v>259</v>
      </c>
      <c r="C20" s="59">
        <v>20000</v>
      </c>
      <c r="D20" s="59">
        <v>21000</v>
      </c>
      <c r="E20" s="59">
        <v>20000</v>
      </c>
      <c r="F20" s="59">
        <v>19837.400000000001</v>
      </c>
      <c r="G20" s="59">
        <v>19837.400000000001</v>
      </c>
      <c r="H20" s="59">
        <v>0</v>
      </c>
      <c r="I20" s="59"/>
    </row>
    <row r="21" spans="1:9" ht="20.25" customHeight="1" x14ac:dyDescent="0.2">
      <c r="A21" s="61" t="s">
        <v>273</v>
      </c>
      <c r="B21" s="61"/>
      <c r="C21" s="62">
        <v>20000</v>
      </c>
      <c r="D21" s="62">
        <v>21000</v>
      </c>
      <c r="E21" s="62">
        <v>20000</v>
      </c>
      <c r="F21" s="62">
        <v>19837.400000000001</v>
      </c>
      <c r="G21" s="62">
        <v>19837.400000000001</v>
      </c>
      <c r="H21" s="62">
        <v>0</v>
      </c>
    </row>
    <row r="22" spans="1:9" ht="20.25" customHeight="1" x14ac:dyDescent="0.2">
      <c r="A22" t="s">
        <v>85</v>
      </c>
      <c r="B22" t="s">
        <v>148</v>
      </c>
      <c r="C22" s="59">
        <v>40000</v>
      </c>
      <c r="D22" s="59">
        <v>0</v>
      </c>
      <c r="E22" s="59">
        <v>40000</v>
      </c>
      <c r="F22" s="59">
        <v>0</v>
      </c>
      <c r="G22" s="59">
        <v>48615.600000000006</v>
      </c>
      <c r="H22" s="59">
        <v>48615.600000000006</v>
      </c>
      <c r="I22" s="59"/>
    </row>
    <row r="23" spans="1:9" ht="20.25" customHeight="1" x14ac:dyDescent="0.2">
      <c r="B23" t="s">
        <v>196</v>
      </c>
      <c r="C23" s="59">
        <v>10000</v>
      </c>
      <c r="D23" s="59">
        <v>10500</v>
      </c>
      <c r="E23" s="59">
        <v>10000</v>
      </c>
      <c r="F23" s="59">
        <v>0</v>
      </c>
      <c r="G23" s="59">
        <v>11874.499999999998</v>
      </c>
      <c r="H23" s="59">
        <v>11874.499999999998</v>
      </c>
      <c r="I23" s="59"/>
    </row>
    <row r="24" spans="1:9" ht="20.25" customHeight="1" x14ac:dyDescent="0.2">
      <c r="A24" s="61" t="s">
        <v>213</v>
      </c>
      <c r="B24" s="61"/>
      <c r="C24" s="62">
        <v>50000</v>
      </c>
      <c r="D24" s="62">
        <v>10500</v>
      </c>
      <c r="E24" s="62">
        <v>50000</v>
      </c>
      <c r="F24" s="62">
        <v>0</v>
      </c>
      <c r="G24" s="62">
        <v>60490.100000000006</v>
      </c>
      <c r="H24" s="62">
        <v>60490.100000000006</v>
      </c>
      <c r="I24" s="59"/>
    </row>
    <row r="25" spans="1:9" ht="20.25" customHeight="1" x14ac:dyDescent="0.2">
      <c r="A25" t="s">
        <v>223</v>
      </c>
      <c r="B25" t="s">
        <v>113</v>
      </c>
      <c r="C25" s="59">
        <v>20000</v>
      </c>
      <c r="D25" s="59">
        <v>0</v>
      </c>
      <c r="E25" s="59">
        <v>20000</v>
      </c>
      <c r="F25" s="59">
        <v>3896</v>
      </c>
      <c r="G25" s="59">
        <v>24866.6</v>
      </c>
      <c r="H25" s="59">
        <v>20970.599999999999</v>
      </c>
    </row>
    <row r="26" spans="1:9" ht="20.25" customHeight="1" x14ac:dyDescent="0.2">
      <c r="A26" s="61" t="s">
        <v>228</v>
      </c>
      <c r="B26" s="61"/>
      <c r="C26" s="62">
        <v>20000</v>
      </c>
      <c r="D26" s="62">
        <v>0</v>
      </c>
      <c r="E26" s="62">
        <v>20000</v>
      </c>
      <c r="F26" s="62">
        <v>3896</v>
      </c>
      <c r="G26" s="62">
        <v>24866.6</v>
      </c>
      <c r="H26" s="62">
        <v>20970.599999999999</v>
      </c>
      <c r="I26" s="59"/>
    </row>
    <row r="27" spans="1:9" ht="20.25" customHeight="1" x14ac:dyDescent="0.2">
      <c r="A27" t="s">
        <v>132</v>
      </c>
      <c r="B27" t="s">
        <v>113</v>
      </c>
      <c r="C27" s="59">
        <v>10000</v>
      </c>
      <c r="D27" s="59">
        <v>0</v>
      </c>
      <c r="E27" s="59">
        <v>10000</v>
      </c>
      <c r="F27" s="59">
        <v>0</v>
      </c>
      <c r="G27" s="59">
        <v>13550.900000000001</v>
      </c>
      <c r="H27" s="59">
        <v>13550.900000000001</v>
      </c>
    </row>
    <row r="28" spans="1:9" ht="20.25" customHeight="1" x14ac:dyDescent="0.2">
      <c r="A28" s="61" t="s">
        <v>274</v>
      </c>
      <c r="B28" s="61"/>
      <c r="C28" s="62">
        <v>10000</v>
      </c>
      <c r="D28" s="62">
        <v>0</v>
      </c>
      <c r="E28" s="62">
        <v>10000</v>
      </c>
      <c r="F28" s="62">
        <v>0</v>
      </c>
      <c r="G28" s="62">
        <v>13550.900000000001</v>
      </c>
      <c r="H28" s="62">
        <v>13550.900000000001</v>
      </c>
      <c r="I28" s="59"/>
    </row>
    <row r="29" spans="1:9" ht="20.25" customHeight="1" x14ac:dyDescent="0.2">
      <c r="A29" t="s">
        <v>191</v>
      </c>
      <c r="B29" t="s">
        <v>251</v>
      </c>
      <c r="C29" s="59">
        <v>10000</v>
      </c>
      <c r="D29" s="59">
        <v>10500</v>
      </c>
      <c r="E29" s="59">
        <v>10000</v>
      </c>
      <c r="F29" s="59">
        <v>0</v>
      </c>
      <c r="G29" s="59">
        <v>9918.7000000000007</v>
      </c>
      <c r="H29" s="59">
        <v>9918.7000000000007</v>
      </c>
      <c r="I29" s="59"/>
    </row>
    <row r="30" spans="1:9" ht="20.25" customHeight="1" x14ac:dyDescent="0.2">
      <c r="A30" s="61" t="s">
        <v>464</v>
      </c>
      <c r="B30" s="61"/>
      <c r="C30" s="62">
        <v>10000</v>
      </c>
      <c r="D30" s="62">
        <v>10500</v>
      </c>
      <c r="E30" s="62">
        <v>10000</v>
      </c>
      <c r="F30" s="62">
        <v>0</v>
      </c>
      <c r="G30" s="62">
        <v>9918.7000000000007</v>
      </c>
      <c r="H30" s="62">
        <v>9918.7000000000007</v>
      </c>
    </row>
    <row r="31" spans="1:9" ht="20.25" customHeight="1" x14ac:dyDescent="0.2">
      <c r="A31" t="s">
        <v>97</v>
      </c>
      <c r="C31" s="59">
        <v>880000</v>
      </c>
      <c r="D31" s="59">
        <v>850500</v>
      </c>
      <c r="E31" s="59">
        <v>880000</v>
      </c>
      <c r="F31" s="59">
        <v>30034.400000000001</v>
      </c>
      <c r="G31" s="59">
        <v>886536.2</v>
      </c>
      <c r="H31" s="59">
        <v>856501.79999999993</v>
      </c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1153080.084425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178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56A4-8C40-4B00-8959-B9E44962F18F}">
  <sheetPr>
    <tabColor rgb="FF92D050"/>
  </sheetPr>
  <dimension ref="A3:P24"/>
  <sheetViews>
    <sheetView workbookViewId="0">
      <selection activeCell="B31" sqref="B31"/>
    </sheetView>
  </sheetViews>
  <sheetFormatPr defaultRowHeight="12.75" x14ac:dyDescent="0.2"/>
  <cols>
    <col min="1" max="1" width="17.5" style="71" bestFit="1" customWidth="1"/>
    <col min="2" max="2" width="10.625" style="71" bestFit="1" customWidth="1"/>
    <col min="3" max="3" width="6.125" style="71" bestFit="1" customWidth="1"/>
    <col min="4" max="7" width="7" style="71" bestFit="1" customWidth="1"/>
    <col min="8" max="8" width="6.5" style="71" bestFit="1" customWidth="1"/>
    <col min="9" max="14" width="7" style="71" bestFit="1" customWidth="1"/>
    <col min="15" max="15" width="7.875" style="71" bestFit="1" customWidth="1"/>
    <col min="16" max="16" width="10.25" style="71" bestFit="1" customWidth="1"/>
    <col min="17" max="16384" width="9" style="71"/>
  </cols>
  <sheetData>
    <row r="3" spans="1:16" x14ac:dyDescent="0.2">
      <c r="A3" s="73" t="s">
        <v>149</v>
      </c>
      <c r="B3" s="73" t="s">
        <v>552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s="72" customFormat="1" x14ac:dyDescent="0.2">
      <c r="A4" s="74" t="s">
        <v>304</v>
      </c>
      <c r="B4" s="74">
        <v>45814</v>
      </c>
      <c r="C4" s="74">
        <v>45815</v>
      </c>
      <c r="D4" s="74">
        <v>45816</v>
      </c>
      <c r="E4" s="74">
        <v>45817</v>
      </c>
      <c r="F4" s="74">
        <v>45819</v>
      </c>
      <c r="G4" s="74">
        <v>45820</v>
      </c>
      <c r="H4" s="74">
        <v>45821</v>
      </c>
      <c r="I4" s="74">
        <v>45822</v>
      </c>
      <c r="J4" s="74">
        <v>45823</v>
      </c>
      <c r="K4" s="74">
        <v>45824</v>
      </c>
      <c r="L4" s="74">
        <v>45826</v>
      </c>
      <c r="M4" s="74">
        <v>45828</v>
      </c>
      <c r="N4" s="74">
        <v>45830</v>
      </c>
      <c r="O4" s="74">
        <v>45833</v>
      </c>
      <c r="P4" s="74" t="s">
        <v>97</v>
      </c>
    </row>
    <row r="5" spans="1:16" x14ac:dyDescent="0.2">
      <c r="A5" s="73" t="s">
        <v>392</v>
      </c>
      <c r="B5" s="75"/>
      <c r="C5" s="75"/>
      <c r="D5" s="75">
        <v>1008.9000000000005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>
        <v>1008.9000000000005</v>
      </c>
    </row>
    <row r="6" spans="1:16" x14ac:dyDescent="0.2">
      <c r="A6" s="73" t="s">
        <v>308</v>
      </c>
      <c r="B6" s="75"/>
      <c r="C6" s="75"/>
      <c r="D6" s="75"/>
      <c r="E6" s="75"/>
      <c r="F6" s="75"/>
      <c r="G6" s="75"/>
      <c r="H6" s="75"/>
      <c r="I6" s="75"/>
      <c r="J6" s="75"/>
      <c r="K6" s="75">
        <v>0</v>
      </c>
      <c r="L6" s="75"/>
      <c r="M6" s="75"/>
      <c r="N6" s="75"/>
      <c r="O6" s="75"/>
      <c r="P6" s="75">
        <v>0</v>
      </c>
    </row>
    <row r="7" spans="1:16" x14ac:dyDescent="0.2">
      <c r="A7" s="73" t="s">
        <v>143</v>
      </c>
      <c r="B7" s="75"/>
      <c r="C7" s="75">
        <v>0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>
        <v>0</v>
      </c>
    </row>
    <row r="8" spans="1:16" x14ac:dyDescent="0.2">
      <c r="A8" s="73" t="s">
        <v>186</v>
      </c>
      <c r="B8" s="75"/>
      <c r="C8" s="75">
        <v>1546.5500000000002</v>
      </c>
      <c r="D8" s="75"/>
      <c r="E8" s="75">
        <v>23679.15</v>
      </c>
      <c r="F8" s="75"/>
      <c r="G8" s="75">
        <v>13117.83</v>
      </c>
      <c r="H8" s="75"/>
      <c r="I8" s="75">
        <v>40443.149999999994</v>
      </c>
      <c r="J8" s="75">
        <v>13760.45</v>
      </c>
      <c r="K8" s="75">
        <v>13201.650000000001</v>
      </c>
      <c r="L8" s="75"/>
      <c r="M8" s="75"/>
      <c r="N8" s="75"/>
      <c r="O8" s="75"/>
      <c r="P8" s="75">
        <v>105748.78</v>
      </c>
    </row>
    <row r="9" spans="1:16" x14ac:dyDescent="0.2">
      <c r="A9" s="73" t="s">
        <v>180</v>
      </c>
      <c r="B9" s="75">
        <v>0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>
        <v>0</v>
      </c>
    </row>
    <row r="10" spans="1:16" x14ac:dyDescent="0.2">
      <c r="A10" s="73" t="s">
        <v>343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>
        <v>489294.52664763539</v>
      </c>
      <c r="P10" s="75">
        <v>489294.52664763539</v>
      </c>
    </row>
    <row r="11" spans="1:16" x14ac:dyDescent="0.2">
      <c r="A11" s="73" t="s">
        <v>146</v>
      </c>
      <c r="B11" s="75"/>
      <c r="C11" s="75"/>
      <c r="D11" s="75"/>
      <c r="E11" s="75"/>
      <c r="F11" s="75"/>
      <c r="G11" s="75"/>
      <c r="H11" s="75"/>
      <c r="I11" s="75"/>
      <c r="J11" s="75"/>
      <c r="K11" s="75">
        <v>11061.800000000003</v>
      </c>
      <c r="L11" s="75"/>
      <c r="M11" s="75"/>
      <c r="N11" s="75"/>
      <c r="O11" s="75"/>
      <c r="P11" s="75">
        <v>11061.800000000003</v>
      </c>
    </row>
    <row r="12" spans="1:16" x14ac:dyDescent="0.2">
      <c r="A12" s="73" t="s">
        <v>82</v>
      </c>
      <c r="B12" s="75"/>
      <c r="C12" s="75"/>
      <c r="D12" s="75"/>
      <c r="E12" s="75"/>
      <c r="F12" s="75"/>
      <c r="G12" s="75"/>
      <c r="H12" s="75">
        <v>0</v>
      </c>
      <c r="I12" s="75">
        <v>0</v>
      </c>
      <c r="J12" s="75"/>
      <c r="K12" s="75"/>
      <c r="L12" s="75">
        <v>0</v>
      </c>
      <c r="M12" s="75"/>
      <c r="N12" s="75"/>
      <c r="O12" s="75">
        <v>0</v>
      </c>
      <c r="P12" s="75">
        <v>0</v>
      </c>
    </row>
    <row r="13" spans="1:16" x14ac:dyDescent="0.2">
      <c r="A13" s="78" t="s">
        <v>81</v>
      </c>
      <c r="B13" s="79">
        <v>0</v>
      </c>
      <c r="C13" s="79">
        <v>0</v>
      </c>
      <c r="D13" s="79">
        <v>0</v>
      </c>
      <c r="E13" s="79">
        <v>0</v>
      </c>
      <c r="F13" s="79"/>
      <c r="G13" s="79"/>
      <c r="H13" s="79"/>
      <c r="I13" s="79"/>
      <c r="J13" s="79"/>
      <c r="K13" s="79"/>
      <c r="L13" s="79">
        <v>0</v>
      </c>
      <c r="M13" s="79"/>
      <c r="N13" s="79">
        <v>26892.250000000004</v>
      </c>
      <c r="O13" s="79"/>
      <c r="P13" s="79">
        <v>26892.250000000004</v>
      </c>
    </row>
    <row r="14" spans="1:16" x14ac:dyDescent="0.2">
      <c r="A14" s="78" t="s">
        <v>124</v>
      </c>
      <c r="B14" s="79">
        <v>0</v>
      </c>
      <c r="C14" s="79"/>
      <c r="D14" s="79">
        <v>47130.030000000006</v>
      </c>
      <c r="E14" s="79">
        <v>0</v>
      </c>
      <c r="F14" s="79"/>
      <c r="G14" s="79">
        <v>10756.900000000001</v>
      </c>
      <c r="H14" s="79"/>
      <c r="I14" s="79"/>
      <c r="J14" s="79"/>
      <c r="K14" s="79">
        <v>10756.900000000001</v>
      </c>
      <c r="L14" s="79">
        <v>16554.45</v>
      </c>
      <c r="M14" s="79"/>
      <c r="N14" s="79"/>
      <c r="O14" s="79">
        <v>8605.52</v>
      </c>
      <c r="P14" s="79">
        <v>93803.800000000017</v>
      </c>
    </row>
    <row r="15" spans="1:16" x14ac:dyDescent="0.2">
      <c r="A15" s="73" t="s">
        <v>135</v>
      </c>
      <c r="B15" s="75">
        <v>0</v>
      </c>
      <c r="C15" s="75">
        <v>6633.22</v>
      </c>
      <c r="D15" s="75"/>
      <c r="E15" s="75"/>
      <c r="F15" s="75">
        <v>16554.45</v>
      </c>
      <c r="G15" s="75"/>
      <c r="H15" s="75"/>
      <c r="I15" s="75"/>
      <c r="J15" s="75"/>
      <c r="K15" s="75"/>
      <c r="L15" s="75"/>
      <c r="M15" s="75"/>
      <c r="N15" s="75"/>
      <c r="O15" s="75"/>
      <c r="P15" s="75">
        <v>25506.690000000002</v>
      </c>
    </row>
    <row r="16" spans="1:16" x14ac:dyDescent="0.2">
      <c r="A16" s="73" t="s">
        <v>327</v>
      </c>
      <c r="B16" s="75">
        <v>0</v>
      </c>
      <c r="C16" s="75"/>
      <c r="D16" s="75"/>
      <c r="E16" s="75">
        <v>0</v>
      </c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>
        <v>0</v>
      </c>
    </row>
    <row r="17" spans="1:16" x14ac:dyDescent="0.2">
      <c r="A17" s="73" t="s">
        <v>280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>
        <v>89961.278749999998</v>
      </c>
      <c r="N17" s="75"/>
      <c r="O17" s="75"/>
      <c r="P17" s="75">
        <v>89961.278749999998</v>
      </c>
    </row>
    <row r="18" spans="1:16" x14ac:dyDescent="0.2">
      <c r="A18" s="73" t="s">
        <v>101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>
        <v>0</v>
      </c>
      <c r="M18" s="75"/>
      <c r="N18" s="75">
        <v>53409.26</v>
      </c>
      <c r="O18" s="75"/>
      <c r="P18" s="75">
        <v>53409.26</v>
      </c>
    </row>
    <row r="19" spans="1:16" x14ac:dyDescent="0.2">
      <c r="A19" s="73" t="s">
        <v>85</v>
      </c>
      <c r="B19" s="75"/>
      <c r="C19" s="75"/>
      <c r="D19" s="75">
        <v>5997.3209999999999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>
        <v>5997.3209999999999</v>
      </c>
    </row>
    <row r="20" spans="1:16" x14ac:dyDescent="0.2">
      <c r="A20" s="73" t="s">
        <v>157</v>
      </c>
      <c r="B20" s="75">
        <v>0</v>
      </c>
      <c r="C20" s="75"/>
      <c r="D20" s="75"/>
      <c r="E20" s="75"/>
      <c r="F20" s="75"/>
      <c r="G20" s="75"/>
      <c r="H20" s="75"/>
      <c r="I20" s="75"/>
      <c r="J20" s="75">
        <v>0</v>
      </c>
      <c r="K20" s="75"/>
      <c r="L20" s="75"/>
      <c r="M20" s="75"/>
      <c r="N20" s="75"/>
      <c r="O20" s="75"/>
      <c r="P20" s="75">
        <v>0</v>
      </c>
    </row>
    <row r="21" spans="1:16" x14ac:dyDescent="0.2">
      <c r="A21" s="73" t="s">
        <v>223</v>
      </c>
      <c r="B21" s="75"/>
      <c r="C21" s="75"/>
      <c r="D21" s="75"/>
      <c r="E21" s="75"/>
      <c r="F21" s="75"/>
      <c r="G21" s="75">
        <v>0</v>
      </c>
      <c r="H21" s="75"/>
      <c r="I21" s="75"/>
      <c r="J21" s="75"/>
      <c r="K21" s="75"/>
      <c r="L21" s="75"/>
      <c r="M21" s="75"/>
      <c r="N21" s="75"/>
      <c r="O21" s="75"/>
      <c r="P21" s="75">
        <v>0</v>
      </c>
    </row>
    <row r="22" spans="1:16" x14ac:dyDescent="0.2">
      <c r="A22" s="73" t="s">
        <v>89</v>
      </c>
      <c r="B22" s="75"/>
      <c r="C22" s="75"/>
      <c r="D22" s="75"/>
      <c r="E22" s="75"/>
      <c r="F22" s="75"/>
      <c r="G22" s="75">
        <v>0</v>
      </c>
      <c r="H22" s="75"/>
      <c r="I22" s="75"/>
      <c r="J22" s="75"/>
      <c r="K22" s="75"/>
      <c r="L22" s="75"/>
      <c r="M22" s="75"/>
      <c r="N22" s="75">
        <v>0</v>
      </c>
      <c r="O22" s="75"/>
      <c r="P22" s="75">
        <v>0</v>
      </c>
    </row>
    <row r="23" spans="1:16" x14ac:dyDescent="0.2">
      <c r="A23" s="73" t="s">
        <v>132</v>
      </c>
      <c r="B23" s="75"/>
      <c r="C23" s="75"/>
      <c r="D23" s="75"/>
      <c r="E23" s="75"/>
      <c r="F23" s="75">
        <v>22385.466075</v>
      </c>
      <c r="G23" s="75"/>
      <c r="H23" s="75"/>
      <c r="I23" s="75"/>
      <c r="J23" s="75"/>
      <c r="K23" s="75"/>
      <c r="L23" s="75"/>
      <c r="M23" s="75"/>
      <c r="N23" s="75"/>
      <c r="O23" s="75"/>
      <c r="P23" s="75">
        <v>22385.466075</v>
      </c>
    </row>
    <row r="24" spans="1:16" x14ac:dyDescent="0.2">
      <c r="A24" s="73" t="s">
        <v>97</v>
      </c>
      <c r="B24" s="75">
        <f>SUM(B5:B23)</f>
        <v>0</v>
      </c>
      <c r="C24" s="75">
        <f t="shared" ref="C24:P24" si="0">SUM(C5:C23)</f>
        <v>8179.77</v>
      </c>
      <c r="D24" s="75">
        <f t="shared" si="0"/>
        <v>54136.251000000004</v>
      </c>
      <c r="E24" s="75">
        <f t="shared" si="0"/>
        <v>23679.15</v>
      </c>
      <c r="F24" s="75">
        <f t="shared" si="0"/>
        <v>38939.916075000001</v>
      </c>
      <c r="G24" s="75">
        <f t="shared" si="0"/>
        <v>23874.730000000003</v>
      </c>
      <c r="H24" s="75">
        <f t="shared" si="0"/>
        <v>0</v>
      </c>
      <c r="I24" s="75">
        <f t="shared" si="0"/>
        <v>40443.149999999994</v>
      </c>
      <c r="J24" s="75">
        <f t="shared" si="0"/>
        <v>13760.45</v>
      </c>
      <c r="K24" s="75">
        <f t="shared" si="0"/>
        <v>35020.350000000006</v>
      </c>
      <c r="L24" s="75">
        <f t="shared" si="0"/>
        <v>16554.45</v>
      </c>
      <c r="M24" s="75">
        <f t="shared" si="0"/>
        <v>89961.278749999998</v>
      </c>
      <c r="N24" s="75">
        <f t="shared" si="0"/>
        <v>80301.510000000009</v>
      </c>
      <c r="O24" s="75">
        <f t="shared" si="0"/>
        <v>497900.0466476354</v>
      </c>
      <c r="P24" s="75">
        <f t="shared" si="0"/>
        <v>925070.07247263554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8C67-3F0D-4732-B7BF-228CC7FB9A54}">
  <sheetPr>
    <tabColor rgb="FFFFFF00"/>
  </sheetPr>
  <dimension ref="A1:BD190"/>
  <sheetViews>
    <sheetView topLeftCell="A5" zoomScale="80" zoomScaleNormal="80" workbookViewId="0">
      <selection activeCell="R11" sqref="R11:S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45818</v>
      </c>
      <c r="E3" s="82" t="s">
        <v>52</v>
      </c>
      <c r="F3" s="82"/>
      <c r="G3" s="83">
        <v>11.04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413</v>
      </c>
      <c r="C6" s="9" t="s">
        <v>390</v>
      </c>
      <c r="D6" s="13" t="s">
        <v>391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392</v>
      </c>
      <c r="AA6" s="8">
        <v>6565.9000000000005</v>
      </c>
      <c r="AB6" s="8">
        <v>5557</v>
      </c>
      <c r="AC6" s="8">
        <v>1008.9000000000005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56.498400000000039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392</v>
      </c>
      <c r="AA7" s="8">
        <v>6565.9000000000005</v>
      </c>
      <c r="AB7" s="8">
        <v>5557</v>
      </c>
      <c r="AC7" s="8">
        <v>1008.9000000000005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393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503</v>
      </c>
      <c r="C10" s="9" t="s">
        <v>504</v>
      </c>
      <c r="D10" s="13" t="s">
        <v>505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308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430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506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308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507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437</v>
      </c>
      <c r="C14" s="9" t="s">
        <v>339</v>
      </c>
      <c r="D14" s="13" t="s">
        <v>438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430</v>
      </c>
      <c r="AG14" s="1" t="s">
        <v>119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374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4000</v>
      </c>
      <c r="AC15" s="8">
        <v>4801.1000000000004</v>
      </c>
      <c r="AD15" s="8">
        <v>0</v>
      </c>
      <c r="AE15" s="8">
        <v>8801.1</v>
      </c>
      <c r="AF15" s="8" t="s">
        <v>311</v>
      </c>
      <c r="AG15" s="1" t="s">
        <v>121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307.2704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12242.300000000001</v>
      </c>
      <c r="AC16" s="8">
        <v>4801.1000000000004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375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39710</v>
      </c>
      <c r="W17" s="10">
        <v>290</v>
      </c>
      <c r="X17" s="10">
        <v>43885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376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15500</v>
      </c>
      <c r="W18" s="10">
        <v>14500</v>
      </c>
      <c r="X18" s="10">
        <v>30955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35763.199999999997</v>
      </c>
      <c r="AB21" s="8">
        <v>0</v>
      </c>
      <c r="AC21" s="8">
        <v>35763.199999999997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451</v>
      </c>
      <c r="C22" s="9" t="s">
        <v>73</v>
      </c>
      <c r="D22" s="13" t="s">
        <v>222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45820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45820</v>
      </c>
      <c r="AK22" s="3">
        <v>0</v>
      </c>
      <c r="AL22" s="3">
        <v>45811</v>
      </c>
      <c r="AM22" s="3">
        <v>45818</v>
      </c>
      <c r="AN22" s="3">
        <v>45819</v>
      </c>
      <c r="AO22" s="3">
        <v>45819</v>
      </c>
      <c r="AP22" s="3">
        <v>45815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451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45825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45825</v>
      </c>
      <c r="AK23" s="3">
        <v>0</v>
      </c>
      <c r="AL23" s="3">
        <v>45816</v>
      </c>
      <c r="AM23" s="3">
        <v>45823</v>
      </c>
      <c r="AN23" s="3">
        <v>45824</v>
      </c>
      <c r="AO23" s="3">
        <v>45824</v>
      </c>
      <c r="AP23" s="3">
        <v>45820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452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453</v>
      </c>
      <c r="T24" s="12">
        <v>45825</v>
      </c>
      <c r="U24" s="11">
        <v>15000</v>
      </c>
      <c r="V24" s="10">
        <v>0</v>
      </c>
      <c r="W24" s="10">
        <v>15000</v>
      </c>
      <c r="X24" s="10">
        <v>15750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477</v>
      </c>
      <c r="C25" s="9" t="s">
        <v>73</v>
      </c>
      <c r="D25" s="13" t="s">
        <v>183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453</v>
      </c>
      <c r="T25" s="12">
        <v>45820</v>
      </c>
      <c r="U25" s="11">
        <v>10000</v>
      </c>
      <c r="V25" s="10">
        <v>0</v>
      </c>
      <c r="W25" s="10">
        <v>10000</v>
      </c>
      <c r="X25" s="10">
        <v>10200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478</v>
      </c>
      <c r="AG25" s="1" t="s">
        <v>120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477</v>
      </c>
      <c r="C26" s="9" t="s">
        <v>73</v>
      </c>
      <c r="D26" s="13" t="s">
        <v>222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453</v>
      </c>
      <c r="T26" s="12">
        <v>45820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478</v>
      </c>
      <c r="AG26" s="1" t="s">
        <v>120</v>
      </c>
      <c r="AH26" s="1" t="s">
        <v>74</v>
      </c>
      <c r="AI26" s="1">
        <v>2</v>
      </c>
      <c r="AJ26" s="3">
        <v>45820</v>
      </c>
      <c r="AK26" s="3">
        <v>0</v>
      </c>
      <c r="AL26" s="3">
        <v>45811</v>
      </c>
      <c r="AM26" s="3">
        <v>45818</v>
      </c>
      <c r="AN26" s="3">
        <v>45819</v>
      </c>
      <c r="AO26" s="3">
        <v>45819</v>
      </c>
      <c r="AP26" s="3">
        <v>45815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477</v>
      </c>
      <c r="C27" s="9" t="s">
        <v>73</v>
      </c>
      <c r="D27" s="13" t="s">
        <v>479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453</v>
      </c>
      <c r="T27" s="12">
        <v>45820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2854</v>
      </c>
      <c r="AC27" s="8">
        <v>1546.5500000000002</v>
      </c>
      <c r="AD27" s="8">
        <v>0</v>
      </c>
      <c r="AE27" s="8">
        <v>0</v>
      </c>
      <c r="AF27" s="8" t="s">
        <v>478</v>
      </c>
      <c r="AG27" s="1" t="s">
        <v>120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116.49301955555558</v>
      </c>
    </row>
    <row r="28" spans="1:56" ht="27.75" customHeight="1" x14ac:dyDescent="0.45">
      <c r="A28" s="3">
        <v>45812</v>
      </c>
      <c r="B28" s="14" t="s">
        <v>477</v>
      </c>
      <c r="C28" s="9" t="s">
        <v>73</v>
      </c>
      <c r="D28" s="13" t="s">
        <v>211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453</v>
      </c>
      <c r="T28" s="12">
        <v>45822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469</v>
      </c>
      <c r="AG28" s="1" t="s">
        <v>122</v>
      </c>
      <c r="AH28" s="1" t="s">
        <v>74</v>
      </c>
      <c r="AI28" s="1">
        <v>2</v>
      </c>
      <c r="AJ28" s="3">
        <v>45822</v>
      </c>
      <c r="AK28" s="3">
        <v>0</v>
      </c>
      <c r="AL28" s="3">
        <v>45813</v>
      </c>
      <c r="AM28" s="3">
        <v>45820</v>
      </c>
      <c r="AN28" s="3">
        <v>45821</v>
      </c>
      <c r="AO28" s="3">
        <v>45821</v>
      </c>
      <c r="AP28" s="3">
        <v>45817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331.46898400000003</v>
      </c>
    </row>
    <row r="29" spans="1:56" ht="27.75" customHeight="1" x14ac:dyDescent="0.45">
      <c r="A29" s="3">
        <v>45812</v>
      </c>
      <c r="B29" s="14" t="s">
        <v>477</v>
      </c>
      <c r="C29" s="9" t="s">
        <v>73</v>
      </c>
      <c r="D29" s="13" t="s">
        <v>480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453</v>
      </c>
      <c r="T29" s="12">
        <v>45822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469</v>
      </c>
      <c r="AG29" s="1" t="s">
        <v>120</v>
      </c>
      <c r="AH29" s="1" t="s">
        <v>74</v>
      </c>
      <c r="AI29" s="1">
        <v>2</v>
      </c>
      <c r="AJ29" s="3">
        <v>45822</v>
      </c>
      <c r="AK29" s="3">
        <v>0</v>
      </c>
      <c r="AL29" s="3">
        <v>45813</v>
      </c>
      <c r="AM29" s="3">
        <v>45820</v>
      </c>
      <c r="AN29" s="3">
        <v>45821</v>
      </c>
      <c r="AO29" s="3">
        <v>45821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331.46898400000003</v>
      </c>
    </row>
    <row r="30" spans="1:56" ht="27.75" customHeight="1" x14ac:dyDescent="0.45">
      <c r="A30" s="3">
        <v>45812</v>
      </c>
      <c r="B30" s="14" t="s">
        <v>477</v>
      </c>
      <c r="C30" s="9" t="s">
        <v>73</v>
      </c>
      <c r="D30" s="13" t="s">
        <v>481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453</v>
      </c>
      <c r="T30" s="12">
        <v>45822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469</v>
      </c>
      <c r="AG30" s="1" t="s">
        <v>121</v>
      </c>
      <c r="AH30" s="1" t="s">
        <v>74</v>
      </c>
      <c r="AI30" s="1">
        <v>2</v>
      </c>
      <c r="AJ30" s="3">
        <v>45822</v>
      </c>
      <c r="AK30" s="3">
        <v>0</v>
      </c>
      <c r="AL30" s="3">
        <v>45813</v>
      </c>
      <c r="AM30" s="3">
        <v>45820</v>
      </c>
      <c r="AN30" s="3">
        <v>45821</v>
      </c>
      <c r="AO30" s="3">
        <v>45821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45812</v>
      </c>
      <c r="B31" s="14" t="s">
        <v>482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453</v>
      </c>
      <c r="T31" s="12">
        <v>45822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469</v>
      </c>
      <c r="AG31" s="1" t="s">
        <v>122</v>
      </c>
      <c r="AH31" s="1" t="s">
        <v>77</v>
      </c>
      <c r="AI31" s="1">
        <v>2</v>
      </c>
      <c r="AJ31" s="3">
        <v>45822</v>
      </c>
      <c r="AK31" s="3">
        <v>0</v>
      </c>
      <c r="AL31" s="3">
        <v>0</v>
      </c>
      <c r="AM31" s="3">
        <v>0</v>
      </c>
      <c r="AN31" s="3">
        <v>0</v>
      </c>
      <c r="AO31" s="3">
        <v>45820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45812</v>
      </c>
      <c r="B32" s="14" t="s">
        <v>477</v>
      </c>
      <c r="C32" s="9" t="s">
        <v>73</v>
      </c>
      <c r="D32" s="13" t="s">
        <v>483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453</v>
      </c>
      <c r="T32" s="12">
        <v>45825</v>
      </c>
      <c r="U32" s="11">
        <v>3000</v>
      </c>
      <c r="V32" s="10">
        <v>0</v>
      </c>
      <c r="W32" s="10">
        <v>3000</v>
      </c>
      <c r="X32" s="10">
        <v>0</v>
      </c>
      <c r="Y32" s="10">
        <v>3150</v>
      </c>
      <c r="Z32" s="9" t="s">
        <v>186</v>
      </c>
      <c r="AA32" s="8">
        <v>2640.33</v>
      </c>
      <c r="AB32" s="8">
        <v>0</v>
      </c>
      <c r="AC32" s="8">
        <v>2640.33</v>
      </c>
      <c r="AD32" s="8">
        <v>0</v>
      </c>
      <c r="AE32" s="8">
        <v>0</v>
      </c>
      <c r="AF32" s="8" t="s">
        <v>470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198.88139040000004</v>
      </c>
    </row>
    <row r="33" spans="1:56" ht="27.75" customHeight="1" x14ac:dyDescent="0.45">
      <c r="A33" s="3">
        <v>45812</v>
      </c>
      <c r="B33" s="14" t="s">
        <v>477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453</v>
      </c>
      <c r="T33" s="12">
        <v>45825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470</v>
      </c>
      <c r="AG33" s="1" t="s">
        <v>120</v>
      </c>
      <c r="AH33" s="1" t="s">
        <v>74</v>
      </c>
      <c r="AI33" s="1">
        <v>2</v>
      </c>
      <c r="AJ33" s="3">
        <v>45825</v>
      </c>
      <c r="AK33" s="3">
        <v>0</v>
      </c>
      <c r="AL33" s="3">
        <v>45816</v>
      </c>
      <c r="AM33" s="3">
        <v>45823</v>
      </c>
      <c r="AN33" s="3">
        <v>45824</v>
      </c>
      <c r="AO33" s="3">
        <v>45824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484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453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470</v>
      </c>
      <c r="AG34" s="1" t="s">
        <v>120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477</v>
      </c>
      <c r="C35" s="9" t="s">
        <v>73</v>
      </c>
      <c r="D35" s="13" t="s">
        <v>485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453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475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477</v>
      </c>
      <c r="C36" s="9" t="s">
        <v>73</v>
      </c>
      <c r="D36" s="13" t="s">
        <v>486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453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475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45812</v>
      </c>
      <c r="B37" s="14" t="s">
        <v>477</v>
      </c>
      <c r="C37" s="9" t="s">
        <v>73</v>
      </c>
      <c r="D37" s="13" t="s">
        <v>349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453</v>
      </c>
      <c r="T37" s="12">
        <v>45827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475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45812</v>
      </c>
      <c r="B38" s="14" t="s">
        <v>487</v>
      </c>
      <c r="C38" s="9" t="s">
        <v>73</v>
      </c>
      <c r="D38" s="13" t="s">
        <v>488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453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489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487</v>
      </c>
      <c r="C39" s="9" t="s">
        <v>73</v>
      </c>
      <c r="D39" s="13" t="s">
        <v>490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453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489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45812</v>
      </c>
      <c r="B40" s="14" t="s">
        <v>491</v>
      </c>
      <c r="C40" s="9" t="s">
        <v>73</v>
      </c>
      <c r="D40" s="13" t="s">
        <v>349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453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489</v>
      </c>
      <c r="AG40" s="1" t="s">
        <v>121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705.02926755555563</v>
      </c>
    </row>
    <row r="41" spans="1:56" ht="27.75" customHeight="1" x14ac:dyDescent="0.45">
      <c r="A41" s="3">
        <v>45812</v>
      </c>
      <c r="B41" s="14" t="s">
        <v>491</v>
      </c>
      <c r="C41" s="9" t="s">
        <v>73</v>
      </c>
      <c r="D41" s="13" t="s">
        <v>492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453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489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352.51463377777782</v>
      </c>
    </row>
    <row r="42" spans="1:56" ht="27.75" customHeight="1" x14ac:dyDescent="0.45">
      <c r="A42" s="3">
        <v>45812</v>
      </c>
      <c r="B42" s="14" t="s">
        <v>487</v>
      </c>
      <c r="C42" s="9" t="s">
        <v>73</v>
      </c>
      <c r="D42" s="13" t="s">
        <v>493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453</v>
      </c>
      <c r="T42" s="12">
        <v>45828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494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45812</v>
      </c>
      <c r="B43" s="14" t="s">
        <v>487</v>
      </c>
      <c r="C43" s="9" t="s">
        <v>73</v>
      </c>
      <c r="D43" s="13" t="s">
        <v>183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453</v>
      </c>
      <c r="T43" s="12">
        <v>45828</v>
      </c>
      <c r="U43" s="11">
        <v>10000</v>
      </c>
      <c r="V43" s="10">
        <v>0</v>
      </c>
      <c r="W43" s="10">
        <v>10000</v>
      </c>
      <c r="X43" s="10">
        <v>10200</v>
      </c>
      <c r="Y43" s="10">
        <v>0</v>
      </c>
      <c r="Z43" s="9" t="s">
        <v>186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494</v>
      </c>
      <c r="AG43" s="1" t="s">
        <v>120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0</v>
      </c>
    </row>
    <row r="44" spans="1:56" ht="27.75" customHeight="1" x14ac:dyDescent="0.45">
      <c r="A44" s="3">
        <v>45812</v>
      </c>
      <c r="B44" s="14" t="s">
        <v>491</v>
      </c>
      <c r="C44" s="9" t="s">
        <v>73</v>
      </c>
      <c r="D44" s="13" t="s">
        <v>211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453</v>
      </c>
      <c r="T44" s="12">
        <v>45828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186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494</v>
      </c>
      <c r="AG44" s="1" t="s">
        <v>120</v>
      </c>
      <c r="AH44" s="1" t="s">
        <v>74</v>
      </c>
      <c r="AI44" s="1">
        <v>2</v>
      </c>
      <c r="AJ44" s="3">
        <v>45828</v>
      </c>
      <c r="AK44" s="3">
        <v>0</v>
      </c>
      <c r="AL44" s="3">
        <v>45819</v>
      </c>
      <c r="AM44" s="3">
        <v>45826</v>
      </c>
      <c r="AN44" s="3">
        <v>45827</v>
      </c>
      <c r="AO44" s="3">
        <v>45827</v>
      </c>
      <c r="AP44" s="3">
        <v>45823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705.02926755555563</v>
      </c>
    </row>
    <row r="45" spans="1:56" ht="27.75" customHeight="1" x14ac:dyDescent="0.45">
      <c r="A45" s="3">
        <v>45812</v>
      </c>
      <c r="B45" s="14" t="s">
        <v>477</v>
      </c>
      <c r="C45" s="9" t="s">
        <v>73</v>
      </c>
      <c r="D45" s="13" t="s">
        <v>485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453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495</v>
      </c>
      <c r="AG45" s="1" t="s">
        <v>121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477</v>
      </c>
      <c r="C46" s="9" t="s">
        <v>73</v>
      </c>
      <c r="D46" s="13" t="s">
        <v>496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453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495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477</v>
      </c>
      <c r="C47" s="9" t="s">
        <v>73</v>
      </c>
      <c r="D47" s="13" t="s">
        <v>210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453</v>
      </c>
      <c r="T47" s="12">
        <v>45829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495</v>
      </c>
      <c r="AG47" s="1" t="s">
        <v>119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477</v>
      </c>
      <c r="C48" s="9" t="s">
        <v>73</v>
      </c>
      <c r="D48" s="13" t="s">
        <v>183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453</v>
      </c>
      <c r="T48" s="12">
        <v>45829</v>
      </c>
      <c r="U48" s="11">
        <v>10000</v>
      </c>
      <c r="V48" s="10">
        <v>0</v>
      </c>
      <c r="W48" s="10">
        <v>10000</v>
      </c>
      <c r="X48" s="10">
        <v>10600</v>
      </c>
      <c r="Y48" s="10">
        <v>0</v>
      </c>
      <c r="Z48" s="9" t="s">
        <v>186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495</v>
      </c>
      <c r="AG48" s="1" t="s">
        <v>119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0</v>
      </c>
    </row>
    <row r="49" spans="1:56" ht="27.75" customHeight="1" x14ac:dyDescent="0.45">
      <c r="A49" s="3" t="s">
        <v>141</v>
      </c>
      <c r="B49" s="14" t="s">
        <v>141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150</v>
      </c>
      <c r="T49" s="12">
        <v>45838</v>
      </c>
      <c r="U49" s="11">
        <v>275000</v>
      </c>
      <c r="V49" s="10">
        <v>0</v>
      </c>
      <c r="W49" s="10">
        <v>275000</v>
      </c>
      <c r="X49" s="10">
        <v>0</v>
      </c>
      <c r="Y49" s="10">
        <v>288750</v>
      </c>
      <c r="Z49" s="9" t="s">
        <v>186</v>
      </c>
      <c r="AA49" s="8">
        <v>242030.25</v>
      </c>
      <c r="AB49" s="8">
        <v>0</v>
      </c>
      <c r="AC49" s="8">
        <v>242030.25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18230.794120000006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186</v>
      </c>
      <c r="AA50" s="8">
        <v>350633.03</v>
      </c>
      <c r="AB50" s="8">
        <v>2854</v>
      </c>
      <c r="AC50" s="8">
        <v>347779.03</v>
      </c>
      <c r="AD50" s="8">
        <v>0</v>
      </c>
      <c r="AE50" s="8">
        <v>0</v>
      </c>
      <c r="AF50" s="8" t="s">
        <v>58</v>
      </c>
      <c r="AG50" s="1" t="s">
        <v>119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188</v>
      </c>
      <c r="BD50" s="56">
        <v>0</v>
      </c>
    </row>
    <row r="51" spans="1:56" ht="27.75" customHeight="1" x14ac:dyDescent="0.45">
      <c r="A51" s="3">
        <v>45796</v>
      </c>
      <c r="B51" s="14" t="s">
        <v>377</v>
      </c>
      <c r="C51" s="9" t="s">
        <v>147</v>
      </c>
      <c r="D51" s="13" t="s">
        <v>368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214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119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215</v>
      </c>
      <c r="BD52" s="56">
        <v>0</v>
      </c>
    </row>
    <row r="53" spans="1:56" ht="27.75" customHeight="1" x14ac:dyDescent="0.45">
      <c r="A53" s="3">
        <v>0</v>
      </c>
      <c r="B53" s="14" t="s">
        <v>133</v>
      </c>
      <c r="C53" s="9" t="s">
        <v>340</v>
      </c>
      <c r="D53" s="13" t="s">
        <v>536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45829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146</v>
      </c>
      <c r="AA53" s="8">
        <v>18719.800000000003</v>
      </c>
      <c r="AB53" s="8">
        <v>7658</v>
      </c>
      <c r="AC53" s="8">
        <v>11061.800000000003</v>
      </c>
      <c r="AD53" s="8">
        <v>0</v>
      </c>
      <c r="AE53" s="8">
        <v>0</v>
      </c>
      <c r="AF53" s="8">
        <v>0</v>
      </c>
      <c r="AG53" s="1" t="s">
        <v>121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679.07161111111111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146</v>
      </c>
      <c r="AA54" s="8">
        <v>18719.800000000003</v>
      </c>
      <c r="AB54" s="8">
        <v>7658</v>
      </c>
      <c r="AC54" s="8">
        <v>11061.800000000003</v>
      </c>
      <c r="AD54" s="8">
        <v>0</v>
      </c>
      <c r="AE54" s="8">
        <v>0</v>
      </c>
      <c r="AF54" s="8" t="s">
        <v>58</v>
      </c>
      <c r="AG54" s="1" t="s">
        <v>121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45796</v>
      </c>
      <c r="B55" s="14" t="s">
        <v>378</v>
      </c>
      <c r="C55" s="9" t="s">
        <v>147</v>
      </c>
      <c r="D55" s="13" t="s">
        <v>370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45821</v>
      </c>
      <c r="U55" s="11">
        <v>3280</v>
      </c>
      <c r="V55" s="10">
        <v>2447</v>
      </c>
      <c r="W55" s="10">
        <v>833</v>
      </c>
      <c r="X55" s="10">
        <v>5975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45821</v>
      </c>
      <c r="AK55" s="3">
        <v>45817</v>
      </c>
      <c r="AL55" s="3">
        <v>45810</v>
      </c>
      <c r="AM55" s="3">
        <v>45818</v>
      </c>
      <c r="AN55" s="3">
        <v>45819</v>
      </c>
      <c r="AO55" s="3">
        <v>45820</v>
      </c>
      <c r="AP55" s="3">
        <v>45816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45796</v>
      </c>
      <c r="B56" s="14" t="s">
        <v>379</v>
      </c>
      <c r="C56" s="9" t="s">
        <v>147</v>
      </c>
      <c r="D56" s="13" t="s">
        <v>262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45821</v>
      </c>
      <c r="U56" s="11">
        <v>3853</v>
      </c>
      <c r="V56" s="10">
        <v>840</v>
      </c>
      <c r="W56" s="10">
        <v>3013</v>
      </c>
      <c r="X56" s="10">
        <v>15401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121</v>
      </c>
      <c r="AH56" s="1" t="s">
        <v>75</v>
      </c>
      <c r="AI56" s="1">
        <v>4</v>
      </c>
      <c r="AJ56" s="3">
        <v>45821</v>
      </c>
      <c r="AK56" s="3">
        <v>45817</v>
      </c>
      <c r="AL56" s="3">
        <v>45810</v>
      </c>
      <c r="AM56" s="3">
        <v>45818</v>
      </c>
      <c r="AN56" s="3">
        <v>45819</v>
      </c>
      <c r="AO56" s="3">
        <v>45820</v>
      </c>
      <c r="AP56" s="3">
        <v>45816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379</v>
      </c>
      <c r="C57" s="9" t="s">
        <v>147</v>
      </c>
      <c r="D57" s="13" t="s">
        <v>209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45821</v>
      </c>
      <c r="U57" s="11">
        <v>4349</v>
      </c>
      <c r="V57" s="10">
        <v>0</v>
      </c>
      <c r="W57" s="10">
        <v>4349</v>
      </c>
      <c r="X57" s="10">
        <v>0</v>
      </c>
      <c r="Y57" s="10">
        <v>4566.45</v>
      </c>
      <c r="Z57" s="9" t="s">
        <v>81</v>
      </c>
      <c r="AA57" s="8">
        <v>4556.6647499999999</v>
      </c>
      <c r="AB57" s="8">
        <v>4556.6647499999999</v>
      </c>
      <c r="AC57" s="8">
        <v>0</v>
      </c>
      <c r="AD57" s="8">
        <v>0</v>
      </c>
      <c r="AE57" s="8">
        <v>4556.6647499999999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45821</v>
      </c>
      <c r="AK57" s="3">
        <v>45817</v>
      </c>
      <c r="AL57" s="3">
        <v>45810</v>
      </c>
      <c r="AM57" s="3">
        <v>45818</v>
      </c>
      <c r="AN57" s="3">
        <v>45819</v>
      </c>
      <c r="AO57" s="3">
        <v>45820</v>
      </c>
      <c r="AP57" s="3">
        <v>45816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45796</v>
      </c>
      <c r="B58" s="14" t="s">
        <v>382</v>
      </c>
      <c r="C58" s="9" t="s">
        <v>147</v>
      </c>
      <c r="D58" s="13" t="s">
        <v>154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45821</v>
      </c>
      <c r="U58" s="11">
        <v>17200</v>
      </c>
      <c r="V58" s="10">
        <v>0</v>
      </c>
      <c r="W58" s="10">
        <v>17200</v>
      </c>
      <c r="X58" s="10">
        <v>35200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45821</v>
      </c>
      <c r="AK58" s="3">
        <v>45817</v>
      </c>
      <c r="AL58" s="3">
        <v>45810</v>
      </c>
      <c r="AM58" s="3">
        <v>45818</v>
      </c>
      <c r="AN58" s="3">
        <v>45819</v>
      </c>
      <c r="AO58" s="3">
        <v>45820</v>
      </c>
      <c r="AP58" s="3">
        <v>45816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373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383</v>
      </c>
      <c r="C59" s="9" t="s">
        <v>147</v>
      </c>
      <c r="D59" s="13" t="s">
        <v>264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45821</v>
      </c>
      <c r="U59" s="11">
        <v>10000</v>
      </c>
      <c r="V59" s="10">
        <v>3920</v>
      </c>
      <c r="W59" s="10">
        <v>6080</v>
      </c>
      <c r="X59" s="10">
        <v>12101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45821</v>
      </c>
      <c r="AK59" s="3">
        <v>45817</v>
      </c>
      <c r="AL59" s="3">
        <v>45810</v>
      </c>
      <c r="AM59" s="3">
        <v>45818</v>
      </c>
      <c r="AN59" s="3">
        <v>45819</v>
      </c>
      <c r="AO59" s="3">
        <v>45820</v>
      </c>
      <c r="AP59" s="3">
        <v>45816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45766</v>
      </c>
      <c r="B60" s="14" t="s">
        <v>330</v>
      </c>
      <c r="C60" s="9" t="s">
        <v>147</v>
      </c>
      <c r="D60" s="13" t="s">
        <v>264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221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45821</v>
      </c>
      <c r="U60" s="11">
        <v>1120</v>
      </c>
      <c r="V60" s="10">
        <v>1120</v>
      </c>
      <c r="W60" s="10">
        <v>0</v>
      </c>
      <c r="X60" s="10">
        <v>1200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241</v>
      </c>
      <c r="AG60" s="1" t="s">
        <v>121</v>
      </c>
      <c r="AH60" s="1" t="s">
        <v>75</v>
      </c>
      <c r="AI60" s="1">
        <v>4</v>
      </c>
      <c r="AJ60" s="3">
        <v>45821</v>
      </c>
      <c r="AK60" s="3">
        <v>45817</v>
      </c>
      <c r="AL60" s="3">
        <v>45810</v>
      </c>
      <c r="AM60" s="3">
        <v>45818</v>
      </c>
      <c r="AN60" s="3">
        <v>45819</v>
      </c>
      <c r="AO60" s="3">
        <v>45820</v>
      </c>
      <c r="AP60" s="3">
        <v>45816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416</v>
      </c>
      <c r="C61" s="9" t="s">
        <v>394</v>
      </c>
      <c r="D61" s="13" t="s">
        <v>395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12000</v>
      </c>
      <c r="V61" s="10">
        <v>0</v>
      </c>
      <c r="W61" s="10">
        <v>12000</v>
      </c>
      <c r="X61" s="10">
        <v>8045</v>
      </c>
      <c r="Y61" s="10">
        <v>4152.75</v>
      </c>
      <c r="Z61" s="9" t="s">
        <v>81</v>
      </c>
      <c r="AA61" s="8">
        <v>4118.9881425000003</v>
      </c>
      <c r="AB61" s="8">
        <v>4118.9881425000003</v>
      </c>
      <c r="AC61" s="8">
        <v>0</v>
      </c>
      <c r="AD61" s="8">
        <v>4118.9881425000003</v>
      </c>
      <c r="AE61" s="8">
        <v>0</v>
      </c>
      <c r="AF61" s="8" t="s">
        <v>241</v>
      </c>
      <c r="AG61" s="1" t="s">
        <v>121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45810</v>
      </c>
      <c r="B62" s="14" t="s">
        <v>460</v>
      </c>
      <c r="C62" s="9" t="s">
        <v>461</v>
      </c>
      <c r="D62" s="13" t="s">
        <v>395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1500</v>
      </c>
      <c r="V62" s="10">
        <v>0</v>
      </c>
      <c r="W62" s="10">
        <v>1500</v>
      </c>
      <c r="X62" s="10">
        <v>0</v>
      </c>
      <c r="Y62" s="10">
        <v>1575</v>
      </c>
      <c r="Z62" s="9" t="s">
        <v>81</v>
      </c>
      <c r="AA62" s="8">
        <v>1487.8050000000001</v>
      </c>
      <c r="AB62" s="8">
        <v>1487.8050000000001</v>
      </c>
      <c r="AC62" s="8">
        <v>0</v>
      </c>
      <c r="AD62" s="8">
        <v>1487.8050000000001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45799</v>
      </c>
      <c r="B63" s="14" t="s">
        <v>416</v>
      </c>
      <c r="C63" s="9" t="s">
        <v>394</v>
      </c>
      <c r="D63" s="13" t="s">
        <v>396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45819</v>
      </c>
      <c r="U63" s="11">
        <v>8000</v>
      </c>
      <c r="V63" s="10">
        <v>0</v>
      </c>
      <c r="W63" s="10">
        <v>8000</v>
      </c>
      <c r="X63" s="10">
        <v>8450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241</v>
      </c>
      <c r="AG63" s="1" t="s">
        <v>119</v>
      </c>
      <c r="AH63" s="1" t="s">
        <v>75</v>
      </c>
      <c r="AI63" s="1">
        <v>4</v>
      </c>
      <c r="AJ63" s="3">
        <v>45819</v>
      </c>
      <c r="AK63" s="3">
        <v>45815</v>
      </c>
      <c r="AL63" s="3">
        <v>45808</v>
      </c>
      <c r="AM63" s="3">
        <v>45816</v>
      </c>
      <c r="AN63" s="3">
        <v>45817</v>
      </c>
      <c r="AO63" s="3">
        <v>45818</v>
      </c>
      <c r="AP63" s="3">
        <v>45814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45810</v>
      </c>
      <c r="B64" s="14" t="s">
        <v>460</v>
      </c>
      <c r="C64" s="9" t="s">
        <v>461</v>
      </c>
      <c r="D64" s="13" t="s">
        <v>396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45819</v>
      </c>
      <c r="U64" s="11">
        <v>1000</v>
      </c>
      <c r="V64" s="10">
        <v>0</v>
      </c>
      <c r="W64" s="10">
        <v>1000</v>
      </c>
      <c r="X64" s="10">
        <v>1000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45819</v>
      </c>
      <c r="AK64" s="3">
        <v>45815</v>
      </c>
      <c r="AL64" s="3">
        <v>45808</v>
      </c>
      <c r="AM64" s="3">
        <v>45816</v>
      </c>
      <c r="AN64" s="3">
        <v>45817</v>
      </c>
      <c r="AO64" s="3">
        <v>45818</v>
      </c>
      <c r="AP64" s="3">
        <v>45814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45782</v>
      </c>
      <c r="B65" s="14" t="s">
        <v>367</v>
      </c>
      <c r="C65" s="9" t="s">
        <v>80</v>
      </c>
      <c r="D65" s="13" t="s">
        <v>318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5518.15</v>
      </c>
      <c r="AB65" s="8">
        <v>5518.15</v>
      </c>
      <c r="AC65" s="8">
        <v>0</v>
      </c>
      <c r="AD65" s="8">
        <v>5518.15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45756</v>
      </c>
      <c r="B66" s="14" t="s">
        <v>321</v>
      </c>
      <c r="C66" s="9" t="s">
        <v>80</v>
      </c>
      <c r="D66" s="13" t="s">
        <v>322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45820</v>
      </c>
      <c r="U66" s="11">
        <v>3000</v>
      </c>
      <c r="V66" s="10">
        <v>3148</v>
      </c>
      <c r="W66" s="10">
        <v>0</v>
      </c>
      <c r="X66" s="10">
        <v>6505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45820</v>
      </c>
      <c r="AK66" s="3">
        <v>45816</v>
      </c>
      <c r="AL66" s="3">
        <v>45809</v>
      </c>
      <c r="AM66" s="3">
        <v>45817</v>
      </c>
      <c r="AN66" s="3">
        <v>45818</v>
      </c>
      <c r="AO66" s="3">
        <v>45819</v>
      </c>
      <c r="AP66" s="3">
        <v>45815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45740</v>
      </c>
      <c r="B67" s="14" t="s">
        <v>306</v>
      </c>
      <c r="C67" s="9" t="s">
        <v>80</v>
      </c>
      <c r="D67" s="13" t="s">
        <v>258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2500</v>
      </c>
      <c r="V67" s="10">
        <v>2825</v>
      </c>
      <c r="W67" s="10">
        <v>0</v>
      </c>
      <c r="X67" s="10">
        <v>5688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45752</v>
      </c>
      <c r="B68" s="14" t="s">
        <v>314</v>
      </c>
      <c r="C68" s="9" t="s">
        <v>80</v>
      </c>
      <c r="D68" s="13" t="s">
        <v>315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45820</v>
      </c>
      <c r="U68" s="11">
        <v>5000</v>
      </c>
      <c r="V68" s="10">
        <v>5168</v>
      </c>
      <c r="W68" s="10">
        <v>0</v>
      </c>
      <c r="X68" s="10">
        <v>5400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45820</v>
      </c>
      <c r="AK68" s="3">
        <v>45816</v>
      </c>
      <c r="AL68" s="3">
        <v>45809</v>
      </c>
      <c r="AM68" s="3">
        <v>45817</v>
      </c>
      <c r="AN68" s="3">
        <v>45818</v>
      </c>
      <c r="AO68" s="3">
        <v>45819</v>
      </c>
      <c r="AP68" s="3">
        <v>45815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320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45808</v>
      </c>
      <c r="B69" s="14" t="s">
        <v>454</v>
      </c>
      <c r="C69" s="9" t="s">
        <v>445</v>
      </c>
      <c r="D69" s="13" t="s">
        <v>446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220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45821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120</v>
      </c>
      <c r="AH69" s="1" t="s">
        <v>68</v>
      </c>
      <c r="AI69" s="1">
        <v>4</v>
      </c>
      <c r="AJ69" s="3">
        <v>45821</v>
      </c>
      <c r="AK69" s="3">
        <v>45817</v>
      </c>
      <c r="AL69" s="3">
        <v>45811</v>
      </c>
      <c r="AM69" s="3">
        <v>45818</v>
      </c>
      <c r="AN69" s="3">
        <v>45819</v>
      </c>
      <c r="AO69" s="3">
        <v>45819</v>
      </c>
      <c r="AP69" s="3">
        <v>45816</v>
      </c>
      <c r="AQ69" s="3">
        <v>45820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45808</v>
      </c>
      <c r="B70" s="14" t="s">
        <v>462</v>
      </c>
      <c r="C70" s="9" t="s">
        <v>147</v>
      </c>
      <c r="D70" s="13" t="s">
        <v>155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329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45822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81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45822</v>
      </c>
      <c r="AK70" s="3">
        <v>45818</v>
      </c>
      <c r="AL70" s="3">
        <v>45811</v>
      </c>
      <c r="AM70" s="3">
        <v>45819</v>
      </c>
      <c r="AN70" s="3">
        <v>45820</v>
      </c>
      <c r="AO70" s="3">
        <v>45821</v>
      </c>
      <c r="AP70" s="3">
        <v>45817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45803</v>
      </c>
      <c r="B71" s="14" t="s">
        <v>421</v>
      </c>
      <c r="C71" s="9" t="s">
        <v>111</v>
      </c>
      <c r="D71" s="13" t="s">
        <v>422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45831</v>
      </c>
      <c r="AK71" s="3">
        <v>45827</v>
      </c>
      <c r="AL71" s="3">
        <v>45820</v>
      </c>
      <c r="AM71" s="3">
        <v>45828</v>
      </c>
      <c r="AN71" s="3">
        <v>45829</v>
      </c>
      <c r="AO71" s="3">
        <v>45830</v>
      </c>
      <c r="AP71" s="3">
        <v>45826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45803</v>
      </c>
      <c r="B72" s="14" t="s">
        <v>417</v>
      </c>
      <c r="C72" s="9" t="s">
        <v>111</v>
      </c>
      <c r="D72" s="13" t="s">
        <v>418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45814</v>
      </c>
      <c r="B73" s="14" t="s">
        <v>508</v>
      </c>
      <c r="C73" s="9" t="s">
        <v>509</v>
      </c>
      <c r="D73" s="13" t="s">
        <v>510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45835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21513.800000000003</v>
      </c>
      <c r="AB73" s="8">
        <v>21513.800000000003</v>
      </c>
      <c r="AC73" s="8">
        <v>0</v>
      </c>
      <c r="AD73" s="8">
        <v>0</v>
      </c>
      <c r="AE73" s="8">
        <v>21513.800000000003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45835</v>
      </c>
      <c r="AK73" s="3">
        <v>45831</v>
      </c>
      <c r="AL73" s="3">
        <v>45824</v>
      </c>
      <c r="AM73" s="3">
        <v>45832</v>
      </c>
      <c r="AN73" s="3">
        <v>45833</v>
      </c>
      <c r="AO73" s="3">
        <v>45834</v>
      </c>
      <c r="AP73" s="3">
        <v>45830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45814</v>
      </c>
      <c r="B74" s="14" t="s">
        <v>508</v>
      </c>
      <c r="C74" s="9" t="s">
        <v>509</v>
      </c>
      <c r="D74" s="13" t="s">
        <v>511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45835</v>
      </c>
      <c r="AK74" s="3">
        <v>45831</v>
      </c>
      <c r="AL74" s="3">
        <v>45824</v>
      </c>
      <c r="AM74" s="3">
        <v>45832</v>
      </c>
      <c r="AN74" s="3">
        <v>45833</v>
      </c>
      <c r="AO74" s="3">
        <v>45834</v>
      </c>
      <c r="AP74" s="3">
        <v>45830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45814</v>
      </c>
      <c r="B75" s="14" t="s">
        <v>508</v>
      </c>
      <c r="C75" s="9" t="s">
        <v>509</v>
      </c>
      <c r="D75" s="13" t="s">
        <v>512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812.74355555555564</v>
      </c>
    </row>
    <row r="76" spans="1:56" ht="27.75" customHeight="1" x14ac:dyDescent="0.45">
      <c r="A76" s="3">
        <v>45814</v>
      </c>
      <c r="B76" s="14" t="s">
        <v>513</v>
      </c>
      <c r="C76" s="9" t="s">
        <v>509</v>
      </c>
      <c r="D76" s="13" t="s">
        <v>514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406.37177777777782</v>
      </c>
    </row>
    <row r="77" spans="1:56" ht="27.75" customHeight="1" x14ac:dyDescent="0.45">
      <c r="A77" s="3">
        <v>45814</v>
      </c>
      <c r="B77" s="14" t="s">
        <v>513</v>
      </c>
      <c r="C77" s="9" t="s">
        <v>509</v>
      </c>
      <c r="D77" s="13" t="s">
        <v>515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10756.900000000001</v>
      </c>
      <c r="AB77" s="8">
        <v>0</v>
      </c>
      <c r="AC77" s="8">
        <v>10756.900000000001</v>
      </c>
      <c r="AD77" s="8">
        <v>0</v>
      </c>
      <c r="AE77" s="8">
        <v>10756.900000000001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812.74355555555564</v>
      </c>
    </row>
    <row r="78" spans="1:56" ht="27.75" customHeight="1" x14ac:dyDescent="0.45">
      <c r="A78" s="3" t="s">
        <v>141</v>
      </c>
      <c r="B78" s="14" t="s">
        <v>141</v>
      </c>
      <c r="C78" s="9" t="s">
        <v>147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45838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81</v>
      </c>
      <c r="AA78" s="8">
        <v>104775.00000000001</v>
      </c>
      <c r="AB78" s="8">
        <v>0</v>
      </c>
      <c r="AC78" s="8">
        <v>104775.00000000001</v>
      </c>
      <c r="AD78" s="8">
        <v>0</v>
      </c>
      <c r="AE78" s="8">
        <v>104775.00000000001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45838</v>
      </c>
      <c r="AK78" s="3">
        <v>45834</v>
      </c>
      <c r="AL78" s="3">
        <v>45827</v>
      </c>
      <c r="AM78" s="3">
        <v>45835</v>
      </c>
      <c r="AN78" s="3">
        <v>45836</v>
      </c>
      <c r="AO78" s="3">
        <v>45837</v>
      </c>
      <c r="AP78" s="3">
        <v>45833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7916.333333333333</v>
      </c>
    </row>
    <row r="79" spans="1:56" ht="27.75" customHeight="1" x14ac:dyDescent="0.45">
      <c r="A79" s="3">
        <v>45796</v>
      </c>
      <c r="B79" s="14" t="s">
        <v>378</v>
      </c>
      <c r="C79" s="9" t="s">
        <v>147</v>
      </c>
      <c r="D79" s="13" t="s">
        <v>369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366</v>
      </c>
      <c r="V79" s="10">
        <v>0</v>
      </c>
      <c r="W79" s="10">
        <v>366</v>
      </c>
      <c r="X79" s="10">
        <v>5113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380</v>
      </c>
      <c r="C80" s="9" t="s">
        <v>147</v>
      </c>
      <c r="D80" s="13" t="s">
        <v>295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179</v>
      </c>
      <c r="V80" s="10">
        <v>0</v>
      </c>
      <c r="W80" s="10">
        <v>179</v>
      </c>
      <c r="X80" s="10">
        <v>11000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45796</v>
      </c>
      <c r="B81" s="14" t="s">
        <v>380</v>
      </c>
      <c r="C81" s="9" t="s">
        <v>147</v>
      </c>
      <c r="D81" s="13" t="s">
        <v>371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45796</v>
      </c>
      <c r="B82" s="14" t="s">
        <v>381</v>
      </c>
      <c r="C82" s="9" t="s">
        <v>147</v>
      </c>
      <c r="D82" s="13" t="s">
        <v>136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1200</v>
      </c>
      <c r="V82" s="10">
        <v>0</v>
      </c>
      <c r="W82" s="10">
        <v>1200</v>
      </c>
      <c r="X82" s="10">
        <v>10700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45798</v>
      </c>
      <c r="B83" s="14" t="s">
        <v>405</v>
      </c>
      <c r="C83" s="9" t="s">
        <v>111</v>
      </c>
      <c r="D83" s="13" t="s">
        <v>397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7.75" customHeight="1" x14ac:dyDescent="0.45">
      <c r="A84" s="3">
        <v>45782</v>
      </c>
      <c r="B84" s="14" t="s">
        <v>367</v>
      </c>
      <c r="C84" s="9" t="s">
        <v>80</v>
      </c>
      <c r="D84" s="13" t="s">
        <v>318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1667.7075555555555</v>
      </c>
    </row>
    <row r="85" spans="1:56" ht="27.75" customHeight="1" x14ac:dyDescent="0.45">
      <c r="A85" s="3">
        <v>45810</v>
      </c>
      <c r="B85" s="14" t="s">
        <v>471</v>
      </c>
      <c r="C85" s="9" t="s">
        <v>80</v>
      </c>
      <c r="D85" s="13" t="s">
        <v>258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7.75" customHeight="1" x14ac:dyDescent="0.45">
      <c r="A86" s="3">
        <v>45810</v>
      </c>
      <c r="B86" s="14" t="s">
        <v>472</v>
      </c>
      <c r="C86" s="9" t="s">
        <v>80</v>
      </c>
      <c r="D86" s="13" t="s">
        <v>473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7.75" customHeight="1" x14ac:dyDescent="0.45">
      <c r="A87" s="3">
        <v>45721</v>
      </c>
      <c r="B87" s="14" t="s">
        <v>298</v>
      </c>
      <c r="C87" s="9" t="s">
        <v>147</v>
      </c>
      <c r="D87" s="13" t="s">
        <v>263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111</v>
      </c>
      <c r="V87" s="10">
        <v>0</v>
      </c>
      <c r="W87" s="10">
        <v>111</v>
      </c>
      <c r="X87" s="10">
        <v>5600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219</v>
      </c>
      <c r="C88" s="9" t="s">
        <v>147</v>
      </c>
      <c r="D88" s="13" t="s">
        <v>127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67</v>
      </c>
      <c r="V88" s="10">
        <v>67</v>
      </c>
      <c r="W88" s="10">
        <v>0</v>
      </c>
      <c r="X88" s="10">
        <v>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45721</v>
      </c>
      <c r="B89" s="14" t="s">
        <v>299</v>
      </c>
      <c r="C89" s="9" t="s">
        <v>147</v>
      </c>
      <c r="D89" s="13" t="s">
        <v>296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734</v>
      </c>
      <c r="V89" s="10">
        <v>0</v>
      </c>
      <c r="W89" s="10">
        <v>734</v>
      </c>
      <c r="X89" s="10">
        <v>5520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141</v>
      </c>
      <c r="B90" s="14" t="s">
        <v>141</v>
      </c>
      <c r="C90" s="9" t="s">
        <v>80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45838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1667.7075555555555</v>
      </c>
    </row>
    <row r="91" spans="1:56" ht="27.75" customHeight="1" x14ac:dyDescent="0.45">
      <c r="A91" s="3" t="s">
        <v>141</v>
      </c>
      <c r="B91" s="14" t="s">
        <v>141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45838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45838</v>
      </c>
      <c r="AK91" s="3">
        <v>45834</v>
      </c>
      <c r="AL91" s="3">
        <v>45827</v>
      </c>
      <c r="AM91" s="3">
        <v>45835</v>
      </c>
      <c r="AN91" s="3">
        <v>45836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7.75" customHeight="1" x14ac:dyDescent="0.45">
      <c r="A92" s="3">
        <v>45681</v>
      </c>
      <c r="B92" s="14" t="s">
        <v>269</v>
      </c>
      <c r="C92" s="9" t="s">
        <v>80</v>
      </c>
      <c r="D92" s="13" t="s">
        <v>268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45705</v>
      </c>
      <c r="B93" s="14" t="s">
        <v>288</v>
      </c>
      <c r="C93" s="9" t="s">
        <v>147</v>
      </c>
      <c r="D93" s="13" t="s">
        <v>198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221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291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45674</v>
      </c>
      <c r="B94" s="14" t="s">
        <v>266</v>
      </c>
      <c r="C94" s="9" t="s">
        <v>147</v>
      </c>
      <c r="D94" s="13" t="s">
        <v>265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221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290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45611</v>
      </c>
      <c r="B95" s="14" t="s">
        <v>218</v>
      </c>
      <c r="C95" s="9" t="s">
        <v>147</v>
      </c>
      <c r="D95" s="13" t="s">
        <v>217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195</v>
      </c>
      <c r="C96" s="9" t="s">
        <v>147</v>
      </c>
      <c r="D96" s="13" t="s">
        <v>193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195</v>
      </c>
      <c r="C97" s="9" t="s">
        <v>147</v>
      </c>
      <c r="D97" s="13" t="s">
        <v>194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45741</v>
      </c>
      <c r="B98" s="14" t="s">
        <v>307</v>
      </c>
      <c r="C98" s="9" t="s">
        <v>111</v>
      </c>
      <c r="D98" s="13" t="s">
        <v>305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320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133</v>
      </c>
      <c r="C99" s="9" t="s">
        <v>111</v>
      </c>
      <c r="D99" s="13" t="s">
        <v>239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133</v>
      </c>
      <c r="C100" s="9" t="s">
        <v>111</v>
      </c>
      <c r="D100" s="13" t="s">
        <v>257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137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137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45541</v>
      </c>
      <c r="B101" s="14" t="s">
        <v>199</v>
      </c>
      <c r="C101" s="9" t="s">
        <v>111</v>
      </c>
      <c r="D101" s="13" t="s">
        <v>200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137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203</v>
      </c>
      <c r="AG101" s="1" t="s">
        <v>119</v>
      </c>
      <c r="AH101" s="1" t="s">
        <v>75</v>
      </c>
      <c r="AI101" s="1">
        <v>4</v>
      </c>
      <c r="AJ101" s="3" t="s">
        <v>137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260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45548</v>
      </c>
      <c r="B102" s="14" t="s">
        <v>202</v>
      </c>
      <c r="C102" s="9" t="s">
        <v>111</v>
      </c>
      <c r="D102" s="13" t="s">
        <v>201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45581</v>
      </c>
      <c r="B103" s="14" t="s">
        <v>207</v>
      </c>
      <c r="C103" s="9" t="s">
        <v>111</v>
      </c>
      <c r="D103" s="13" t="s">
        <v>208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305321.61789250013</v>
      </c>
      <c r="AB104" s="8">
        <v>68655.847892500009</v>
      </c>
      <c r="AC104" s="8">
        <v>236665.77000000005</v>
      </c>
      <c r="AD104" s="8">
        <v>14435.8331425</v>
      </c>
      <c r="AE104" s="8">
        <v>290885.78475000011</v>
      </c>
      <c r="AF104" s="8" t="s">
        <v>58</v>
      </c>
      <c r="AG104" s="1" t="s">
        <v>120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45818</v>
      </c>
      <c r="B105" s="14" t="s">
        <v>133</v>
      </c>
      <c r="C105" s="9" t="s">
        <v>86</v>
      </c>
      <c r="D105" s="13" t="s">
        <v>537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212</v>
      </c>
      <c r="T105" s="12">
        <v>45826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82</v>
      </c>
      <c r="AA105" s="8">
        <v>10756.900000000001</v>
      </c>
      <c r="AB105" s="8">
        <v>10756.900000000001</v>
      </c>
      <c r="AC105" s="8">
        <v>0</v>
      </c>
      <c r="AD105" s="8">
        <v>0</v>
      </c>
      <c r="AE105" s="8">
        <v>0</v>
      </c>
      <c r="AF105" s="8" t="s">
        <v>538</v>
      </c>
      <c r="AG105" s="1" t="s">
        <v>120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45818</v>
      </c>
      <c r="B106" s="14" t="s">
        <v>133</v>
      </c>
      <c r="C106" s="9" t="s">
        <v>86</v>
      </c>
      <c r="D106" s="13" t="s">
        <v>539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212</v>
      </c>
      <c r="T106" s="12">
        <v>45826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82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0</v>
      </c>
      <c r="AF106" s="8" t="s">
        <v>538</v>
      </c>
      <c r="AG106" s="1" t="s">
        <v>119</v>
      </c>
      <c r="AH106" s="1" t="s">
        <v>74</v>
      </c>
      <c r="AI106" s="1">
        <v>2</v>
      </c>
      <c r="AJ106" s="3">
        <v>45826</v>
      </c>
      <c r="AK106" s="3">
        <v>0</v>
      </c>
      <c r="AL106" s="3">
        <v>45817</v>
      </c>
      <c r="AM106" s="3">
        <v>45824</v>
      </c>
      <c r="AN106" s="3">
        <v>45825</v>
      </c>
      <c r="AO106" s="3">
        <v>45825</v>
      </c>
      <c r="AP106" s="3">
        <v>45821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45812</v>
      </c>
      <c r="B107" s="14" t="s">
        <v>497</v>
      </c>
      <c r="C107" s="9" t="s">
        <v>73</v>
      </c>
      <c r="D107" s="13" t="s">
        <v>474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150</v>
      </c>
      <c r="T107" s="12">
        <v>45827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475</v>
      </c>
      <c r="AG107" s="1" t="s">
        <v>120</v>
      </c>
      <c r="AH107" s="1" t="s">
        <v>74</v>
      </c>
      <c r="AI107" s="1">
        <v>2</v>
      </c>
      <c r="AJ107" s="3">
        <v>45827</v>
      </c>
      <c r="AK107" s="3">
        <v>0</v>
      </c>
      <c r="AL107" s="3">
        <v>45818</v>
      </c>
      <c r="AM107" s="3">
        <v>45825</v>
      </c>
      <c r="AN107" s="3">
        <v>45826</v>
      </c>
      <c r="AO107" s="3">
        <v>45826</v>
      </c>
      <c r="AP107" s="3">
        <v>45822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45818</v>
      </c>
      <c r="B108" s="14" t="s">
        <v>133</v>
      </c>
      <c r="C108" s="9" t="s">
        <v>86</v>
      </c>
      <c r="D108" s="13" t="s">
        <v>355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212</v>
      </c>
      <c r="T108" s="12">
        <v>45831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82</v>
      </c>
      <c r="AA108" s="8">
        <v>32270.700000000004</v>
      </c>
      <c r="AB108" s="8">
        <v>32270.700000000004</v>
      </c>
      <c r="AC108" s="8">
        <v>0</v>
      </c>
      <c r="AD108" s="8">
        <v>0</v>
      </c>
      <c r="AE108" s="8">
        <v>0</v>
      </c>
      <c r="AF108" s="8" t="s">
        <v>540</v>
      </c>
      <c r="AG108" s="1" t="s">
        <v>120</v>
      </c>
      <c r="AH108" s="1" t="s">
        <v>74</v>
      </c>
      <c r="AI108" s="1">
        <v>2</v>
      </c>
      <c r="AJ108" s="3">
        <v>45831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365</v>
      </c>
      <c r="C109" s="9" t="s">
        <v>86</v>
      </c>
      <c r="D109" s="13" t="s">
        <v>360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253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240</v>
      </c>
      <c r="AG109" s="1" t="s">
        <v>121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45813</v>
      </c>
      <c r="B110" s="14" t="s">
        <v>516</v>
      </c>
      <c r="C110" s="9" t="s">
        <v>86</v>
      </c>
      <c r="D110" s="13" t="s">
        <v>498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253</v>
      </c>
      <c r="T110" s="12">
        <v>45838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240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45818</v>
      </c>
      <c r="B111" s="14" t="s">
        <v>133</v>
      </c>
      <c r="C111" s="9" t="s">
        <v>86</v>
      </c>
      <c r="D111" s="13" t="s">
        <v>355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212</v>
      </c>
      <c r="T111" s="12">
        <v>45842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82</v>
      </c>
      <c r="AA111" s="8">
        <v>53784.500000000007</v>
      </c>
      <c r="AB111" s="8">
        <v>53784.500000000007</v>
      </c>
      <c r="AC111" s="8">
        <v>0</v>
      </c>
      <c r="AD111" s="8">
        <v>0</v>
      </c>
      <c r="AE111" s="8">
        <v>0</v>
      </c>
      <c r="AF111" s="8" t="s">
        <v>540</v>
      </c>
      <c r="AG111" s="1" t="s">
        <v>120</v>
      </c>
      <c r="AH111" s="1" t="s">
        <v>74</v>
      </c>
      <c r="AI111" s="1">
        <v>2</v>
      </c>
      <c r="AJ111" s="3">
        <v>45842</v>
      </c>
      <c r="AK111" s="3">
        <v>0</v>
      </c>
      <c r="AL111" s="3">
        <v>45833</v>
      </c>
      <c r="AM111" s="3">
        <v>45840</v>
      </c>
      <c r="AN111" s="3">
        <v>45841</v>
      </c>
      <c r="AO111" s="3">
        <v>45841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45805</v>
      </c>
      <c r="B112" s="14" t="s">
        <v>439</v>
      </c>
      <c r="C112" s="9" t="s">
        <v>86</v>
      </c>
      <c r="D112" s="13" t="s">
        <v>440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45845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356</v>
      </c>
      <c r="AG112" s="1" t="s">
        <v>120</v>
      </c>
      <c r="AH112" s="1" t="s">
        <v>74</v>
      </c>
      <c r="AI112" s="1">
        <v>2</v>
      </c>
      <c r="AJ112" s="3">
        <v>45845</v>
      </c>
      <c r="AK112" s="3">
        <v>0</v>
      </c>
      <c r="AL112" s="3">
        <v>45836</v>
      </c>
      <c r="AM112" s="3">
        <v>45843</v>
      </c>
      <c r="AN112" s="3">
        <v>45844</v>
      </c>
      <c r="AO112" s="3">
        <v>45844</v>
      </c>
      <c r="AP112" s="3">
        <v>45840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45805</v>
      </c>
      <c r="B113" s="14" t="s">
        <v>439</v>
      </c>
      <c r="C113" s="9" t="s">
        <v>86</v>
      </c>
      <c r="D113" s="13" t="s">
        <v>338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5450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356</v>
      </c>
      <c r="AG113" s="1" t="s">
        <v>120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45818</v>
      </c>
      <c r="B114" s="14" t="s">
        <v>133</v>
      </c>
      <c r="C114" s="9" t="s">
        <v>86</v>
      </c>
      <c r="D114" s="13" t="s">
        <v>541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45847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82</v>
      </c>
      <c r="AA114" s="8">
        <v>32270.700000000004</v>
      </c>
      <c r="AB114" s="8">
        <v>32270.700000000004</v>
      </c>
      <c r="AC114" s="8">
        <v>0</v>
      </c>
      <c r="AD114" s="8">
        <v>0</v>
      </c>
      <c r="AE114" s="8">
        <v>0</v>
      </c>
      <c r="AF114" s="8" t="s">
        <v>540</v>
      </c>
      <c r="AG114" s="1" t="s">
        <v>120</v>
      </c>
      <c r="AH114" s="1" t="s">
        <v>74</v>
      </c>
      <c r="AI114" s="1">
        <v>2</v>
      </c>
      <c r="AJ114" s="3">
        <v>45847</v>
      </c>
      <c r="AK114" s="3">
        <v>0</v>
      </c>
      <c r="AL114" s="3">
        <v>45838</v>
      </c>
      <c r="AM114" s="3">
        <v>45845</v>
      </c>
      <c r="AN114" s="3">
        <v>45846</v>
      </c>
      <c r="AO114" s="3">
        <v>45846</v>
      </c>
      <c r="AP114" s="3">
        <v>45842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45818</v>
      </c>
      <c r="B115" s="14" t="s">
        <v>133</v>
      </c>
      <c r="C115" s="9" t="s">
        <v>86</v>
      </c>
      <c r="D115" s="13" t="s">
        <v>542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540</v>
      </c>
      <c r="AG115" s="1" t="s">
        <v>120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133</v>
      </c>
      <c r="C116" s="9" t="s">
        <v>86</v>
      </c>
      <c r="D116" s="13" t="s">
        <v>543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5378.4500000000007</v>
      </c>
      <c r="AC116" s="8">
        <v>0</v>
      </c>
      <c r="AD116" s="8">
        <v>0</v>
      </c>
      <c r="AE116" s="8">
        <v>0</v>
      </c>
      <c r="AF116" s="8" t="s">
        <v>538</v>
      </c>
      <c r="AG116" s="1" t="s">
        <v>119</v>
      </c>
      <c r="AH116" s="1" t="s">
        <v>74</v>
      </c>
      <c r="AI116" s="1">
        <v>2</v>
      </c>
      <c r="AJ116" s="3">
        <v>45849</v>
      </c>
      <c r="AK116" s="3">
        <v>0</v>
      </c>
      <c r="AL116" s="3">
        <v>45840</v>
      </c>
      <c r="AM116" s="3">
        <v>45847</v>
      </c>
      <c r="AN116" s="3">
        <v>45848</v>
      </c>
      <c r="AO116" s="3">
        <v>45848</v>
      </c>
      <c r="AP116" s="3">
        <v>45844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133</v>
      </c>
      <c r="C117" s="9" t="s">
        <v>86</v>
      </c>
      <c r="D117" s="13" t="s">
        <v>355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45859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82</v>
      </c>
      <c r="AA117" s="8">
        <v>53784.500000000007</v>
      </c>
      <c r="AB117" s="8">
        <v>25073</v>
      </c>
      <c r="AC117" s="8">
        <v>28711.500000000007</v>
      </c>
      <c r="AD117" s="8">
        <v>0</v>
      </c>
      <c r="AE117" s="8">
        <v>0</v>
      </c>
      <c r="AF117" s="8" t="s">
        <v>540</v>
      </c>
      <c r="AG117" s="1" t="s">
        <v>61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2194.8346666666675</v>
      </c>
    </row>
    <row r="118" spans="1:56" ht="27.75" customHeight="1" x14ac:dyDescent="0.45">
      <c r="A118" s="3">
        <v>45818</v>
      </c>
      <c r="B118" s="14" t="s">
        <v>133</v>
      </c>
      <c r="C118" s="9" t="s">
        <v>86</v>
      </c>
      <c r="D118" s="13" t="s">
        <v>541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45859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540</v>
      </c>
      <c r="AG118" s="1" t="s">
        <v>119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7.75" customHeight="1" x14ac:dyDescent="0.45">
      <c r="A119" s="3">
        <v>45796</v>
      </c>
      <c r="B119" s="14" t="s">
        <v>384</v>
      </c>
      <c r="C119" s="9" t="s">
        <v>147</v>
      </c>
      <c r="D119" s="13" t="s">
        <v>372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221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83500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241</v>
      </c>
      <c r="AG119" s="1" t="s">
        <v>119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141</v>
      </c>
      <c r="B120" s="14" t="s">
        <v>141</v>
      </c>
      <c r="C120" s="9" t="s">
        <v>147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221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82</v>
      </c>
      <c r="AA120" s="8">
        <v>157162.5</v>
      </c>
      <c r="AB120" s="8">
        <v>0</v>
      </c>
      <c r="AC120" s="8">
        <v>157162.5</v>
      </c>
      <c r="AD120" s="8">
        <v>0</v>
      </c>
      <c r="AE120" s="8">
        <v>0</v>
      </c>
      <c r="AF120" s="8" t="s">
        <v>241</v>
      </c>
      <c r="AG120" s="1" t="s">
        <v>119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12014.2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425386.50000000006</v>
      </c>
      <c r="AB121" s="8">
        <v>207241.80000000005</v>
      </c>
      <c r="AC121" s="8">
        <v>218144.7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45815</v>
      </c>
      <c r="B122" s="14" t="s">
        <v>526</v>
      </c>
      <c r="C122" s="9" t="s">
        <v>527</v>
      </c>
      <c r="D122" s="13" t="s">
        <v>342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128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756311</v>
      </c>
      <c r="Y122" s="10">
        <v>618123.45000000007</v>
      </c>
      <c r="Z122" s="9" t="s">
        <v>343</v>
      </c>
      <c r="AA122" s="8">
        <v>562935.53401365003</v>
      </c>
      <c r="AB122" s="8">
        <v>73641.007366014645</v>
      </c>
      <c r="AC122" s="8">
        <v>489294.52664763539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344</v>
      </c>
      <c r="BD122" s="56">
        <v>42976.369257217302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343</v>
      </c>
      <c r="AA123" s="8">
        <v>562935.53401365003</v>
      </c>
      <c r="AB123" s="8">
        <v>73641.007366014645</v>
      </c>
      <c r="AC123" s="8">
        <v>489294.52664763539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345</v>
      </c>
      <c r="BD123" s="56">
        <v>0</v>
      </c>
    </row>
    <row r="124" spans="1:56" ht="27.75" customHeight="1" x14ac:dyDescent="0.45">
      <c r="A124" s="3">
        <v>45803</v>
      </c>
      <c r="B124" s="14" t="s">
        <v>424</v>
      </c>
      <c r="C124" s="9" t="s">
        <v>233</v>
      </c>
      <c r="D124" s="13" t="s">
        <v>412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36</v>
      </c>
      <c r="O124" s="9">
        <v>40</v>
      </c>
      <c r="P124" s="10">
        <v>195.39367372799995</v>
      </c>
      <c r="Q124" s="10">
        <v>0</v>
      </c>
      <c r="R124" s="10">
        <v>195.39367372799995</v>
      </c>
      <c r="S124" s="9" t="s">
        <v>67</v>
      </c>
      <c r="T124" s="12">
        <v>45820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135</v>
      </c>
      <c r="AA124" s="8">
        <v>9918.7000000000007</v>
      </c>
      <c r="AB124" s="8">
        <v>7700</v>
      </c>
      <c r="AC124" s="8">
        <v>2218.7000000000007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151.42627500000006</v>
      </c>
    </row>
    <row r="125" spans="1:56" ht="27.75" customHeight="1" x14ac:dyDescent="0.45">
      <c r="A125" s="3">
        <v>45813</v>
      </c>
      <c r="B125" s="14" t="s">
        <v>528</v>
      </c>
      <c r="C125" s="9" t="s">
        <v>185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45820</v>
      </c>
      <c r="U125" s="11">
        <v>4000</v>
      </c>
      <c r="V125" s="10">
        <v>0</v>
      </c>
      <c r="W125" s="10">
        <v>4000</v>
      </c>
      <c r="X125" s="10">
        <v>0</v>
      </c>
      <c r="Y125" s="10">
        <v>0</v>
      </c>
      <c r="Z125" s="9" t="s">
        <v>135</v>
      </c>
      <c r="AA125" s="8">
        <v>4414.5199999999995</v>
      </c>
      <c r="AB125" s="8">
        <v>0</v>
      </c>
      <c r="AC125" s="8">
        <v>4414.5199999999995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2</v>
      </c>
      <c r="AJ125" s="3">
        <v>45820</v>
      </c>
      <c r="AK125" s="3">
        <v>0</v>
      </c>
      <c r="AL125" s="3">
        <v>0</v>
      </c>
      <c r="AM125" s="3">
        <v>0</v>
      </c>
      <c r="AN125" s="3">
        <v>0</v>
      </c>
      <c r="AO125" s="3">
        <v>45818</v>
      </c>
      <c r="AP125" s="3">
        <v>45815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301.29098999999991</v>
      </c>
    </row>
    <row r="126" spans="1:56" ht="27.75" customHeight="1" x14ac:dyDescent="0.45">
      <c r="A126" s="3">
        <v>0</v>
      </c>
      <c r="B126" s="14" t="s">
        <v>133</v>
      </c>
      <c r="C126" s="9" t="s">
        <v>185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41</v>
      </c>
      <c r="O126" s="9">
        <v>40</v>
      </c>
      <c r="P126" s="10">
        <v>333.79752595199994</v>
      </c>
      <c r="Q126" s="10">
        <v>0</v>
      </c>
      <c r="R126" s="10">
        <v>333.79752595199994</v>
      </c>
      <c r="S126" s="9" t="s">
        <v>71</v>
      </c>
      <c r="T126" s="12">
        <v>45824</v>
      </c>
      <c r="U126" s="11">
        <v>15000</v>
      </c>
      <c r="V126" s="10">
        <v>0</v>
      </c>
      <c r="W126" s="10">
        <v>15000</v>
      </c>
      <c r="X126" s="10">
        <v>0</v>
      </c>
      <c r="Y126" s="10">
        <v>0</v>
      </c>
      <c r="Z126" s="9" t="s">
        <v>135</v>
      </c>
      <c r="AA126" s="8">
        <v>16554.45</v>
      </c>
      <c r="AB126" s="8">
        <v>0</v>
      </c>
      <c r="AC126" s="8">
        <v>16554.45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398</v>
      </c>
      <c r="AI126" s="1">
        <v>2</v>
      </c>
      <c r="AJ126" s="3">
        <v>45824</v>
      </c>
      <c r="AK126" s="3">
        <v>0</v>
      </c>
      <c r="AL126" s="3">
        <v>0</v>
      </c>
      <c r="AM126" s="3">
        <v>0</v>
      </c>
      <c r="AN126" s="3">
        <v>0</v>
      </c>
      <c r="AO126" s="3">
        <v>45822</v>
      </c>
      <c r="AP126" s="3">
        <v>45819</v>
      </c>
      <c r="AQ126" s="3">
        <v>45823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1129.8412125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135</v>
      </c>
      <c r="AA127" s="8">
        <v>33206.69</v>
      </c>
      <c r="AB127" s="8">
        <v>7700</v>
      </c>
      <c r="AC127" s="8">
        <v>25506.690000000002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45818</v>
      </c>
      <c r="B128" s="14" t="s">
        <v>133</v>
      </c>
      <c r="C128" s="9" t="s">
        <v>544</v>
      </c>
      <c r="D128" s="13" t="s">
        <v>59</v>
      </c>
      <c r="E128" s="9">
        <v>21</v>
      </c>
      <c r="F128" s="9">
        <v>40</v>
      </c>
      <c r="G128" s="9" t="s">
        <v>60</v>
      </c>
      <c r="H128" s="9">
        <v>0</v>
      </c>
      <c r="I128" s="9">
        <v>73</v>
      </c>
      <c r="J128" s="9" t="s">
        <v>57</v>
      </c>
      <c r="K128" s="9">
        <v>5</v>
      </c>
      <c r="L128" s="9" t="s">
        <v>93</v>
      </c>
      <c r="M128" s="10">
        <v>22</v>
      </c>
      <c r="N128" s="9">
        <v>42</v>
      </c>
      <c r="O128" s="9">
        <v>40</v>
      </c>
      <c r="P128" s="10">
        <v>45.591857203199993</v>
      </c>
      <c r="Q128" s="10">
        <v>0</v>
      </c>
      <c r="R128" s="10">
        <v>45.591857203199993</v>
      </c>
      <c r="S128" s="9" t="s">
        <v>71</v>
      </c>
      <c r="T128" s="12">
        <v>45819</v>
      </c>
      <c r="U128" s="11">
        <v>2000</v>
      </c>
      <c r="V128" s="10">
        <v>0</v>
      </c>
      <c r="W128" s="10">
        <v>2000</v>
      </c>
      <c r="X128" s="10">
        <v>0</v>
      </c>
      <c r="Y128" s="10">
        <v>0</v>
      </c>
      <c r="Z128" s="9" t="s">
        <v>327</v>
      </c>
      <c r="AA128" s="8">
        <v>2319.0200000000004</v>
      </c>
      <c r="AB128" s="8">
        <v>2319.0200000000004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398</v>
      </c>
      <c r="AI128" s="1">
        <v>2</v>
      </c>
      <c r="AJ128" s="3">
        <v>45819</v>
      </c>
      <c r="AK128" s="3">
        <v>0</v>
      </c>
      <c r="AL128" s="3">
        <v>0</v>
      </c>
      <c r="AM128" s="3">
        <v>0</v>
      </c>
      <c r="AN128" s="3">
        <v>0</v>
      </c>
      <c r="AO128" s="3">
        <v>45817</v>
      </c>
      <c r="AP128" s="3">
        <v>45814</v>
      </c>
      <c r="AQ128" s="3">
        <v>45818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45815</v>
      </c>
      <c r="B129" s="14" t="s">
        <v>529</v>
      </c>
      <c r="C129" s="9" t="s">
        <v>530</v>
      </c>
      <c r="D129" s="13" t="s">
        <v>531</v>
      </c>
      <c r="E129" s="9">
        <v>21</v>
      </c>
      <c r="F129" s="9">
        <v>34</v>
      </c>
      <c r="G129" s="9" t="s">
        <v>60</v>
      </c>
      <c r="H129" s="9">
        <v>0</v>
      </c>
      <c r="I129" s="9">
        <v>76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45822</v>
      </c>
      <c r="U129" s="11">
        <v>8000</v>
      </c>
      <c r="V129" s="10">
        <v>0</v>
      </c>
      <c r="W129" s="10">
        <v>8000</v>
      </c>
      <c r="X129" s="10">
        <v>0</v>
      </c>
      <c r="Y129" s="10">
        <v>8400</v>
      </c>
      <c r="Z129" s="9" t="s">
        <v>327</v>
      </c>
      <c r="AA129" s="8">
        <v>7934.96</v>
      </c>
      <c r="AB129" s="8">
        <v>7934.96</v>
      </c>
      <c r="AC129" s="8">
        <v>0</v>
      </c>
      <c r="AD129" s="8">
        <v>0</v>
      </c>
      <c r="AE129" s="8">
        <v>0</v>
      </c>
      <c r="AF129" s="8">
        <v>0</v>
      </c>
      <c r="AG129" s="1" t="s">
        <v>119</v>
      </c>
      <c r="AH129" s="1" t="s">
        <v>74</v>
      </c>
      <c r="AI129" s="1">
        <v>2</v>
      </c>
      <c r="AJ129" s="3">
        <v>45822</v>
      </c>
      <c r="AK129" s="3">
        <v>0</v>
      </c>
      <c r="AL129" s="3">
        <v>45813</v>
      </c>
      <c r="AM129" s="3">
        <v>45820</v>
      </c>
      <c r="AN129" s="3">
        <v>45821</v>
      </c>
      <c r="AO129" s="3">
        <v>45821</v>
      </c>
      <c r="AP129" s="3">
        <v>45817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 t="s">
        <v>60</v>
      </c>
      <c r="H130" s="9">
        <v>0</v>
      </c>
      <c r="I130" s="9">
        <v>83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327</v>
      </c>
      <c r="AA130" s="8">
        <v>10253.98</v>
      </c>
      <c r="AB130" s="8">
        <v>10253.98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120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328</v>
      </c>
      <c r="BD130" s="56">
        <v>0</v>
      </c>
    </row>
    <row r="131" spans="1:56" ht="27.75" customHeight="1" x14ac:dyDescent="0.45">
      <c r="A131" s="3">
        <v>45799</v>
      </c>
      <c r="B131" s="14" t="s">
        <v>428</v>
      </c>
      <c r="C131" s="9" t="s">
        <v>115</v>
      </c>
      <c r="D131" s="13" t="s">
        <v>300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45819</v>
      </c>
      <c r="U131" s="11">
        <v>50000</v>
      </c>
      <c r="V131" s="10">
        <v>30455</v>
      </c>
      <c r="W131" s="10">
        <v>19545</v>
      </c>
      <c r="X131" s="10">
        <v>31500</v>
      </c>
      <c r="Y131" s="10">
        <v>19425</v>
      </c>
      <c r="Z131" s="9" t="s">
        <v>124</v>
      </c>
      <c r="AA131" s="8">
        <v>20895.278250000003</v>
      </c>
      <c r="AB131" s="8">
        <v>20895.278250000003</v>
      </c>
      <c r="AC131" s="8">
        <v>0</v>
      </c>
      <c r="AD131" s="8">
        <v>0</v>
      </c>
      <c r="AE131" s="8">
        <v>20895.278250000003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45819</v>
      </c>
      <c r="AK131" s="3">
        <v>45815</v>
      </c>
      <c r="AL131" s="3">
        <v>45809</v>
      </c>
      <c r="AM131" s="3">
        <v>45816</v>
      </c>
      <c r="AN131" s="3">
        <v>45817</v>
      </c>
      <c r="AO131" s="3">
        <v>45817</v>
      </c>
      <c r="AP131" s="3">
        <v>45814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45799</v>
      </c>
      <c r="B132" s="14" t="s">
        <v>428</v>
      </c>
      <c r="C132" s="9" t="s">
        <v>115</v>
      </c>
      <c r="D132" s="13" t="s">
        <v>333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45819</v>
      </c>
      <c r="U132" s="11">
        <v>25000</v>
      </c>
      <c r="V132" s="10">
        <v>25858</v>
      </c>
      <c r="W132" s="10">
        <v>0</v>
      </c>
      <c r="X132" s="10">
        <v>52800</v>
      </c>
      <c r="Y132" s="10">
        <v>0</v>
      </c>
      <c r="Z132" s="9" t="s">
        <v>124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45819</v>
      </c>
      <c r="AK132" s="3">
        <v>45815</v>
      </c>
      <c r="AL132" s="3">
        <v>45809</v>
      </c>
      <c r="AM132" s="3">
        <v>45816</v>
      </c>
      <c r="AN132" s="3">
        <v>45817</v>
      </c>
      <c r="AO132" s="3">
        <v>45817</v>
      </c>
      <c r="AP132" s="3">
        <v>45814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0</v>
      </c>
    </row>
    <row r="133" spans="1:56" ht="27.75" customHeight="1" x14ac:dyDescent="0.45">
      <c r="A133" s="3">
        <v>45808</v>
      </c>
      <c r="B133" s="14" t="s">
        <v>456</v>
      </c>
      <c r="C133" s="9" t="s">
        <v>111</v>
      </c>
      <c r="D133" s="13" t="s">
        <v>403</v>
      </c>
      <c r="E133" s="9">
        <v>21</v>
      </c>
      <c r="F133" s="9">
        <v>38</v>
      </c>
      <c r="G133" s="9" t="s">
        <v>60</v>
      </c>
      <c r="H133" s="9" t="s">
        <v>66</v>
      </c>
      <c r="I133" s="9">
        <v>102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>
        <v>45821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124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5518.15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45820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0</v>
      </c>
    </row>
    <row r="134" spans="1:56" ht="27.75" customHeight="1" x14ac:dyDescent="0.45">
      <c r="A134" s="3">
        <v>45799</v>
      </c>
      <c r="B134" s="14" t="s">
        <v>427</v>
      </c>
      <c r="C134" s="9" t="s">
        <v>115</v>
      </c>
      <c r="D134" s="13" t="s">
        <v>399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30000</v>
      </c>
      <c r="V134" s="10">
        <v>17467</v>
      </c>
      <c r="W134" s="10">
        <v>12533</v>
      </c>
      <c r="X134" s="10">
        <v>18428</v>
      </c>
      <c r="Y134" s="10">
        <v>12150.6</v>
      </c>
      <c r="Z134" s="9" t="s">
        <v>124</v>
      </c>
      <c r="AA134" s="8">
        <v>13070.278914</v>
      </c>
      <c r="AB134" s="8">
        <v>13070.278914</v>
      </c>
      <c r="AC134" s="8">
        <v>0</v>
      </c>
      <c r="AD134" s="8">
        <v>0</v>
      </c>
      <c r="AE134" s="8">
        <v>13070.278914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0</v>
      </c>
    </row>
    <row r="135" spans="1:56" ht="27.75" customHeight="1" x14ac:dyDescent="0.45">
      <c r="A135" s="3">
        <v>45799</v>
      </c>
      <c r="B135" s="14" t="s">
        <v>427</v>
      </c>
      <c r="C135" s="9" t="s">
        <v>115</v>
      </c>
      <c r="D135" s="13" t="s">
        <v>350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45821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124</v>
      </c>
      <c r="AA135" s="8">
        <v>32270.700000000004</v>
      </c>
      <c r="AB135" s="8">
        <v>8071</v>
      </c>
      <c r="AC135" s="8">
        <v>24199.700000000004</v>
      </c>
      <c r="AD135" s="8">
        <v>0</v>
      </c>
      <c r="AE135" s="8">
        <v>32270.700000000004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1740.2810926666666</v>
      </c>
    </row>
    <row r="136" spans="1:56" ht="27.75" customHeight="1" x14ac:dyDescent="0.45">
      <c r="A136" s="3">
        <v>45799</v>
      </c>
      <c r="B136" s="14" t="s">
        <v>427</v>
      </c>
      <c r="C136" s="9" t="s">
        <v>115</v>
      </c>
      <c r="D136" s="13" t="s">
        <v>400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124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21513.800000000003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1547.1290706666666</v>
      </c>
    </row>
    <row r="137" spans="1:56" ht="27.75" customHeight="1" x14ac:dyDescent="0.45">
      <c r="A137" s="3">
        <v>45814</v>
      </c>
      <c r="B137" s="14" t="s">
        <v>533</v>
      </c>
      <c r="C137" s="9" t="s">
        <v>111</v>
      </c>
      <c r="D137" s="13" t="s">
        <v>519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124</v>
      </c>
      <c r="AA137" s="8">
        <v>3310.89</v>
      </c>
      <c r="AB137" s="8">
        <v>3310.89</v>
      </c>
      <c r="AC137" s="8">
        <v>0</v>
      </c>
      <c r="AD137" s="8">
        <v>3310.89</v>
      </c>
      <c r="AE137" s="8">
        <v>0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45814</v>
      </c>
      <c r="B138" s="14" t="s">
        <v>534</v>
      </c>
      <c r="C138" s="9" t="s">
        <v>111</v>
      </c>
      <c r="D138" s="13" t="s">
        <v>407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68.387785804799989</v>
      </c>
      <c r="Q138" s="10">
        <v>0</v>
      </c>
      <c r="R138" s="10">
        <v>68.387785804799989</v>
      </c>
      <c r="S138" s="9" t="s">
        <v>67</v>
      </c>
      <c r="T138" s="12">
        <v>45821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124</v>
      </c>
      <c r="AA138" s="8">
        <v>3478.5300000000007</v>
      </c>
      <c r="AB138" s="8">
        <v>2062</v>
      </c>
      <c r="AC138" s="8">
        <v>1416.5300000000007</v>
      </c>
      <c r="AD138" s="8">
        <v>2062</v>
      </c>
      <c r="AE138" s="8">
        <v>1416.5300000000007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45820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101.86739406666671</v>
      </c>
    </row>
    <row r="139" spans="1:56" ht="27.75" customHeight="1" x14ac:dyDescent="0.45">
      <c r="A139" s="3">
        <v>45814</v>
      </c>
      <c r="B139" s="14" t="s">
        <v>522</v>
      </c>
      <c r="C139" s="9" t="s">
        <v>523</v>
      </c>
      <c r="D139" s="13" t="s">
        <v>524</v>
      </c>
      <c r="E139" s="9">
        <v>21</v>
      </c>
      <c r="F139" s="9">
        <v>37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45822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124</v>
      </c>
      <c r="AA139" s="8">
        <v>5378.4500000000007</v>
      </c>
      <c r="AB139" s="8">
        <v>5378.4500000000007</v>
      </c>
      <c r="AC139" s="8">
        <v>0</v>
      </c>
      <c r="AD139" s="8">
        <v>5378.4500000000007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45822</v>
      </c>
      <c r="AK139" s="3">
        <v>45818</v>
      </c>
      <c r="AL139" s="3">
        <v>45812</v>
      </c>
      <c r="AM139" s="3">
        <v>45819</v>
      </c>
      <c r="AN139" s="3">
        <v>45820</v>
      </c>
      <c r="AO139" s="3">
        <v>45820</v>
      </c>
      <c r="AP139" s="3">
        <v>45817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45815</v>
      </c>
      <c r="B140" s="14" t="s">
        <v>532</v>
      </c>
      <c r="C140" s="9" t="s">
        <v>517</v>
      </c>
      <c r="D140" s="13" t="s">
        <v>518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124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45825</v>
      </c>
      <c r="AK140" s="3">
        <v>45821</v>
      </c>
      <c r="AL140" s="3">
        <v>45815</v>
      </c>
      <c r="AM140" s="3">
        <v>45822</v>
      </c>
      <c r="AN140" s="3">
        <v>45823</v>
      </c>
      <c r="AO140" s="3">
        <v>45823</v>
      </c>
      <c r="AP140" s="3">
        <v>45820</v>
      </c>
      <c r="AQ140" s="3">
        <v>45824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773.56453533333331</v>
      </c>
    </row>
    <row r="141" spans="1:56" ht="27.75" customHeight="1" x14ac:dyDescent="0.45">
      <c r="A141" s="3">
        <v>45817</v>
      </c>
      <c r="B141" s="14" t="s">
        <v>133</v>
      </c>
      <c r="C141" s="9" t="s">
        <v>185</v>
      </c>
      <c r="D141" s="13" t="s">
        <v>545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45829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124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45829</v>
      </c>
      <c r="AK141" s="3">
        <v>45825</v>
      </c>
      <c r="AL141" s="3">
        <v>45819</v>
      </c>
      <c r="AM141" s="3">
        <v>45826</v>
      </c>
      <c r="AN141" s="3">
        <v>45827</v>
      </c>
      <c r="AO141" s="3">
        <v>45827</v>
      </c>
      <c r="AP141" s="3">
        <v>45824</v>
      </c>
      <c r="AQ141" s="3">
        <v>45828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773.56453533333331</v>
      </c>
    </row>
    <row r="142" spans="1:56" ht="27.75" customHeight="1" x14ac:dyDescent="0.45">
      <c r="A142" s="3">
        <v>45803</v>
      </c>
      <c r="B142" s="14" t="s">
        <v>425</v>
      </c>
      <c r="C142" s="9" t="s">
        <v>111</v>
      </c>
      <c r="D142" s="13" t="s">
        <v>426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67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124</v>
      </c>
      <c r="AA142" s="8">
        <v>5797.55</v>
      </c>
      <c r="AB142" s="8">
        <v>0</v>
      </c>
      <c r="AC142" s="8">
        <v>5797.55</v>
      </c>
      <c r="AD142" s="8">
        <v>0</v>
      </c>
      <c r="AE142" s="8">
        <v>5797.55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416.92114566666663</v>
      </c>
    </row>
    <row r="143" spans="1:56" ht="27.75" customHeight="1" x14ac:dyDescent="0.45">
      <c r="A143" s="3">
        <v>45817</v>
      </c>
      <c r="B143" s="14" t="s">
        <v>133</v>
      </c>
      <c r="C143" s="9" t="s">
        <v>546</v>
      </c>
      <c r="D143" s="13" t="s">
        <v>547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386.78226766666666</v>
      </c>
    </row>
    <row r="144" spans="1:56" ht="27.75" customHeight="1" x14ac:dyDescent="0.45">
      <c r="A144" s="3">
        <v>45817</v>
      </c>
      <c r="B144" s="14" t="s">
        <v>133</v>
      </c>
      <c r="C144" s="9" t="s">
        <v>546</v>
      </c>
      <c r="D144" s="13" t="s">
        <v>548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119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386.78226766666666</v>
      </c>
    </row>
    <row r="145" spans="1:56" ht="27.75" customHeight="1" x14ac:dyDescent="0.45">
      <c r="A145" s="3" t="s">
        <v>141</v>
      </c>
      <c r="B145" s="14" t="s">
        <v>141</v>
      </c>
      <c r="C145" s="9" t="s">
        <v>115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45838</v>
      </c>
      <c r="U145" s="11">
        <v>130000</v>
      </c>
      <c r="V145" s="10">
        <v>0</v>
      </c>
      <c r="W145" s="10">
        <v>130000</v>
      </c>
      <c r="X145" s="10">
        <v>0</v>
      </c>
      <c r="Y145" s="10">
        <v>136500</v>
      </c>
      <c r="Z145" s="9" t="s">
        <v>124</v>
      </c>
      <c r="AA145" s="8">
        <v>139839.70000000001</v>
      </c>
      <c r="AB145" s="8">
        <v>0</v>
      </c>
      <c r="AC145" s="8">
        <v>139839.70000000001</v>
      </c>
      <c r="AD145" s="8">
        <v>0</v>
      </c>
      <c r="AE145" s="8">
        <v>139839.70000000001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10056.338959333332</v>
      </c>
    </row>
    <row r="146" spans="1:56" ht="27.75" customHeight="1" x14ac:dyDescent="0.45">
      <c r="A146" s="3">
        <v>45628</v>
      </c>
      <c r="B146" s="14" t="s">
        <v>226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45838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124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254</v>
      </c>
      <c r="AZ146" s="2">
        <v>0</v>
      </c>
      <c r="BA146" s="2">
        <v>0</v>
      </c>
      <c r="BB146" s="2">
        <v>0</v>
      </c>
      <c r="BC146" s="1" t="s">
        <v>125</v>
      </c>
      <c r="BD146" s="56">
        <v>618.85162826666658</v>
      </c>
    </row>
    <row r="147" spans="1:56" ht="27.75" customHeight="1" x14ac:dyDescent="0.45">
      <c r="A147" s="3">
        <v>45800</v>
      </c>
      <c r="B147" s="14" t="s">
        <v>406</v>
      </c>
      <c r="C147" s="9" t="s">
        <v>80</v>
      </c>
      <c r="D147" s="13" t="s">
        <v>407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42</v>
      </c>
      <c r="O147" s="9">
        <v>40</v>
      </c>
      <c r="P147" s="10">
        <v>5.2886554355711999</v>
      </c>
      <c r="Q147" s="10">
        <v>0</v>
      </c>
      <c r="R147" s="10">
        <v>5.2886554355711999</v>
      </c>
      <c r="S147" s="9" t="s">
        <v>67</v>
      </c>
      <c r="T147" s="12">
        <v>45838</v>
      </c>
      <c r="U147" s="11">
        <v>5000</v>
      </c>
      <c r="V147" s="10">
        <v>4768</v>
      </c>
      <c r="W147" s="10">
        <v>232</v>
      </c>
      <c r="X147" s="10">
        <v>10420</v>
      </c>
      <c r="Y147" s="10">
        <v>0</v>
      </c>
      <c r="Z147" s="9" t="s">
        <v>124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45837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0</v>
      </c>
    </row>
    <row r="148" spans="1:56" ht="27.75" customHeight="1" x14ac:dyDescent="0.45">
      <c r="A148" s="3">
        <v>45798</v>
      </c>
      <c r="B148" s="14" t="s">
        <v>408</v>
      </c>
      <c r="C148" s="9" t="s">
        <v>111</v>
      </c>
      <c r="D148" s="13" t="s">
        <v>401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124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120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238.09713619999999</v>
      </c>
    </row>
    <row r="149" spans="1:56" ht="27.75" customHeight="1" x14ac:dyDescent="0.45">
      <c r="A149" s="3">
        <v>45631</v>
      </c>
      <c r="B149" s="14" t="s">
        <v>230</v>
      </c>
      <c r="C149" s="9" t="s">
        <v>113</v>
      </c>
      <c r="D149" s="13" t="s">
        <v>153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124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255</v>
      </c>
      <c r="AZ149" s="2">
        <v>0</v>
      </c>
      <c r="BA149" s="2">
        <v>0</v>
      </c>
      <c r="BB149" s="2">
        <v>0</v>
      </c>
      <c r="BC149" s="1" t="s">
        <v>125</v>
      </c>
      <c r="BD149" s="56">
        <v>1237.7032565333332</v>
      </c>
    </row>
    <row r="150" spans="1:56" ht="27.75" customHeight="1" x14ac:dyDescent="0.45">
      <c r="A150" s="3">
        <v>45631</v>
      </c>
      <c r="B150" s="14" t="s">
        <v>231</v>
      </c>
      <c r="C150" s="9" t="s">
        <v>113</v>
      </c>
      <c r="D150" s="13" t="s">
        <v>153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124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120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256</v>
      </c>
      <c r="AZ150" s="2">
        <v>0</v>
      </c>
      <c r="BA150" s="2">
        <v>0</v>
      </c>
      <c r="BB150" s="2">
        <v>0</v>
      </c>
      <c r="BC150" s="1" t="s">
        <v>125</v>
      </c>
      <c r="BD150" s="56">
        <v>1237.7032565333332</v>
      </c>
    </row>
    <row r="151" spans="1:56" ht="27.75" customHeight="1" x14ac:dyDescent="0.45">
      <c r="A151" s="3" t="s">
        <v>141</v>
      </c>
      <c r="B151" s="14" t="s">
        <v>141</v>
      </c>
      <c r="C151" s="9" t="s">
        <v>113</v>
      </c>
      <c r="D151" s="13" t="s">
        <v>153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124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119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773.56453533333331</v>
      </c>
    </row>
    <row r="152" spans="1:56" ht="27.75" customHeight="1" x14ac:dyDescent="0.45">
      <c r="A152" s="3" t="s">
        <v>141</v>
      </c>
      <c r="B152" s="14" t="s">
        <v>141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124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123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131</v>
      </c>
      <c r="C153" s="9" t="s">
        <v>80</v>
      </c>
      <c r="D153" s="13" t="s">
        <v>130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124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119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125</v>
      </c>
      <c r="BD153" s="56">
        <v>396.82856033333326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124</v>
      </c>
      <c r="AA154" s="8">
        <v>357552.66716400004</v>
      </c>
      <c r="AB154" s="8">
        <v>58306.047164000003</v>
      </c>
      <c r="AC154" s="8">
        <v>299246.62000000005</v>
      </c>
      <c r="AD154" s="8">
        <v>10751.34</v>
      </c>
      <c r="AE154" s="8">
        <v>346801.32716400002</v>
      </c>
      <c r="AF154" s="8" t="s">
        <v>58</v>
      </c>
      <c r="AG154" s="1" t="s">
        <v>61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126</v>
      </c>
      <c r="BD154" s="56">
        <v>0</v>
      </c>
    </row>
    <row r="155" spans="1:56" ht="27.75" customHeight="1" x14ac:dyDescent="0.45">
      <c r="A155" s="3">
        <v>9</v>
      </c>
      <c r="B155" s="14" t="s">
        <v>366</v>
      </c>
      <c r="C155" s="9" t="s">
        <v>361</v>
      </c>
      <c r="D155" s="13" t="s">
        <v>362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363</v>
      </c>
      <c r="T155" s="12">
        <v>45833</v>
      </c>
      <c r="U155" s="11">
        <v>239700</v>
      </c>
      <c r="V155" s="10">
        <v>0</v>
      </c>
      <c r="W155" s="10">
        <v>239700</v>
      </c>
      <c r="X155" s="10">
        <v>117200</v>
      </c>
      <c r="Y155" s="10">
        <v>128625</v>
      </c>
      <c r="Z155" s="9" t="s">
        <v>280</v>
      </c>
      <c r="AA155" s="8">
        <v>127579.27875</v>
      </c>
      <c r="AB155" s="8">
        <v>37618</v>
      </c>
      <c r="AC155" s="8">
        <v>89961.278749999998</v>
      </c>
      <c r="AD155" s="8">
        <v>7900</v>
      </c>
      <c r="AE155" s="8">
        <v>119679.27875</v>
      </c>
      <c r="AF155" s="8" t="s">
        <v>364</v>
      </c>
      <c r="AG155" s="1" t="s">
        <v>61</v>
      </c>
      <c r="AH155" s="1" t="s">
        <v>68</v>
      </c>
      <c r="AI155" s="1">
        <v>4</v>
      </c>
      <c r="AJ155" s="3">
        <v>45833</v>
      </c>
      <c r="AK155" s="3">
        <v>45829</v>
      </c>
      <c r="AL155" s="3">
        <v>45823</v>
      </c>
      <c r="AM155" s="3">
        <v>45830</v>
      </c>
      <c r="AN155" s="3">
        <v>45831</v>
      </c>
      <c r="AO155" s="3">
        <v>45831</v>
      </c>
      <c r="AP155" s="3">
        <v>45828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282</v>
      </c>
      <c r="BD155" s="56">
        <v>9612.0627635083347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280</v>
      </c>
      <c r="AA156" s="8">
        <v>127579.27875</v>
      </c>
      <c r="AB156" s="8">
        <v>37618</v>
      </c>
      <c r="AC156" s="8">
        <v>89961.278749999998</v>
      </c>
      <c r="AD156" s="8">
        <v>7900</v>
      </c>
      <c r="AE156" s="8">
        <v>119679.27875</v>
      </c>
      <c r="AF156" s="8" t="s">
        <v>58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282</v>
      </c>
      <c r="BD156" s="56">
        <v>0</v>
      </c>
    </row>
    <row r="157" spans="1:56" ht="27.75" customHeight="1" x14ac:dyDescent="0.45">
      <c r="A157" s="3" t="s">
        <v>141</v>
      </c>
      <c r="B157" s="14" t="s">
        <v>141</v>
      </c>
      <c r="C157" s="9" t="s">
        <v>259</v>
      </c>
      <c r="D157" s="13" t="s">
        <v>61</v>
      </c>
      <c r="E157" s="9">
        <v>23</v>
      </c>
      <c r="F157" s="9">
        <v>34</v>
      </c>
      <c r="G157" s="9" t="s">
        <v>60</v>
      </c>
      <c r="H157" s="9" t="s">
        <v>66</v>
      </c>
      <c r="I157" s="9">
        <v>92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128</v>
      </c>
      <c r="T157" s="12">
        <v>45838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9918.7000000000007</v>
      </c>
      <c r="AC157" s="8">
        <v>0</v>
      </c>
      <c r="AD157" s="8">
        <v>0</v>
      </c>
      <c r="AE157" s="8">
        <v>9918.7000000000007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45838</v>
      </c>
      <c r="AK157" s="3">
        <v>45834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 t="s">
        <v>141</v>
      </c>
      <c r="B158" s="14" t="s">
        <v>141</v>
      </c>
      <c r="C158" s="9" t="s">
        <v>259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273.84719423999996</v>
      </c>
      <c r="Q158" s="10">
        <v>0</v>
      </c>
      <c r="R158" s="10">
        <v>273.84719423999996</v>
      </c>
      <c r="S158" s="9" t="s">
        <v>128</v>
      </c>
      <c r="T158" s="12">
        <v>45838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9918.7000000000007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45838</v>
      </c>
      <c r="AK158" s="3">
        <v>0</v>
      </c>
      <c r="AL158" s="3">
        <v>45828</v>
      </c>
      <c r="AM158" s="3">
        <v>45835</v>
      </c>
      <c r="AN158" s="3">
        <v>45836</v>
      </c>
      <c r="AO158" s="3">
        <v>45836</v>
      </c>
      <c r="AP158" s="3">
        <v>45833</v>
      </c>
      <c r="AQ158" s="3">
        <v>45837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19837.400000000001</v>
      </c>
      <c r="AB159" s="8">
        <v>19837.400000000001</v>
      </c>
      <c r="AC159" s="8">
        <v>0</v>
      </c>
      <c r="AD159" s="8">
        <v>0</v>
      </c>
      <c r="AE159" s="8">
        <v>9918.7000000000007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 t="s">
        <v>141</v>
      </c>
      <c r="B160" s="14" t="s">
        <v>141</v>
      </c>
      <c r="C160" s="9" t="s">
        <v>251</v>
      </c>
      <c r="D160" s="13" t="s">
        <v>61</v>
      </c>
      <c r="E160" s="9">
        <v>23</v>
      </c>
      <c r="F160" s="9">
        <v>34</v>
      </c>
      <c r="G160" s="9" t="s">
        <v>189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45838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191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119</v>
      </c>
      <c r="AH160" s="1" t="s">
        <v>74</v>
      </c>
      <c r="AI160" s="1">
        <v>2</v>
      </c>
      <c r="AJ160" s="3">
        <v>45838</v>
      </c>
      <c r="AK160" s="3">
        <v>0</v>
      </c>
      <c r="AL160" s="3">
        <v>45829</v>
      </c>
      <c r="AM160" s="3">
        <v>45836</v>
      </c>
      <c r="AN160" s="3">
        <v>45837</v>
      </c>
      <c r="AO160" s="3">
        <v>45837</v>
      </c>
      <c r="AP160" s="3">
        <v>45833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800.41704844444439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189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191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45">
      <c r="A162" s="3">
        <v>45727</v>
      </c>
      <c r="B162" s="14" t="s">
        <v>303</v>
      </c>
      <c r="C162" s="9" t="s">
        <v>115</v>
      </c>
      <c r="D162" s="13" t="s">
        <v>59</v>
      </c>
      <c r="E162" s="9">
        <v>23</v>
      </c>
      <c r="F162" s="9">
        <v>40</v>
      </c>
      <c r="G162" s="9" t="s">
        <v>60</v>
      </c>
      <c r="H162" s="9" t="s">
        <v>66</v>
      </c>
      <c r="I162" s="9">
        <v>125</v>
      </c>
      <c r="J162" s="9" t="s">
        <v>57</v>
      </c>
      <c r="K162" s="9">
        <v>5</v>
      </c>
      <c r="L162" s="9" t="s">
        <v>221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</v>
      </c>
      <c r="V162" s="10">
        <v>0</v>
      </c>
      <c r="W162" s="10">
        <v>1000</v>
      </c>
      <c r="X162" s="10">
        <v>0</v>
      </c>
      <c r="Y162" s="10">
        <v>0</v>
      </c>
      <c r="Z162" s="9" t="s">
        <v>245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248</v>
      </c>
      <c r="AG162" s="1" t="s">
        <v>119</v>
      </c>
      <c r="AH162" s="1" t="s">
        <v>156</v>
      </c>
      <c r="AI162" s="1">
        <v>2</v>
      </c>
      <c r="AJ162" s="3" t="s">
        <v>63</v>
      </c>
      <c r="AK162" s="3" t="e">
        <v>#VALUE!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152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108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85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245</v>
      </c>
      <c r="AA163" s="8">
        <v>1159.5100000000002</v>
      </c>
      <c r="AB163" s="8">
        <v>1159.5100000000002</v>
      </c>
      <c r="AC163" s="8">
        <v>0</v>
      </c>
      <c r="AD163" s="8">
        <v>1159.5100000000002</v>
      </c>
      <c r="AE163" s="8">
        <v>0</v>
      </c>
      <c r="AF163" s="8" t="s">
        <v>58</v>
      </c>
      <c r="AG163" s="1" t="s">
        <v>119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246</v>
      </c>
      <c r="BD163" s="56">
        <v>0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110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1758.5430635519999</v>
      </c>
      <c r="Q164" s="10">
        <v>0</v>
      </c>
      <c r="R164" s="10">
        <v>1758.5430635519999</v>
      </c>
      <c r="S164" s="9" t="s">
        <v>100</v>
      </c>
      <c r="T164" s="12">
        <v>45831</v>
      </c>
      <c r="U164" s="11">
        <v>54000</v>
      </c>
      <c r="V164" s="10">
        <v>0</v>
      </c>
      <c r="W164" s="10">
        <v>54000</v>
      </c>
      <c r="X164" s="10">
        <v>0</v>
      </c>
      <c r="Y164" s="10">
        <v>56700</v>
      </c>
      <c r="Z164" s="9" t="s">
        <v>101</v>
      </c>
      <c r="AA164" s="8">
        <v>58087.26</v>
      </c>
      <c r="AB164" s="8">
        <v>58087.26</v>
      </c>
      <c r="AC164" s="8">
        <v>0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72</v>
      </c>
      <c r="AI164" s="1">
        <v>3</v>
      </c>
      <c r="AJ164" s="3">
        <v>45831</v>
      </c>
      <c r="AK164" s="3">
        <v>0</v>
      </c>
      <c r="AL164" s="3">
        <v>45821</v>
      </c>
      <c r="AM164" s="3">
        <v>45828</v>
      </c>
      <c r="AN164" s="3">
        <v>45829</v>
      </c>
      <c r="AO164" s="3">
        <v>45829</v>
      </c>
      <c r="AP164" s="3">
        <v>45826</v>
      </c>
      <c r="AQ164" s="3">
        <v>45830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110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1758.5430635519999</v>
      </c>
      <c r="Q165" s="10">
        <v>0</v>
      </c>
      <c r="R165" s="10">
        <v>1758.5430635519999</v>
      </c>
      <c r="S165" s="9" t="s">
        <v>100</v>
      </c>
      <c r="T165" s="12">
        <v>45835</v>
      </c>
      <c r="U165" s="11">
        <v>54000</v>
      </c>
      <c r="V165" s="10">
        <v>0</v>
      </c>
      <c r="W165" s="10">
        <v>54000</v>
      </c>
      <c r="X165" s="10">
        <v>0</v>
      </c>
      <c r="Y165" s="10">
        <v>56700</v>
      </c>
      <c r="Z165" s="9" t="s">
        <v>101</v>
      </c>
      <c r="AA165" s="8">
        <v>58087.26</v>
      </c>
      <c r="AB165" s="8">
        <v>4678</v>
      </c>
      <c r="AC165" s="8">
        <v>53409.26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72</v>
      </c>
      <c r="AI165" s="1">
        <v>3</v>
      </c>
      <c r="AJ165" s="3">
        <v>45835</v>
      </c>
      <c r="AK165" s="3">
        <v>0</v>
      </c>
      <c r="AL165" s="3">
        <v>45825</v>
      </c>
      <c r="AM165" s="3">
        <v>45832</v>
      </c>
      <c r="AN165" s="3">
        <v>45833</v>
      </c>
      <c r="AO165" s="3">
        <v>45833</v>
      </c>
      <c r="AP165" s="3">
        <v>45830</v>
      </c>
      <c r="AQ165" s="3">
        <v>45834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6841.9190727722225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110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1396.4134549094399</v>
      </c>
      <c r="Q166" s="10">
        <v>0</v>
      </c>
      <c r="R166" s="10">
        <v>1396.4134549094399</v>
      </c>
      <c r="S166" s="9" t="s">
        <v>100</v>
      </c>
      <c r="T166" s="12">
        <v>45842</v>
      </c>
      <c r="U166" s="11">
        <v>50800</v>
      </c>
      <c r="V166" s="10">
        <v>7920</v>
      </c>
      <c r="W166" s="10">
        <v>42880</v>
      </c>
      <c r="X166" s="10">
        <v>0</v>
      </c>
      <c r="Y166" s="10">
        <v>45024</v>
      </c>
      <c r="Z166" s="9" t="s">
        <v>101</v>
      </c>
      <c r="AA166" s="8">
        <v>46125.587200000002</v>
      </c>
      <c r="AB166" s="8">
        <v>0</v>
      </c>
      <c r="AC166" s="8">
        <v>46125.587200000002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>
        <v>45842</v>
      </c>
      <c r="AK166" s="3">
        <v>0</v>
      </c>
      <c r="AL166" s="3">
        <v>45832</v>
      </c>
      <c r="AM166" s="3">
        <v>45839</v>
      </c>
      <c r="AN166" s="3">
        <v>45840</v>
      </c>
      <c r="AO166" s="3">
        <v>45840</v>
      </c>
      <c r="AP166" s="3">
        <v>45837</v>
      </c>
      <c r="AQ166" s="3">
        <v>45841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5908.8542849404448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151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4070.701536</v>
      </c>
      <c r="Q167" s="10">
        <v>264</v>
      </c>
      <c r="R167" s="10">
        <v>3806.701536</v>
      </c>
      <c r="S167" s="9" t="s">
        <v>100</v>
      </c>
      <c r="T167" s="12" t="s">
        <v>63</v>
      </c>
      <c r="U167" s="11">
        <v>200000</v>
      </c>
      <c r="V167" s="10">
        <v>75000</v>
      </c>
      <c r="W167" s="10">
        <v>125000</v>
      </c>
      <c r="X167" s="10">
        <v>0</v>
      </c>
      <c r="Y167" s="10">
        <v>131250</v>
      </c>
      <c r="Z167" s="9" t="s">
        <v>277</v>
      </c>
      <c r="AA167" s="8">
        <v>134461.25</v>
      </c>
      <c r="AB167" s="8">
        <v>0</v>
      </c>
      <c r="AC167" s="8">
        <v>134461.25</v>
      </c>
      <c r="AD167" s="8">
        <v>0</v>
      </c>
      <c r="AE167" s="8">
        <v>0</v>
      </c>
      <c r="AF167" s="8" t="s">
        <v>278</v>
      </c>
      <c r="AG167" s="1" t="s">
        <v>120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386</v>
      </c>
      <c r="AZ167" s="2">
        <v>0</v>
      </c>
      <c r="BA167" s="2">
        <v>0</v>
      </c>
      <c r="BB167" s="2">
        <v>0</v>
      </c>
      <c r="BC167" s="1" t="s">
        <v>117</v>
      </c>
      <c r="BD167" s="56">
        <v>17224.971679513892</v>
      </c>
    </row>
    <row r="168" spans="1:56" ht="27.75" customHeight="1" x14ac:dyDescent="0.45">
      <c r="A168" s="3">
        <v>45601</v>
      </c>
      <c r="B168" s="14" t="s">
        <v>216</v>
      </c>
      <c r="C168" s="9" t="s">
        <v>94</v>
      </c>
      <c r="D168" s="13" t="s">
        <v>151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6513.1224575999995</v>
      </c>
      <c r="Q168" s="10">
        <v>0</v>
      </c>
      <c r="R168" s="10">
        <v>6513.1224575999995</v>
      </c>
      <c r="S168" s="9" t="s">
        <v>100</v>
      </c>
      <c r="T168" s="12" t="s">
        <v>63</v>
      </c>
      <c r="U168" s="11">
        <v>200000</v>
      </c>
      <c r="V168" s="10">
        <v>0</v>
      </c>
      <c r="W168" s="10">
        <v>200000</v>
      </c>
      <c r="X168" s="10">
        <v>0</v>
      </c>
      <c r="Y168" s="10">
        <v>210000</v>
      </c>
      <c r="Z168" s="9" t="s">
        <v>277</v>
      </c>
      <c r="AA168" s="8">
        <v>215138.00000000003</v>
      </c>
      <c r="AB168" s="8">
        <v>0</v>
      </c>
      <c r="AC168" s="8">
        <v>215138.00000000003</v>
      </c>
      <c r="AD168" s="8">
        <v>0</v>
      </c>
      <c r="AE168" s="8">
        <v>0</v>
      </c>
      <c r="AF168" s="8" t="s">
        <v>278</v>
      </c>
      <c r="AG168" s="1" t="s">
        <v>119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45858</v>
      </c>
      <c r="AZ168" s="2">
        <v>0</v>
      </c>
      <c r="BA168" s="2">
        <v>0</v>
      </c>
      <c r="BB168" s="2">
        <v>0</v>
      </c>
      <c r="BC168" s="1" t="s">
        <v>117</v>
      </c>
      <c r="BD168" s="56">
        <v>27559.954687222227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151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0</v>
      </c>
      <c r="R169" s="10">
        <v>6513.1224575999995</v>
      </c>
      <c r="S169" s="9" t="s">
        <v>100</v>
      </c>
      <c r="T169" s="12" t="s">
        <v>63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101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278</v>
      </c>
      <c r="AG169" s="1" t="s">
        <v>119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45889</v>
      </c>
      <c r="AZ169" s="2">
        <v>0</v>
      </c>
      <c r="BA169" s="2">
        <v>0</v>
      </c>
      <c r="BB169" s="2">
        <v>0</v>
      </c>
      <c r="BC169" s="1" t="s">
        <v>117</v>
      </c>
      <c r="BD169" s="56">
        <v>27559.954687222227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151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3461.0081427440637</v>
      </c>
      <c r="Q170" s="10">
        <v>0</v>
      </c>
      <c r="R170" s="10">
        <v>3461.0081427440637</v>
      </c>
      <c r="S170" s="9" t="s">
        <v>100</v>
      </c>
      <c r="T170" s="12" t="s">
        <v>63</v>
      </c>
      <c r="U170" s="11">
        <v>106278</v>
      </c>
      <c r="V170" s="10">
        <v>0</v>
      </c>
      <c r="W170" s="10">
        <v>106278</v>
      </c>
      <c r="X170" s="10">
        <v>0</v>
      </c>
      <c r="Y170" s="10">
        <v>111591.90000000001</v>
      </c>
      <c r="Z170" s="9" t="s">
        <v>101</v>
      </c>
      <c r="AA170" s="8">
        <v>114322.18182000001</v>
      </c>
      <c r="AB170" s="8">
        <v>0</v>
      </c>
      <c r="AC170" s="8">
        <v>114322.18182000001</v>
      </c>
      <c r="AD170" s="8">
        <v>0</v>
      </c>
      <c r="AE170" s="8">
        <v>0</v>
      </c>
      <c r="AF170" s="8" t="s">
        <v>278</v>
      </c>
      <c r="AG170" s="1" t="s">
        <v>119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117</v>
      </c>
      <c r="BD170" s="56">
        <v>14645.084321243019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151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100</v>
      </c>
      <c r="T171" s="12" t="s">
        <v>137</v>
      </c>
      <c r="U171" s="11">
        <v>10000</v>
      </c>
      <c r="V171" s="10">
        <v>12607</v>
      </c>
      <c r="W171" s="10">
        <v>0</v>
      </c>
      <c r="X171" s="10">
        <v>56730</v>
      </c>
      <c r="Y171" s="10">
        <v>0</v>
      </c>
      <c r="Z171" s="9" t="s">
        <v>277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119</v>
      </c>
      <c r="AH171" s="1" t="s">
        <v>72</v>
      </c>
      <c r="AI171" s="1">
        <v>3</v>
      </c>
      <c r="AJ171" s="3" t="s">
        <v>137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281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128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101</v>
      </c>
      <c r="AA172" s="8">
        <v>841359.53902000003</v>
      </c>
      <c r="AB172" s="8">
        <v>62765.26</v>
      </c>
      <c r="AC172" s="8">
        <v>778594.27902000013</v>
      </c>
      <c r="AD172" s="8">
        <v>0</v>
      </c>
      <c r="AE172" s="8">
        <v>0</v>
      </c>
      <c r="AF172" s="8" t="s">
        <v>58</v>
      </c>
      <c r="AG172" s="1" t="s">
        <v>119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7.75" customHeight="1" x14ac:dyDescent="0.45">
      <c r="A173" s="3">
        <v>45804</v>
      </c>
      <c r="B173" s="14" t="s">
        <v>499</v>
      </c>
      <c r="C173" s="9" t="s">
        <v>145</v>
      </c>
      <c r="D173" s="13" t="s">
        <v>59</v>
      </c>
      <c r="E173" s="9">
        <v>26</v>
      </c>
      <c r="F173" s="9">
        <v>39</v>
      </c>
      <c r="G173" s="9" t="s">
        <v>60</v>
      </c>
      <c r="H173" s="9">
        <v>0</v>
      </c>
      <c r="I173" s="9">
        <v>93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128</v>
      </c>
      <c r="T173" s="12">
        <v>45821</v>
      </c>
      <c r="U173" s="11">
        <v>8800</v>
      </c>
      <c r="V173" s="10">
        <v>3500</v>
      </c>
      <c r="W173" s="10">
        <v>5300</v>
      </c>
      <c r="X173" s="10">
        <v>0</v>
      </c>
      <c r="Y173" s="10">
        <v>0</v>
      </c>
      <c r="Z173" s="9" t="s">
        <v>85</v>
      </c>
      <c r="AA173" s="8">
        <v>5997.3209999999999</v>
      </c>
      <c r="AB173" s="8">
        <v>0</v>
      </c>
      <c r="AC173" s="8">
        <v>5997.3209999999999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77</v>
      </c>
      <c r="AI173" s="1">
        <v>1</v>
      </c>
      <c r="AJ173" s="3">
        <v>45821</v>
      </c>
      <c r="AK173" s="3">
        <v>0</v>
      </c>
      <c r="AL173" s="3">
        <v>0</v>
      </c>
      <c r="AM173" s="3">
        <v>0</v>
      </c>
      <c r="AN173" s="3">
        <v>0</v>
      </c>
      <c r="AO173" s="3">
        <v>45820</v>
      </c>
      <c r="AP173" s="3">
        <v>45816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484.25035229999992</v>
      </c>
    </row>
    <row r="174" spans="1:56" ht="27.75" customHeight="1" x14ac:dyDescent="0.45">
      <c r="A174" s="3" t="s">
        <v>141</v>
      </c>
      <c r="B174" s="14" t="s">
        <v>141</v>
      </c>
      <c r="C174" s="9" t="s">
        <v>148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45838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85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121</v>
      </c>
      <c r="AH174" s="1" t="s">
        <v>77</v>
      </c>
      <c r="AI174" s="1">
        <v>1</v>
      </c>
      <c r="AJ174" s="3">
        <v>45838</v>
      </c>
      <c r="AK174" s="3">
        <v>0</v>
      </c>
      <c r="AL174" s="3">
        <v>0</v>
      </c>
      <c r="AM174" s="3">
        <v>0</v>
      </c>
      <c r="AN174" s="3">
        <v>0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3925.4396133333335</v>
      </c>
    </row>
    <row r="175" spans="1:56" ht="27.75" customHeight="1" x14ac:dyDescent="0.45">
      <c r="A175" s="3" t="s">
        <v>141</v>
      </c>
      <c r="B175" s="14" t="s">
        <v>141</v>
      </c>
      <c r="C175" s="9" t="s">
        <v>196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92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204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85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121</v>
      </c>
      <c r="AH175" s="1" t="s">
        <v>72</v>
      </c>
      <c r="AI175" s="1">
        <v>3</v>
      </c>
      <c r="AJ175" s="3">
        <v>45838</v>
      </c>
      <c r="AK175" s="3">
        <v>0</v>
      </c>
      <c r="AL175" s="3">
        <v>45828</v>
      </c>
      <c r="AM175" s="3">
        <v>45835</v>
      </c>
      <c r="AN175" s="3">
        <v>45836</v>
      </c>
      <c r="AO175" s="3">
        <v>45836</v>
      </c>
      <c r="AP175" s="3">
        <v>45833</v>
      </c>
      <c r="AQ175" s="3">
        <v>45837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958.79990555555537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85</v>
      </c>
      <c r="AA176" s="8">
        <v>66487.421000000002</v>
      </c>
      <c r="AB176" s="8">
        <v>0</v>
      </c>
      <c r="AC176" s="8">
        <v>66487.421000000002</v>
      </c>
      <c r="AD176" s="8">
        <v>0</v>
      </c>
      <c r="AE176" s="8">
        <v>0</v>
      </c>
      <c r="AF176" s="8" t="s">
        <v>58</v>
      </c>
      <c r="AG176" s="1" t="s">
        <v>120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>
        <v>45806</v>
      </c>
      <c r="B177" s="14" t="s">
        <v>442</v>
      </c>
      <c r="C177" s="9" t="s">
        <v>196</v>
      </c>
      <c r="D177" s="13" t="s">
        <v>443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92</v>
      </c>
      <c r="M177" s="10">
        <v>27</v>
      </c>
      <c r="N177" s="9">
        <v>43</v>
      </c>
      <c r="O177" s="9">
        <v>40</v>
      </c>
      <c r="P177" s="10">
        <v>114.57174504959998</v>
      </c>
      <c r="Q177" s="10">
        <v>0</v>
      </c>
      <c r="R177" s="10">
        <v>114.57174504959998</v>
      </c>
      <c r="S177" s="9" t="s">
        <v>204</v>
      </c>
      <c r="T177" s="12">
        <v>45819</v>
      </c>
      <c r="U177" s="11">
        <v>4000</v>
      </c>
      <c r="V177" s="10">
        <v>0</v>
      </c>
      <c r="W177" s="10">
        <v>4000</v>
      </c>
      <c r="X177" s="10">
        <v>4300</v>
      </c>
      <c r="Y177" s="10">
        <v>0</v>
      </c>
      <c r="Z177" s="9" t="s">
        <v>157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>
        <v>45819</v>
      </c>
      <c r="AK177" s="3">
        <v>0</v>
      </c>
      <c r="AL177" s="3">
        <v>45809</v>
      </c>
      <c r="AM177" s="3">
        <v>45816</v>
      </c>
      <c r="AN177" s="3">
        <v>45817</v>
      </c>
      <c r="AO177" s="3">
        <v>45817</v>
      </c>
      <c r="AP177" s="3">
        <v>45814</v>
      </c>
      <c r="AQ177" s="3">
        <v>45818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 t="s">
        <v>549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45806</v>
      </c>
      <c r="B178" s="14" t="s">
        <v>442</v>
      </c>
      <c r="C178" s="9" t="s">
        <v>196</v>
      </c>
      <c r="D178" s="13" t="s">
        <v>444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114.57174504959998</v>
      </c>
      <c r="Q178" s="10">
        <v>0</v>
      </c>
      <c r="R178" s="10">
        <v>114.57174504959998</v>
      </c>
      <c r="S178" s="9" t="s">
        <v>204</v>
      </c>
      <c r="T178" s="12">
        <v>45819</v>
      </c>
      <c r="U178" s="11">
        <v>4000</v>
      </c>
      <c r="V178" s="10">
        <v>0</v>
      </c>
      <c r="W178" s="10">
        <v>4000</v>
      </c>
      <c r="X178" s="10">
        <v>4405</v>
      </c>
      <c r="Y178" s="10">
        <v>0</v>
      </c>
      <c r="Z178" s="9" t="s">
        <v>157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72</v>
      </c>
      <c r="AI178" s="1">
        <v>3</v>
      </c>
      <c r="AJ178" s="3">
        <v>45819</v>
      </c>
      <c r="AK178" s="3">
        <v>0</v>
      </c>
      <c r="AL178" s="3">
        <v>45809</v>
      </c>
      <c r="AM178" s="3">
        <v>45816</v>
      </c>
      <c r="AN178" s="3">
        <v>45817</v>
      </c>
      <c r="AO178" s="3">
        <v>45817</v>
      </c>
      <c r="AP178" s="3">
        <v>45814</v>
      </c>
      <c r="AQ178" s="3">
        <v>45818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 t="s">
        <v>549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>
        <v>45817</v>
      </c>
      <c r="B179" s="14" t="s">
        <v>133</v>
      </c>
      <c r="C179" s="9" t="s">
        <v>196</v>
      </c>
      <c r="D179" s="13" t="s">
        <v>550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114.57174504959998</v>
      </c>
      <c r="Q179" s="10">
        <v>0</v>
      </c>
      <c r="R179" s="10">
        <v>114.57174504959998</v>
      </c>
      <c r="S179" s="9" t="s">
        <v>204</v>
      </c>
      <c r="T179" s="12">
        <v>45828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157</v>
      </c>
      <c r="AA179" s="8">
        <v>4749.8</v>
      </c>
      <c r="AB179" s="8">
        <v>4749.8</v>
      </c>
      <c r="AC179" s="8">
        <v>0</v>
      </c>
      <c r="AD179" s="8">
        <v>0</v>
      </c>
      <c r="AE179" s="8">
        <v>0</v>
      </c>
      <c r="AF179" s="8">
        <v>0</v>
      </c>
      <c r="AG179" s="1" t="s">
        <v>119</v>
      </c>
      <c r="AH179" s="1" t="s">
        <v>72</v>
      </c>
      <c r="AI179" s="1">
        <v>3</v>
      </c>
      <c r="AJ179" s="3">
        <v>45828</v>
      </c>
      <c r="AK179" s="3">
        <v>0</v>
      </c>
      <c r="AL179" s="3">
        <v>45818</v>
      </c>
      <c r="AM179" s="3">
        <v>45825</v>
      </c>
      <c r="AN179" s="3">
        <v>45826</v>
      </c>
      <c r="AO179" s="3">
        <v>45826</v>
      </c>
      <c r="AP179" s="3">
        <v>45823</v>
      </c>
      <c r="AQ179" s="3">
        <v>45827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>
        <v>45817</v>
      </c>
      <c r="B180" s="14" t="s">
        <v>133</v>
      </c>
      <c r="C180" s="9" t="s">
        <v>196</v>
      </c>
      <c r="D180" s="13" t="s">
        <v>551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114.57174504959998</v>
      </c>
      <c r="Q180" s="10">
        <v>0</v>
      </c>
      <c r="R180" s="10">
        <v>114.57174504959998</v>
      </c>
      <c r="S180" s="9" t="s">
        <v>204</v>
      </c>
      <c r="T180" s="12">
        <v>45828</v>
      </c>
      <c r="U180" s="11">
        <v>4000</v>
      </c>
      <c r="V180" s="10">
        <v>0</v>
      </c>
      <c r="W180" s="10">
        <v>4000</v>
      </c>
      <c r="X180" s="10">
        <v>0</v>
      </c>
      <c r="Y180" s="10">
        <v>4200</v>
      </c>
      <c r="Z180" s="9" t="s">
        <v>157</v>
      </c>
      <c r="AA180" s="8">
        <v>4749.8</v>
      </c>
      <c r="AB180" s="8">
        <v>4749.8</v>
      </c>
      <c r="AC180" s="8">
        <v>0</v>
      </c>
      <c r="AD180" s="8">
        <v>0</v>
      </c>
      <c r="AE180" s="8">
        <v>0</v>
      </c>
      <c r="AF180" s="8">
        <v>0</v>
      </c>
      <c r="AG180" s="1" t="s">
        <v>119</v>
      </c>
      <c r="AH180" s="1" t="s">
        <v>72</v>
      </c>
      <c r="AI180" s="1">
        <v>3</v>
      </c>
      <c r="AJ180" s="3">
        <v>45828</v>
      </c>
      <c r="AK180" s="3">
        <v>0</v>
      </c>
      <c r="AL180" s="3">
        <v>45818</v>
      </c>
      <c r="AM180" s="3">
        <v>45825</v>
      </c>
      <c r="AN180" s="3">
        <v>45826</v>
      </c>
      <c r="AO180" s="3">
        <v>45826</v>
      </c>
      <c r="AP180" s="3">
        <v>45823</v>
      </c>
      <c r="AQ180" s="3">
        <v>45827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157</v>
      </c>
      <c r="AA181" s="8">
        <v>9499.6</v>
      </c>
      <c r="AB181" s="8">
        <v>9499.6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120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45813</v>
      </c>
      <c r="B182" s="14" t="s">
        <v>525</v>
      </c>
      <c r="C182" s="9" t="s">
        <v>500</v>
      </c>
      <c r="D182" s="13" t="s">
        <v>501</v>
      </c>
      <c r="E182" s="9">
        <v>26</v>
      </c>
      <c r="F182" s="9">
        <v>40</v>
      </c>
      <c r="G182" s="9" t="s">
        <v>60</v>
      </c>
      <c r="H182" s="9">
        <v>0</v>
      </c>
      <c r="I182" s="9">
        <v>108</v>
      </c>
      <c r="J182" s="9" t="s">
        <v>57</v>
      </c>
      <c r="K182" s="9">
        <v>5</v>
      </c>
      <c r="L182" s="9" t="s">
        <v>93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502</v>
      </c>
      <c r="T182" s="12">
        <v>45825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223</v>
      </c>
      <c r="AA182" s="8">
        <v>11595.1</v>
      </c>
      <c r="AB182" s="8">
        <v>11595.1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>
        <v>45825</v>
      </c>
      <c r="AK182" s="3">
        <v>0</v>
      </c>
      <c r="AL182" s="3">
        <v>45815</v>
      </c>
      <c r="AM182" s="3">
        <v>45822</v>
      </c>
      <c r="AN182" s="3">
        <v>45823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45">
      <c r="A183" s="3" t="s">
        <v>141</v>
      </c>
      <c r="B183" s="14" t="s">
        <v>141</v>
      </c>
      <c r="C183" s="9" t="s">
        <v>113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116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45838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223</v>
      </c>
      <c r="AA183" s="8">
        <v>24866.6</v>
      </c>
      <c r="AB183" s="8">
        <v>3896</v>
      </c>
      <c r="AC183" s="8">
        <v>20970.599999999999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2084.0116266666669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116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223</v>
      </c>
      <c r="AA184" s="8">
        <v>36461.699999999997</v>
      </c>
      <c r="AB184" s="8">
        <v>15491.1</v>
      </c>
      <c r="AC184" s="8">
        <v>20970.599999999999</v>
      </c>
      <c r="AD184" s="8">
        <v>0</v>
      </c>
      <c r="AE184" s="8">
        <v>0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224</v>
      </c>
      <c r="BD184" s="56">
        <v>0</v>
      </c>
    </row>
    <row r="185" spans="1:56" ht="27.75" customHeight="1" x14ac:dyDescent="0.45">
      <c r="A185" s="3">
        <v>45799</v>
      </c>
      <c r="B185" s="14" t="s">
        <v>433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45825</v>
      </c>
      <c r="U185" s="11">
        <v>15000</v>
      </c>
      <c r="V185" s="10">
        <v>0</v>
      </c>
      <c r="W185" s="10">
        <v>15000</v>
      </c>
      <c r="X185" s="10">
        <v>0</v>
      </c>
      <c r="Y185" s="10">
        <v>0</v>
      </c>
      <c r="Z185" s="9" t="s">
        <v>89</v>
      </c>
      <c r="AA185" s="8">
        <v>18649.949999999997</v>
      </c>
      <c r="AB185" s="8">
        <v>18649.949999999997</v>
      </c>
      <c r="AC185" s="8">
        <v>0</v>
      </c>
      <c r="AD185" s="8">
        <v>0</v>
      </c>
      <c r="AE185" s="8">
        <v>18649.949999999997</v>
      </c>
      <c r="AF185" s="8" t="s">
        <v>248</v>
      </c>
      <c r="AG185" s="1" t="s">
        <v>119</v>
      </c>
      <c r="AH185" s="1" t="s">
        <v>398</v>
      </c>
      <c r="AI185" s="1">
        <v>2</v>
      </c>
      <c r="AJ185" s="3">
        <v>45825</v>
      </c>
      <c r="AK185" s="3">
        <v>0</v>
      </c>
      <c r="AL185" s="3">
        <v>0</v>
      </c>
      <c r="AM185" s="3">
        <v>0</v>
      </c>
      <c r="AN185" s="3">
        <v>0</v>
      </c>
      <c r="AO185" s="3">
        <v>45823</v>
      </c>
      <c r="AP185" s="3">
        <v>45820</v>
      </c>
      <c r="AQ185" s="3">
        <v>45824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152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customHeight="1" x14ac:dyDescent="0.45">
      <c r="A186" s="3">
        <v>45815</v>
      </c>
      <c r="B186" s="14" t="s">
        <v>535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45835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89</v>
      </c>
      <c r="AA186" s="8">
        <v>18649.949999999997</v>
      </c>
      <c r="AB186" s="8">
        <v>18649.949999999997</v>
      </c>
      <c r="AC186" s="8">
        <v>0</v>
      </c>
      <c r="AD186" s="8">
        <v>0</v>
      </c>
      <c r="AE186" s="8">
        <v>18649.949999999997</v>
      </c>
      <c r="AF186" s="8" t="s">
        <v>248</v>
      </c>
      <c r="AG186" s="1" t="s">
        <v>123</v>
      </c>
      <c r="AH186" s="1" t="s">
        <v>398</v>
      </c>
      <c r="AI186" s="1">
        <v>2</v>
      </c>
      <c r="AJ186" s="3">
        <v>45835</v>
      </c>
      <c r="AK186" s="3">
        <v>0</v>
      </c>
      <c r="AL186" s="3">
        <v>0</v>
      </c>
      <c r="AM186" s="3">
        <v>0</v>
      </c>
      <c r="AN186" s="3">
        <v>0</v>
      </c>
      <c r="AO186" s="3">
        <v>45833</v>
      </c>
      <c r="AP186" s="3">
        <v>45830</v>
      </c>
      <c r="AQ186" s="3">
        <v>45834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152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37299.899999999994</v>
      </c>
      <c r="AB187" s="8">
        <v>37299.899999999994</v>
      </c>
      <c r="AC187" s="8">
        <v>0</v>
      </c>
      <c r="AD187" s="8">
        <v>0</v>
      </c>
      <c r="AE187" s="8">
        <v>37299.899999999994</v>
      </c>
      <c r="AF187" s="8" t="s">
        <v>58</v>
      </c>
      <c r="AG187" s="1" t="s">
        <v>122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109</v>
      </c>
      <c r="BD187" s="56">
        <v>0</v>
      </c>
    </row>
    <row r="188" spans="1:56" ht="27.75" customHeight="1" x14ac:dyDescent="0.45">
      <c r="A188" s="3">
        <v>45800</v>
      </c>
      <c r="B188" s="14" t="s">
        <v>429</v>
      </c>
      <c r="C188" s="9" t="s">
        <v>158</v>
      </c>
      <c r="D188" s="13" t="s">
        <v>159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45824</v>
      </c>
      <c r="U188" s="11">
        <v>50000</v>
      </c>
      <c r="V188" s="10">
        <v>8339</v>
      </c>
      <c r="W188" s="10">
        <v>41661</v>
      </c>
      <c r="X188" s="10">
        <v>27330</v>
      </c>
      <c r="Y188" s="10">
        <v>23803.5</v>
      </c>
      <c r="Z188" s="9" t="s">
        <v>132</v>
      </c>
      <c r="AA188" s="8">
        <v>28265.466075</v>
      </c>
      <c r="AB188" s="8">
        <v>5880</v>
      </c>
      <c r="AC188" s="8">
        <v>22385.466075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160</v>
      </c>
      <c r="AI188" s="1">
        <v>2</v>
      </c>
      <c r="AJ188" s="3">
        <v>45824</v>
      </c>
      <c r="AK188" s="3">
        <v>0</v>
      </c>
      <c r="AL188" s="3">
        <v>45815</v>
      </c>
      <c r="AM188" s="3">
        <v>45822</v>
      </c>
      <c r="AN188" s="3">
        <v>0</v>
      </c>
      <c r="AO188" s="3">
        <v>45823</v>
      </c>
      <c r="AP188" s="3">
        <v>45819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2515.8776594291671</v>
      </c>
    </row>
    <row r="189" spans="1:56" ht="27.75" customHeight="1" x14ac:dyDescent="0.45">
      <c r="A189" s="3" t="s">
        <v>141</v>
      </c>
      <c r="B189" s="14" t="s">
        <v>141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45838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132</v>
      </c>
      <c r="AA189" s="8">
        <v>13550.900000000001</v>
      </c>
      <c r="AB189" s="8">
        <v>0</v>
      </c>
      <c r="AC189" s="8">
        <v>13550.900000000001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 t="s">
        <v>404</v>
      </c>
      <c r="AZ189" s="2">
        <v>0</v>
      </c>
      <c r="BA189" s="2">
        <v>0</v>
      </c>
      <c r="BB189" s="2">
        <v>0</v>
      </c>
      <c r="BC189" s="1" t="s">
        <v>107</v>
      </c>
      <c r="BD189" s="56">
        <v>1522.9705944444447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132</v>
      </c>
      <c r="AA190" s="8">
        <v>41816.366074999998</v>
      </c>
      <c r="AB190" s="8">
        <v>5880</v>
      </c>
      <c r="AC190" s="8">
        <v>35936.366074999998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161</v>
      </c>
      <c r="BD190" s="56">
        <v>0</v>
      </c>
    </row>
  </sheetData>
  <autoFilter ref="A5:BD19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77C8-3614-4F3B-9C06-A1081E362DB9}">
  <sheetPr>
    <tabColor rgb="FFFFFF00"/>
  </sheetPr>
  <dimension ref="A1:BD179"/>
  <sheetViews>
    <sheetView zoomScale="80" zoomScaleNormal="80" workbookViewId="0">
      <selection activeCell="Q21" sqref="Q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45817</v>
      </c>
      <c r="E3" s="82" t="s">
        <v>52</v>
      </c>
      <c r="F3" s="82"/>
      <c r="G3" s="83">
        <v>10.3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413</v>
      </c>
      <c r="C6" s="9" t="s">
        <v>390</v>
      </c>
      <c r="D6" s="13" t="s">
        <v>391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393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503</v>
      </c>
      <c r="C10" s="9" t="s">
        <v>504</v>
      </c>
      <c r="D10" s="13" t="s">
        <v>505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308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430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506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308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507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437</v>
      </c>
      <c r="C14" s="9" t="s">
        <v>339</v>
      </c>
      <c r="D14" s="13" t="s">
        <v>438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430</v>
      </c>
      <c r="AG14" s="1" t="s">
        <v>119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374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4000</v>
      </c>
      <c r="AC15" s="8">
        <v>4801.1000000000004</v>
      </c>
      <c r="AD15" s="8">
        <v>0</v>
      </c>
      <c r="AE15" s="8">
        <v>8801.1</v>
      </c>
      <c r="AF15" s="8" t="s">
        <v>311</v>
      </c>
      <c r="AG15" s="1" t="s">
        <v>121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307.2704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12242.300000000001</v>
      </c>
      <c r="AC16" s="8">
        <v>4801.1000000000004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375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39710</v>
      </c>
      <c r="W17" s="10">
        <v>290</v>
      </c>
      <c r="X17" s="10">
        <v>40800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376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15500</v>
      </c>
      <c r="W18" s="10">
        <v>14500</v>
      </c>
      <c r="X18" s="10">
        <v>30955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3738</v>
      </c>
      <c r="AC19" s="8">
        <v>22665.3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1646.0044533333337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9359.9000000000015</v>
      </c>
      <c r="AC20" s="8">
        <v>0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35763.199999999997</v>
      </c>
      <c r="AB21" s="8">
        <v>13097.900000000001</v>
      </c>
      <c r="AC21" s="8">
        <v>22665.3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451</v>
      </c>
      <c r="C22" s="9" t="s">
        <v>73</v>
      </c>
      <c r="D22" s="13" t="s">
        <v>183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45818</v>
      </c>
      <c r="U22" s="11">
        <v>10000</v>
      </c>
      <c r="V22" s="10">
        <v>0</v>
      </c>
      <c r="W22" s="10">
        <v>10000</v>
      </c>
      <c r="X22" s="10">
        <v>10400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45818</v>
      </c>
      <c r="AK22" s="3">
        <v>0</v>
      </c>
      <c r="AL22" s="3">
        <v>45809</v>
      </c>
      <c r="AM22" s="3">
        <v>45816</v>
      </c>
      <c r="AN22" s="3">
        <v>45817</v>
      </c>
      <c r="AO22" s="3">
        <v>45817</v>
      </c>
      <c r="AP22" s="3">
        <v>45813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451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45818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45818</v>
      </c>
      <c r="AK23" s="3">
        <v>0</v>
      </c>
      <c r="AL23" s="3">
        <v>45809</v>
      </c>
      <c r="AM23" s="3">
        <v>45816</v>
      </c>
      <c r="AN23" s="3">
        <v>45817</v>
      </c>
      <c r="AO23" s="3">
        <v>45817</v>
      </c>
      <c r="AP23" s="3">
        <v>45813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452</v>
      </c>
      <c r="C24" s="9" t="s">
        <v>73</v>
      </c>
      <c r="D24" s="13" t="s">
        <v>211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45818</v>
      </c>
      <c r="U24" s="11">
        <v>5000</v>
      </c>
      <c r="V24" s="10">
        <v>5502</v>
      </c>
      <c r="W24" s="10">
        <v>0</v>
      </c>
      <c r="X24" s="10">
        <v>5300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45818</v>
      </c>
      <c r="AK24" s="3">
        <v>0</v>
      </c>
      <c r="AL24" s="3">
        <v>45809</v>
      </c>
      <c r="AM24" s="3">
        <v>45816</v>
      </c>
      <c r="AN24" s="3">
        <v>45817</v>
      </c>
      <c r="AO24" s="3">
        <v>45817</v>
      </c>
      <c r="AP24" s="3">
        <v>45813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451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45820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451</v>
      </c>
      <c r="C26" s="9" t="s">
        <v>73</v>
      </c>
      <c r="D26" s="13" t="s">
        <v>222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45825</v>
      </c>
      <c r="U26" s="11">
        <v>10000</v>
      </c>
      <c r="V26" s="10">
        <v>0</v>
      </c>
      <c r="W26" s="10">
        <v>10000</v>
      </c>
      <c r="X26" s="10">
        <v>10500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45825</v>
      </c>
      <c r="AK26" s="3">
        <v>0</v>
      </c>
      <c r="AL26" s="3">
        <v>45816</v>
      </c>
      <c r="AM26" s="3">
        <v>45823</v>
      </c>
      <c r="AN26" s="3">
        <v>45824</v>
      </c>
      <c r="AO26" s="3">
        <v>45824</v>
      </c>
      <c r="AP26" s="3">
        <v>45820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453</v>
      </c>
      <c r="T27" s="12">
        <v>45825</v>
      </c>
      <c r="U27" s="11">
        <v>15000</v>
      </c>
      <c r="V27" s="10">
        <v>0</v>
      </c>
      <c r="W27" s="10">
        <v>15000</v>
      </c>
      <c r="X27" s="10">
        <v>15750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477</v>
      </c>
      <c r="C28" s="9" t="s">
        <v>73</v>
      </c>
      <c r="D28" s="13" t="s">
        <v>183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453</v>
      </c>
      <c r="T28" s="12">
        <v>45820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186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478</v>
      </c>
      <c r="AG28" s="1" t="s">
        <v>120</v>
      </c>
      <c r="AH28" s="1" t="s">
        <v>74</v>
      </c>
      <c r="AI28" s="1">
        <v>2</v>
      </c>
      <c r="AJ28" s="3">
        <v>45820</v>
      </c>
      <c r="AK28" s="3">
        <v>0</v>
      </c>
      <c r="AL28" s="3">
        <v>45811</v>
      </c>
      <c r="AM28" s="3">
        <v>45818</v>
      </c>
      <c r="AN28" s="3">
        <v>45819</v>
      </c>
      <c r="AO28" s="3">
        <v>45819</v>
      </c>
      <c r="AP28" s="3">
        <v>45815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477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453</v>
      </c>
      <c r="T29" s="12">
        <v>45820</v>
      </c>
      <c r="U29" s="11">
        <v>10000</v>
      </c>
      <c r="V29" s="10">
        <v>0</v>
      </c>
      <c r="W29" s="10">
        <v>10000</v>
      </c>
      <c r="X29" s="10">
        <v>10400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478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477</v>
      </c>
      <c r="C30" s="9" t="s">
        <v>73</v>
      </c>
      <c r="D30" s="13" t="s">
        <v>479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453</v>
      </c>
      <c r="T30" s="12">
        <v>45820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478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477</v>
      </c>
      <c r="C31" s="9" t="s">
        <v>73</v>
      </c>
      <c r="D31" s="13" t="s">
        <v>211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453</v>
      </c>
      <c r="T31" s="12">
        <v>45822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186</v>
      </c>
      <c r="AA31" s="8">
        <v>4400.55</v>
      </c>
      <c r="AB31" s="8">
        <v>1793</v>
      </c>
      <c r="AC31" s="8">
        <v>2607.5500000000002</v>
      </c>
      <c r="AD31" s="8">
        <v>0</v>
      </c>
      <c r="AE31" s="8">
        <v>0</v>
      </c>
      <c r="AF31" s="8" t="s">
        <v>469</v>
      </c>
      <c r="AG31" s="1" t="s">
        <v>122</v>
      </c>
      <c r="AH31" s="1" t="s">
        <v>74</v>
      </c>
      <c r="AI31" s="1">
        <v>2</v>
      </c>
      <c r="AJ31" s="3">
        <v>45822</v>
      </c>
      <c r="AK31" s="3">
        <v>0</v>
      </c>
      <c r="AL31" s="3">
        <v>45813</v>
      </c>
      <c r="AM31" s="3">
        <v>45820</v>
      </c>
      <c r="AN31" s="3">
        <v>45821</v>
      </c>
      <c r="AO31" s="3">
        <v>45821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196.41225511111116</v>
      </c>
    </row>
    <row r="32" spans="1:56" ht="27.75" customHeight="1" x14ac:dyDescent="0.45">
      <c r="A32" s="3">
        <v>45812</v>
      </c>
      <c r="B32" s="14" t="s">
        <v>477</v>
      </c>
      <c r="C32" s="9" t="s">
        <v>73</v>
      </c>
      <c r="D32" s="13" t="s">
        <v>480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453</v>
      </c>
      <c r="T32" s="12">
        <v>45822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469</v>
      </c>
      <c r="AG32" s="1" t="s">
        <v>120</v>
      </c>
      <c r="AH32" s="1" t="s">
        <v>74</v>
      </c>
      <c r="AI32" s="1">
        <v>2</v>
      </c>
      <c r="AJ32" s="3">
        <v>45822</v>
      </c>
      <c r="AK32" s="3">
        <v>0</v>
      </c>
      <c r="AL32" s="3">
        <v>45813</v>
      </c>
      <c r="AM32" s="3">
        <v>45820</v>
      </c>
      <c r="AN32" s="3">
        <v>45821</v>
      </c>
      <c r="AO32" s="3">
        <v>45821</v>
      </c>
      <c r="AP32" s="3">
        <v>45817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331.46898400000003</v>
      </c>
    </row>
    <row r="33" spans="1:56" ht="27.75" customHeight="1" x14ac:dyDescent="0.45">
      <c r="A33" s="3">
        <v>45812</v>
      </c>
      <c r="B33" s="14" t="s">
        <v>477</v>
      </c>
      <c r="C33" s="9" t="s">
        <v>73</v>
      </c>
      <c r="D33" s="13" t="s">
        <v>481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453</v>
      </c>
      <c r="T33" s="12">
        <v>45822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469</v>
      </c>
      <c r="AG33" s="1" t="s">
        <v>121</v>
      </c>
      <c r="AH33" s="1" t="s">
        <v>74</v>
      </c>
      <c r="AI33" s="1">
        <v>2</v>
      </c>
      <c r="AJ33" s="3">
        <v>45822</v>
      </c>
      <c r="AK33" s="3">
        <v>0</v>
      </c>
      <c r="AL33" s="3">
        <v>45813</v>
      </c>
      <c r="AM33" s="3">
        <v>45820</v>
      </c>
      <c r="AN33" s="3">
        <v>45821</v>
      </c>
      <c r="AO33" s="3">
        <v>45821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331.46898400000003</v>
      </c>
    </row>
    <row r="34" spans="1:56" ht="27.75" customHeight="1" x14ac:dyDescent="0.45">
      <c r="A34" s="3">
        <v>45812</v>
      </c>
      <c r="B34" s="14" t="s">
        <v>482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453</v>
      </c>
      <c r="T34" s="12">
        <v>45822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469</v>
      </c>
      <c r="AG34" s="1" t="s">
        <v>122</v>
      </c>
      <c r="AH34" s="1" t="s">
        <v>77</v>
      </c>
      <c r="AI34" s="1">
        <v>2</v>
      </c>
      <c r="AJ34" s="3">
        <v>45822</v>
      </c>
      <c r="AK34" s="3">
        <v>0</v>
      </c>
      <c r="AL34" s="3">
        <v>0</v>
      </c>
      <c r="AM34" s="3">
        <v>0</v>
      </c>
      <c r="AN34" s="3">
        <v>0</v>
      </c>
      <c r="AO34" s="3">
        <v>45820</v>
      </c>
      <c r="AP34" s="3">
        <v>45817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477</v>
      </c>
      <c r="C35" s="9" t="s">
        <v>73</v>
      </c>
      <c r="D35" s="13" t="s">
        <v>483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453</v>
      </c>
      <c r="T35" s="12">
        <v>45825</v>
      </c>
      <c r="U35" s="11">
        <v>3000</v>
      </c>
      <c r="V35" s="10">
        <v>0</v>
      </c>
      <c r="W35" s="10">
        <v>3000</v>
      </c>
      <c r="X35" s="10">
        <v>0</v>
      </c>
      <c r="Y35" s="10">
        <v>3150</v>
      </c>
      <c r="Z35" s="9" t="s">
        <v>186</v>
      </c>
      <c r="AA35" s="8">
        <v>2640.33</v>
      </c>
      <c r="AB35" s="8">
        <v>0</v>
      </c>
      <c r="AC35" s="8">
        <v>2640.33</v>
      </c>
      <c r="AD35" s="8">
        <v>0</v>
      </c>
      <c r="AE35" s="8">
        <v>0</v>
      </c>
      <c r="AF35" s="8" t="s">
        <v>470</v>
      </c>
      <c r="AG35" s="1" t="s">
        <v>120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198.88139040000004</v>
      </c>
    </row>
    <row r="36" spans="1:56" ht="27.75" customHeight="1" x14ac:dyDescent="0.45">
      <c r="A36" s="3">
        <v>45812</v>
      </c>
      <c r="B36" s="14" t="s">
        <v>477</v>
      </c>
      <c r="C36" s="9" t="s">
        <v>73</v>
      </c>
      <c r="D36" s="13" t="s">
        <v>222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453</v>
      </c>
      <c r="T36" s="12">
        <v>45825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186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470</v>
      </c>
      <c r="AG36" s="1" t="s">
        <v>120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484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453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186</v>
      </c>
      <c r="AA37" s="8">
        <v>10477.5</v>
      </c>
      <c r="AB37" s="8">
        <v>0</v>
      </c>
      <c r="AC37" s="8">
        <v>10477.5</v>
      </c>
      <c r="AD37" s="8">
        <v>0</v>
      </c>
      <c r="AE37" s="8">
        <v>0</v>
      </c>
      <c r="AF37" s="8" t="s">
        <v>470</v>
      </c>
      <c r="AG37" s="1" t="s">
        <v>120</v>
      </c>
      <c r="AH37" s="1" t="s">
        <v>77</v>
      </c>
      <c r="AI37" s="1">
        <v>2</v>
      </c>
      <c r="AJ37" s="3">
        <v>45825</v>
      </c>
      <c r="AK37" s="3">
        <v>0</v>
      </c>
      <c r="AL37" s="3">
        <v>0</v>
      </c>
      <c r="AM37" s="3">
        <v>0</v>
      </c>
      <c r="AN37" s="3">
        <v>0</v>
      </c>
      <c r="AO37" s="3">
        <v>45823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789.21186666666665</v>
      </c>
    </row>
    <row r="38" spans="1:56" ht="27.75" customHeight="1" x14ac:dyDescent="0.45">
      <c r="A38" s="3">
        <v>45812</v>
      </c>
      <c r="B38" s="14" t="s">
        <v>477</v>
      </c>
      <c r="C38" s="9" t="s">
        <v>73</v>
      </c>
      <c r="D38" s="13" t="s">
        <v>485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453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475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477</v>
      </c>
      <c r="C39" s="9" t="s">
        <v>73</v>
      </c>
      <c r="D39" s="13" t="s">
        <v>486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453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475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45812</v>
      </c>
      <c r="B40" s="14" t="s">
        <v>477</v>
      </c>
      <c r="C40" s="9" t="s">
        <v>73</v>
      </c>
      <c r="D40" s="13" t="s">
        <v>349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453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475</v>
      </c>
      <c r="AG40" s="1" t="s">
        <v>120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662.93796800000007</v>
      </c>
    </row>
    <row r="41" spans="1:56" ht="27.75" customHeight="1" x14ac:dyDescent="0.45">
      <c r="A41" s="3">
        <v>45812</v>
      </c>
      <c r="B41" s="14" t="s">
        <v>487</v>
      </c>
      <c r="C41" s="9" t="s">
        <v>73</v>
      </c>
      <c r="D41" s="13" t="s">
        <v>488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453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489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487</v>
      </c>
      <c r="C42" s="9" t="s">
        <v>73</v>
      </c>
      <c r="D42" s="13" t="s">
        <v>490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453</v>
      </c>
      <c r="T42" s="12">
        <v>45827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489</v>
      </c>
      <c r="AG42" s="1" t="s">
        <v>120</v>
      </c>
      <c r="AH42" s="1" t="s">
        <v>74</v>
      </c>
      <c r="AI42" s="1">
        <v>2</v>
      </c>
      <c r="AJ42" s="3">
        <v>45827</v>
      </c>
      <c r="AK42" s="3">
        <v>0</v>
      </c>
      <c r="AL42" s="3">
        <v>45818</v>
      </c>
      <c r="AM42" s="3">
        <v>45825</v>
      </c>
      <c r="AN42" s="3">
        <v>45826</v>
      </c>
      <c r="AO42" s="3">
        <v>45826</v>
      </c>
      <c r="AP42" s="3">
        <v>45822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45812</v>
      </c>
      <c r="B43" s="14" t="s">
        <v>491</v>
      </c>
      <c r="C43" s="9" t="s">
        <v>73</v>
      </c>
      <c r="D43" s="13" t="s">
        <v>349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453</v>
      </c>
      <c r="T43" s="12">
        <v>45827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186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489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705.02926755555563</v>
      </c>
    </row>
    <row r="44" spans="1:56" ht="27.75" customHeight="1" x14ac:dyDescent="0.45">
      <c r="A44" s="3">
        <v>45812</v>
      </c>
      <c r="B44" s="14" t="s">
        <v>491</v>
      </c>
      <c r="C44" s="9" t="s">
        <v>73</v>
      </c>
      <c r="D44" s="13" t="s">
        <v>492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453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489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352.51463377777782</v>
      </c>
    </row>
    <row r="45" spans="1:56" ht="27.75" customHeight="1" x14ac:dyDescent="0.45">
      <c r="A45" s="3">
        <v>45812</v>
      </c>
      <c r="B45" s="14" t="s">
        <v>487</v>
      </c>
      <c r="C45" s="9" t="s">
        <v>73</v>
      </c>
      <c r="D45" s="13" t="s">
        <v>493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453</v>
      </c>
      <c r="T45" s="12">
        <v>45828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494</v>
      </c>
      <c r="AG45" s="1" t="s">
        <v>120</v>
      </c>
      <c r="AH45" s="1" t="s">
        <v>74</v>
      </c>
      <c r="AI45" s="1">
        <v>2</v>
      </c>
      <c r="AJ45" s="3">
        <v>45828</v>
      </c>
      <c r="AK45" s="3">
        <v>0</v>
      </c>
      <c r="AL45" s="3">
        <v>45819</v>
      </c>
      <c r="AM45" s="3">
        <v>45826</v>
      </c>
      <c r="AN45" s="3">
        <v>45827</v>
      </c>
      <c r="AO45" s="3">
        <v>45827</v>
      </c>
      <c r="AP45" s="3">
        <v>45823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487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453</v>
      </c>
      <c r="T46" s="12">
        <v>45828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186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494</v>
      </c>
      <c r="AG46" s="1" t="s">
        <v>120</v>
      </c>
      <c r="AH46" s="1" t="s">
        <v>74</v>
      </c>
      <c r="AI46" s="1">
        <v>2</v>
      </c>
      <c r="AJ46" s="3">
        <v>45828</v>
      </c>
      <c r="AK46" s="3">
        <v>0</v>
      </c>
      <c r="AL46" s="3">
        <v>45819</v>
      </c>
      <c r="AM46" s="3">
        <v>45826</v>
      </c>
      <c r="AN46" s="3">
        <v>45827</v>
      </c>
      <c r="AO46" s="3">
        <v>45827</v>
      </c>
      <c r="AP46" s="3">
        <v>45823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662.93796800000007</v>
      </c>
    </row>
    <row r="47" spans="1:56" ht="27.75" customHeight="1" x14ac:dyDescent="0.45">
      <c r="A47" s="3">
        <v>45812</v>
      </c>
      <c r="B47" s="14" t="s">
        <v>491</v>
      </c>
      <c r="C47" s="9" t="s">
        <v>73</v>
      </c>
      <c r="D47" s="13" t="s">
        <v>211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453</v>
      </c>
      <c r="T47" s="12">
        <v>45828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186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494</v>
      </c>
      <c r="AG47" s="1" t="s">
        <v>120</v>
      </c>
      <c r="AH47" s="1" t="s">
        <v>74</v>
      </c>
      <c r="AI47" s="1">
        <v>2</v>
      </c>
      <c r="AJ47" s="3">
        <v>45828</v>
      </c>
      <c r="AK47" s="3">
        <v>0</v>
      </c>
      <c r="AL47" s="3">
        <v>45819</v>
      </c>
      <c r="AM47" s="3">
        <v>45826</v>
      </c>
      <c r="AN47" s="3">
        <v>45827</v>
      </c>
      <c r="AO47" s="3">
        <v>45827</v>
      </c>
      <c r="AP47" s="3">
        <v>45823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705.02926755555563</v>
      </c>
    </row>
    <row r="48" spans="1:56" ht="27.75" customHeight="1" x14ac:dyDescent="0.45">
      <c r="A48" s="3">
        <v>45812</v>
      </c>
      <c r="B48" s="14" t="s">
        <v>477</v>
      </c>
      <c r="C48" s="9" t="s">
        <v>73</v>
      </c>
      <c r="D48" s="13" t="s">
        <v>485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453</v>
      </c>
      <c r="T48" s="12">
        <v>45829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495</v>
      </c>
      <c r="AG48" s="1" t="s">
        <v>120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331.46898400000003</v>
      </c>
    </row>
    <row r="49" spans="1:56" ht="27.75" customHeight="1" x14ac:dyDescent="0.45">
      <c r="A49" s="3">
        <v>45812</v>
      </c>
      <c r="B49" s="14" t="s">
        <v>477</v>
      </c>
      <c r="C49" s="9" t="s">
        <v>73</v>
      </c>
      <c r="D49" s="13" t="s">
        <v>496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453</v>
      </c>
      <c r="T49" s="12">
        <v>45829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495</v>
      </c>
      <c r="AG49" s="1" t="s">
        <v>61</v>
      </c>
      <c r="AH49" s="1" t="s">
        <v>74</v>
      </c>
      <c r="AI49" s="1">
        <v>2</v>
      </c>
      <c r="AJ49" s="3">
        <v>45829</v>
      </c>
      <c r="AK49" s="3">
        <v>0</v>
      </c>
      <c r="AL49" s="3">
        <v>45820</v>
      </c>
      <c r="AM49" s="3">
        <v>45827</v>
      </c>
      <c r="AN49" s="3">
        <v>45828</v>
      </c>
      <c r="AO49" s="3">
        <v>45828</v>
      </c>
      <c r="AP49" s="3">
        <v>45824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331.46898400000003</v>
      </c>
    </row>
    <row r="50" spans="1:56" ht="27.75" customHeight="1" x14ac:dyDescent="0.45">
      <c r="A50" s="3">
        <v>45812</v>
      </c>
      <c r="B50" s="14" t="s">
        <v>477</v>
      </c>
      <c r="C50" s="9" t="s">
        <v>73</v>
      </c>
      <c r="D50" s="13" t="s">
        <v>210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453</v>
      </c>
      <c r="T50" s="12">
        <v>45829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495</v>
      </c>
      <c r="AG50" s="1" t="s">
        <v>119</v>
      </c>
      <c r="AH50" s="1" t="s">
        <v>74</v>
      </c>
      <c r="AI50" s="1">
        <v>2</v>
      </c>
      <c r="AJ50" s="3">
        <v>45829</v>
      </c>
      <c r="AK50" s="3">
        <v>0</v>
      </c>
      <c r="AL50" s="3">
        <v>45820</v>
      </c>
      <c r="AM50" s="3">
        <v>45827</v>
      </c>
      <c r="AN50" s="3">
        <v>45828</v>
      </c>
      <c r="AO50" s="3">
        <v>45828</v>
      </c>
      <c r="AP50" s="3">
        <v>45824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477</v>
      </c>
      <c r="C51" s="9" t="s">
        <v>73</v>
      </c>
      <c r="D51" s="13" t="s">
        <v>183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453</v>
      </c>
      <c r="T51" s="12">
        <v>45829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186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495</v>
      </c>
      <c r="AG51" s="1" t="s">
        <v>119</v>
      </c>
      <c r="AH51" s="1" t="s">
        <v>74</v>
      </c>
      <c r="AI51" s="1">
        <v>2</v>
      </c>
      <c r="AJ51" s="3">
        <v>45829</v>
      </c>
      <c r="AK51" s="3">
        <v>0</v>
      </c>
      <c r="AL51" s="3">
        <v>45820</v>
      </c>
      <c r="AM51" s="3">
        <v>45827</v>
      </c>
      <c r="AN51" s="3">
        <v>45828</v>
      </c>
      <c r="AO51" s="3">
        <v>45828</v>
      </c>
      <c r="AP51" s="3">
        <v>45824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662.93796800000007</v>
      </c>
    </row>
    <row r="52" spans="1:56" ht="27.75" customHeight="1" x14ac:dyDescent="0.45">
      <c r="A52" s="3" t="s">
        <v>141</v>
      </c>
      <c r="B52" s="14" t="s">
        <v>141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150</v>
      </c>
      <c r="T52" s="12">
        <v>45838</v>
      </c>
      <c r="U52" s="11">
        <v>275000</v>
      </c>
      <c r="V52" s="10">
        <v>0</v>
      </c>
      <c r="W52" s="10">
        <v>275000</v>
      </c>
      <c r="X52" s="10">
        <v>0</v>
      </c>
      <c r="Y52" s="10">
        <v>288750</v>
      </c>
      <c r="Z52" s="9" t="s">
        <v>186</v>
      </c>
      <c r="AA52" s="8">
        <v>242030.25</v>
      </c>
      <c r="AB52" s="8">
        <v>0</v>
      </c>
      <c r="AC52" s="8">
        <v>242030.25</v>
      </c>
      <c r="AD52" s="8">
        <v>0</v>
      </c>
      <c r="AE52" s="8">
        <v>0</v>
      </c>
      <c r="AF52" s="8">
        <v>0</v>
      </c>
      <c r="AG52" s="1" t="s">
        <v>119</v>
      </c>
      <c r="AH52" s="1" t="s">
        <v>74</v>
      </c>
      <c r="AI52" s="1">
        <v>2</v>
      </c>
      <c r="AJ52" s="3">
        <v>45838</v>
      </c>
      <c r="AK52" s="3">
        <v>0</v>
      </c>
      <c r="AL52" s="3">
        <v>45829</v>
      </c>
      <c r="AM52" s="3">
        <v>45836</v>
      </c>
      <c r="AN52" s="3">
        <v>45837</v>
      </c>
      <c r="AO52" s="3">
        <v>45837</v>
      </c>
      <c r="AP52" s="3">
        <v>45833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18230.794120000006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186</v>
      </c>
      <c r="AA53" s="8">
        <v>377036.33</v>
      </c>
      <c r="AB53" s="8">
        <v>14994.650000000001</v>
      </c>
      <c r="AC53" s="8">
        <v>362041.68000000005</v>
      </c>
      <c r="AD53" s="8">
        <v>0</v>
      </c>
      <c r="AE53" s="8">
        <v>0</v>
      </c>
      <c r="AF53" s="8" t="s">
        <v>58</v>
      </c>
      <c r="AG53" s="1" t="s">
        <v>119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188</v>
      </c>
      <c r="BD53" s="56">
        <v>0</v>
      </c>
    </row>
    <row r="54" spans="1:56" ht="27.75" customHeight="1" x14ac:dyDescent="0.45">
      <c r="A54" s="3">
        <v>45796</v>
      </c>
      <c r="B54" s="14" t="s">
        <v>377</v>
      </c>
      <c r="C54" s="9" t="s">
        <v>147</v>
      </c>
      <c r="D54" s="13" t="s">
        <v>368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214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119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215</v>
      </c>
      <c r="BD55" s="56">
        <v>0</v>
      </c>
    </row>
    <row r="56" spans="1:56" ht="27.75" customHeight="1" x14ac:dyDescent="0.45">
      <c r="A56" s="3" t="s">
        <v>141</v>
      </c>
      <c r="B56" s="14" t="s">
        <v>141</v>
      </c>
      <c r="C56" s="9" t="s">
        <v>340</v>
      </c>
      <c r="D56" s="13" t="s">
        <v>341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45838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146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121</v>
      </c>
      <c r="AH56" s="1" t="s">
        <v>74</v>
      </c>
      <c r="AI56" s="1">
        <v>2</v>
      </c>
      <c r="AJ56" s="3">
        <v>45838</v>
      </c>
      <c r="AK56" s="3">
        <v>0</v>
      </c>
      <c r="AL56" s="3">
        <v>45829</v>
      </c>
      <c r="AM56" s="3">
        <v>45836</v>
      </c>
      <c r="AN56" s="3">
        <v>45837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1149.1877222222222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146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45796</v>
      </c>
      <c r="B58" s="14" t="s">
        <v>378</v>
      </c>
      <c r="C58" s="9" t="s">
        <v>147</v>
      </c>
      <c r="D58" s="13" t="s">
        <v>370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45818</v>
      </c>
      <c r="U58" s="11">
        <v>3280</v>
      </c>
      <c r="V58" s="10">
        <v>2447</v>
      </c>
      <c r="W58" s="10">
        <v>833</v>
      </c>
      <c r="X58" s="10">
        <v>5975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45818</v>
      </c>
      <c r="AK58" s="3">
        <v>45814</v>
      </c>
      <c r="AL58" s="3">
        <v>45807</v>
      </c>
      <c r="AM58" s="3">
        <v>45815</v>
      </c>
      <c r="AN58" s="3">
        <v>45816</v>
      </c>
      <c r="AO58" s="3">
        <v>45817</v>
      </c>
      <c r="AP58" s="3">
        <v>45813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379</v>
      </c>
      <c r="C59" s="9" t="s">
        <v>147</v>
      </c>
      <c r="D59" s="13" t="s">
        <v>262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45818</v>
      </c>
      <c r="U59" s="11">
        <v>3853</v>
      </c>
      <c r="V59" s="10">
        <v>840</v>
      </c>
      <c r="W59" s="10">
        <v>3013</v>
      </c>
      <c r="X59" s="10">
        <v>15401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>
        <v>45818</v>
      </c>
      <c r="AK59" s="3">
        <v>45814</v>
      </c>
      <c r="AL59" s="3">
        <v>45807</v>
      </c>
      <c r="AM59" s="3">
        <v>45815</v>
      </c>
      <c r="AN59" s="3">
        <v>45816</v>
      </c>
      <c r="AO59" s="3">
        <v>45817</v>
      </c>
      <c r="AP59" s="3">
        <v>45813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45796</v>
      </c>
      <c r="B60" s="14" t="s">
        <v>379</v>
      </c>
      <c r="C60" s="9" t="s">
        <v>147</v>
      </c>
      <c r="D60" s="13" t="s">
        <v>209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45818</v>
      </c>
      <c r="U60" s="11">
        <v>4349</v>
      </c>
      <c r="V60" s="10">
        <v>0</v>
      </c>
      <c r="W60" s="10">
        <v>4349</v>
      </c>
      <c r="X60" s="10">
        <v>0</v>
      </c>
      <c r="Y60" s="10">
        <v>4566.45</v>
      </c>
      <c r="Z60" s="9" t="s">
        <v>81</v>
      </c>
      <c r="AA60" s="8">
        <v>4556.6647499999999</v>
      </c>
      <c r="AB60" s="8">
        <v>4556.6647499999999</v>
      </c>
      <c r="AC60" s="8">
        <v>0</v>
      </c>
      <c r="AD60" s="8">
        <v>0</v>
      </c>
      <c r="AE60" s="8">
        <v>4556.6647499999999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45818</v>
      </c>
      <c r="AK60" s="3">
        <v>45814</v>
      </c>
      <c r="AL60" s="3">
        <v>45807</v>
      </c>
      <c r="AM60" s="3">
        <v>45815</v>
      </c>
      <c r="AN60" s="3">
        <v>45816</v>
      </c>
      <c r="AO60" s="3">
        <v>45817</v>
      </c>
      <c r="AP60" s="3">
        <v>45813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45796</v>
      </c>
      <c r="B61" s="14" t="s">
        <v>382</v>
      </c>
      <c r="C61" s="9" t="s">
        <v>147</v>
      </c>
      <c r="D61" s="13" t="s">
        <v>154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45818</v>
      </c>
      <c r="U61" s="11">
        <v>40000</v>
      </c>
      <c r="V61" s="10">
        <v>3782</v>
      </c>
      <c r="W61" s="10">
        <v>36218</v>
      </c>
      <c r="X61" s="10">
        <v>35200</v>
      </c>
      <c r="Y61" s="10">
        <v>5040</v>
      </c>
      <c r="Z61" s="9" t="s">
        <v>81</v>
      </c>
      <c r="AA61" s="8">
        <v>5280.6600000000008</v>
      </c>
      <c r="AB61" s="8">
        <v>5280.6600000000008</v>
      </c>
      <c r="AC61" s="8">
        <v>0</v>
      </c>
      <c r="AD61" s="8">
        <v>5280.6600000000008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45818</v>
      </c>
      <c r="AK61" s="3">
        <v>45814</v>
      </c>
      <c r="AL61" s="3">
        <v>45807</v>
      </c>
      <c r="AM61" s="3">
        <v>45815</v>
      </c>
      <c r="AN61" s="3">
        <v>45816</v>
      </c>
      <c r="AO61" s="3">
        <v>45817</v>
      </c>
      <c r="AP61" s="3">
        <v>45813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373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330</v>
      </c>
      <c r="C62" s="9" t="s">
        <v>147</v>
      </c>
      <c r="D62" s="13" t="s">
        <v>154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221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45818</v>
      </c>
      <c r="U62" s="11">
        <v>1866</v>
      </c>
      <c r="V62" s="10">
        <v>1866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241</v>
      </c>
      <c r="AG62" s="1" t="s">
        <v>120</v>
      </c>
      <c r="AH62" s="1" t="s">
        <v>75</v>
      </c>
      <c r="AI62" s="1">
        <v>4</v>
      </c>
      <c r="AJ62" s="3">
        <v>45818</v>
      </c>
      <c r="AK62" s="3">
        <v>45814</v>
      </c>
      <c r="AL62" s="3">
        <v>45807</v>
      </c>
      <c r="AM62" s="3">
        <v>45815</v>
      </c>
      <c r="AN62" s="3">
        <v>45816</v>
      </c>
      <c r="AO62" s="3">
        <v>45817</v>
      </c>
      <c r="AP62" s="3">
        <v>45813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383</v>
      </c>
      <c r="C63" s="9" t="s">
        <v>147</v>
      </c>
      <c r="D63" s="13" t="s">
        <v>264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45818</v>
      </c>
      <c r="U63" s="11">
        <v>10000</v>
      </c>
      <c r="V63" s="10">
        <v>3920</v>
      </c>
      <c r="W63" s="10">
        <v>6080</v>
      </c>
      <c r="X63" s="10">
        <v>12101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45818</v>
      </c>
      <c r="AK63" s="3">
        <v>45814</v>
      </c>
      <c r="AL63" s="3">
        <v>45807</v>
      </c>
      <c r="AM63" s="3">
        <v>45815</v>
      </c>
      <c r="AN63" s="3">
        <v>45816</v>
      </c>
      <c r="AO63" s="3">
        <v>45817</v>
      </c>
      <c r="AP63" s="3">
        <v>45813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45766</v>
      </c>
      <c r="B64" s="14" t="s">
        <v>330</v>
      </c>
      <c r="C64" s="9" t="s">
        <v>147</v>
      </c>
      <c r="D64" s="13" t="s">
        <v>264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45818</v>
      </c>
      <c r="U64" s="11">
        <v>1120</v>
      </c>
      <c r="V64" s="10">
        <v>1120</v>
      </c>
      <c r="W64" s="10">
        <v>0</v>
      </c>
      <c r="X64" s="10">
        <v>1200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241</v>
      </c>
      <c r="AG64" s="1" t="s">
        <v>120</v>
      </c>
      <c r="AH64" s="1" t="s">
        <v>75</v>
      </c>
      <c r="AI64" s="1">
        <v>4</v>
      </c>
      <c r="AJ64" s="3">
        <v>45818</v>
      </c>
      <c r="AK64" s="3">
        <v>45814</v>
      </c>
      <c r="AL64" s="3">
        <v>45807</v>
      </c>
      <c r="AM64" s="3">
        <v>45815</v>
      </c>
      <c r="AN64" s="3">
        <v>45816</v>
      </c>
      <c r="AO64" s="3">
        <v>45817</v>
      </c>
      <c r="AP64" s="3">
        <v>45813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45799</v>
      </c>
      <c r="B65" s="14" t="s">
        <v>416</v>
      </c>
      <c r="C65" s="9" t="s">
        <v>394</v>
      </c>
      <c r="D65" s="13" t="s">
        <v>395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45819</v>
      </c>
      <c r="U65" s="11">
        <v>12000</v>
      </c>
      <c r="V65" s="10">
        <v>0</v>
      </c>
      <c r="W65" s="10">
        <v>12000</v>
      </c>
      <c r="X65" s="10">
        <v>0</v>
      </c>
      <c r="Y65" s="10">
        <v>12600</v>
      </c>
      <c r="Z65" s="9" t="s">
        <v>81</v>
      </c>
      <c r="AA65" s="8">
        <v>11902.44</v>
      </c>
      <c r="AB65" s="8">
        <v>11902.44</v>
      </c>
      <c r="AC65" s="8">
        <v>0</v>
      </c>
      <c r="AD65" s="8">
        <v>0</v>
      </c>
      <c r="AE65" s="8">
        <v>11902.44</v>
      </c>
      <c r="AF65" s="8" t="s">
        <v>241</v>
      </c>
      <c r="AG65" s="1" t="s">
        <v>120</v>
      </c>
      <c r="AH65" s="1" t="s">
        <v>75</v>
      </c>
      <c r="AI65" s="1">
        <v>4</v>
      </c>
      <c r="AJ65" s="3">
        <v>45819</v>
      </c>
      <c r="AK65" s="3">
        <v>45815</v>
      </c>
      <c r="AL65" s="3">
        <v>45808</v>
      </c>
      <c r="AM65" s="3">
        <v>45816</v>
      </c>
      <c r="AN65" s="3">
        <v>45817</v>
      </c>
      <c r="AO65" s="3">
        <v>45818</v>
      </c>
      <c r="AP65" s="3">
        <v>45814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45810</v>
      </c>
      <c r="B66" s="14" t="s">
        <v>460</v>
      </c>
      <c r="C66" s="9" t="s">
        <v>461</v>
      </c>
      <c r="D66" s="13" t="s">
        <v>395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45819</v>
      </c>
      <c r="U66" s="11">
        <v>1500</v>
      </c>
      <c r="V66" s="10">
        <v>0</v>
      </c>
      <c r="W66" s="10">
        <v>1500</v>
      </c>
      <c r="X66" s="10">
        <v>0</v>
      </c>
      <c r="Y66" s="10">
        <v>1575</v>
      </c>
      <c r="Z66" s="9" t="s">
        <v>81</v>
      </c>
      <c r="AA66" s="8">
        <v>1487.8050000000001</v>
      </c>
      <c r="AB66" s="8">
        <v>1487.8050000000001</v>
      </c>
      <c r="AC66" s="8">
        <v>0</v>
      </c>
      <c r="AD66" s="8">
        <v>0</v>
      </c>
      <c r="AE66" s="8">
        <v>1487.8050000000001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45819</v>
      </c>
      <c r="AK66" s="3">
        <v>45815</v>
      </c>
      <c r="AL66" s="3">
        <v>45808</v>
      </c>
      <c r="AM66" s="3">
        <v>45816</v>
      </c>
      <c r="AN66" s="3">
        <v>45817</v>
      </c>
      <c r="AO66" s="3">
        <v>45818</v>
      </c>
      <c r="AP66" s="3">
        <v>45814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45799</v>
      </c>
      <c r="B67" s="14" t="s">
        <v>416</v>
      </c>
      <c r="C67" s="9" t="s">
        <v>394</v>
      </c>
      <c r="D67" s="13" t="s">
        <v>396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45819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81</v>
      </c>
      <c r="AA67" s="8">
        <v>7934.96</v>
      </c>
      <c r="AB67" s="8">
        <v>7934.96</v>
      </c>
      <c r="AC67" s="8">
        <v>0</v>
      </c>
      <c r="AD67" s="8">
        <v>0</v>
      </c>
      <c r="AE67" s="8">
        <v>7934.96</v>
      </c>
      <c r="AF67" s="8" t="s">
        <v>241</v>
      </c>
      <c r="AG67" s="1" t="s">
        <v>119</v>
      </c>
      <c r="AH67" s="1" t="s">
        <v>75</v>
      </c>
      <c r="AI67" s="1">
        <v>4</v>
      </c>
      <c r="AJ67" s="3">
        <v>45819</v>
      </c>
      <c r="AK67" s="3">
        <v>45815</v>
      </c>
      <c r="AL67" s="3">
        <v>45808</v>
      </c>
      <c r="AM67" s="3">
        <v>45816</v>
      </c>
      <c r="AN67" s="3">
        <v>45817</v>
      </c>
      <c r="AO67" s="3">
        <v>45818</v>
      </c>
      <c r="AP67" s="3">
        <v>45814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45810</v>
      </c>
      <c r="B68" s="14" t="s">
        <v>460</v>
      </c>
      <c r="C68" s="9" t="s">
        <v>461</v>
      </c>
      <c r="D68" s="13" t="s">
        <v>396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45819</v>
      </c>
      <c r="U68" s="11">
        <v>1000</v>
      </c>
      <c r="V68" s="10">
        <v>0</v>
      </c>
      <c r="W68" s="10">
        <v>1000</v>
      </c>
      <c r="X68" s="10">
        <v>0</v>
      </c>
      <c r="Y68" s="10">
        <v>1050</v>
      </c>
      <c r="Z68" s="9" t="s">
        <v>81</v>
      </c>
      <c r="AA68" s="8">
        <v>991.87</v>
      </c>
      <c r="AB68" s="8">
        <v>991.87</v>
      </c>
      <c r="AC68" s="8">
        <v>0</v>
      </c>
      <c r="AD68" s="8">
        <v>0</v>
      </c>
      <c r="AE68" s="8">
        <v>991.87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45819</v>
      </c>
      <c r="AK68" s="3">
        <v>45815</v>
      </c>
      <c r="AL68" s="3">
        <v>45808</v>
      </c>
      <c r="AM68" s="3">
        <v>45816</v>
      </c>
      <c r="AN68" s="3">
        <v>45817</v>
      </c>
      <c r="AO68" s="3">
        <v>45818</v>
      </c>
      <c r="AP68" s="3">
        <v>45814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45782</v>
      </c>
      <c r="B69" s="14" t="s">
        <v>367</v>
      </c>
      <c r="C69" s="9" t="s">
        <v>80</v>
      </c>
      <c r="D69" s="13" t="s">
        <v>318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45820</v>
      </c>
      <c r="AK69" s="3">
        <v>45816</v>
      </c>
      <c r="AL69" s="3">
        <v>45809</v>
      </c>
      <c r="AM69" s="3">
        <v>45817</v>
      </c>
      <c r="AN69" s="3">
        <v>45818</v>
      </c>
      <c r="AO69" s="3">
        <v>45819</v>
      </c>
      <c r="AP69" s="3">
        <v>45815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45756</v>
      </c>
      <c r="B70" s="14" t="s">
        <v>321</v>
      </c>
      <c r="C70" s="9" t="s">
        <v>80</v>
      </c>
      <c r="D70" s="13" t="s">
        <v>322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45820</v>
      </c>
      <c r="U70" s="11">
        <v>3000</v>
      </c>
      <c r="V70" s="10">
        <v>3148</v>
      </c>
      <c r="W70" s="10">
        <v>0</v>
      </c>
      <c r="X70" s="10">
        <v>6505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45820</v>
      </c>
      <c r="AK70" s="3">
        <v>45816</v>
      </c>
      <c r="AL70" s="3">
        <v>45809</v>
      </c>
      <c r="AM70" s="3">
        <v>45817</v>
      </c>
      <c r="AN70" s="3">
        <v>45818</v>
      </c>
      <c r="AO70" s="3">
        <v>45819</v>
      </c>
      <c r="AP70" s="3">
        <v>45815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45740</v>
      </c>
      <c r="B71" s="14" t="s">
        <v>306</v>
      </c>
      <c r="C71" s="9" t="s">
        <v>80</v>
      </c>
      <c r="D71" s="13" t="s">
        <v>258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45820</v>
      </c>
      <c r="U71" s="11">
        <v>2500</v>
      </c>
      <c r="V71" s="10">
        <v>2825</v>
      </c>
      <c r="W71" s="10">
        <v>0</v>
      </c>
      <c r="X71" s="10">
        <v>5688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45820</v>
      </c>
      <c r="AK71" s="3">
        <v>45816</v>
      </c>
      <c r="AL71" s="3">
        <v>45809</v>
      </c>
      <c r="AM71" s="3">
        <v>45817</v>
      </c>
      <c r="AN71" s="3">
        <v>45818</v>
      </c>
      <c r="AO71" s="3">
        <v>45819</v>
      </c>
      <c r="AP71" s="3">
        <v>45815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45808</v>
      </c>
      <c r="B72" s="14" t="s">
        <v>454</v>
      </c>
      <c r="C72" s="9" t="s">
        <v>445</v>
      </c>
      <c r="D72" s="13" t="s">
        <v>446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220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45821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120</v>
      </c>
      <c r="AH72" s="1" t="s">
        <v>68</v>
      </c>
      <c r="AI72" s="1">
        <v>4</v>
      </c>
      <c r="AJ72" s="3">
        <v>45821</v>
      </c>
      <c r="AK72" s="3">
        <v>45817</v>
      </c>
      <c r="AL72" s="3">
        <v>45811</v>
      </c>
      <c r="AM72" s="3">
        <v>45818</v>
      </c>
      <c r="AN72" s="3">
        <v>45819</v>
      </c>
      <c r="AO72" s="3">
        <v>45819</v>
      </c>
      <c r="AP72" s="3">
        <v>45816</v>
      </c>
      <c r="AQ72" s="3">
        <v>45820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45808</v>
      </c>
      <c r="B73" s="14" t="s">
        <v>462</v>
      </c>
      <c r="C73" s="9" t="s">
        <v>147</v>
      </c>
      <c r="D73" s="13" t="s">
        <v>155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329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398.98320000000001</v>
      </c>
    </row>
    <row r="74" spans="1:56" ht="27.75" customHeight="1" x14ac:dyDescent="0.45">
      <c r="A74" s="3">
        <v>45803</v>
      </c>
      <c r="B74" s="14" t="s">
        <v>421</v>
      </c>
      <c r="C74" s="9" t="s">
        <v>111</v>
      </c>
      <c r="D74" s="13" t="s">
        <v>422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45831</v>
      </c>
      <c r="AK74" s="3">
        <v>45827</v>
      </c>
      <c r="AL74" s="3">
        <v>45820</v>
      </c>
      <c r="AM74" s="3">
        <v>45828</v>
      </c>
      <c r="AN74" s="3">
        <v>45829</v>
      </c>
      <c r="AO74" s="3">
        <v>45830</v>
      </c>
      <c r="AP74" s="3">
        <v>45826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250.15613333333337</v>
      </c>
    </row>
    <row r="75" spans="1:56" ht="27.75" customHeight="1" x14ac:dyDescent="0.45">
      <c r="A75" s="3">
        <v>45803</v>
      </c>
      <c r="B75" s="14" t="s">
        <v>417</v>
      </c>
      <c r="C75" s="9" t="s">
        <v>111</v>
      </c>
      <c r="D75" s="13" t="s">
        <v>418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45814</v>
      </c>
      <c r="B76" s="14" t="s">
        <v>508</v>
      </c>
      <c r="C76" s="9" t="s">
        <v>509</v>
      </c>
      <c r="D76" s="13" t="s">
        <v>510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0</v>
      </c>
      <c r="AE76" s="8">
        <v>21513.800000000003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45814</v>
      </c>
      <c r="B77" s="14" t="s">
        <v>508</v>
      </c>
      <c r="C77" s="9" t="s">
        <v>509</v>
      </c>
      <c r="D77" s="13" t="s">
        <v>511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10756.900000000001</v>
      </c>
      <c r="AB77" s="8">
        <v>8521</v>
      </c>
      <c r="AC77" s="8">
        <v>2235.9000000000015</v>
      </c>
      <c r="AD77" s="8">
        <v>0</v>
      </c>
      <c r="AE77" s="8">
        <v>10756.900000000001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168.93466666666677</v>
      </c>
    </row>
    <row r="78" spans="1:56" ht="27.75" customHeight="1" x14ac:dyDescent="0.45">
      <c r="A78" s="3">
        <v>45814</v>
      </c>
      <c r="B78" s="14" t="s">
        <v>508</v>
      </c>
      <c r="C78" s="9" t="s">
        <v>509</v>
      </c>
      <c r="D78" s="13" t="s">
        <v>512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45835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45835</v>
      </c>
      <c r="AK78" s="3">
        <v>45831</v>
      </c>
      <c r="AL78" s="3">
        <v>45824</v>
      </c>
      <c r="AM78" s="3">
        <v>45832</v>
      </c>
      <c r="AN78" s="3">
        <v>45833</v>
      </c>
      <c r="AO78" s="3">
        <v>45834</v>
      </c>
      <c r="AP78" s="3">
        <v>45830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812.74355555555564</v>
      </c>
    </row>
    <row r="79" spans="1:56" ht="27.75" customHeight="1" x14ac:dyDescent="0.45">
      <c r="A79" s="3">
        <v>45814</v>
      </c>
      <c r="B79" s="14" t="s">
        <v>513</v>
      </c>
      <c r="C79" s="9" t="s">
        <v>509</v>
      </c>
      <c r="D79" s="13" t="s">
        <v>514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406.37177777777782</v>
      </c>
    </row>
    <row r="80" spans="1:56" ht="27.75" customHeight="1" x14ac:dyDescent="0.45">
      <c r="A80" s="3">
        <v>45814</v>
      </c>
      <c r="B80" s="14" t="s">
        <v>513</v>
      </c>
      <c r="C80" s="9" t="s">
        <v>509</v>
      </c>
      <c r="D80" s="13" t="s">
        <v>515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10756.900000000001</v>
      </c>
      <c r="AB80" s="8">
        <v>0</v>
      </c>
      <c r="AC80" s="8">
        <v>10756.900000000001</v>
      </c>
      <c r="AD80" s="8">
        <v>0</v>
      </c>
      <c r="AE80" s="8">
        <v>10756.900000000001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812.74355555555564</v>
      </c>
    </row>
    <row r="81" spans="1:56" ht="27.75" customHeight="1" x14ac:dyDescent="0.45">
      <c r="A81" s="3" t="s">
        <v>141</v>
      </c>
      <c r="B81" s="14" t="s">
        <v>141</v>
      </c>
      <c r="C81" s="9" t="s">
        <v>147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45838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81</v>
      </c>
      <c r="AA81" s="8">
        <v>104775.00000000001</v>
      </c>
      <c r="AB81" s="8">
        <v>0</v>
      </c>
      <c r="AC81" s="8">
        <v>104775.00000000001</v>
      </c>
      <c r="AD81" s="8">
        <v>0</v>
      </c>
      <c r="AE81" s="8">
        <v>104775.00000000001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7916.333333333333</v>
      </c>
    </row>
    <row r="82" spans="1:56" ht="27.75" customHeight="1" x14ac:dyDescent="0.45">
      <c r="A82" s="3">
        <v>45796</v>
      </c>
      <c r="B82" s="14" t="s">
        <v>378</v>
      </c>
      <c r="C82" s="9" t="s">
        <v>147</v>
      </c>
      <c r="D82" s="13" t="s">
        <v>369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366</v>
      </c>
      <c r="V82" s="10">
        <v>0</v>
      </c>
      <c r="W82" s="10">
        <v>366</v>
      </c>
      <c r="X82" s="10">
        <v>5113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45796</v>
      </c>
      <c r="B83" s="14" t="s">
        <v>380</v>
      </c>
      <c r="C83" s="9" t="s">
        <v>147</v>
      </c>
      <c r="D83" s="13" t="s">
        <v>295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179</v>
      </c>
      <c r="V83" s="10">
        <v>0</v>
      </c>
      <c r="W83" s="10">
        <v>179</v>
      </c>
      <c r="X83" s="10">
        <v>11000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45796</v>
      </c>
      <c r="B84" s="14" t="s">
        <v>380</v>
      </c>
      <c r="C84" s="9" t="s">
        <v>147</v>
      </c>
      <c r="D84" s="13" t="s">
        <v>371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302</v>
      </c>
      <c r="V84" s="10">
        <v>0</v>
      </c>
      <c r="W84" s="10">
        <v>302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381</v>
      </c>
      <c r="C85" s="9" t="s">
        <v>147</v>
      </c>
      <c r="D85" s="13" t="s">
        <v>136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1200</v>
      </c>
      <c r="V85" s="10">
        <v>0</v>
      </c>
      <c r="W85" s="10">
        <v>1200</v>
      </c>
      <c r="X85" s="10">
        <v>10700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45798</v>
      </c>
      <c r="B86" s="14" t="s">
        <v>405</v>
      </c>
      <c r="C86" s="9" t="s">
        <v>111</v>
      </c>
      <c r="D86" s="13" t="s">
        <v>397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7.75" customHeight="1" x14ac:dyDescent="0.45">
      <c r="A87" s="3">
        <v>45782</v>
      </c>
      <c r="B87" s="14" t="s">
        <v>367</v>
      </c>
      <c r="C87" s="9" t="s">
        <v>80</v>
      </c>
      <c r="D87" s="13" t="s">
        <v>318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1667.7075555555555</v>
      </c>
    </row>
    <row r="88" spans="1:56" ht="27.75" customHeight="1" x14ac:dyDescent="0.45">
      <c r="A88" s="3">
        <v>45810</v>
      </c>
      <c r="B88" s="14" t="s">
        <v>471</v>
      </c>
      <c r="C88" s="9" t="s">
        <v>80</v>
      </c>
      <c r="D88" s="13" t="s">
        <v>258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45810</v>
      </c>
      <c r="B89" s="14" t="s">
        <v>472</v>
      </c>
      <c r="C89" s="9" t="s">
        <v>80</v>
      </c>
      <c r="D89" s="13" t="s">
        <v>473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7.75" customHeight="1" x14ac:dyDescent="0.45">
      <c r="A90" s="3">
        <v>45721</v>
      </c>
      <c r="B90" s="14" t="s">
        <v>298</v>
      </c>
      <c r="C90" s="9" t="s">
        <v>147</v>
      </c>
      <c r="D90" s="13" t="s">
        <v>263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111</v>
      </c>
      <c r="V90" s="10">
        <v>0</v>
      </c>
      <c r="W90" s="10">
        <v>111</v>
      </c>
      <c r="X90" s="10">
        <v>5600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61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45611</v>
      </c>
      <c r="B91" s="14" t="s">
        <v>219</v>
      </c>
      <c r="C91" s="9" t="s">
        <v>147</v>
      </c>
      <c r="D91" s="13" t="s">
        <v>127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67</v>
      </c>
      <c r="V91" s="10">
        <v>67</v>
      </c>
      <c r="W91" s="10">
        <v>0</v>
      </c>
      <c r="X91" s="10">
        <v>80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45721</v>
      </c>
      <c r="B92" s="14" t="s">
        <v>299</v>
      </c>
      <c r="C92" s="9" t="s">
        <v>147</v>
      </c>
      <c r="D92" s="13" t="s">
        <v>296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734</v>
      </c>
      <c r="V92" s="10">
        <v>0</v>
      </c>
      <c r="W92" s="10">
        <v>734</v>
      </c>
      <c r="X92" s="10">
        <v>5520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 t="s">
        <v>141</v>
      </c>
      <c r="B93" s="14" t="s">
        <v>141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45838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121</v>
      </c>
      <c r="AH93" s="1" t="s">
        <v>75</v>
      </c>
      <c r="AI93" s="1">
        <v>4</v>
      </c>
      <c r="AJ93" s="3">
        <v>45838</v>
      </c>
      <c r="AK93" s="3">
        <v>45834</v>
      </c>
      <c r="AL93" s="3">
        <v>45827</v>
      </c>
      <c r="AM93" s="3">
        <v>45835</v>
      </c>
      <c r="AN93" s="3">
        <v>45836</v>
      </c>
      <c r="AO93" s="3">
        <v>45837</v>
      </c>
      <c r="AP93" s="3">
        <v>45833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7.75" customHeight="1" x14ac:dyDescent="0.45">
      <c r="A94" s="3" t="s">
        <v>141</v>
      </c>
      <c r="B94" s="14" t="s">
        <v>141</v>
      </c>
      <c r="C94" s="9" t="s">
        <v>98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45838</v>
      </c>
      <c r="U94" s="11">
        <v>40000</v>
      </c>
      <c r="V94" s="10">
        <v>0</v>
      </c>
      <c r="W94" s="10">
        <v>40000</v>
      </c>
      <c r="X94" s="10">
        <v>0</v>
      </c>
      <c r="Y94" s="10">
        <v>42000</v>
      </c>
      <c r="Z94" s="9" t="s">
        <v>81</v>
      </c>
      <c r="AA94" s="8">
        <v>43027.600000000006</v>
      </c>
      <c r="AB94" s="8">
        <v>0</v>
      </c>
      <c r="AC94" s="8">
        <v>43027.600000000006</v>
      </c>
      <c r="AD94" s="8">
        <v>0</v>
      </c>
      <c r="AE94" s="8">
        <v>43027.600000000006</v>
      </c>
      <c r="AF94" s="8">
        <v>0</v>
      </c>
      <c r="AG94" s="1" t="s">
        <v>119</v>
      </c>
      <c r="AH94" s="1" t="s">
        <v>75</v>
      </c>
      <c r="AI94" s="1">
        <v>4</v>
      </c>
      <c r="AJ94" s="3">
        <v>45838</v>
      </c>
      <c r="AK94" s="3">
        <v>45834</v>
      </c>
      <c r="AL94" s="3">
        <v>45827</v>
      </c>
      <c r="AM94" s="3">
        <v>45835</v>
      </c>
      <c r="AN94" s="3">
        <v>45836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3250.9742222222226</v>
      </c>
    </row>
    <row r="95" spans="1:56" ht="27.75" customHeight="1" x14ac:dyDescent="0.45">
      <c r="A95" s="3">
        <v>45681</v>
      </c>
      <c r="B95" s="14" t="s">
        <v>269</v>
      </c>
      <c r="C95" s="9" t="s">
        <v>80</v>
      </c>
      <c r="D95" s="13" t="s">
        <v>268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81</v>
      </c>
      <c r="AA95" s="8">
        <v>3478.5300000000007</v>
      </c>
      <c r="AB95" s="8">
        <v>0</v>
      </c>
      <c r="AC95" s="8">
        <v>3478.5300000000007</v>
      </c>
      <c r="AD95" s="8">
        <v>0</v>
      </c>
      <c r="AE95" s="8">
        <v>3478.5300000000007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262.82226666666674</v>
      </c>
    </row>
    <row r="96" spans="1:56" ht="27.75" customHeight="1" x14ac:dyDescent="0.45">
      <c r="A96" s="3">
        <v>45705</v>
      </c>
      <c r="B96" s="14" t="s">
        <v>288</v>
      </c>
      <c r="C96" s="9" t="s">
        <v>147</v>
      </c>
      <c r="D96" s="13" t="s">
        <v>198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221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855</v>
      </c>
      <c r="V96" s="10">
        <v>0</v>
      </c>
      <c r="W96" s="10">
        <v>855</v>
      </c>
      <c r="X96" s="10">
        <v>16440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291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45674</v>
      </c>
      <c r="B97" s="14" t="s">
        <v>266</v>
      </c>
      <c r="C97" s="9" t="s">
        <v>147</v>
      </c>
      <c r="D97" s="13" t="s">
        <v>265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221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152</v>
      </c>
      <c r="V97" s="10">
        <v>0</v>
      </c>
      <c r="W97" s="10">
        <v>152</v>
      </c>
      <c r="X97" s="10">
        <v>6000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5987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290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45611</v>
      </c>
      <c r="B98" s="14" t="s">
        <v>218</v>
      </c>
      <c r="C98" s="9" t="s">
        <v>147</v>
      </c>
      <c r="D98" s="13" t="s">
        <v>217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45523</v>
      </c>
      <c r="B99" s="14" t="s">
        <v>195</v>
      </c>
      <c r="C99" s="9" t="s">
        <v>147</v>
      </c>
      <c r="D99" s="13" t="s">
        <v>193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1260</v>
      </c>
      <c r="V99" s="10">
        <v>0</v>
      </c>
      <c r="W99" s="10">
        <v>1260</v>
      </c>
      <c r="X99" s="10">
        <v>11095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45523</v>
      </c>
      <c r="B100" s="14" t="s">
        <v>195</v>
      </c>
      <c r="C100" s="9" t="s">
        <v>147</v>
      </c>
      <c r="D100" s="13" t="s">
        <v>194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89</v>
      </c>
      <c r="V100" s="10">
        <v>0</v>
      </c>
      <c r="W100" s="10">
        <v>89</v>
      </c>
      <c r="X100" s="10">
        <v>11180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45752</v>
      </c>
      <c r="B101" s="14" t="s">
        <v>314</v>
      </c>
      <c r="C101" s="9" t="s">
        <v>80</v>
      </c>
      <c r="D101" s="13" t="s">
        <v>315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45820</v>
      </c>
      <c r="U101" s="11">
        <v>5000</v>
      </c>
      <c r="V101" s="10">
        <v>5168</v>
      </c>
      <c r="W101" s="10">
        <v>0</v>
      </c>
      <c r="X101" s="10">
        <v>5400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>
        <v>45820</v>
      </c>
      <c r="AK101" s="3">
        <v>45816</v>
      </c>
      <c r="AL101" s="3">
        <v>45809</v>
      </c>
      <c r="AM101" s="3">
        <v>45817</v>
      </c>
      <c r="AN101" s="3">
        <v>45818</v>
      </c>
      <c r="AO101" s="3">
        <v>45819</v>
      </c>
      <c r="AP101" s="3">
        <v>45815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320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45741</v>
      </c>
      <c r="B102" s="14" t="s">
        <v>307</v>
      </c>
      <c r="C102" s="9" t="s">
        <v>111</v>
      </c>
      <c r="D102" s="13" t="s">
        <v>305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320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45720</v>
      </c>
      <c r="B103" s="14" t="s">
        <v>133</v>
      </c>
      <c r="C103" s="9" t="s">
        <v>111</v>
      </c>
      <c r="D103" s="13" t="s">
        <v>239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133</v>
      </c>
      <c r="C104" s="9" t="s">
        <v>111</v>
      </c>
      <c r="D104" s="13" t="s">
        <v>257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45541</v>
      </c>
      <c r="B105" s="14" t="s">
        <v>199</v>
      </c>
      <c r="C105" s="9" t="s">
        <v>111</v>
      </c>
      <c r="D105" s="13" t="s">
        <v>200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203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260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45548</v>
      </c>
      <c r="B106" s="14" t="s">
        <v>202</v>
      </c>
      <c r="C106" s="9" t="s">
        <v>111</v>
      </c>
      <c r="D106" s="13" t="s">
        <v>201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45581</v>
      </c>
      <c r="B107" s="14" t="s">
        <v>207</v>
      </c>
      <c r="C107" s="9" t="s">
        <v>111</v>
      </c>
      <c r="D107" s="13" t="s">
        <v>208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327312.55975000001</v>
      </c>
      <c r="AB108" s="8">
        <v>79819.339749999999</v>
      </c>
      <c r="AC108" s="8">
        <v>247493.22000000003</v>
      </c>
      <c r="AD108" s="8">
        <v>5280.6600000000008</v>
      </c>
      <c r="AE108" s="8">
        <v>322031.8997500001</v>
      </c>
      <c r="AF108" s="8" t="s">
        <v>58</v>
      </c>
      <c r="AG108" s="1" t="s">
        <v>119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45796</v>
      </c>
      <c r="B109" s="14" t="s">
        <v>384</v>
      </c>
      <c r="C109" s="9" t="s">
        <v>147</v>
      </c>
      <c r="D109" s="13" t="s">
        <v>372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221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640</v>
      </c>
      <c r="V109" s="10">
        <v>0</v>
      </c>
      <c r="W109" s="10">
        <v>640</v>
      </c>
      <c r="X109" s="10">
        <v>83500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241</v>
      </c>
      <c r="AG109" s="1" t="s">
        <v>120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45786</v>
      </c>
      <c r="B110" s="14" t="s">
        <v>365</v>
      </c>
      <c r="C110" s="9" t="s">
        <v>86</v>
      </c>
      <c r="D110" s="13" t="s">
        <v>360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253</v>
      </c>
      <c r="T110" s="12">
        <v>45838</v>
      </c>
      <c r="U110" s="11">
        <v>10000</v>
      </c>
      <c r="V110" s="10">
        <v>10196</v>
      </c>
      <c r="W110" s="10">
        <v>0</v>
      </c>
      <c r="X110" s="10">
        <v>10500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240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45812</v>
      </c>
      <c r="B111" s="14" t="s">
        <v>497</v>
      </c>
      <c r="C111" s="9" t="s">
        <v>73</v>
      </c>
      <c r="D111" s="13" t="s">
        <v>474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150</v>
      </c>
      <c r="T111" s="12">
        <v>45827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475</v>
      </c>
      <c r="AG111" s="1" t="s">
        <v>121</v>
      </c>
      <c r="AH111" s="1" t="s">
        <v>74</v>
      </c>
      <c r="AI111" s="1">
        <v>2</v>
      </c>
      <c r="AJ111" s="3">
        <v>45827</v>
      </c>
      <c r="AK111" s="3">
        <v>0</v>
      </c>
      <c r="AL111" s="3">
        <v>45818</v>
      </c>
      <c r="AM111" s="3">
        <v>45825</v>
      </c>
      <c r="AN111" s="3">
        <v>45826</v>
      </c>
      <c r="AO111" s="3">
        <v>45826</v>
      </c>
      <c r="AP111" s="3">
        <v>45822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45813</v>
      </c>
      <c r="B112" s="14" t="s">
        <v>516</v>
      </c>
      <c r="C112" s="9" t="s">
        <v>86</v>
      </c>
      <c r="D112" s="13" t="s">
        <v>498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253</v>
      </c>
      <c r="T112" s="12">
        <v>45838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240</v>
      </c>
      <c r="AG112" s="1" t="s">
        <v>61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45805</v>
      </c>
      <c r="B113" s="14" t="s">
        <v>439</v>
      </c>
      <c r="C113" s="9" t="s">
        <v>86</v>
      </c>
      <c r="D113" s="13" t="s">
        <v>440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356</v>
      </c>
      <c r="AG113" s="1" t="s">
        <v>119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45805</v>
      </c>
      <c r="B114" s="14" t="s">
        <v>439</v>
      </c>
      <c r="C114" s="9" t="s">
        <v>86</v>
      </c>
      <c r="D114" s="13" t="s">
        <v>338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356</v>
      </c>
      <c r="AG114" s="1" t="s">
        <v>119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141</v>
      </c>
      <c r="B115" s="14" t="s">
        <v>141</v>
      </c>
      <c r="C115" s="9" t="s">
        <v>147</v>
      </c>
      <c r="D115" s="13" t="s">
        <v>61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221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45838</v>
      </c>
      <c r="U115" s="11">
        <v>150000</v>
      </c>
      <c r="V115" s="10">
        <v>0</v>
      </c>
      <c r="W115" s="10">
        <v>150000</v>
      </c>
      <c r="X115" s="10">
        <v>0</v>
      </c>
      <c r="Y115" s="10">
        <v>157500</v>
      </c>
      <c r="Z115" s="9" t="s">
        <v>82</v>
      </c>
      <c r="AA115" s="8">
        <v>157162.5</v>
      </c>
      <c r="AB115" s="8">
        <v>138040</v>
      </c>
      <c r="AC115" s="8">
        <v>19122.5</v>
      </c>
      <c r="AD115" s="8">
        <v>0</v>
      </c>
      <c r="AE115" s="8">
        <v>0</v>
      </c>
      <c r="AF115" s="8" t="s">
        <v>241</v>
      </c>
      <c r="AG115" s="1" t="s">
        <v>119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1461.8088888888888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167220.9</v>
      </c>
      <c r="AB116" s="8">
        <v>148098.4</v>
      </c>
      <c r="AC116" s="8">
        <v>19122.5</v>
      </c>
      <c r="AD116" s="8">
        <v>0</v>
      </c>
      <c r="AE116" s="8">
        <v>0</v>
      </c>
      <c r="AF116" s="8" t="s">
        <v>58</v>
      </c>
      <c r="AG116" s="1" t="s">
        <v>119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45815</v>
      </c>
      <c r="B117" s="14" t="s">
        <v>526</v>
      </c>
      <c r="C117" s="9" t="s">
        <v>527</v>
      </c>
      <c r="D117" s="13" t="s">
        <v>342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128</v>
      </c>
      <c r="T117" s="12">
        <v>45838</v>
      </c>
      <c r="U117" s="11">
        <v>1345000</v>
      </c>
      <c r="V117" s="10">
        <v>0</v>
      </c>
      <c r="W117" s="10">
        <v>1345000</v>
      </c>
      <c r="X117" s="10">
        <v>680747</v>
      </c>
      <c r="Y117" s="10">
        <v>697465.65</v>
      </c>
      <c r="Z117" s="9" t="s">
        <v>343</v>
      </c>
      <c r="AA117" s="8">
        <v>635193.82437105</v>
      </c>
      <c r="AB117" s="8">
        <v>112550</v>
      </c>
      <c r="AC117" s="8">
        <v>522643.82437105</v>
      </c>
      <c r="AD117" s="8">
        <v>0</v>
      </c>
      <c r="AE117" s="8">
        <v>0</v>
      </c>
      <c r="AF117" s="8">
        <v>0</v>
      </c>
      <c r="AG117" s="1" t="s">
        <v>119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344</v>
      </c>
      <c r="BD117" s="56">
        <v>45905.549240590561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343</v>
      </c>
      <c r="AA118" s="8">
        <v>635193.82437105</v>
      </c>
      <c r="AB118" s="8">
        <v>112550</v>
      </c>
      <c r="AC118" s="8">
        <v>522643.82437105</v>
      </c>
      <c r="AD118" s="8">
        <v>0</v>
      </c>
      <c r="AE118" s="8">
        <v>0</v>
      </c>
      <c r="AF118" s="8" t="s">
        <v>58</v>
      </c>
      <c r="AG118" s="1" t="s">
        <v>120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345</v>
      </c>
      <c r="BD118" s="56">
        <v>0</v>
      </c>
    </row>
    <row r="119" spans="1:56" ht="27.75" customHeight="1" x14ac:dyDescent="0.45">
      <c r="A119" s="3">
        <v>45803</v>
      </c>
      <c r="B119" s="14" t="s">
        <v>424</v>
      </c>
      <c r="C119" s="9" t="s">
        <v>233</v>
      </c>
      <c r="D119" s="13" t="s">
        <v>412</v>
      </c>
      <c r="E119" s="9">
        <v>21</v>
      </c>
      <c r="F119" s="9">
        <v>34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36</v>
      </c>
      <c r="O119" s="9">
        <v>40</v>
      </c>
      <c r="P119" s="10">
        <v>195.39367372799995</v>
      </c>
      <c r="Q119" s="10">
        <v>0</v>
      </c>
      <c r="R119" s="10">
        <v>195.39367372799995</v>
      </c>
      <c r="S119" s="9" t="s">
        <v>67</v>
      </c>
      <c r="T119" s="12">
        <v>45820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135</v>
      </c>
      <c r="AA119" s="8">
        <v>9918.7000000000007</v>
      </c>
      <c r="AB119" s="8">
        <v>4500</v>
      </c>
      <c r="AC119" s="8">
        <v>5418.7000000000007</v>
      </c>
      <c r="AD119" s="8">
        <v>0</v>
      </c>
      <c r="AE119" s="8">
        <v>0</v>
      </c>
      <c r="AF119" s="8">
        <v>0</v>
      </c>
      <c r="AG119" s="1" t="s">
        <v>119</v>
      </c>
      <c r="AH119" s="1" t="s">
        <v>72</v>
      </c>
      <c r="AI119" s="1">
        <v>3</v>
      </c>
      <c r="AJ119" s="3">
        <v>45820</v>
      </c>
      <c r="AK119" s="3">
        <v>0</v>
      </c>
      <c r="AL119" s="3">
        <v>45810</v>
      </c>
      <c r="AM119" s="3">
        <v>45817</v>
      </c>
      <c r="AN119" s="3">
        <v>45818</v>
      </c>
      <c r="AO119" s="3">
        <v>45818</v>
      </c>
      <c r="AP119" s="3">
        <v>45815</v>
      </c>
      <c r="AQ119" s="3">
        <v>45819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369.82627500000001</v>
      </c>
    </row>
    <row r="120" spans="1:56" ht="27.75" customHeight="1" x14ac:dyDescent="0.45">
      <c r="A120" s="3">
        <v>0</v>
      </c>
      <c r="B120" s="14" t="s">
        <v>133</v>
      </c>
      <c r="C120" s="9" t="s">
        <v>185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333.79752595199994</v>
      </c>
      <c r="Q120" s="10">
        <v>0</v>
      </c>
      <c r="R120" s="10">
        <v>333.79752595199994</v>
      </c>
      <c r="S120" s="9" t="s">
        <v>71</v>
      </c>
      <c r="T120" s="12">
        <v>45824</v>
      </c>
      <c r="U120" s="11">
        <v>15000</v>
      </c>
      <c r="V120" s="10">
        <v>0</v>
      </c>
      <c r="W120" s="10">
        <v>15000</v>
      </c>
      <c r="X120" s="10">
        <v>0</v>
      </c>
      <c r="Y120" s="10">
        <v>0</v>
      </c>
      <c r="Z120" s="9" t="s">
        <v>135</v>
      </c>
      <c r="AA120" s="8">
        <v>16554.45</v>
      </c>
      <c r="AB120" s="8">
        <v>0</v>
      </c>
      <c r="AC120" s="8">
        <v>16554.45</v>
      </c>
      <c r="AD120" s="8">
        <v>0</v>
      </c>
      <c r="AE120" s="8">
        <v>0</v>
      </c>
      <c r="AF120" s="8">
        <v>0</v>
      </c>
      <c r="AG120" s="1" t="s">
        <v>119</v>
      </c>
      <c r="AH120" s="1" t="s">
        <v>398</v>
      </c>
      <c r="AI120" s="1">
        <v>2</v>
      </c>
      <c r="AJ120" s="3">
        <v>45824</v>
      </c>
      <c r="AK120" s="3">
        <v>0</v>
      </c>
      <c r="AL120" s="3">
        <v>0</v>
      </c>
      <c r="AM120" s="3">
        <v>0</v>
      </c>
      <c r="AN120" s="3">
        <v>0</v>
      </c>
      <c r="AO120" s="3">
        <v>45822</v>
      </c>
      <c r="AP120" s="3">
        <v>45819</v>
      </c>
      <c r="AQ120" s="3">
        <v>45823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1129.8412125</v>
      </c>
    </row>
    <row r="121" spans="1:56" ht="27.75" customHeight="1" x14ac:dyDescent="0.45">
      <c r="A121" s="3">
        <v>45813</v>
      </c>
      <c r="B121" s="14" t="s">
        <v>528</v>
      </c>
      <c r="C121" s="9" t="s">
        <v>185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45820</v>
      </c>
      <c r="U121" s="11">
        <v>4000</v>
      </c>
      <c r="V121" s="10">
        <v>0</v>
      </c>
      <c r="W121" s="10">
        <v>4000</v>
      </c>
      <c r="X121" s="10">
        <v>0</v>
      </c>
      <c r="Y121" s="10">
        <v>0</v>
      </c>
      <c r="Z121" s="9" t="s">
        <v>135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2</v>
      </c>
      <c r="AJ121" s="3">
        <v>45820</v>
      </c>
      <c r="AK121" s="3">
        <v>0</v>
      </c>
      <c r="AL121" s="3">
        <v>0</v>
      </c>
      <c r="AM121" s="3">
        <v>0</v>
      </c>
      <c r="AN121" s="3">
        <v>0</v>
      </c>
      <c r="AO121" s="3">
        <v>45818</v>
      </c>
      <c r="AP121" s="3">
        <v>45815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301.29098999999991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135</v>
      </c>
      <c r="AA122" s="8">
        <v>30887.670000000002</v>
      </c>
      <c r="AB122" s="8">
        <v>4500</v>
      </c>
      <c r="AC122" s="8">
        <v>26387.670000000002</v>
      </c>
      <c r="AD122" s="8">
        <v>0</v>
      </c>
      <c r="AE122" s="8">
        <v>0</v>
      </c>
      <c r="AF122" s="8" t="s">
        <v>58</v>
      </c>
      <c r="AG122" s="1" t="s">
        <v>119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45815</v>
      </c>
      <c r="B123" s="14" t="s">
        <v>529</v>
      </c>
      <c r="C123" s="9" t="s">
        <v>530</v>
      </c>
      <c r="D123" s="13" t="s">
        <v>531</v>
      </c>
      <c r="E123" s="9">
        <v>21</v>
      </c>
      <c r="F123" s="9">
        <v>34</v>
      </c>
      <c r="G123" s="9" t="s">
        <v>60</v>
      </c>
      <c r="H123" s="9">
        <v>0</v>
      </c>
      <c r="I123" s="9">
        <v>76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45822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327</v>
      </c>
      <c r="AA123" s="8">
        <v>7934.96</v>
      </c>
      <c r="AB123" s="8">
        <v>7934.96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74</v>
      </c>
      <c r="AI123" s="1">
        <v>2</v>
      </c>
      <c r="AJ123" s="3">
        <v>45822</v>
      </c>
      <c r="AK123" s="3">
        <v>0</v>
      </c>
      <c r="AL123" s="3">
        <v>45813</v>
      </c>
      <c r="AM123" s="3">
        <v>45820</v>
      </c>
      <c r="AN123" s="3">
        <v>45821</v>
      </c>
      <c r="AO123" s="3">
        <v>45821</v>
      </c>
      <c r="AP123" s="3">
        <v>45817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83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327</v>
      </c>
      <c r="AA124" s="8">
        <v>7934.96</v>
      </c>
      <c r="AB124" s="8">
        <v>7934.96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328</v>
      </c>
      <c r="BD124" s="56">
        <v>0</v>
      </c>
    </row>
    <row r="125" spans="1:56" ht="27.75" customHeight="1" x14ac:dyDescent="0.45">
      <c r="A125" s="3">
        <v>45799</v>
      </c>
      <c r="B125" s="14" t="s">
        <v>428</v>
      </c>
      <c r="C125" s="9" t="s">
        <v>115</v>
      </c>
      <c r="D125" s="13" t="s">
        <v>300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45819</v>
      </c>
      <c r="U125" s="11">
        <v>50000</v>
      </c>
      <c r="V125" s="10">
        <v>0</v>
      </c>
      <c r="W125" s="10">
        <v>50000</v>
      </c>
      <c r="X125" s="10">
        <v>30215</v>
      </c>
      <c r="Y125" s="10">
        <v>20774.25</v>
      </c>
      <c r="Z125" s="9" t="s">
        <v>124</v>
      </c>
      <c r="AA125" s="8">
        <v>22346.6529825</v>
      </c>
      <c r="AB125" s="8">
        <v>22346.6529825</v>
      </c>
      <c r="AC125" s="8">
        <v>0</v>
      </c>
      <c r="AD125" s="8">
        <v>0</v>
      </c>
      <c r="AE125" s="8">
        <v>22346.6529825</v>
      </c>
      <c r="AF125" s="8">
        <v>0</v>
      </c>
      <c r="AG125" s="1" t="s">
        <v>120</v>
      </c>
      <c r="AH125" s="1" t="s">
        <v>68</v>
      </c>
      <c r="AI125" s="1">
        <v>4</v>
      </c>
      <c r="AJ125" s="3">
        <v>45819</v>
      </c>
      <c r="AK125" s="3">
        <v>45815</v>
      </c>
      <c r="AL125" s="3">
        <v>45809</v>
      </c>
      <c r="AM125" s="3">
        <v>45816</v>
      </c>
      <c r="AN125" s="3">
        <v>45817</v>
      </c>
      <c r="AO125" s="3">
        <v>45817</v>
      </c>
      <c r="AP125" s="3">
        <v>45814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0</v>
      </c>
    </row>
    <row r="126" spans="1:56" ht="27.75" customHeight="1" x14ac:dyDescent="0.45">
      <c r="A126" s="3">
        <v>45799</v>
      </c>
      <c r="B126" s="14" t="s">
        <v>428</v>
      </c>
      <c r="C126" s="9" t="s">
        <v>115</v>
      </c>
      <c r="D126" s="13" t="s">
        <v>333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45819</v>
      </c>
      <c r="U126" s="11">
        <v>25000</v>
      </c>
      <c r="V126" s="10">
        <v>0</v>
      </c>
      <c r="W126" s="10">
        <v>25000</v>
      </c>
      <c r="X126" s="10">
        <v>52800</v>
      </c>
      <c r="Y126" s="10">
        <v>0</v>
      </c>
      <c r="Z126" s="9" t="s">
        <v>124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68</v>
      </c>
      <c r="AI126" s="1">
        <v>4</v>
      </c>
      <c r="AJ126" s="3">
        <v>45819</v>
      </c>
      <c r="AK126" s="3">
        <v>45815</v>
      </c>
      <c r="AL126" s="3">
        <v>45809</v>
      </c>
      <c r="AM126" s="3">
        <v>45816</v>
      </c>
      <c r="AN126" s="3">
        <v>45817</v>
      </c>
      <c r="AO126" s="3">
        <v>45817</v>
      </c>
      <c r="AP126" s="3">
        <v>45814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0</v>
      </c>
    </row>
    <row r="127" spans="1:56" ht="27.75" customHeight="1" x14ac:dyDescent="0.45">
      <c r="A127" s="3">
        <v>45808</v>
      </c>
      <c r="B127" s="14" t="s">
        <v>456</v>
      </c>
      <c r="C127" s="9" t="s">
        <v>111</v>
      </c>
      <c r="D127" s="13" t="s">
        <v>403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4000</v>
      </c>
      <c r="AC127" s="8">
        <v>1518.1499999999996</v>
      </c>
      <c r="AD127" s="8">
        <v>0</v>
      </c>
      <c r="AE127" s="8">
        <v>5518.15</v>
      </c>
      <c r="AF127" s="8">
        <v>0</v>
      </c>
      <c r="AG127" s="1" t="s">
        <v>120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109.17522699999996</v>
      </c>
    </row>
    <row r="128" spans="1:56" ht="27.75" customHeight="1" x14ac:dyDescent="0.45">
      <c r="A128" s="3">
        <v>45799</v>
      </c>
      <c r="B128" s="14" t="s">
        <v>427</v>
      </c>
      <c r="C128" s="9" t="s">
        <v>115</v>
      </c>
      <c r="D128" s="13" t="s">
        <v>399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45821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124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32270.700000000004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45821</v>
      </c>
      <c r="AK128" s="3">
        <v>45817</v>
      </c>
      <c r="AL128" s="3">
        <v>45811</v>
      </c>
      <c r="AM128" s="3">
        <v>45818</v>
      </c>
      <c r="AN128" s="3">
        <v>45819</v>
      </c>
      <c r="AO128" s="3">
        <v>45819</v>
      </c>
      <c r="AP128" s="3">
        <v>45816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2320.6936060000003</v>
      </c>
    </row>
    <row r="129" spans="1:56" ht="27.75" customHeight="1" x14ac:dyDescent="0.45">
      <c r="A129" s="3">
        <v>45799</v>
      </c>
      <c r="B129" s="14" t="s">
        <v>427</v>
      </c>
      <c r="C129" s="9" t="s">
        <v>115</v>
      </c>
      <c r="D129" s="13" t="s">
        <v>350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45821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124</v>
      </c>
      <c r="AA129" s="8">
        <v>32270.700000000004</v>
      </c>
      <c r="AB129" s="8">
        <v>0</v>
      </c>
      <c r="AC129" s="8">
        <v>32270.700000000004</v>
      </c>
      <c r="AD129" s="8">
        <v>0</v>
      </c>
      <c r="AE129" s="8">
        <v>32270.700000000004</v>
      </c>
      <c r="AF129" s="8">
        <v>0</v>
      </c>
      <c r="AG129" s="1" t="s">
        <v>120</v>
      </c>
      <c r="AH129" s="1" t="s">
        <v>68</v>
      </c>
      <c r="AI129" s="1">
        <v>4</v>
      </c>
      <c r="AJ129" s="3">
        <v>45821</v>
      </c>
      <c r="AK129" s="3">
        <v>45817</v>
      </c>
      <c r="AL129" s="3">
        <v>45811</v>
      </c>
      <c r="AM129" s="3">
        <v>45818</v>
      </c>
      <c r="AN129" s="3">
        <v>45819</v>
      </c>
      <c r="AO129" s="3">
        <v>45819</v>
      </c>
      <c r="AP129" s="3">
        <v>45816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2320.6936060000003</v>
      </c>
    </row>
    <row r="130" spans="1:56" ht="27.75" customHeight="1" x14ac:dyDescent="0.45">
      <c r="A130" s="3">
        <v>45799</v>
      </c>
      <c r="B130" s="14" t="s">
        <v>427</v>
      </c>
      <c r="C130" s="9" t="s">
        <v>115</v>
      </c>
      <c r="D130" s="13" t="s">
        <v>400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45821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124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21513.800000000003</v>
      </c>
      <c r="AF130" s="8">
        <v>0</v>
      </c>
      <c r="AG130" s="1" t="s">
        <v>120</v>
      </c>
      <c r="AH130" s="1" t="s">
        <v>68</v>
      </c>
      <c r="AI130" s="1">
        <v>4</v>
      </c>
      <c r="AJ130" s="3">
        <v>45821</v>
      </c>
      <c r="AK130" s="3">
        <v>45817</v>
      </c>
      <c r="AL130" s="3">
        <v>45811</v>
      </c>
      <c r="AM130" s="3">
        <v>45818</v>
      </c>
      <c r="AN130" s="3">
        <v>45819</v>
      </c>
      <c r="AO130" s="3">
        <v>45819</v>
      </c>
      <c r="AP130" s="3">
        <v>45816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1547.1290706666666</v>
      </c>
    </row>
    <row r="131" spans="1:56" ht="27.75" customHeight="1" x14ac:dyDescent="0.45">
      <c r="A131" s="3">
        <v>45803</v>
      </c>
      <c r="B131" s="14" t="s">
        <v>425</v>
      </c>
      <c r="C131" s="9" t="s">
        <v>111</v>
      </c>
      <c r="D131" s="13" t="s">
        <v>426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67</v>
      </c>
      <c r="T131" s="12">
        <v>45831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124</v>
      </c>
      <c r="AA131" s="8">
        <v>5797.55</v>
      </c>
      <c r="AB131" s="8">
        <v>0</v>
      </c>
      <c r="AC131" s="8">
        <v>5797.55</v>
      </c>
      <c r="AD131" s="8">
        <v>0</v>
      </c>
      <c r="AE131" s="8">
        <v>5797.55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45831</v>
      </c>
      <c r="AK131" s="3">
        <v>45827</v>
      </c>
      <c r="AL131" s="3">
        <v>45821</v>
      </c>
      <c r="AM131" s="3">
        <v>45828</v>
      </c>
      <c r="AN131" s="3">
        <v>45829</v>
      </c>
      <c r="AO131" s="3">
        <v>45829</v>
      </c>
      <c r="AP131" s="3">
        <v>45826</v>
      </c>
      <c r="AQ131" s="3">
        <v>45830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416.92114566666663</v>
      </c>
    </row>
    <row r="132" spans="1:56" ht="27.75" customHeight="1" x14ac:dyDescent="0.45">
      <c r="A132" s="3">
        <v>45815</v>
      </c>
      <c r="B132" s="14" t="s">
        <v>532</v>
      </c>
      <c r="C132" s="9" t="s">
        <v>517</v>
      </c>
      <c r="D132" s="13" t="s">
        <v>518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45825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124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45825</v>
      </c>
      <c r="AK132" s="3">
        <v>45821</v>
      </c>
      <c r="AL132" s="3">
        <v>45815</v>
      </c>
      <c r="AM132" s="3">
        <v>45822</v>
      </c>
      <c r="AN132" s="3">
        <v>45823</v>
      </c>
      <c r="AO132" s="3">
        <v>45823</v>
      </c>
      <c r="AP132" s="3">
        <v>45820</v>
      </c>
      <c r="AQ132" s="3">
        <v>45824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773.56453533333331</v>
      </c>
    </row>
    <row r="133" spans="1:56" ht="27.75" customHeight="1" x14ac:dyDescent="0.45">
      <c r="A133" s="3">
        <v>45814</v>
      </c>
      <c r="B133" s="14" t="s">
        <v>533</v>
      </c>
      <c r="C133" s="9" t="s">
        <v>111</v>
      </c>
      <c r="D133" s="13" t="s">
        <v>519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>
        <v>45821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124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45820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238.09713619999999</v>
      </c>
    </row>
    <row r="134" spans="1:56" ht="27.75" customHeight="1" x14ac:dyDescent="0.45">
      <c r="A134" s="3">
        <v>45814</v>
      </c>
      <c r="B134" s="14" t="s">
        <v>522</v>
      </c>
      <c r="C134" s="9" t="s">
        <v>523</v>
      </c>
      <c r="D134" s="13" t="s">
        <v>524</v>
      </c>
      <c r="E134" s="9">
        <v>21</v>
      </c>
      <c r="F134" s="9">
        <v>37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45822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124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45822</v>
      </c>
      <c r="AK134" s="3">
        <v>45818</v>
      </c>
      <c r="AL134" s="3">
        <v>45812</v>
      </c>
      <c r="AM134" s="3">
        <v>45819</v>
      </c>
      <c r="AN134" s="3">
        <v>45820</v>
      </c>
      <c r="AO134" s="3">
        <v>45820</v>
      </c>
      <c r="AP134" s="3">
        <v>45817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386.78226766666666</v>
      </c>
    </row>
    <row r="135" spans="1:56" ht="27.75" customHeight="1" x14ac:dyDescent="0.45">
      <c r="A135" s="3" t="s">
        <v>141</v>
      </c>
      <c r="B135" s="14" t="s">
        <v>141</v>
      </c>
      <c r="C135" s="9" t="s">
        <v>115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45838</v>
      </c>
      <c r="U135" s="11">
        <v>130000</v>
      </c>
      <c r="V135" s="10">
        <v>0</v>
      </c>
      <c r="W135" s="10">
        <v>130000</v>
      </c>
      <c r="X135" s="10">
        <v>0</v>
      </c>
      <c r="Y135" s="10">
        <v>136500</v>
      </c>
      <c r="Z135" s="9" t="s">
        <v>124</v>
      </c>
      <c r="AA135" s="8">
        <v>139839.70000000001</v>
      </c>
      <c r="AB135" s="8">
        <v>0</v>
      </c>
      <c r="AC135" s="8">
        <v>139839.70000000001</v>
      </c>
      <c r="AD135" s="8">
        <v>0</v>
      </c>
      <c r="AE135" s="8">
        <v>139839.70000000001</v>
      </c>
      <c r="AF135" s="8">
        <v>0</v>
      </c>
      <c r="AG135" s="1" t="s">
        <v>119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10056.338959333332</v>
      </c>
    </row>
    <row r="136" spans="1:56" ht="27.75" customHeight="1" x14ac:dyDescent="0.45">
      <c r="A136" s="3">
        <v>45628</v>
      </c>
      <c r="B136" s="14" t="s">
        <v>226</v>
      </c>
      <c r="C136" s="9" t="s">
        <v>113</v>
      </c>
      <c r="D136" s="13" t="s">
        <v>153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45838</v>
      </c>
      <c r="U136" s="11">
        <v>8000</v>
      </c>
      <c r="V136" s="10">
        <v>0</v>
      </c>
      <c r="W136" s="10">
        <v>8000</v>
      </c>
      <c r="X136" s="10">
        <v>0</v>
      </c>
      <c r="Y136" s="10">
        <v>8400</v>
      </c>
      <c r="Z136" s="9" t="s">
        <v>124</v>
      </c>
      <c r="AA136" s="8">
        <v>8605.52</v>
      </c>
      <c r="AB136" s="8">
        <v>0</v>
      </c>
      <c r="AC136" s="8">
        <v>8605.52</v>
      </c>
      <c r="AD136" s="8">
        <v>0</v>
      </c>
      <c r="AE136" s="8">
        <v>8605.52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254</v>
      </c>
      <c r="AZ136" s="2">
        <v>0</v>
      </c>
      <c r="BA136" s="2">
        <v>0</v>
      </c>
      <c r="BB136" s="2">
        <v>0</v>
      </c>
      <c r="BC136" s="1" t="s">
        <v>125</v>
      </c>
      <c r="BD136" s="56">
        <v>618.85162826666658</v>
      </c>
    </row>
    <row r="137" spans="1:56" ht="27.75" customHeight="1" x14ac:dyDescent="0.45">
      <c r="A137" s="3">
        <v>45814</v>
      </c>
      <c r="B137" s="14" t="s">
        <v>534</v>
      </c>
      <c r="C137" s="9" t="s">
        <v>111</v>
      </c>
      <c r="D137" s="13" t="s">
        <v>407</v>
      </c>
      <c r="E137" s="9">
        <v>21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42</v>
      </c>
      <c r="O137" s="9">
        <v>40</v>
      </c>
      <c r="P137" s="10">
        <v>68.387785804799989</v>
      </c>
      <c r="Q137" s="10">
        <v>0</v>
      </c>
      <c r="R137" s="10">
        <v>68.387785804799989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124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250.15268740000002</v>
      </c>
    </row>
    <row r="138" spans="1:56" ht="27.75" customHeight="1" x14ac:dyDescent="0.45">
      <c r="A138" s="3">
        <v>45800</v>
      </c>
      <c r="B138" s="14" t="s">
        <v>406</v>
      </c>
      <c r="C138" s="9" t="s">
        <v>80</v>
      </c>
      <c r="D138" s="13" t="s">
        <v>407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5.2886554355711999</v>
      </c>
      <c r="Q138" s="10">
        <v>0</v>
      </c>
      <c r="R138" s="10">
        <v>5.2886554355711999</v>
      </c>
      <c r="S138" s="9" t="s">
        <v>67</v>
      </c>
      <c r="T138" s="12">
        <v>45838</v>
      </c>
      <c r="U138" s="11">
        <v>5000</v>
      </c>
      <c r="V138" s="10">
        <v>4768</v>
      </c>
      <c r="W138" s="10">
        <v>232</v>
      </c>
      <c r="X138" s="10">
        <v>10420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45838</v>
      </c>
      <c r="AK138" s="3">
        <v>45834</v>
      </c>
      <c r="AL138" s="3">
        <v>45828</v>
      </c>
      <c r="AM138" s="3">
        <v>45835</v>
      </c>
      <c r="AN138" s="3">
        <v>45836</v>
      </c>
      <c r="AO138" s="3">
        <v>45836</v>
      </c>
      <c r="AP138" s="3">
        <v>45833</v>
      </c>
      <c r="AQ138" s="3">
        <v>45837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45798</v>
      </c>
      <c r="B139" s="14" t="s">
        <v>408</v>
      </c>
      <c r="C139" s="9" t="s">
        <v>111</v>
      </c>
      <c r="D139" s="13" t="s">
        <v>401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124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238.09713619999999</v>
      </c>
    </row>
    <row r="140" spans="1:56" ht="27.75" customHeight="1" x14ac:dyDescent="0.45">
      <c r="A140" s="3">
        <v>45631</v>
      </c>
      <c r="B140" s="14" t="s">
        <v>230</v>
      </c>
      <c r="C140" s="9" t="s">
        <v>113</v>
      </c>
      <c r="D140" s="13" t="s">
        <v>153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124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255</v>
      </c>
      <c r="AZ140" s="2">
        <v>0</v>
      </c>
      <c r="BA140" s="2">
        <v>0</v>
      </c>
      <c r="BB140" s="2">
        <v>0</v>
      </c>
      <c r="BC140" s="1" t="s">
        <v>125</v>
      </c>
      <c r="BD140" s="56">
        <v>1237.7032565333332</v>
      </c>
    </row>
    <row r="141" spans="1:56" ht="27.75" customHeight="1" x14ac:dyDescent="0.45">
      <c r="A141" s="3">
        <v>45631</v>
      </c>
      <c r="B141" s="14" t="s">
        <v>231</v>
      </c>
      <c r="C141" s="9" t="s">
        <v>113</v>
      </c>
      <c r="D141" s="13" t="s">
        <v>153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124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120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256</v>
      </c>
      <c r="AZ141" s="2">
        <v>0</v>
      </c>
      <c r="BA141" s="2">
        <v>0</v>
      </c>
      <c r="BB141" s="2">
        <v>0</v>
      </c>
      <c r="BC141" s="1" t="s">
        <v>125</v>
      </c>
      <c r="BD141" s="56">
        <v>1237.7032565333332</v>
      </c>
    </row>
    <row r="142" spans="1:56" ht="27.75" customHeight="1" x14ac:dyDescent="0.45">
      <c r="A142" s="3" t="s">
        <v>141</v>
      </c>
      <c r="B142" s="14" t="s">
        <v>141</v>
      </c>
      <c r="C142" s="9" t="s">
        <v>113</v>
      </c>
      <c r="D142" s="13" t="s">
        <v>153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124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119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773.56453533333331</v>
      </c>
    </row>
    <row r="143" spans="1:56" ht="27.75" customHeight="1" x14ac:dyDescent="0.45">
      <c r="A143" s="3" t="s">
        <v>141</v>
      </c>
      <c r="B143" s="14" t="s">
        <v>141</v>
      </c>
      <c r="C143" s="9" t="s">
        <v>111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124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123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833.84229133333326</v>
      </c>
    </row>
    <row r="144" spans="1:56" ht="27.75" customHeight="1" x14ac:dyDescent="0.45">
      <c r="A144" s="3">
        <v>45066</v>
      </c>
      <c r="B144" s="14" t="s">
        <v>131</v>
      </c>
      <c r="C144" s="9" t="s">
        <v>80</v>
      </c>
      <c r="D144" s="13" t="s">
        <v>130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119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396.82856033333326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83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124</v>
      </c>
      <c r="AA145" s="8">
        <v>356690.6629825001</v>
      </c>
      <c r="AB145" s="8">
        <v>26346.6529825</v>
      </c>
      <c r="AC145" s="8">
        <v>330344.01</v>
      </c>
      <c r="AD145" s="8">
        <v>0</v>
      </c>
      <c r="AE145" s="8">
        <v>356690.6629825001</v>
      </c>
      <c r="AF145" s="8" t="s">
        <v>58</v>
      </c>
      <c r="AG145" s="1" t="s">
        <v>61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126</v>
      </c>
      <c r="BD145" s="56">
        <v>0</v>
      </c>
    </row>
    <row r="146" spans="1:56" ht="27.75" customHeight="1" x14ac:dyDescent="0.45">
      <c r="A146" s="3">
        <v>9</v>
      </c>
      <c r="B146" s="14" t="s">
        <v>366</v>
      </c>
      <c r="C146" s="9" t="s">
        <v>361</v>
      </c>
      <c r="D146" s="13" t="s">
        <v>362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363</v>
      </c>
      <c r="T146" s="12">
        <v>45833</v>
      </c>
      <c r="U146" s="11">
        <v>239700</v>
      </c>
      <c r="V146" s="10">
        <v>0</v>
      </c>
      <c r="W146" s="10">
        <v>239700</v>
      </c>
      <c r="X146" s="10">
        <v>117200</v>
      </c>
      <c r="Y146" s="10">
        <v>128625</v>
      </c>
      <c r="Z146" s="9" t="s">
        <v>280</v>
      </c>
      <c r="AA146" s="8">
        <v>127579.27875</v>
      </c>
      <c r="AB146" s="8">
        <v>31742</v>
      </c>
      <c r="AC146" s="8">
        <v>95837.278749999998</v>
      </c>
      <c r="AD146" s="8">
        <v>0</v>
      </c>
      <c r="AE146" s="8">
        <v>127579.27875</v>
      </c>
      <c r="AF146" s="8" t="s">
        <v>364</v>
      </c>
      <c r="AG146" s="1" t="s">
        <v>61</v>
      </c>
      <c r="AH146" s="1" t="s">
        <v>68</v>
      </c>
      <c r="AI146" s="1">
        <v>4</v>
      </c>
      <c r="AJ146" s="3">
        <v>45833</v>
      </c>
      <c r="AK146" s="3">
        <v>45829</v>
      </c>
      <c r="AL146" s="3">
        <v>45823</v>
      </c>
      <c r="AM146" s="3">
        <v>45830</v>
      </c>
      <c r="AN146" s="3">
        <v>45831</v>
      </c>
      <c r="AO146" s="3">
        <v>45831</v>
      </c>
      <c r="AP146" s="3">
        <v>45828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282</v>
      </c>
      <c r="BD146" s="56">
        <v>10239.893776841667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280</v>
      </c>
      <c r="AA147" s="8">
        <v>127579.27875</v>
      </c>
      <c r="AB147" s="8">
        <v>31742</v>
      </c>
      <c r="AC147" s="8">
        <v>95837.278749999998</v>
      </c>
      <c r="AD147" s="8">
        <v>0</v>
      </c>
      <c r="AE147" s="8">
        <v>127579.27875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282</v>
      </c>
      <c r="BD147" s="56">
        <v>0</v>
      </c>
    </row>
    <row r="148" spans="1:56" ht="27.75" customHeight="1" x14ac:dyDescent="0.45">
      <c r="A148" s="3" t="s">
        <v>141</v>
      </c>
      <c r="B148" s="14" t="s">
        <v>141</v>
      </c>
      <c r="C148" s="9" t="s">
        <v>259</v>
      </c>
      <c r="D148" s="13" t="s">
        <v>61</v>
      </c>
      <c r="E148" s="9">
        <v>23</v>
      </c>
      <c r="F148" s="9">
        <v>34</v>
      </c>
      <c r="G148" s="9" t="s">
        <v>60</v>
      </c>
      <c r="H148" s="9" t="s">
        <v>66</v>
      </c>
      <c r="I148" s="9">
        <v>92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128</v>
      </c>
      <c r="T148" s="12">
        <v>45838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84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9918.7000000000007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141</v>
      </c>
      <c r="B149" s="14" t="s">
        <v>141</v>
      </c>
      <c r="C149" s="9" t="s">
        <v>259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93</v>
      </c>
      <c r="M149" s="10">
        <v>24</v>
      </c>
      <c r="N149" s="9">
        <v>37</v>
      </c>
      <c r="O149" s="9">
        <v>50</v>
      </c>
      <c r="P149" s="10">
        <v>273.84719423999996</v>
      </c>
      <c r="Q149" s="10">
        <v>0</v>
      </c>
      <c r="R149" s="10">
        <v>273.84719423999996</v>
      </c>
      <c r="S149" s="9" t="s">
        <v>128</v>
      </c>
      <c r="T149" s="12">
        <v>45838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9918.7000000000007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72</v>
      </c>
      <c r="AI149" s="1">
        <v>3</v>
      </c>
      <c r="AJ149" s="3">
        <v>45838</v>
      </c>
      <c r="AK149" s="3">
        <v>0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45837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84</v>
      </c>
      <c r="AA150" s="8">
        <v>19837.400000000001</v>
      </c>
      <c r="AB150" s="8">
        <v>19837.400000000001</v>
      </c>
      <c r="AC150" s="8">
        <v>0</v>
      </c>
      <c r="AD150" s="8">
        <v>0</v>
      </c>
      <c r="AE150" s="8">
        <v>9918.7000000000007</v>
      </c>
      <c r="AF150" s="8" t="s">
        <v>58</v>
      </c>
      <c r="AG150" s="1" t="s">
        <v>119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 t="s">
        <v>141</v>
      </c>
      <c r="B151" s="14" t="s">
        <v>141</v>
      </c>
      <c r="C151" s="9" t="s">
        <v>251</v>
      </c>
      <c r="D151" s="13" t="s">
        <v>61</v>
      </c>
      <c r="E151" s="9">
        <v>23</v>
      </c>
      <c r="F151" s="9">
        <v>34</v>
      </c>
      <c r="G151" s="9" t="s">
        <v>189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191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74</v>
      </c>
      <c r="AI151" s="1">
        <v>2</v>
      </c>
      <c r="AJ151" s="3">
        <v>45838</v>
      </c>
      <c r="AK151" s="3">
        <v>0</v>
      </c>
      <c r="AL151" s="3">
        <v>45829</v>
      </c>
      <c r="AM151" s="3">
        <v>45836</v>
      </c>
      <c r="AN151" s="3">
        <v>45837</v>
      </c>
      <c r="AO151" s="3">
        <v>45837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189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122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45">
      <c r="A153" s="3">
        <v>45727</v>
      </c>
      <c r="B153" s="14" t="s">
        <v>303</v>
      </c>
      <c r="C153" s="9" t="s">
        <v>115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221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245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248</v>
      </c>
      <c r="AG153" s="1" t="s">
        <v>119</v>
      </c>
      <c r="AH153" s="1" t="s">
        <v>156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152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245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246</v>
      </c>
      <c r="BD154" s="56">
        <v>0</v>
      </c>
    </row>
    <row r="155" spans="1:56" ht="27.75" customHeight="1" x14ac:dyDescent="0.45">
      <c r="A155" s="3">
        <v>45601</v>
      </c>
      <c r="B155" s="14" t="s">
        <v>216</v>
      </c>
      <c r="C155" s="9" t="s">
        <v>94</v>
      </c>
      <c r="D155" s="13" t="s">
        <v>110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1758.5430635519999</v>
      </c>
      <c r="Q155" s="10">
        <v>0</v>
      </c>
      <c r="R155" s="10">
        <v>1758.5430635519999</v>
      </c>
      <c r="S155" s="9" t="s">
        <v>100</v>
      </c>
      <c r="T155" s="12">
        <v>45831</v>
      </c>
      <c r="U155" s="11">
        <v>54000</v>
      </c>
      <c r="V155" s="10">
        <v>0</v>
      </c>
      <c r="W155" s="10">
        <v>54000</v>
      </c>
      <c r="X155" s="10">
        <v>0</v>
      </c>
      <c r="Y155" s="10">
        <v>56700</v>
      </c>
      <c r="Z155" s="9" t="s">
        <v>101</v>
      </c>
      <c r="AA155" s="8">
        <v>58087.26</v>
      </c>
      <c r="AB155" s="8">
        <v>58087.26</v>
      </c>
      <c r="AC155" s="8">
        <v>0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72</v>
      </c>
      <c r="AI155" s="1">
        <v>3</v>
      </c>
      <c r="AJ155" s="3">
        <v>45831</v>
      </c>
      <c r="AK155" s="3">
        <v>0</v>
      </c>
      <c r="AL155" s="3">
        <v>45821</v>
      </c>
      <c r="AM155" s="3">
        <v>45828</v>
      </c>
      <c r="AN155" s="3">
        <v>45829</v>
      </c>
      <c r="AO155" s="3">
        <v>45829</v>
      </c>
      <c r="AP155" s="3">
        <v>45826</v>
      </c>
      <c r="AQ155" s="3">
        <v>45830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117</v>
      </c>
      <c r="BD155" s="56">
        <v>0</v>
      </c>
    </row>
    <row r="156" spans="1:56" ht="27.75" customHeight="1" x14ac:dyDescent="0.45">
      <c r="A156" s="3">
        <v>45601</v>
      </c>
      <c r="B156" s="14" t="s">
        <v>216</v>
      </c>
      <c r="C156" s="9" t="s">
        <v>94</v>
      </c>
      <c r="D156" s="13" t="s">
        <v>110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1758.5430635519999</v>
      </c>
      <c r="Q156" s="10">
        <v>0</v>
      </c>
      <c r="R156" s="10">
        <v>1758.5430635519999</v>
      </c>
      <c r="S156" s="9" t="s">
        <v>100</v>
      </c>
      <c r="T156" s="12">
        <v>45835</v>
      </c>
      <c r="U156" s="11">
        <v>54000</v>
      </c>
      <c r="V156" s="10">
        <v>0</v>
      </c>
      <c r="W156" s="10">
        <v>54000</v>
      </c>
      <c r="X156" s="10">
        <v>0</v>
      </c>
      <c r="Y156" s="10">
        <v>56700</v>
      </c>
      <c r="Z156" s="9" t="s">
        <v>101</v>
      </c>
      <c r="AA156" s="8">
        <v>58087.26</v>
      </c>
      <c r="AB156" s="8">
        <v>4678</v>
      </c>
      <c r="AC156" s="8">
        <v>53409.26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45835</v>
      </c>
      <c r="AK156" s="3">
        <v>0</v>
      </c>
      <c r="AL156" s="3">
        <v>45825</v>
      </c>
      <c r="AM156" s="3">
        <v>45832</v>
      </c>
      <c r="AN156" s="3">
        <v>45833</v>
      </c>
      <c r="AO156" s="3">
        <v>45833</v>
      </c>
      <c r="AP156" s="3">
        <v>45830</v>
      </c>
      <c r="AQ156" s="3">
        <v>45834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117</v>
      </c>
      <c r="BD156" s="56">
        <v>6841.9190727722225</v>
      </c>
    </row>
    <row r="157" spans="1:56" ht="27.75" customHeight="1" x14ac:dyDescent="0.45">
      <c r="A157" s="3">
        <v>45601</v>
      </c>
      <c r="B157" s="14" t="s">
        <v>216</v>
      </c>
      <c r="C157" s="9" t="s">
        <v>94</v>
      </c>
      <c r="D157" s="13" t="s">
        <v>110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1396.4134549094399</v>
      </c>
      <c r="Q157" s="10">
        <v>0</v>
      </c>
      <c r="R157" s="10">
        <v>1396.4134549094399</v>
      </c>
      <c r="S157" s="9" t="s">
        <v>100</v>
      </c>
      <c r="T157" s="12">
        <v>45842</v>
      </c>
      <c r="U157" s="11">
        <v>50800</v>
      </c>
      <c r="V157" s="10">
        <v>7920</v>
      </c>
      <c r="W157" s="10">
        <v>42880</v>
      </c>
      <c r="X157" s="10">
        <v>0</v>
      </c>
      <c r="Y157" s="10">
        <v>45024</v>
      </c>
      <c r="Z157" s="9" t="s">
        <v>101</v>
      </c>
      <c r="AA157" s="8">
        <v>46125.587200000002</v>
      </c>
      <c r="AB157" s="8">
        <v>0</v>
      </c>
      <c r="AC157" s="8">
        <v>46125.587200000002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45842</v>
      </c>
      <c r="AK157" s="3">
        <v>0</v>
      </c>
      <c r="AL157" s="3">
        <v>45832</v>
      </c>
      <c r="AM157" s="3">
        <v>45839</v>
      </c>
      <c r="AN157" s="3">
        <v>45840</v>
      </c>
      <c r="AO157" s="3">
        <v>45840</v>
      </c>
      <c r="AP157" s="3">
        <v>45837</v>
      </c>
      <c r="AQ157" s="3">
        <v>45841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5908.8542849404448</v>
      </c>
    </row>
    <row r="158" spans="1:56" ht="27.75" customHeight="1" x14ac:dyDescent="0.45">
      <c r="A158" s="3">
        <v>45601</v>
      </c>
      <c r="B158" s="14" t="s">
        <v>216</v>
      </c>
      <c r="C158" s="9" t="s">
        <v>94</v>
      </c>
      <c r="D158" s="13" t="s">
        <v>151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4070.701536</v>
      </c>
      <c r="Q158" s="10">
        <v>264</v>
      </c>
      <c r="R158" s="10">
        <v>3806.701536</v>
      </c>
      <c r="S158" s="9" t="s">
        <v>100</v>
      </c>
      <c r="T158" s="12" t="s">
        <v>63</v>
      </c>
      <c r="U158" s="11">
        <v>200000</v>
      </c>
      <c r="V158" s="10">
        <v>75000</v>
      </c>
      <c r="W158" s="10">
        <v>125000</v>
      </c>
      <c r="X158" s="10">
        <v>0</v>
      </c>
      <c r="Y158" s="10">
        <v>131250</v>
      </c>
      <c r="Z158" s="9" t="s">
        <v>277</v>
      </c>
      <c r="AA158" s="8">
        <v>134461.25</v>
      </c>
      <c r="AB158" s="8">
        <v>0</v>
      </c>
      <c r="AC158" s="8">
        <v>134461.25</v>
      </c>
      <c r="AD158" s="8">
        <v>0</v>
      </c>
      <c r="AE158" s="8">
        <v>0</v>
      </c>
      <c r="AF158" s="8" t="s">
        <v>278</v>
      </c>
      <c r="AG158" s="1" t="s">
        <v>120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386</v>
      </c>
      <c r="AZ158" s="2">
        <v>0</v>
      </c>
      <c r="BA158" s="2">
        <v>0</v>
      </c>
      <c r="BB158" s="2">
        <v>0</v>
      </c>
      <c r="BC158" s="1" t="s">
        <v>117</v>
      </c>
      <c r="BD158" s="56">
        <v>17224.971679513892</v>
      </c>
    </row>
    <row r="159" spans="1:56" ht="27.75" customHeight="1" x14ac:dyDescent="0.45">
      <c r="A159" s="3">
        <v>45601</v>
      </c>
      <c r="B159" s="14" t="s">
        <v>216</v>
      </c>
      <c r="C159" s="9" t="s">
        <v>94</v>
      </c>
      <c r="D159" s="13" t="s">
        <v>151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6513.1224575999995</v>
      </c>
      <c r="Q159" s="10">
        <v>0</v>
      </c>
      <c r="R159" s="10">
        <v>6513.1224575999995</v>
      </c>
      <c r="S159" s="9" t="s">
        <v>100</v>
      </c>
      <c r="T159" s="12" t="s">
        <v>63</v>
      </c>
      <c r="U159" s="11">
        <v>200000</v>
      </c>
      <c r="V159" s="10">
        <v>0</v>
      </c>
      <c r="W159" s="10">
        <v>200000</v>
      </c>
      <c r="X159" s="10">
        <v>0</v>
      </c>
      <c r="Y159" s="10">
        <v>210000</v>
      </c>
      <c r="Z159" s="9" t="s">
        <v>277</v>
      </c>
      <c r="AA159" s="8">
        <v>215138.00000000003</v>
      </c>
      <c r="AB159" s="8">
        <v>0</v>
      </c>
      <c r="AC159" s="8">
        <v>215138.00000000003</v>
      </c>
      <c r="AD159" s="8">
        <v>0</v>
      </c>
      <c r="AE159" s="8">
        <v>0</v>
      </c>
      <c r="AF159" s="8" t="s">
        <v>278</v>
      </c>
      <c r="AG159" s="1" t="s">
        <v>119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45858</v>
      </c>
      <c r="AZ159" s="2">
        <v>0</v>
      </c>
      <c r="BA159" s="2">
        <v>0</v>
      </c>
      <c r="BB159" s="2">
        <v>0</v>
      </c>
      <c r="BC159" s="1" t="s">
        <v>117</v>
      </c>
      <c r="BD159" s="56">
        <v>27559.954687222227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151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6513.1224575999995</v>
      </c>
      <c r="Q160" s="10">
        <v>0</v>
      </c>
      <c r="R160" s="10">
        <v>6513.1224575999995</v>
      </c>
      <c r="S160" s="9" t="s">
        <v>100</v>
      </c>
      <c r="T160" s="12" t="s">
        <v>63</v>
      </c>
      <c r="U160" s="11">
        <v>200000</v>
      </c>
      <c r="V160" s="10">
        <v>0</v>
      </c>
      <c r="W160" s="10">
        <v>200000</v>
      </c>
      <c r="X160" s="10">
        <v>0</v>
      </c>
      <c r="Y160" s="10">
        <v>210000</v>
      </c>
      <c r="Z160" s="9" t="s">
        <v>101</v>
      </c>
      <c r="AA160" s="8">
        <v>215138.00000000003</v>
      </c>
      <c r="AB160" s="8">
        <v>0</v>
      </c>
      <c r="AC160" s="8">
        <v>215138.00000000003</v>
      </c>
      <c r="AD160" s="8">
        <v>0</v>
      </c>
      <c r="AE160" s="8">
        <v>0</v>
      </c>
      <c r="AF160" s="8" t="s">
        <v>278</v>
      </c>
      <c r="AG160" s="1" t="s">
        <v>119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45889</v>
      </c>
      <c r="AZ160" s="2">
        <v>0</v>
      </c>
      <c r="BA160" s="2">
        <v>0</v>
      </c>
      <c r="BB160" s="2">
        <v>0</v>
      </c>
      <c r="BC160" s="1" t="s">
        <v>117</v>
      </c>
      <c r="BD160" s="56">
        <v>27559.954687222227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151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3461.0081427440637</v>
      </c>
      <c r="Q161" s="10">
        <v>0</v>
      </c>
      <c r="R161" s="10">
        <v>3461.0081427440637</v>
      </c>
      <c r="S161" s="9" t="s">
        <v>100</v>
      </c>
      <c r="T161" s="12" t="s">
        <v>63</v>
      </c>
      <c r="U161" s="11">
        <v>106278</v>
      </c>
      <c r="V161" s="10">
        <v>0</v>
      </c>
      <c r="W161" s="10">
        <v>106278</v>
      </c>
      <c r="X161" s="10">
        <v>0</v>
      </c>
      <c r="Y161" s="10">
        <v>111591.90000000001</v>
      </c>
      <c r="Z161" s="9" t="s">
        <v>101</v>
      </c>
      <c r="AA161" s="8">
        <v>114322.18182000001</v>
      </c>
      <c r="AB161" s="8">
        <v>0</v>
      </c>
      <c r="AC161" s="8">
        <v>114322.18182000001</v>
      </c>
      <c r="AD161" s="8">
        <v>0</v>
      </c>
      <c r="AE161" s="8">
        <v>0</v>
      </c>
      <c r="AF161" s="8" t="s">
        <v>278</v>
      </c>
      <c r="AG161" s="1" t="s">
        <v>119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14645.084321243019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151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0</v>
      </c>
      <c r="Q162" s="10">
        <v>0</v>
      </c>
      <c r="R162" s="10">
        <v>0</v>
      </c>
      <c r="S162" s="9" t="s">
        <v>100</v>
      </c>
      <c r="T162" s="12" t="s">
        <v>137</v>
      </c>
      <c r="U162" s="11">
        <v>10000</v>
      </c>
      <c r="V162" s="10">
        <v>12607</v>
      </c>
      <c r="W162" s="10">
        <v>0</v>
      </c>
      <c r="X162" s="10">
        <v>56730</v>
      </c>
      <c r="Y162" s="10">
        <v>0</v>
      </c>
      <c r="Z162" s="9" t="s">
        <v>277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119</v>
      </c>
      <c r="AH162" s="1" t="s">
        <v>72</v>
      </c>
      <c r="AI162" s="1">
        <v>3</v>
      </c>
      <c r="AJ162" s="3" t="s">
        <v>137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281</v>
      </c>
      <c r="AZ162" s="2">
        <v>0</v>
      </c>
      <c r="BA162" s="2">
        <v>0</v>
      </c>
      <c r="BB162" s="2">
        <v>0</v>
      </c>
      <c r="BC162" s="1" t="s">
        <v>117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101</v>
      </c>
      <c r="AA163" s="8">
        <v>841359.53902000003</v>
      </c>
      <c r="AB163" s="8">
        <v>62765.26</v>
      </c>
      <c r="AC163" s="8">
        <v>778594.27902000013</v>
      </c>
      <c r="AD163" s="8">
        <v>0</v>
      </c>
      <c r="AE163" s="8">
        <v>0</v>
      </c>
      <c r="AF163" s="8" t="s">
        <v>58</v>
      </c>
      <c r="AG163" s="1" t="s">
        <v>119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7.75" customHeight="1" x14ac:dyDescent="0.45">
      <c r="A164" s="3">
        <v>45804</v>
      </c>
      <c r="B164" s="14" t="s">
        <v>499</v>
      </c>
      <c r="C164" s="9" t="s">
        <v>145</v>
      </c>
      <c r="D164" s="13" t="s">
        <v>59</v>
      </c>
      <c r="E164" s="9">
        <v>26</v>
      </c>
      <c r="F164" s="9">
        <v>39</v>
      </c>
      <c r="G164" s="9" t="s">
        <v>60</v>
      </c>
      <c r="H164" s="9">
        <v>0</v>
      </c>
      <c r="I164" s="9">
        <v>93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128</v>
      </c>
      <c r="T164" s="12">
        <v>45818</v>
      </c>
      <c r="U164" s="11">
        <v>8800</v>
      </c>
      <c r="V164" s="10">
        <v>0</v>
      </c>
      <c r="W164" s="10">
        <v>8800</v>
      </c>
      <c r="X164" s="10">
        <v>0</v>
      </c>
      <c r="Y164" s="10">
        <v>0</v>
      </c>
      <c r="Z164" s="9" t="s">
        <v>85</v>
      </c>
      <c r="AA164" s="8">
        <v>9957.8160000000007</v>
      </c>
      <c r="AB164" s="8">
        <v>3720</v>
      </c>
      <c r="AC164" s="8">
        <v>6237.8160000000007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77</v>
      </c>
      <c r="AI164" s="1">
        <v>1</v>
      </c>
      <c r="AJ164" s="3">
        <v>45818</v>
      </c>
      <c r="AK164" s="3">
        <v>0</v>
      </c>
      <c r="AL164" s="3">
        <v>0</v>
      </c>
      <c r="AM164" s="3">
        <v>0</v>
      </c>
      <c r="AN164" s="3">
        <v>0</v>
      </c>
      <c r="AO164" s="3">
        <v>45817</v>
      </c>
      <c r="AP164" s="3">
        <v>45813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503.66898746666669</v>
      </c>
    </row>
    <row r="165" spans="1:56" ht="27.75" customHeight="1" x14ac:dyDescent="0.45">
      <c r="A165" s="3" t="s">
        <v>141</v>
      </c>
      <c r="B165" s="14" t="s">
        <v>141</v>
      </c>
      <c r="C165" s="9" t="s">
        <v>148</v>
      </c>
      <c r="D165" s="13" t="s">
        <v>59</v>
      </c>
      <c r="E165" s="9">
        <v>26</v>
      </c>
      <c r="F165" s="9">
        <v>42</v>
      </c>
      <c r="G165" s="9" t="s">
        <v>60</v>
      </c>
      <c r="H165" s="9">
        <v>0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45838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85</v>
      </c>
      <c r="AA165" s="8">
        <v>48615.600000000006</v>
      </c>
      <c r="AB165" s="8">
        <v>0</v>
      </c>
      <c r="AC165" s="8">
        <v>48615.600000000006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77</v>
      </c>
      <c r="AI165" s="1">
        <v>1</v>
      </c>
      <c r="AJ165" s="3">
        <v>45838</v>
      </c>
      <c r="AK165" s="3">
        <v>0</v>
      </c>
      <c r="AL165" s="3">
        <v>0</v>
      </c>
      <c r="AM165" s="3">
        <v>0</v>
      </c>
      <c r="AN165" s="3">
        <v>0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3925.4396133333335</v>
      </c>
    </row>
    <row r="166" spans="1:56" ht="27.75" customHeight="1" x14ac:dyDescent="0.45">
      <c r="A166" s="3" t="s">
        <v>141</v>
      </c>
      <c r="B166" s="14" t="s">
        <v>141</v>
      </c>
      <c r="C166" s="9" t="s">
        <v>196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92</v>
      </c>
      <c r="M166" s="10">
        <v>27</v>
      </c>
      <c r="N166" s="9">
        <v>43</v>
      </c>
      <c r="O166" s="9">
        <v>40</v>
      </c>
      <c r="P166" s="10">
        <v>286.42936262399996</v>
      </c>
      <c r="Q166" s="10">
        <v>0</v>
      </c>
      <c r="R166" s="10">
        <v>286.42936262399996</v>
      </c>
      <c r="S166" s="9" t="s">
        <v>204</v>
      </c>
      <c r="T166" s="12">
        <v>45838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85</v>
      </c>
      <c r="AA166" s="8">
        <v>11874.499999999998</v>
      </c>
      <c r="AB166" s="8">
        <v>0</v>
      </c>
      <c r="AC166" s="8">
        <v>11874.499999999998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72</v>
      </c>
      <c r="AI166" s="1">
        <v>3</v>
      </c>
      <c r="AJ166" s="3">
        <v>45838</v>
      </c>
      <c r="AK166" s="3">
        <v>0</v>
      </c>
      <c r="AL166" s="3">
        <v>45828</v>
      </c>
      <c r="AM166" s="3">
        <v>45835</v>
      </c>
      <c r="AN166" s="3">
        <v>45836</v>
      </c>
      <c r="AO166" s="3">
        <v>45836</v>
      </c>
      <c r="AP166" s="3">
        <v>45833</v>
      </c>
      <c r="AQ166" s="3">
        <v>45837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958.79990555555537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85</v>
      </c>
      <c r="AA167" s="8">
        <v>70447.915999999997</v>
      </c>
      <c r="AB167" s="8">
        <v>3720</v>
      </c>
      <c r="AC167" s="8">
        <v>66727.915999999997</v>
      </c>
      <c r="AD167" s="8">
        <v>0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>
        <v>45806</v>
      </c>
      <c r="B168" s="14" t="s">
        <v>442</v>
      </c>
      <c r="C168" s="9" t="s">
        <v>196</v>
      </c>
      <c r="D168" s="13" t="s">
        <v>443</v>
      </c>
      <c r="E168" s="9">
        <v>26</v>
      </c>
      <c r="F168" s="9">
        <v>41</v>
      </c>
      <c r="G168" s="9" t="s">
        <v>60</v>
      </c>
      <c r="H168" s="9">
        <v>0</v>
      </c>
      <c r="I168" s="9">
        <v>97</v>
      </c>
      <c r="J168" s="9" t="s">
        <v>57</v>
      </c>
      <c r="K168" s="9">
        <v>5</v>
      </c>
      <c r="L168" s="9" t="s">
        <v>92</v>
      </c>
      <c r="M168" s="10">
        <v>27</v>
      </c>
      <c r="N168" s="9">
        <v>43</v>
      </c>
      <c r="O168" s="9">
        <v>40</v>
      </c>
      <c r="P168" s="10">
        <v>114.57174504959998</v>
      </c>
      <c r="Q168" s="10">
        <v>0</v>
      </c>
      <c r="R168" s="10">
        <v>114.57174504959998</v>
      </c>
      <c r="S168" s="9" t="s">
        <v>204</v>
      </c>
      <c r="T168" s="12">
        <v>45818</v>
      </c>
      <c r="U168" s="11">
        <v>4000</v>
      </c>
      <c r="V168" s="10">
        <v>0</v>
      </c>
      <c r="W168" s="10">
        <v>4000</v>
      </c>
      <c r="X168" s="10">
        <v>4300</v>
      </c>
      <c r="Y168" s="10">
        <v>0</v>
      </c>
      <c r="Z168" s="9" t="s">
        <v>157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72</v>
      </c>
      <c r="AI168" s="1">
        <v>3</v>
      </c>
      <c r="AJ168" s="3">
        <v>45818</v>
      </c>
      <c r="AK168" s="3">
        <v>0</v>
      </c>
      <c r="AL168" s="3">
        <v>45808</v>
      </c>
      <c r="AM168" s="3">
        <v>45815</v>
      </c>
      <c r="AN168" s="3">
        <v>45816</v>
      </c>
      <c r="AO168" s="3">
        <v>45816</v>
      </c>
      <c r="AP168" s="3">
        <v>45813</v>
      </c>
      <c r="AQ168" s="3">
        <v>45817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45806</v>
      </c>
      <c r="B169" s="14" t="s">
        <v>442</v>
      </c>
      <c r="C169" s="9" t="s">
        <v>196</v>
      </c>
      <c r="D169" s="13" t="s">
        <v>444</v>
      </c>
      <c r="E169" s="9">
        <v>26</v>
      </c>
      <c r="F169" s="9">
        <v>41</v>
      </c>
      <c r="G169" s="9" t="s">
        <v>60</v>
      </c>
      <c r="H169" s="9">
        <v>0</v>
      </c>
      <c r="I169" s="9">
        <v>97</v>
      </c>
      <c r="J169" s="9" t="s">
        <v>57</v>
      </c>
      <c r="K169" s="9">
        <v>5</v>
      </c>
      <c r="L169" s="9" t="s">
        <v>92</v>
      </c>
      <c r="M169" s="10">
        <v>27</v>
      </c>
      <c r="N169" s="9">
        <v>43</v>
      </c>
      <c r="O169" s="9">
        <v>40</v>
      </c>
      <c r="P169" s="10">
        <v>114.57174504959998</v>
      </c>
      <c r="Q169" s="10">
        <v>0</v>
      </c>
      <c r="R169" s="10">
        <v>114.57174504959998</v>
      </c>
      <c r="S169" s="9" t="s">
        <v>204</v>
      </c>
      <c r="T169" s="12">
        <v>45818</v>
      </c>
      <c r="U169" s="11">
        <v>4000</v>
      </c>
      <c r="V169" s="10">
        <v>0</v>
      </c>
      <c r="W169" s="10">
        <v>4000</v>
      </c>
      <c r="X169" s="10">
        <v>4405</v>
      </c>
      <c r="Y169" s="10">
        <v>0</v>
      </c>
      <c r="Z169" s="9" t="s">
        <v>157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72</v>
      </c>
      <c r="AI169" s="1">
        <v>3</v>
      </c>
      <c r="AJ169" s="3">
        <v>45818</v>
      </c>
      <c r="AK169" s="3">
        <v>0</v>
      </c>
      <c r="AL169" s="3">
        <v>45808</v>
      </c>
      <c r="AM169" s="3">
        <v>45815</v>
      </c>
      <c r="AN169" s="3">
        <v>45816</v>
      </c>
      <c r="AO169" s="3">
        <v>45816</v>
      </c>
      <c r="AP169" s="3">
        <v>45813</v>
      </c>
      <c r="AQ169" s="3">
        <v>45817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157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120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>
        <v>45813</v>
      </c>
      <c r="B171" s="14" t="s">
        <v>525</v>
      </c>
      <c r="C171" s="9" t="s">
        <v>500</v>
      </c>
      <c r="D171" s="13" t="s">
        <v>501</v>
      </c>
      <c r="E171" s="9">
        <v>26</v>
      </c>
      <c r="F171" s="9">
        <v>40</v>
      </c>
      <c r="G171" s="9" t="s">
        <v>60</v>
      </c>
      <c r="H171" s="9">
        <v>0</v>
      </c>
      <c r="I171" s="9">
        <v>108</v>
      </c>
      <c r="J171" s="9" t="s">
        <v>57</v>
      </c>
      <c r="K171" s="9">
        <v>5</v>
      </c>
      <c r="L171" s="9" t="s">
        <v>93</v>
      </c>
      <c r="M171" s="10">
        <v>27</v>
      </c>
      <c r="N171" s="9">
        <v>43</v>
      </c>
      <c r="O171" s="9">
        <v>40</v>
      </c>
      <c r="P171" s="10">
        <v>286.42936262399996</v>
      </c>
      <c r="Q171" s="10">
        <v>0</v>
      </c>
      <c r="R171" s="10">
        <v>286.42936262399996</v>
      </c>
      <c r="S171" s="9" t="s">
        <v>502</v>
      </c>
      <c r="T171" s="12">
        <v>45825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223</v>
      </c>
      <c r="AA171" s="8">
        <v>11595.1</v>
      </c>
      <c r="AB171" s="8">
        <v>11516</v>
      </c>
      <c r="AC171" s="8">
        <v>79.100000000000364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45825</v>
      </c>
      <c r="AK171" s="3">
        <v>0</v>
      </c>
      <c r="AL171" s="3">
        <v>45815</v>
      </c>
      <c r="AM171" s="3">
        <v>45822</v>
      </c>
      <c r="AN171" s="3">
        <v>45823</v>
      </c>
      <c r="AO171" s="3">
        <v>45823</v>
      </c>
      <c r="AP171" s="3">
        <v>45820</v>
      </c>
      <c r="AQ171" s="3">
        <v>45824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7.8607822222222579</v>
      </c>
    </row>
    <row r="172" spans="1:56" ht="27.75" customHeight="1" x14ac:dyDescent="0.45">
      <c r="A172" s="3" t="s">
        <v>141</v>
      </c>
      <c r="B172" s="14" t="s">
        <v>141</v>
      </c>
      <c r="C172" s="9" t="s">
        <v>113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45838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223</v>
      </c>
      <c r="AA172" s="8">
        <v>24866.6</v>
      </c>
      <c r="AB172" s="8">
        <v>0</v>
      </c>
      <c r="AC172" s="8">
        <v>24866.6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1</v>
      </c>
      <c r="AJ172" s="3">
        <v>45838</v>
      </c>
      <c r="AK172" s="3">
        <v>0</v>
      </c>
      <c r="AL172" s="3">
        <v>0</v>
      </c>
      <c r="AM172" s="3">
        <v>0</v>
      </c>
      <c r="AN172" s="3">
        <v>0</v>
      </c>
      <c r="AO172" s="3">
        <v>45837</v>
      </c>
      <c r="AP172" s="3">
        <v>45833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2471.1874488888889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223</v>
      </c>
      <c r="AA173" s="8">
        <v>36461.699999999997</v>
      </c>
      <c r="AB173" s="8">
        <v>11516</v>
      </c>
      <c r="AC173" s="8">
        <v>24945.699999999997</v>
      </c>
      <c r="AD173" s="8">
        <v>0</v>
      </c>
      <c r="AE173" s="8">
        <v>0</v>
      </c>
      <c r="AF173" s="8" t="s">
        <v>58</v>
      </c>
      <c r="AG173" s="1" t="s">
        <v>119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224</v>
      </c>
      <c r="BD173" s="56">
        <v>0</v>
      </c>
    </row>
    <row r="174" spans="1:56" ht="27.75" customHeight="1" x14ac:dyDescent="0.45">
      <c r="A174" s="3">
        <v>45799</v>
      </c>
      <c r="B174" s="14" t="s">
        <v>433</v>
      </c>
      <c r="C174" s="9" t="s">
        <v>113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45825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89</v>
      </c>
      <c r="AA174" s="8">
        <v>18649.949999999997</v>
      </c>
      <c r="AB174" s="8">
        <v>18649.949999999997</v>
      </c>
      <c r="AC174" s="8">
        <v>0</v>
      </c>
      <c r="AD174" s="8">
        <v>0</v>
      </c>
      <c r="AE174" s="8">
        <v>18649.949999999997</v>
      </c>
      <c r="AF174" s="8" t="s">
        <v>248</v>
      </c>
      <c r="AG174" s="1" t="s">
        <v>119</v>
      </c>
      <c r="AH174" s="1" t="s">
        <v>398</v>
      </c>
      <c r="AI174" s="1">
        <v>2</v>
      </c>
      <c r="AJ174" s="3">
        <v>45825</v>
      </c>
      <c r="AK174" s="3">
        <v>0</v>
      </c>
      <c r="AL174" s="3">
        <v>0</v>
      </c>
      <c r="AM174" s="3">
        <v>0</v>
      </c>
      <c r="AN174" s="3">
        <v>0</v>
      </c>
      <c r="AO174" s="3">
        <v>45823</v>
      </c>
      <c r="AP174" s="3">
        <v>45820</v>
      </c>
      <c r="AQ174" s="3">
        <v>45824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152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>
        <v>45815</v>
      </c>
      <c r="B175" s="14" t="s">
        <v>535</v>
      </c>
      <c r="C175" s="9" t="s">
        <v>113</v>
      </c>
      <c r="D175" s="13" t="s">
        <v>59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45835</v>
      </c>
      <c r="U175" s="11">
        <v>15000</v>
      </c>
      <c r="V175" s="10">
        <v>0</v>
      </c>
      <c r="W175" s="10">
        <v>15000</v>
      </c>
      <c r="X175" s="10">
        <v>0</v>
      </c>
      <c r="Y175" s="10">
        <v>0</v>
      </c>
      <c r="Z175" s="9" t="s">
        <v>89</v>
      </c>
      <c r="AA175" s="8">
        <v>18649.949999999997</v>
      </c>
      <c r="AB175" s="8">
        <v>18649.949999999997</v>
      </c>
      <c r="AC175" s="8">
        <v>0</v>
      </c>
      <c r="AD175" s="8">
        <v>0</v>
      </c>
      <c r="AE175" s="8">
        <v>18649.949999999997</v>
      </c>
      <c r="AF175" s="8" t="s">
        <v>248</v>
      </c>
      <c r="AG175" s="1" t="s">
        <v>123</v>
      </c>
      <c r="AH175" s="1" t="s">
        <v>398</v>
      </c>
      <c r="AI175" s="1">
        <v>2</v>
      </c>
      <c r="AJ175" s="3">
        <v>45835</v>
      </c>
      <c r="AK175" s="3">
        <v>0</v>
      </c>
      <c r="AL175" s="3">
        <v>0</v>
      </c>
      <c r="AM175" s="3">
        <v>0</v>
      </c>
      <c r="AN175" s="3">
        <v>0</v>
      </c>
      <c r="AO175" s="3">
        <v>45833</v>
      </c>
      <c r="AP175" s="3">
        <v>45830</v>
      </c>
      <c r="AQ175" s="3">
        <v>45834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152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89</v>
      </c>
      <c r="AA176" s="8">
        <v>37299.899999999994</v>
      </c>
      <c r="AB176" s="8">
        <v>37299.899999999994</v>
      </c>
      <c r="AC176" s="8">
        <v>0</v>
      </c>
      <c r="AD176" s="8">
        <v>0</v>
      </c>
      <c r="AE176" s="8">
        <v>37299.899999999994</v>
      </c>
      <c r="AF176" s="8" t="s">
        <v>58</v>
      </c>
      <c r="AG176" s="1" t="s">
        <v>122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109</v>
      </c>
      <c r="BD176" s="56">
        <v>0</v>
      </c>
    </row>
    <row r="177" spans="1:56" ht="27.75" customHeight="1" x14ac:dyDescent="0.45">
      <c r="A177" s="3">
        <v>45800</v>
      </c>
      <c r="B177" s="14" t="s">
        <v>429</v>
      </c>
      <c r="C177" s="9" t="s">
        <v>158</v>
      </c>
      <c r="D177" s="13" t="s">
        <v>159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45824</v>
      </c>
      <c r="U177" s="11">
        <v>50000</v>
      </c>
      <c r="V177" s="10">
        <v>8339</v>
      </c>
      <c r="W177" s="10">
        <v>41661</v>
      </c>
      <c r="X177" s="10">
        <v>27330</v>
      </c>
      <c r="Y177" s="10">
        <v>23803.5</v>
      </c>
      <c r="Z177" s="9" t="s">
        <v>132</v>
      </c>
      <c r="AA177" s="8">
        <v>28265.466075</v>
      </c>
      <c r="AB177" s="8">
        <v>0</v>
      </c>
      <c r="AC177" s="8">
        <v>28265.466075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160</v>
      </c>
      <c r="AI177" s="1">
        <v>2</v>
      </c>
      <c r="AJ177" s="3">
        <v>45824</v>
      </c>
      <c r="AK177" s="3">
        <v>0</v>
      </c>
      <c r="AL177" s="3">
        <v>45815</v>
      </c>
      <c r="AM177" s="3">
        <v>45822</v>
      </c>
      <c r="AN177" s="3">
        <v>0</v>
      </c>
      <c r="AO177" s="3">
        <v>45823</v>
      </c>
      <c r="AP177" s="3">
        <v>45819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3176.7243260958335</v>
      </c>
    </row>
    <row r="178" spans="1:56" ht="27.75" customHeight="1" x14ac:dyDescent="0.45">
      <c r="A178" s="3" t="s">
        <v>141</v>
      </c>
      <c r="B178" s="14" t="s">
        <v>141</v>
      </c>
      <c r="C178" s="9" t="s">
        <v>113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132</v>
      </c>
      <c r="AA178" s="8">
        <v>13550.900000000001</v>
      </c>
      <c r="AB178" s="8">
        <v>0</v>
      </c>
      <c r="AC178" s="8">
        <v>13550.900000000001</v>
      </c>
      <c r="AD178" s="8">
        <v>0</v>
      </c>
      <c r="AE178" s="8">
        <v>13550.900000000001</v>
      </c>
      <c r="AF178" s="8">
        <v>0</v>
      </c>
      <c r="AG178" s="1">
        <v>0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 t="s">
        <v>404</v>
      </c>
      <c r="AZ178" s="2">
        <v>0</v>
      </c>
      <c r="BA178" s="2">
        <v>0</v>
      </c>
      <c r="BB178" s="2">
        <v>0</v>
      </c>
      <c r="BC178" s="1" t="s">
        <v>107</v>
      </c>
      <c r="BD178" s="56">
        <v>1522.9705944444447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132</v>
      </c>
      <c r="AA179" s="8">
        <v>41816.366074999998</v>
      </c>
      <c r="AB179" s="8">
        <v>0</v>
      </c>
      <c r="AC179" s="8">
        <v>41816.366074999998</v>
      </c>
      <c r="AD179" s="8">
        <v>0</v>
      </c>
      <c r="AE179" s="8">
        <v>13550.900000000001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161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6AE6-3F99-4928-85F8-5BEDD1CA4885}">
  <sheetPr>
    <tabColor rgb="FFFFFF00"/>
  </sheetPr>
  <dimension ref="A1:BD184"/>
  <sheetViews>
    <sheetView zoomScale="80" zoomScaleNormal="80" workbookViewId="0">
      <selection activeCell="J14" sqref="J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45815</v>
      </c>
      <c r="E3" s="82" t="s">
        <v>52</v>
      </c>
      <c r="F3" s="82"/>
      <c r="G3" s="83">
        <v>10.57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413</v>
      </c>
      <c r="C6" s="9" t="s">
        <v>390</v>
      </c>
      <c r="D6" s="13" t="s">
        <v>391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393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503</v>
      </c>
      <c r="C10" s="9" t="s">
        <v>504</v>
      </c>
      <c r="D10" s="13" t="s">
        <v>505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308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430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506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308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507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387</v>
      </c>
      <c r="C14" s="9" t="s">
        <v>184</v>
      </c>
      <c r="D14" s="13" t="s">
        <v>374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10300</v>
      </c>
      <c r="Y14" s="10">
        <v>0</v>
      </c>
      <c r="Z14" s="9" t="s">
        <v>143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311</v>
      </c>
      <c r="AG14" s="1" t="s">
        <v>120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459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387</v>
      </c>
      <c r="C15" s="9" t="s">
        <v>184</v>
      </c>
      <c r="D15" s="13" t="s">
        <v>351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10200</v>
      </c>
      <c r="Y15" s="10">
        <v>0</v>
      </c>
      <c r="Z15" s="9" t="s">
        <v>143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311</v>
      </c>
      <c r="AG15" s="1" t="s">
        <v>119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459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437</v>
      </c>
      <c r="C16" s="9" t="s">
        <v>339</v>
      </c>
      <c r="D16" s="13" t="s">
        <v>438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8242.3000000000011</v>
      </c>
      <c r="AC16" s="8">
        <v>0</v>
      </c>
      <c r="AD16" s="8">
        <v>0</v>
      </c>
      <c r="AE16" s="8">
        <v>8242.3000000000011</v>
      </c>
      <c r="AF16" s="8" t="s">
        <v>430</v>
      </c>
      <c r="AG16" s="1" t="s">
        <v>123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45797</v>
      </c>
      <c r="B17" s="14" t="s">
        <v>388</v>
      </c>
      <c r="C17" s="9" t="s">
        <v>184</v>
      </c>
      <c r="D17" s="13" t="s">
        <v>374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311</v>
      </c>
      <c r="AG17" s="1" t="s">
        <v>120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17043.400000000001</v>
      </c>
      <c r="AB18" s="8">
        <v>8242.3000000000011</v>
      </c>
      <c r="AC18" s="8">
        <v>8801.1</v>
      </c>
      <c r="AD18" s="8">
        <v>0</v>
      </c>
      <c r="AE18" s="8">
        <v>17043.400000000001</v>
      </c>
      <c r="AF18" s="8" t="s">
        <v>58</v>
      </c>
      <c r="AG18" s="1" t="s">
        <v>61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>
        <v>45797</v>
      </c>
      <c r="B19" s="14" t="s">
        <v>375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1125</v>
      </c>
      <c r="W19" s="10">
        <v>38875</v>
      </c>
      <c r="X19" s="10">
        <v>29580</v>
      </c>
      <c r="Y19" s="10">
        <v>10941</v>
      </c>
      <c r="Z19" s="9" t="s">
        <v>180</v>
      </c>
      <c r="AA19" s="8">
        <v>9629.2835100000011</v>
      </c>
      <c r="AB19" s="8">
        <v>9629.2835100000011</v>
      </c>
      <c r="AC19" s="8">
        <v>0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376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500</v>
      </c>
      <c r="W20" s="10">
        <v>29500</v>
      </c>
      <c r="X20" s="10">
        <v>0</v>
      </c>
      <c r="Y20" s="10">
        <v>30975</v>
      </c>
      <c r="Z20" s="9" t="s">
        <v>180</v>
      </c>
      <c r="AA20" s="8">
        <v>25963.244999999999</v>
      </c>
      <c r="AB20" s="8">
        <v>25963.244999999999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141</v>
      </c>
      <c r="B21" s="14" t="s">
        <v>141</v>
      </c>
      <c r="C21" s="9" t="s">
        <v>293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 t="s">
        <v>141</v>
      </c>
      <c r="B22" s="14" t="s">
        <v>141</v>
      </c>
      <c r="C22" s="9" t="s">
        <v>233</v>
      </c>
      <c r="D22" s="13" t="s">
        <v>234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180</v>
      </c>
      <c r="AA22" s="8">
        <v>9359.9000000000015</v>
      </c>
      <c r="AB22" s="8">
        <v>6960</v>
      </c>
      <c r="AC22" s="8">
        <v>2399.9000000000015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174.28607111111123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71355.728510000015</v>
      </c>
      <c r="AB23" s="8">
        <v>42552.528510000004</v>
      </c>
      <c r="AC23" s="8">
        <v>28803.200000000001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45808</v>
      </c>
      <c r="B24" s="14" t="s">
        <v>451</v>
      </c>
      <c r="C24" s="9" t="s">
        <v>73</v>
      </c>
      <c r="D24" s="13" t="s">
        <v>183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45818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45818</v>
      </c>
      <c r="AK24" s="3">
        <v>0</v>
      </c>
      <c r="AL24" s="3">
        <v>45809</v>
      </c>
      <c r="AM24" s="3">
        <v>45816</v>
      </c>
      <c r="AN24" s="3">
        <v>45817</v>
      </c>
      <c r="AO24" s="3">
        <v>45817</v>
      </c>
      <c r="AP24" s="3">
        <v>45813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451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121</v>
      </c>
      <c r="AH25" s="1" t="s">
        <v>74</v>
      </c>
      <c r="AI25" s="1">
        <v>2</v>
      </c>
      <c r="AJ25" s="3">
        <v>45818</v>
      </c>
      <c r="AK25" s="3">
        <v>0</v>
      </c>
      <c r="AL25" s="3">
        <v>45809</v>
      </c>
      <c r="AM25" s="3">
        <v>45816</v>
      </c>
      <c r="AN25" s="3">
        <v>45817</v>
      </c>
      <c r="AO25" s="3">
        <v>45817</v>
      </c>
      <c r="AP25" s="3">
        <v>45813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452</v>
      </c>
      <c r="C26" s="9" t="s">
        <v>73</v>
      </c>
      <c r="D26" s="13" t="s">
        <v>211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5000</v>
      </c>
      <c r="V26" s="10">
        <v>5502</v>
      </c>
      <c r="W26" s="10">
        <v>0</v>
      </c>
      <c r="X26" s="10">
        <v>5300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451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45820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451</v>
      </c>
      <c r="C28" s="9" t="s">
        <v>73</v>
      </c>
      <c r="D28" s="13" t="s">
        <v>222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45825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452</v>
      </c>
      <c r="C29" s="9" t="s">
        <v>73</v>
      </c>
      <c r="D29" s="13" t="s">
        <v>349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453</v>
      </c>
      <c r="T29" s="12">
        <v>45825</v>
      </c>
      <c r="U29" s="11">
        <v>15000</v>
      </c>
      <c r="V29" s="10">
        <v>0</v>
      </c>
      <c r="W29" s="10">
        <v>15000</v>
      </c>
      <c r="X29" s="10">
        <v>15750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45825</v>
      </c>
      <c r="AK29" s="3">
        <v>0</v>
      </c>
      <c r="AL29" s="3">
        <v>45816</v>
      </c>
      <c r="AM29" s="3">
        <v>45823</v>
      </c>
      <c r="AN29" s="3">
        <v>45824</v>
      </c>
      <c r="AO29" s="3">
        <v>45824</v>
      </c>
      <c r="AP29" s="3">
        <v>45820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477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453</v>
      </c>
      <c r="T30" s="12">
        <v>45820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 t="s">
        <v>478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477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453</v>
      </c>
      <c r="T31" s="12">
        <v>45820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186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478</v>
      </c>
      <c r="AG31" s="1" t="s">
        <v>120</v>
      </c>
      <c r="AH31" s="1" t="s">
        <v>74</v>
      </c>
      <c r="AI31" s="1">
        <v>2</v>
      </c>
      <c r="AJ31" s="3">
        <v>45820</v>
      </c>
      <c r="AK31" s="3">
        <v>0</v>
      </c>
      <c r="AL31" s="3">
        <v>45811</v>
      </c>
      <c r="AM31" s="3">
        <v>45818</v>
      </c>
      <c r="AN31" s="3">
        <v>45819</v>
      </c>
      <c r="AO31" s="3">
        <v>45819</v>
      </c>
      <c r="AP31" s="3">
        <v>45815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662.93796800000007</v>
      </c>
    </row>
    <row r="32" spans="1:56" ht="27.75" customHeight="1" x14ac:dyDescent="0.45">
      <c r="A32" s="3">
        <v>45812</v>
      </c>
      <c r="B32" s="14" t="s">
        <v>477</v>
      </c>
      <c r="C32" s="9" t="s">
        <v>73</v>
      </c>
      <c r="D32" s="13" t="s">
        <v>479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453</v>
      </c>
      <c r="T32" s="12">
        <v>45820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478</v>
      </c>
      <c r="AG32" s="1" t="s">
        <v>120</v>
      </c>
      <c r="AH32" s="1" t="s">
        <v>74</v>
      </c>
      <c r="AI32" s="1">
        <v>2</v>
      </c>
      <c r="AJ32" s="3">
        <v>45820</v>
      </c>
      <c r="AK32" s="3">
        <v>0</v>
      </c>
      <c r="AL32" s="3">
        <v>45811</v>
      </c>
      <c r="AM32" s="3">
        <v>45818</v>
      </c>
      <c r="AN32" s="3">
        <v>45819</v>
      </c>
      <c r="AO32" s="3">
        <v>45819</v>
      </c>
      <c r="AP32" s="3">
        <v>45815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331.46898400000003</v>
      </c>
    </row>
    <row r="33" spans="1:56" ht="27.75" customHeight="1" x14ac:dyDescent="0.45">
      <c r="A33" s="3">
        <v>45812</v>
      </c>
      <c r="B33" s="14" t="s">
        <v>477</v>
      </c>
      <c r="C33" s="9" t="s">
        <v>73</v>
      </c>
      <c r="D33" s="13" t="s">
        <v>211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453</v>
      </c>
      <c r="T33" s="12">
        <v>45822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469</v>
      </c>
      <c r="AG33" s="1" t="s">
        <v>122</v>
      </c>
      <c r="AH33" s="1" t="s">
        <v>74</v>
      </c>
      <c r="AI33" s="1">
        <v>2</v>
      </c>
      <c r="AJ33" s="3">
        <v>45822</v>
      </c>
      <c r="AK33" s="3">
        <v>0</v>
      </c>
      <c r="AL33" s="3">
        <v>45813</v>
      </c>
      <c r="AM33" s="3">
        <v>45820</v>
      </c>
      <c r="AN33" s="3">
        <v>45821</v>
      </c>
      <c r="AO33" s="3">
        <v>45821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331.46898400000003</v>
      </c>
    </row>
    <row r="34" spans="1:56" ht="27.75" customHeight="1" x14ac:dyDescent="0.45">
      <c r="A34" s="3">
        <v>45812</v>
      </c>
      <c r="B34" s="14" t="s">
        <v>477</v>
      </c>
      <c r="C34" s="9" t="s">
        <v>73</v>
      </c>
      <c r="D34" s="13" t="s">
        <v>480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453</v>
      </c>
      <c r="T34" s="12">
        <v>45822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469</v>
      </c>
      <c r="AG34" s="1" t="s">
        <v>120</v>
      </c>
      <c r="AH34" s="1" t="s">
        <v>74</v>
      </c>
      <c r="AI34" s="1">
        <v>2</v>
      </c>
      <c r="AJ34" s="3">
        <v>45822</v>
      </c>
      <c r="AK34" s="3">
        <v>0</v>
      </c>
      <c r="AL34" s="3">
        <v>45813</v>
      </c>
      <c r="AM34" s="3">
        <v>45820</v>
      </c>
      <c r="AN34" s="3">
        <v>45821</v>
      </c>
      <c r="AO34" s="3">
        <v>45821</v>
      </c>
      <c r="AP34" s="3">
        <v>45817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331.46898400000003</v>
      </c>
    </row>
    <row r="35" spans="1:56" ht="27.75" customHeight="1" x14ac:dyDescent="0.45">
      <c r="A35" s="3">
        <v>45812</v>
      </c>
      <c r="B35" s="14" t="s">
        <v>477</v>
      </c>
      <c r="C35" s="9" t="s">
        <v>73</v>
      </c>
      <c r="D35" s="13" t="s">
        <v>481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453</v>
      </c>
      <c r="T35" s="12">
        <v>45822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469</v>
      </c>
      <c r="AG35" s="1" t="s">
        <v>120</v>
      </c>
      <c r="AH35" s="1" t="s">
        <v>74</v>
      </c>
      <c r="AI35" s="1">
        <v>2</v>
      </c>
      <c r="AJ35" s="3">
        <v>45822</v>
      </c>
      <c r="AK35" s="3">
        <v>0</v>
      </c>
      <c r="AL35" s="3">
        <v>45813</v>
      </c>
      <c r="AM35" s="3">
        <v>45820</v>
      </c>
      <c r="AN35" s="3">
        <v>45821</v>
      </c>
      <c r="AO35" s="3">
        <v>45821</v>
      </c>
      <c r="AP35" s="3">
        <v>45817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482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453</v>
      </c>
      <c r="T36" s="12">
        <v>45822</v>
      </c>
      <c r="U36" s="11">
        <v>10000</v>
      </c>
      <c r="V36" s="10">
        <v>0</v>
      </c>
      <c r="W36" s="10">
        <v>10000</v>
      </c>
      <c r="X36" s="10">
        <v>0</v>
      </c>
      <c r="Y36" s="10">
        <v>0</v>
      </c>
      <c r="Z36" s="9" t="s">
        <v>186</v>
      </c>
      <c r="AA36" s="8">
        <v>10477.5</v>
      </c>
      <c r="AB36" s="8">
        <v>0</v>
      </c>
      <c r="AC36" s="8">
        <v>10477.5</v>
      </c>
      <c r="AD36" s="8">
        <v>0</v>
      </c>
      <c r="AE36" s="8">
        <v>0</v>
      </c>
      <c r="AF36" s="8" t="s">
        <v>469</v>
      </c>
      <c r="AG36" s="1" t="s">
        <v>122</v>
      </c>
      <c r="AH36" s="1" t="s">
        <v>77</v>
      </c>
      <c r="AI36" s="1">
        <v>2</v>
      </c>
      <c r="AJ36" s="3">
        <v>45822</v>
      </c>
      <c r="AK36" s="3">
        <v>0</v>
      </c>
      <c r="AL36" s="3">
        <v>0</v>
      </c>
      <c r="AM36" s="3">
        <v>0</v>
      </c>
      <c r="AN36" s="3">
        <v>0</v>
      </c>
      <c r="AO36" s="3">
        <v>45820</v>
      </c>
      <c r="AP36" s="3">
        <v>45817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789.21186666666665</v>
      </c>
    </row>
    <row r="37" spans="1:56" ht="27.75" customHeight="1" x14ac:dyDescent="0.45">
      <c r="A37" s="3">
        <v>45812</v>
      </c>
      <c r="B37" s="14" t="s">
        <v>477</v>
      </c>
      <c r="C37" s="9" t="s">
        <v>73</v>
      </c>
      <c r="D37" s="13" t="s">
        <v>483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453</v>
      </c>
      <c r="T37" s="12">
        <v>45825</v>
      </c>
      <c r="U37" s="11">
        <v>3000</v>
      </c>
      <c r="V37" s="10">
        <v>0</v>
      </c>
      <c r="W37" s="10">
        <v>3000</v>
      </c>
      <c r="X37" s="10">
        <v>0</v>
      </c>
      <c r="Y37" s="10">
        <v>3150</v>
      </c>
      <c r="Z37" s="9" t="s">
        <v>186</v>
      </c>
      <c r="AA37" s="8">
        <v>2640.33</v>
      </c>
      <c r="AB37" s="8">
        <v>0</v>
      </c>
      <c r="AC37" s="8">
        <v>2640.33</v>
      </c>
      <c r="AD37" s="8">
        <v>0</v>
      </c>
      <c r="AE37" s="8">
        <v>0</v>
      </c>
      <c r="AF37" s="8" t="s">
        <v>470</v>
      </c>
      <c r="AG37" s="1" t="s">
        <v>120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198.88139040000004</v>
      </c>
    </row>
    <row r="38" spans="1:56" ht="27.75" customHeight="1" x14ac:dyDescent="0.45">
      <c r="A38" s="3">
        <v>45812</v>
      </c>
      <c r="B38" s="14" t="s">
        <v>477</v>
      </c>
      <c r="C38" s="9" t="s">
        <v>73</v>
      </c>
      <c r="D38" s="13" t="s">
        <v>222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453</v>
      </c>
      <c r="T38" s="12">
        <v>45825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186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470</v>
      </c>
      <c r="AG38" s="1" t="s">
        <v>120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662.93796800000007</v>
      </c>
    </row>
    <row r="39" spans="1:56" ht="27.75" customHeight="1" x14ac:dyDescent="0.45">
      <c r="A39" s="3">
        <v>45812</v>
      </c>
      <c r="B39" s="14" t="s">
        <v>484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453</v>
      </c>
      <c r="T39" s="12">
        <v>45825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186</v>
      </c>
      <c r="AA39" s="8">
        <v>10477.5</v>
      </c>
      <c r="AB39" s="8">
        <v>0</v>
      </c>
      <c r="AC39" s="8">
        <v>10477.5</v>
      </c>
      <c r="AD39" s="8">
        <v>0</v>
      </c>
      <c r="AE39" s="8">
        <v>0</v>
      </c>
      <c r="AF39" s="8" t="s">
        <v>470</v>
      </c>
      <c r="AG39" s="1" t="s">
        <v>120</v>
      </c>
      <c r="AH39" s="1" t="s">
        <v>77</v>
      </c>
      <c r="AI39" s="1">
        <v>2</v>
      </c>
      <c r="AJ39" s="3">
        <v>45825</v>
      </c>
      <c r="AK39" s="3">
        <v>0</v>
      </c>
      <c r="AL39" s="3">
        <v>0</v>
      </c>
      <c r="AM39" s="3">
        <v>0</v>
      </c>
      <c r="AN39" s="3">
        <v>0</v>
      </c>
      <c r="AO39" s="3">
        <v>45823</v>
      </c>
      <c r="AP39" s="3">
        <v>45820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789.21186666666665</v>
      </c>
    </row>
    <row r="40" spans="1:56" ht="27.75" customHeight="1" x14ac:dyDescent="0.45">
      <c r="A40" s="3">
        <v>45812</v>
      </c>
      <c r="B40" s="14" t="s">
        <v>477</v>
      </c>
      <c r="C40" s="9" t="s">
        <v>73</v>
      </c>
      <c r="D40" s="13" t="s">
        <v>485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453</v>
      </c>
      <c r="T40" s="12">
        <v>45827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475</v>
      </c>
      <c r="AG40" s="1" t="s">
        <v>120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45812</v>
      </c>
      <c r="B41" s="14" t="s">
        <v>477</v>
      </c>
      <c r="C41" s="9" t="s">
        <v>73</v>
      </c>
      <c r="D41" s="13" t="s">
        <v>486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453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475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477</v>
      </c>
      <c r="C42" s="9" t="s">
        <v>73</v>
      </c>
      <c r="D42" s="13" t="s">
        <v>349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453</v>
      </c>
      <c r="T42" s="12">
        <v>45827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186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475</v>
      </c>
      <c r="AG42" s="1" t="s">
        <v>120</v>
      </c>
      <c r="AH42" s="1" t="s">
        <v>74</v>
      </c>
      <c r="AI42" s="1">
        <v>2</v>
      </c>
      <c r="AJ42" s="3">
        <v>45827</v>
      </c>
      <c r="AK42" s="3">
        <v>0</v>
      </c>
      <c r="AL42" s="3">
        <v>45818</v>
      </c>
      <c r="AM42" s="3">
        <v>45825</v>
      </c>
      <c r="AN42" s="3">
        <v>45826</v>
      </c>
      <c r="AO42" s="3">
        <v>45826</v>
      </c>
      <c r="AP42" s="3">
        <v>45822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662.93796800000007</v>
      </c>
    </row>
    <row r="43" spans="1:56" ht="27.75" customHeight="1" x14ac:dyDescent="0.45">
      <c r="A43" s="3">
        <v>45812</v>
      </c>
      <c r="B43" s="14" t="s">
        <v>487</v>
      </c>
      <c r="C43" s="9" t="s">
        <v>73</v>
      </c>
      <c r="D43" s="13" t="s">
        <v>488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453</v>
      </c>
      <c r="T43" s="12">
        <v>45827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489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45812</v>
      </c>
      <c r="B44" s="14" t="s">
        <v>487</v>
      </c>
      <c r="C44" s="9" t="s">
        <v>73</v>
      </c>
      <c r="D44" s="13" t="s">
        <v>490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453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489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491</v>
      </c>
      <c r="C45" s="9" t="s">
        <v>73</v>
      </c>
      <c r="D45" s="13" t="s">
        <v>349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453</v>
      </c>
      <c r="T45" s="12">
        <v>45827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489</v>
      </c>
      <c r="AG45" s="1" t="s">
        <v>120</v>
      </c>
      <c r="AH45" s="1" t="s">
        <v>74</v>
      </c>
      <c r="AI45" s="1">
        <v>2</v>
      </c>
      <c r="AJ45" s="3">
        <v>45827</v>
      </c>
      <c r="AK45" s="3">
        <v>0</v>
      </c>
      <c r="AL45" s="3">
        <v>45818</v>
      </c>
      <c r="AM45" s="3">
        <v>45825</v>
      </c>
      <c r="AN45" s="3">
        <v>45826</v>
      </c>
      <c r="AO45" s="3">
        <v>45826</v>
      </c>
      <c r="AP45" s="3">
        <v>45822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705.02926755555563</v>
      </c>
    </row>
    <row r="46" spans="1:56" ht="27.75" customHeight="1" x14ac:dyDescent="0.45">
      <c r="A46" s="3">
        <v>45812</v>
      </c>
      <c r="B46" s="14" t="s">
        <v>491</v>
      </c>
      <c r="C46" s="9" t="s">
        <v>73</v>
      </c>
      <c r="D46" s="13" t="s">
        <v>492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453</v>
      </c>
      <c r="T46" s="12">
        <v>45827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489</v>
      </c>
      <c r="AG46" s="1" t="s">
        <v>120</v>
      </c>
      <c r="AH46" s="1" t="s">
        <v>74</v>
      </c>
      <c r="AI46" s="1">
        <v>2</v>
      </c>
      <c r="AJ46" s="3">
        <v>45827</v>
      </c>
      <c r="AK46" s="3">
        <v>0</v>
      </c>
      <c r="AL46" s="3">
        <v>45818</v>
      </c>
      <c r="AM46" s="3">
        <v>45825</v>
      </c>
      <c r="AN46" s="3">
        <v>45826</v>
      </c>
      <c r="AO46" s="3">
        <v>45826</v>
      </c>
      <c r="AP46" s="3">
        <v>45822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352.51463377777782</v>
      </c>
    </row>
    <row r="47" spans="1:56" ht="27.75" customHeight="1" x14ac:dyDescent="0.45">
      <c r="A47" s="3">
        <v>45812</v>
      </c>
      <c r="B47" s="14" t="s">
        <v>487</v>
      </c>
      <c r="C47" s="9" t="s">
        <v>73</v>
      </c>
      <c r="D47" s="13" t="s">
        <v>493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453</v>
      </c>
      <c r="T47" s="12">
        <v>45828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494</v>
      </c>
      <c r="AG47" s="1" t="s">
        <v>120</v>
      </c>
      <c r="AH47" s="1" t="s">
        <v>74</v>
      </c>
      <c r="AI47" s="1">
        <v>2</v>
      </c>
      <c r="AJ47" s="3">
        <v>45828</v>
      </c>
      <c r="AK47" s="3">
        <v>0</v>
      </c>
      <c r="AL47" s="3">
        <v>45819</v>
      </c>
      <c r="AM47" s="3">
        <v>45826</v>
      </c>
      <c r="AN47" s="3">
        <v>45827</v>
      </c>
      <c r="AO47" s="3">
        <v>45827</v>
      </c>
      <c r="AP47" s="3">
        <v>45823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487</v>
      </c>
      <c r="C48" s="9" t="s">
        <v>73</v>
      </c>
      <c r="D48" s="13" t="s">
        <v>183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453</v>
      </c>
      <c r="T48" s="12">
        <v>45828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186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494</v>
      </c>
      <c r="AG48" s="1" t="s">
        <v>120</v>
      </c>
      <c r="AH48" s="1" t="s">
        <v>74</v>
      </c>
      <c r="AI48" s="1">
        <v>2</v>
      </c>
      <c r="AJ48" s="3">
        <v>45828</v>
      </c>
      <c r="AK48" s="3">
        <v>0</v>
      </c>
      <c r="AL48" s="3">
        <v>45819</v>
      </c>
      <c r="AM48" s="3">
        <v>45826</v>
      </c>
      <c r="AN48" s="3">
        <v>45827</v>
      </c>
      <c r="AO48" s="3">
        <v>45827</v>
      </c>
      <c r="AP48" s="3">
        <v>45823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662.93796800000007</v>
      </c>
    </row>
    <row r="49" spans="1:56" ht="27.75" customHeight="1" x14ac:dyDescent="0.45">
      <c r="A49" s="3">
        <v>45812</v>
      </c>
      <c r="B49" s="14" t="s">
        <v>491</v>
      </c>
      <c r="C49" s="9" t="s">
        <v>73</v>
      </c>
      <c r="D49" s="13" t="s">
        <v>211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453</v>
      </c>
      <c r="T49" s="12">
        <v>45828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186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494</v>
      </c>
      <c r="AG49" s="1" t="s">
        <v>120</v>
      </c>
      <c r="AH49" s="1" t="s">
        <v>74</v>
      </c>
      <c r="AI49" s="1">
        <v>2</v>
      </c>
      <c r="AJ49" s="3">
        <v>45828</v>
      </c>
      <c r="AK49" s="3">
        <v>0</v>
      </c>
      <c r="AL49" s="3">
        <v>45819</v>
      </c>
      <c r="AM49" s="3">
        <v>45826</v>
      </c>
      <c r="AN49" s="3">
        <v>45827</v>
      </c>
      <c r="AO49" s="3">
        <v>45827</v>
      </c>
      <c r="AP49" s="3">
        <v>45823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705.02926755555563</v>
      </c>
    </row>
    <row r="50" spans="1:56" ht="27.75" customHeight="1" x14ac:dyDescent="0.45">
      <c r="A50" s="3">
        <v>45812</v>
      </c>
      <c r="B50" s="14" t="s">
        <v>477</v>
      </c>
      <c r="C50" s="9" t="s">
        <v>73</v>
      </c>
      <c r="D50" s="13" t="s">
        <v>485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453</v>
      </c>
      <c r="T50" s="12">
        <v>45829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495</v>
      </c>
      <c r="AG50" s="1" t="s">
        <v>120</v>
      </c>
      <c r="AH50" s="1" t="s">
        <v>74</v>
      </c>
      <c r="AI50" s="1">
        <v>2</v>
      </c>
      <c r="AJ50" s="3">
        <v>45829</v>
      </c>
      <c r="AK50" s="3">
        <v>0</v>
      </c>
      <c r="AL50" s="3">
        <v>45820</v>
      </c>
      <c r="AM50" s="3">
        <v>45827</v>
      </c>
      <c r="AN50" s="3">
        <v>45828</v>
      </c>
      <c r="AO50" s="3">
        <v>45828</v>
      </c>
      <c r="AP50" s="3">
        <v>45824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477</v>
      </c>
      <c r="C51" s="9" t="s">
        <v>73</v>
      </c>
      <c r="D51" s="13" t="s">
        <v>496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453</v>
      </c>
      <c r="T51" s="12">
        <v>45829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495</v>
      </c>
      <c r="AG51" s="1" t="s">
        <v>61</v>
      </c>
      <c r="AH51" s="1" t="s">
        <v>74</v>
      </c>
      <c r="AI51" s="1">
        <v>2</v>
      </c>
      <c r="AJ51" s="3">
        <v>45829</v>
      </c>
      <c r="AK51" s="3">
        <v>0</v>
      </c>
      <c r="AL51" s="3">
        <v>45820</v>
      </c>
      <c r="AM51" s="3">
        <v>45827</v>
      </c>
      <c r="AN51" s="3">
        <v>45828</v>
      </c>
      <c r="AO51" s="3">
        <v>45828</v>
      </c>
      <c r="AP51" s="3">
        <v>45824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331.46898400000003</v>
      </c>
    </row>
    <row r="52" spans="1:56" ht="27.75" customHeight="1" x14ac:dyDescent="0.45">
      <c r="A52" s="3">
        <v>45812</v>
      </c>
      <c r="B52" s="14" t="s">
        <v>477</v>
      </c>
      <c r="C52" s="9" t="s">
        <v>73</v>
      </c>
      <c r="D52" s="13" t="s">
        <v>210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453</v>
      </c>
      <c r="T52" s="12">
        <v>45829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495</v>
      </c>
      <c r="AG52" s="1" t="s">
        <v>119</v>
      </c>
      <c r="AH52" s="1" t="s">
        <v>74</v>
      </c>
      <c r="AI52" s="1">
        <v>2</v>
      </c>
      <c r="AJ52" s="3">
        <v>45829</v>
      </c>
      <c r="AK52" s="3">
        <v>0</v>
      </c>
      <c r="AL52" s="3">
        <v>45820</v>
      </c>
      <c r="AM52" s="3">
        <v>45827</v>
      </c>
      <c r="AN52" s="3">
        <v>45828</v>
      </c>
      <c r="AO52" s="3">
        <v>45828</v>
      </c>
      <c r="AP52" s="3">
        <v>45824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331.46898400000003</v>
      </c>
    </row>
    <row r="53" spans="1:56" ht="27.75" customHeight="1" x14ac:dyDescent="0.45">
      <c r="A53" s="3">
        <v>45812</v>
      </c>
      <c r="B53" s="14" t="s">
        <v>477</v>
      </c>
      <c r="C53" s="9" t="s">
        <v>73</v>
      </c>
      <c r="D53" s="13" t="s">
        <v>183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453</v>
      </c>
      <c r="T53" s="12">
        <v>45829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186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495</v>
      </c>
      <c r="AG53" s="1" t="s">
        <v>121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662.93796800000007</v>
      </c>
    </row>
    <row r="54" spans="1:56" ht="27.75" customHeight="1" x14ac:dyDescent="0.45">
      <c r="A54" s="3" t="s">
        <v>141</v>
      </c>
      <c r="B54" s="14" t="s">
        <v>141</v>
      </c>
      <c r="C54" s="9" t="s">
        <v>73</v>
      </c>
      <c r="D54" s="13" t="s">
        <v>61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150</v>
      </c>
      <c r="T54" s="12">
        <v>45838</v>
      </c>
      <c r="U54" s="11">
        <v>275000</v>
      </c>
      <c r="V54" s="10">
        <v>0</v>
      </c>
      <c r="W54" s="10">
        <v>275000</v>
      </c>
      <c r="X54" s="10">
        <v>0</v>
      </c>
      <c r="Y54" s="10">
        <v>288750</v>
      </c>
      <c r="Z54" s="9" t="s">
        <v>186</v>
      </c>
      <c r="AA54" s="8">
        <v>242030.25</v>
      </c>
      <c r="AB54" s="8">
        <v>0</v>
      </c>
      <c r="AC54" s="8">
        <v>242030.25</v>
      </c>
      <c r="AD54" s="8">
        <v>0</v>
      </c>
      <c r="AE54" s="8">
        <v>0</v>
      </c>
      <c r="AF54" s="8">
        <v>0</v>
      </c>
      <c r="AG54" s="1" t="s">
        <v>119</v>
      </c>
      <c r="AH54" s="1" t="s">
        <v>74</v>
      </c>
      <c r="AI54" s="1">
        <v>2</v>
      </c>
      <c r="AJ54" s="3">
        <v>45838</v>
      </c>
      <c r="AK54" s="3">
        <v>0</v>
      </c>
      <c r="AL54" s="3">
        <v>45829</v>
      </c>
      <c r="AM54" s="3">
        <v>45836</v>
      </c>
      <c r="AN54" s="3">
        <v>45837</v>
      </c>
      <c r="AO54" s="3">
        <v>45837</v>
      </c>
      <c r="AP54" s="3">
        <v>45833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18230.794120000006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186</v>
      </c>
      <c r="AA55" s="8">
        <v>394638.53</v>
      </c>
      <c r="AB55" s="8">
        <v>8801.1</v>
      </c>
      <c r="AC55" s="8">
        <v>385837.43000000005</v>
      </c>
      <c r="AD55" s="8">
        <v>0</v>
      </c>
      <c r="AE55" s="8">
        <v>0</v>
      </c>
      <c r="AF55" s="8" t="s">
        <v>58</v>
      </c>
      <c r="AG55" s="1" t="s">
        <v>119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188</v>
      </c>
      <c r="BD55" s="56">
        <v>0</v>
      </c>
    </row>
    <row r="56" spans="1:56" ht="27.75" customHeight="1" x14ac:dyDescent="0.45">
      <c r="A56" s="3">
        <v>45803</v>
      </c>
      <c r="B56" s="14" t="s">
        <v>414</v>
      </c>
      <c r="C56" s="9" t="s">
        <v>411</v>
      </c>
      <c r="D56" s="13" t="s">
        <v>415</v>
      </c>
      <c r="E56" s="9">
        <v>19</v>
      </c>
      <c r="F56" s="9">
        <v>34</v>
      </c>
      <c r="G56" s="9" t="s">
        <v>60</v>
      </c>
      <c r="H56" s="9" t="s">
        <v>76</v>
      </c>
      <c r="I56" s="9">
        <v>84</v>
      </c>
      <c r="J56" s="9" t="s">
        <v>57</v>
      </c>
      <c r="K56" s="9">
        <v>5</v>
      </c>
      <c r="L56" s="9" t="s">
        <v>91</v>
      </c>
      <c r="M56" s="10">
        <v>20</v>
      </c>
      <c r="N56" s="9">
        <v>37</v>
      </c>
      <c r="O56" s="9">
        <v>40</v>
      </c>
      <c r="P56" s="10">
        <v>182.56479615999996</v>
      </c>
      <c r="Q56" s="10">
        <v>0</v>
      </c>
      <c r="R56" s="10">
        <v>182.56479615999996</v>
      </c>
      <c r="S56" s="9" t="s">
        <v>67</v>
      </c>
      <c r="T56" s="12">
        <v>45817</v>
      </c>
      <c r="U56" s="11">
        <v>10000</v>
      </c>
      <c r="V56" s="10">
        <v>0</v>
      </c>
      <c r="W56" s="10">
        <v>10000</v>
      </c>
      <c r="X56" s="10">
        <v>10730</v>
      </c>
      <c r="Y56" s="10">
        <v>0</v>
      </c>
      <c r="Z56" s="9" t="s">
        <v>249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68</v>
      </c>
      <c r="AI56" s="1">
        <v>4</v>
      </c>
      <c r="AJ56" s="3">
        <v>45817</v>
      </c>
      <c r="AK56" s="3">
        <v>45813</v>
      </c>
      <c r="AL56" s="3">
        <v>45807</v>
      </c>
      <c r="AM56" s="3">
        <v>45814</v>
      </c>
      <c r="AN56" s="3">
        <v>45815</v>
      </c>
      <c r="AO56" s="3">
        <v>45815</v>
      </c>
      <c r="AP56" s="3">
        <v>45812</v>
      </c>
      <c r="AQ56" s="3">
        <v>45816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459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96</v>
      </c>
      <c r="W57" s="10">
        <v>0</v>
      </c>
      <c r="X57" s="10">
        <v>0</v>
      </c>
      <c r="Y57" s="10">
        <v>0</v>
      </c>
      <c r="Z57" s="9" t="s">
        <v>249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250</v>
      </c>
      <c r="BD57" s="56">
        <v>0</v>
      </c>
    </row>
    <row r="58" spans="1:56" ht="27.75" customHeight="1" x14ac:dyDescent="0.45">
      <c r="A58" s="3">
        <v>45796</v>
      </c>
      <c r="B58" s="14" t="s">
        <v>377</v>
      </c>
      <c r="C58" s="9" t="s">
        <v>147</v>
      </c>
      <c r="D58" s="13" t="s">
        <v>368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 t="s">
        <v>63</v>
      </c>
      <c r="U58" s="11">
        <v>503</v>
      </c>
      <c r="V58" s="10">
        <v>0</v>
      </c>
      <c r="W58" s="10">
        <v>503</v>
      </c>
      <c r="X58" s="10">
        <v>5250</v>
      </c>
      <c r="Y58" s="10">
        <v>0</v>
      </c>
      <c r="Z58" s="9" t="s">
        <v>116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214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116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119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215</v>
      </c>
      <c r="BD59" s="56">
        <v>0</v>
      </c>
    </row>
    <row r="60" spans="1:56" ht="27.75" customHeight="1" x14ac:dyDescent="0.45">
      <c r="A60" s="3" t="s">
        <v>141</v>
      </c>
      <c r="B60" s="14" t="s">
        <v>141</v>
      </c>
      <c r="C60" s="9" t="s">
        <v>340</v>
      </c>
      <c r="D60" s="13" t="s">
        <v>341</v>
      </c>
      <c r="E60" s="9">
        <v>20</v>
      </c>
      <c r="F60" s="9">
        <v>32</v>
      </c>
      <c r="G60" s="9" t="s">
        <v>60</v>
      </c>
      <c r="H60" s="9">
        <v>0</v>
      </c>
      <c r="I60" s="9">
        <v>60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45838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146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121</v>
      </c>
      <c r="AH60" s="1" t="s">
        <v>74</v>
      </c>
      <c r="AI60" s="1">
        <v>2</v>
      </c>
      <c r="AJ60" s="3">
        <v>45838</v>
      </c>
      <c r="AK60" s="3">
        <v>0</v>
      </c>
      <c r="AL60" s="3">
        <v>45829</v>
      </c>
      <c r="AM60" s="3">
        <v>45836</v>
      </c>
      <c r="AN60" s="3">
        <v>45837</v>
      </c>
      <c r="AO60" s="3">
        <v>45837</v>
      </c>
      <c r="AP60" s="3">
        <v>45833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1149.1877222222222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20</v>
      </c>
      <c r="F61" s="9">
        <v>37</v>
      </c>
      <c r="G61" s="9" t="s">
        <v>60</v>
      </c>
      <c r="H61" s="9">
        <v>0</v>
      </c>
      <c r="I61" s="9">
        <v>65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146</v>
      </c>
      <c r="AA61" s="8">
        <v>18719.800000000003</v>
      </c>
      <c r="AB61" s="8">
        <v>0</v>
      </c>
      <c r="AC61" s="8">
        <v>18719.800000000003</v>
      </c>
      <c r="AD61" s="8">
        <v>0</v>
      </c>
      <c r="AE61" s="8">
        <v>0</v>
      </c>
      <c r="AF61" s="8" t="s">
        <v>58</v>
      </c>
      <c r="AG61" s="1" t="s">
        <v>121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45803</v>
      </c>
      <c r="B62" s="14" t="s">
        <v>419</v>
      </c>
      <c r="C62" s="9" t="s">
        <v>111</v>
      </c>
      <c r="D62" s="13" t="s">
        <v>420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45817</v>
      </c>
      <c r="U62" s="11">
        <v>3000</v>
      </c>
      <c r="V62" s="10">
        <v>0</v>
      </c>
      <c r="W62" s="10">
        <v>3000</v>
      </c>
      <c r="X62" s="10">
        <v>3300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45817</v>
      </c>
      <c r="AK62" s="3">
        <v>45813</v>
      </c>
      <c r="AL62" s="3">
        <v>45806</v>
      </c>
      <c r="AM62" s="3">
        <v>45814</v>
      </c>
      <c r="AN62" s="3">
        <v>45815</v>
      </c>
      <c r="AO62" s="3">
        <v>45816</v>
      </c>
      <c r="AP62" s="3">
        <v>45812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378</v>
      </c>
      <c r="C63" s="9" t="s">
        <v>147</v>
      </c>
      <c r="D63" s="13" t="s">
        <v>370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45818</v>
      </c>
      <c r="U63" s="11">
        <v>3280</v>
      </c>
      <c r="V63" s="10">
        <v>2447</v>
      </c>
      <c r="W63" s="10">
        <v>833</v>
      </c>
      <c r="X63" s="10">
        <v>5975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45818</v>
      </c>
      <c r="AK63" s="3">
        <v>45814</v>
      </c>
      <c r="AL63" s="3">
        <v>45807</v>
      </c>
      <c r="AM63" s="3">
        <v>45815</v>
      </c>
      <c r="AN63" s="3">
        <v>45816</v>
      </c>
      <c r="AO63" s="3">
        <v>45817</v>
      </c>
      <c r="AP63" s="3">
        <v>45813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45796</v>
      </c>
      <c r="B64" s="14" t="s">
        <v>379</v>
      </c>
      <c r="C64" s="9" t="s">
        <v>147</v>
      </c>
      <c r="D64" s="13" t="s">
        <v>262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45818</v>
      </c>
      <c r="U64" s="11">
        <v>3853</v>
      </c>
      <c r="V64" s="10">
        <v>840</v>
      </c>
      <c r="W64" s="10">
        <v>3013</v>
      </c>
      <c r="X64" s="10">
        <v>15401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45818</v>
      </c>
      <c r="AK64" s="3">
        <v>45814</v>
      </c>
      <c r="AL64" s="3">
        <v>45807</v>
      </c>
      <c r="AM64" s="3">
        <v>45815</v>
      </c>
      <c r="AN64" s="3">
        <v>45816</v>
      </c>
      <c r="AO64" s="3">
        <v>45817</v>
      </c>
      <c r="AP64" s="3">
        <v>45813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379</v>
      </c>
      <c r="C65" s="9" t="s">
        <v>147</v>
      </c>
      <c r="D65" s="13" t="s">
        <v>209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45818</v>
      </c>
      <c r="U65" s="11">
        <v>4349</v>
      </c>
      <c r="V65" s="10">
        <v>0</v>
      </c>
      <c r="W65" s="10">
        <v>4349</v>
      </c>
      <c r="X65" s="10">
        <v>0</v>
      </c>
      <c r="Y65" s="10">
        <v>4566.45</v>
      </c>
      <c r="Z65" s="9" t="s">
        <v>81</v>
      </c>
      <c r="AA65" s="8">
        <v>4556.6647499999999</v>
      </c>
      <c r="AB65" s="8">
        <v>4556.6647499999999</v>
      </c>
      <c r="AC65" s="8">
        <v>0</v>
      </c>
      <c r="AD65" s="8">
        <v>0</v>
      </c>
      <c r="AE65" s="8">
        <v>4556.6647499999999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45818</v>
      </c>
      <c r="AK65" s="3">
        <v>45814</v>
      </c>
      <c r="AL65" s="3">
        <v>45807</v>
      </c>
      <c r="AM65" s="3">
        <v>45815</v>
      </c>
      <c r="AN65" s="3">
        <v>45816</v>
      </c>
      <c r="AO65" s="3">
        <v>45817</v>
      </c>
      <c r="AP65" s="3">
        <v>45813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382</v>
      </c>
      <c r="C66" s="9" t="s">
        <v>147</v>
      </c>
      <c r="D66" s="13" t="s">
        <v>154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45818</v>
      </c>
      <c r="U66" s="11">
        <v>40000</v>
      </c>
      <c r="V66" s="10">
        <v>3782</v>
      </c>
      <c r="W66" s="10">
        <v>36218</v>
      </c>
      <c r="X66" s="10">
        <v>2010</v>
      </c>
      <c r="Y66" s="10">
        <v>38028.9</v>
      </c>
      <c r="Z66" s="9" t="s">
        <v>81</v>
      </c>
      <c r="AA66" s="8">
        <v>37947.409500000009</v>
      </c>
      <c r="AB66" s="8">
        <v>37947.409500000009</v>
      </c>
      <c r="AC66" s="8">
        <v>0</v>
      </c>
      <c r="AD66" s="8">
        <v>0</v>
      </c>
      <c r="AE66" s="8">
        <v>37947.409500000009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45818</v>
      </c>
      <c r="AK66" s="3">
        <v>45814</v>
      </c>
      <c r="AL66" s="3">
        <v>45807</v>
      </c>
      <c r="AM66" s="3">
        <v>45815</v>
      </c>
      <c r="AN66" s="3">
        <v>45816</v>
      </c>
      <c r="AO66" s="3">
        <v>45817</v>
      </c>
      <c r="AP66" s="3">
        <v>45813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373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45766</v>
      </c>
      <c r="B67" s="14" t="s">
        <v>330</v>
      </c>
      <c r="C67" s="9" t="s">
        <v>147</v>
      </c>
      <c r="D67" s="13" t="s">
        <v>154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45818</v>
      </c>
      <c r="U67" s="11">
        <v>1866</v>
      </c>
      <c r="V67" s="10">
        <v>1866</v>
      </c>
      <c r="W67" s="10">
        <v>0</v>
      </c>
      <c r="X67" s="10">
        <v>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241</v>
      </c>
      <c r="AG67" s="1" t="s">
        <v>120</v>
      </c>
      <c r="AH67" s="1" t="s">
        <v>75</v>
      </c>
      <c r="AI67" s="1">
        <v>4</v>
      </c>
      <c r="AJ67" s="3">
        <v>45818</v>
      </c>
      <c r="AK67" s="3">
        <v>45814</v>
      </c>
      <c r="AL67" s="3">
        <v>45807</v>
      </c>
      <c r="AM67" s="3">
        <v>45815</v>
      </c>
      <c r="AN67" s="3">
        <v>45816</v>
      </c>
      <c r="AO67" s="3">
        <v>45817</v>
      </c>
      <c r="AP67" s="3">
        <v>45813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383</v>
      </c>
      <c r="C68" s="9" t="s">
        <v>147</v>
      </c>
      <c r="D68" s="13" t="s">
        <v>264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45818</v>
      </c>
      <c r="U68" s="11">
        <v>10000</v>
      </c>
      <c r="V68" s="10">
        <v>3920</v>
      </c>
      <c r="W68" s="10">
        <v>6080</v>
      </c>
      <c r="X68" s="10">
        <v>12101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45818</v>
      </c>
      <c r="AK68" s="3">
        <v>45814</v>
      </c>
      <c r="AL68" s="3">
        <v>45807</v>
      </c>
      <c r="AM68" s="3">
        <v>45815</v>
      </c>
      <c r="AN68" s="3">
        <v>45816</v>
      </c>
      <c r="AO68" s="3">
        <v>45817</v>
      </c>
      <c r="AP68" s="3">
        <v>45813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45766</v>
      </c>
      <c r="B69" s="14" t="s">
        <v>330</v>
      </c>
      <c r="C69" s="9" t="s">
        <v>147</v>
      </c>
      <c r="D69" s="13" t="s">
        <v>264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45818</v>
      </c>
      <c r="U69" s="11">
        <v>1120</v>
      </c>
      <c r="V69" s="10">
        <v>1120</v>
      </c>
      <c r="W69" s="10">
        <v>0</v>
      </c>
      <c r="X69" s="10">
        <v>1200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241</v>
      </c>
      <c r="AG69" s="1" t="s">
        <v>120</v>
      </c>
      <c r="AH69" s="1" t="s">
        <v>75</v>
      </c>
      <c r="AI69" s="1">
        <v>4</v>
      </c>
      <c r="AJ69" s="3">
        <v>45818</v>
      </c>
      <c r="AK69" s="3">
        <v>45814</v>
      </c>
      <c r="AL69" s="3">
        <v>45807</v>
      </c>
      <c r="AM69" s="3">
        <v>45815</v>
      </c>
      <c r="AN69" s="3">
        <v>45816</v>
      </c>
      <c r="AO69" s="3">
        <v>45817</v>
      </c>
      <c r="AP69" s="3">
        <v>45813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45799</v>
      </c>
      <c r="B70" s="14" t="s">
        <v>416</v>
      </c>
      <c r="C70" s="9" t="s">
        <v>394</v>
      </c>
      <c r="D70" s="13" t="s">
        <v>395</v>
      </c>
      <c r="E70" s="9">
        <v>20</v>
      </c>
      <c r="F70" s="9">
        <v>34</v>
      </c>
      <c r="G70" s="9" t="s">
        <v>60</v>
      </c>
      <c r="H70" s="9" t="s">
        <v>66</v>
      </c>
      <c r="I70" s="9">
        <v>95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45819</v>
      </c>
      <c r="U70" s="11">
        <v>12000</v>
      </c>
      <c r="V70" s="10">
        <v>0</v>
      </c>
      <c r="W70" s="10">
        <v>12000</v>
      </c>
      <c r="X70" s="10">
        <v>0</v>
      </c>
      <c r="Y70" s="10">
        <v>12600</v>
      </c>
      <c r="Z70" s="9" t="s">
        <v>81</v>
      </c>
      <c r="AA70" s="8">
        <v>11902.44</v>
      </c>
      <c r="AB70" s="8">
        <v>11902.44</v>
      </c>
      <c r="AC70" s="8">
        <v>0</v>
      </c>
      <c r="AD70" s="8">
        <v>0</v>
      </c>
      <c r="AE70" s="8">
        <v>11902.44</v>
      </c>
      <c r="AF70" s="8" t="s">
        <v>241</v>
      </c>
      <c r="AG70" s="1" t="s">
        <v>120</v>
      </c>
      <c r="AH70" s="1" t="s">
        <v>75</v>
      </c>
      <c r="AI70" s="1">
        <v>4</v>
      </c>
      <c r="AJ70" s="3">
        <v>45819</v>
      </c>
      <c r="AK70" s="3">
        <v>45815</v>
      </c>
      <c r="AL70" s="3">
        <v>45808</v>
      </c>
      <c r="AM70" s="3">
        <v>45816</v>
      </c>
      <c r="AN70" s="3">
        <v>45817</v>
      </c>
      <c r="AO70" s="3">
        <v>45818</v>
      </c>
      <c r="AP70" s="3">
        <v>45814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45810</v>
      </c>
      <c r="B71" s="14" t="s">
        <v>460</v>
      </c>
      <c r="C71" s="9" t="s">
        <v>461</v>
      </c>
      <c r="D71" s="13" t="s">
        <v>395</v>
      </c>
      <c r="E71" s="9">
        <v>20</v>
      </c>
      <c r="F71" s="9">
        <v>34</v>
      </c>
      <c r="G71" s="9" t="s">
        <v>60</v>
      </c>
      <c r="H71" s="9" t="s">
        <v>66</v>
      </c>
      <c r="I71" s="9">
        <v>95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45819</v>
      </c>
      <c r="U71" s="11">
        <v>1500</v>
      </c>
      <c r="V71" s="10">
        <v>0</v>
      </c>
      <c r="W71" s="10">
        <v>1500</v>
      </c>
      <c r="X71" s="10">
        <v>0</v>
      </c>
      <c r="Y71" s="10">
        <v>1575</v>
      </c>
      <c r="Z71" s="9" t="s">
        <v>81</v>
      </c>
      <c r="AA71" s="8">
        <v>1487.8050000000001</v>
      </c>
      <c r="AB71" s="8">
        <v>1487.8050000000001</v>
      </c>
      <c r="AC71" s="8">
        <v>0</v>
      </c>
      <c r="AD71" s="8">
        <v>0</v>
      </c>
      <c r="AE71" s="8">
        <v>1487.8050000000001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45819</v>
      </c>
      <c r="AK71" s="3">
        <v>45815</v>
      </c>
      <c r="AL71" s="3">
        <v>45808</v>
      </c>
      <c r="AM71" s="3">
        <v>45816</v>
      </c>
      <c r="AN71" s="3">
        <v>45817</v>
      </c>
      <c r="AO71" s="3">
        <v>45818</v>
      </c>
      <c r="AP71" s="3">
        <v>45814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45799</v>
      </c>
      <c r="B72" s="14" t="s">
        <v>416</v>
      </c>
      <c r="C72" s="9" t="s">
        <v>394</v>
      </c>
      <c r="D72" s="13" t="s">
        <v>396</v>
      </c>
      <c r="E72" s="9">
        <v>20</v>
      </c>
      <c r="F72" s="9">
        <v>34</v>
      </c>
      <c r="G72" s="9" t="s">
        <v>60</v>
      </c>
      <c r="H72" s="9" t="s">
        <v>66</v>
      </c>
      <c r="I72" s="9">
        <v>95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45819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81</v>
      </c>
      <c r="AA72" s="8">
        <v>7934.96</v>
      </c>
      <c r="AB72" s="8">
        <v>7934.96</v>
      </c>
      <c r="AC72" s="8">
        <v>0</v>
      </c>
      <c r="AD72" s="8">
        <v>0</v>
      </c>
      <c r="AE72" s="8">
        <v>7934.96</v>
      </c>
      <c r="AF72" s="8" t="s">
        <v>241</v>
      </c>
      <c r="AG72" s="1" t="s">
        <v>119</v>
      </c>
      <c r="AH72" s="1" t="s">
        <v>75</v>
      </c>
      <c r="AI72" s="1">
        <v>4</v>
      </c>
      <c r="AJ72" s="3">
        <v>45819</v>
      </c>
      <c r="AK72" s="3">
        <v>45815</v>
      </c>
      <c r="AL72" s="3">
        <v>45808</v>
      </c>
      <c r="AM72" s="3">
        <v>45816</v>
      </c>
      <c r="AN72" s="3">
        <v>45817</v>
      </c>
      <c r="AO72" s="3">
        <v>45818</v>
      </c>
      <c r="AP72" s="3">
        <v>45814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45810</v>
      </c>
      <c r="B73" s="14" t="s">
        <v>460</v>
      </c>
      <c r="C73" s="9" t="s">
        <v>461</v>
      </c>
      <c r="D73" s="13" t="s">
        <v>396</v>
      </c>
      <c r="E73" s="9">
        <v>20</v>
      </c>
      <c r="F73" s="9">
        <v>34</v>
      </c>
      <c r="G73" s="9" t="s">
        <v>60</v>
      </c>
      <c r="H73" s="9" t="s">
        <v>66</v>
      </c>
      <c r="I73" s="9">
        <v>95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45819</v>
      </c>
      <c r="U73" s="11">
        <v>1000</v>
      </c>
      <c r="V73" s="10">
        <v>0</v>
      </c>
      <c r="W73" s="10">
        <v>1000</v>
      </c>
      <c r="X73" s="10">
        <v>0</v>
      </c>
      <c r="Y73" s="10">
        <v>1050</v>
      </c>
      <c r="Z73" s="9" t="s">
        <v>81</v>
      </c>
      <c r="AA73" s="8">
        <v>991.87</v>
      </c>
      <c r="AB73" s="8">
        <v>991.87</v>
      </c>
      <c r="AC73" s="8">
        <v>0</v>
      </c>
      <c r="AD73" s="8">
        <v>0</v>
      </c>
      <c r="AE73" s="8">
        <v>991.87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45819</v>
      </c>
      <c r="AK73" s="3">
        <v>45815</v>
      </c>
      <c r="AL73" s="3">
        <v>45808</v>
      </c>
      <c r="AM73" s="3">
        <v>45816</v>
      </c>
      <c r="AN73" s="3">
        <v>45817</v>
      </c>
      <c r="AO73" s="3">
        <v>45818</v>
      </c>
      <c r="AP73" s="3">
        <v>45814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45782</v>
      </c>
      <c r="B74" s="14" t="s">
        <v>367</v>
      </c>
      <c r="C74" s="9" t="s">
        <v>80</v>
      </c>
      <c r="D74" s="13" t="s">
        <v>318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45820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45820</v>
      </c>
      <c r="AK74" s="3">
        <v>45816</v>
      </c>
      <c r="AL74" s="3">
        <v>45809</v>
      </c>
      <c r="AM74" s="3">
        <v>45817</v>
      </c>
      <c r="AN74" s="3">
        <v>45818</v>
      </c>
      <c r="AO74" s="3">
        <v>45819</v>
      </c>
      <c r="AP74" s="3">
        <v>45815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45756</v>
      </c>
      <c r="B75" s="14" t="s">
        <v>321</v>
      </c>
      <c r="C75" s="9" t="s">
        <v>80</v>
      </c>
      <c r="D75" s="13" t="s">
        <v>322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45820</v>
      </c>
      <c r="U75" s="11">
        <v>3000</v>
      </c>
      <c r="V75" s="10">
        <v>3148</v>
      </c>
      <c r="W75" s="10">
        <v>0</v>
      </c>
      <c r="X75" s="10">
        <v>6505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45820</v>
      </c>
      <c r="AK75" s="3">
        <v>45816</v>
      </c>
      <c r="AL75" s="3">
        <v>45809</v>
      </c>
      <c r="AM75" s="3">
        <v>45817</v>
      </c>
      <c r="AN75" s="3">
        <v>45818</v>
      </c>
      <c r="AO75" s="3">
        <v>45819</v>
      </c>
      <c r="AP75" s="3">
        <v>45815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45740</v>
      </c>
      <c r="B76" s="14" t="s">
        <v>306</v>
      </c>
      <c r="C76" s="9" t="s">
        <v>80</v>
      </c>
      <c r="D76" s="13" t="s">
        <v>258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45820</v>
      </c>
      <c r="U76" s="11">
        <v>2500</v>
      </c>
      <c r="V76" s="10">
        <v>2825</v>
      </c>
      <c r="W76" s="10">
        <v>0</v>
      </c>
      <c r="X76" s="10">
        <v>5688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45820</v>
      </c>
      <c r="AK76" s="3">
        <v>45816</v>
      </c>
      <c r="AL76" s="3">
        <v>45809</v>
      </c>
      <c r="AM76" s="3">
        <v>45817</v>
      </c>
      <c r="AN76" s="3">
        <v>45818</v>
      </c>
      <c r="AO76" s="3">
        <v>45819</v>
      </c>
      <c r="AP76" s="3">
        <v>45815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45808</v>
      </c>
      <c r="B77" s="14" t="s">
        <v>454</v>
      </c>
      <c r="C77" s="9" t="s">
        <v>445</v>
      </c>
      <c r="D77" s="13" t="s">
        <v>446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220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45821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120</v>
      </c>
      <c r="AH77" s="1" t="s">
        <v>68</v>
      </c>
      <c r="AI77" s="1">
        <v>4</v>
      </c>
      <c r="AJ77" s="3">
        <v>45821</v>
      </c>
      <c r="AK77" s="3">
        <v>45817</v>
      </c>
      <c r="AL77" s="3">
        <v>45811</v>
      </c>
      <c r="AM77" s="3">
        <v>45818</v>
      </c>
      <c r="AN77" s="3">
        <v>45819</v>
      </c>
      <c r="AO77" s="3">
        <v>45819</v>
      </c>
      <c r="AP77" s="3">
        <v>45816</v>
      </c>
      <c r="AQ77" s="3">
        <v>45820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45808</v>
      </c>
      <c r="B78" s="14" t="s">
        <v>462</v>
      </c>
      <c r="C78" s="9" t="s">
        <v>147</v>
      </c>
      <c r="D78" s="13" t="s">
        <v>155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329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45822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45822</v>
      </c>
      <c r="AK78" s="3">
        <v>45818</v>
      </c>
      <c r="AL78" s="3">
        <v>45811</v>
      </c>
      <c r="AM78" s="3">
        <v>45819</v>
      </c>
      <c r="AN78" s="3">
        <v>45820</v>
      </c>
      <c r="AO78" s="3">
        <v>45821</v>
      </c>
      <c r="AP78" s="3">
        <v>45817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398.98320000000001</v>
      </c>
    </row>
    <row r="79" spans="1:56" ht="27.75" customHeight="1" x14ac:dyDescent="0.45">
      <c r="A79" s="3">
        <v>45803</v>
      </c>
      <c r="B79" s="14" t="s">
        <v>421</v>
      </c>
      <c r="C79" s="9" t="s">
        <v>111</v>
      </c>
      <c r="D79" s="13" t="s">
        <v>422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45831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45831</v>
      </c>
      <c r="AK79" s="3">
        <v>45827</v>
      </c>
      <c r="AL79" s="3">
        <v>45820</v>
      </c>
      <c r="AM79" s="3">
        <v>45828</v>
      </c>
      <c r="AN79" s="3">
        <v>45829</v>
      </c>
      <c r="AO79" s="3">
        <v>45830</v>
      </c>
      <c r="AP79" s="3">
        <v>45826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7.75" customHeight="1" x14ac:dyDescent="0.45">
      <c r="A80" s="3">
        <v>45803</v>
      </c>
      <c r="B80" s="14" t="s">
        <v>417</v>
      </c>
      <c r="C80" s="9" t="s">
        <v>111</v>
      </c>
      <c r="D80" s="13" t="s">
        <v>418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45814</v>
      </c>
      <c r="B81" s="14" t="s">
        <v>508</v>
      </c>
      <c r="C81" s="9" t="s">
        <v>509</v>
      </c>
      <c r="D81" s="13" t="s">
        <v>510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45835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21513.800000000003</v>
      </c>
      <c r="AB81" s="8">
        <v>0</v>
      </c>
      <c r="AC81" s="8">
        <v>21513.800000000003</v>
      </c>
      <c r="AD81" s="8">
        <v>0</v>
      </c>
      <c r="AE81" s="8">
        <v>21513.800000000003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45835</v>
      </c>
      <c r="AK81" s="3">
        <v>45831</v>
      </c>
      <c r="AL81" s="3">
        <v>45824</v>
      </c>
      <c r="AM81" s="3">
        <v>45832</v>
      </c>
      <c r="AN81" s="3">
        <v>45833</v>
      </c>
      <c r="AO81" s="3">
        <v>45834</v>
      </c>
      <c r="AP81" s="3">
        <v>45830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1625.4871111111113</v>
      </c>
    </row>
    <row r="82" spans="1:56" ht="27.75" customHeight="1" x14ac:dyDescent="0.45">
      <c r="A82" s="3">
        <v>45814</v>
      </c>
      <c r="B82" s="14" t="s">
        <v>508</v>
      </c>
      <c r="C82" s="9" t="s">
        <v>509</v>
      </c>
      <c r="D82" s="13" t="s">
        <v>511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0</v>
      </c>
      <c r="AC82" s="8">
        <v>10756.900000000001</v>
      </c>
      <c r="AD82" s="8">
        <v>0</v>
      </c>
      <c r="AE82" s="8">
        <v>10756.900000000001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812.74355555555564</v>
      </c>
    </row>
    <row r="83" spans="1:56" ht="27.75" customHeight="1" x14ac:dyDescent="0.45">
      <c r="A83" s="3">
        <v>45814</v>
      </c>
      <c r="B83" s="14" t="s">
        <v>508</v>
      </c>
      <c r="C83" s="9" t="s">
        <v>509</v>
      </c>
      <c r="D83" s="13" t="s">
        <v>512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45835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0</v>
      </c>
      <c r="AC83" s="8">
        <v>10756.900000000001</v>
      </c>
      <c r="AD83" s="8">
        <v>0</v>
      </c>
      <c r="AE83" s="8">
        <v>10756.900000000001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45835</v>
      </c>
      <c r="AK83" s="3">
        <v>45831</v>
      </c>
      <c r="AL83" s="3">
        <v>45824</v>
      </c>
      <c r="AM83" s="3">
        <v>45832</v>
      </c>
      <c r="AN83" s="3">
        <v>45833</v>
      </c>
      <c r="AO83" s="3">
        <v>45834</v>
      </c>
      <c r="AP83" s="3">
        <v>45830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812.74355555555564</v>
      </c>
    </row>
    <row r="84" spans="1:56" ht="27.75" customHeight="1" x14ac:dyDescent="0.45">
      <c r="A84" s="3">
        <v>45814</v>
      </c>
      <c r="B84" s="14" t="s">
        <v>513</v>
      </c>
      <c r="C84" s="9" t="s">
        <v>509</v>
      </c>
      <c r="D84" s="13" t="s">
        <v>514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>
        <v>0</v>
      </c>
      <c r="AG84" s="1" t="s">
        <v>119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406.37177777777782</v>
      </c>
    </row>
    <row r="85" spans="1:56" ht="27.75" customHeight="1" x14ac:dyDescent="0.45">
      <c r="A85" s="3">
        <v>45814</v>
      </c>
      <c r="B85" s="14" t="s">
        <v>513</v>
      </c>
      <c r="C85" s="9" t="s">
        <v>509</v>
      </c>
      <c r="D85" s="13" t="s">
        <v>515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45835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10756.900000000001</v>
      </c>
      <c r="AB85" s="8">
        <v>0</v>
      </c>
      <c r="AC85" s="8">
        <v>10756.900000000001</v>
      </c>
      <c r="AD85" s="8">
        <v>0</v>
      </c>
      <c r="AE85" s="8">
        <v>10756.900000000001</v>
      </c>
      <c r="AF85" s="8">
        <v>0</v>
      </c>
      <c r="AG85" s="1" t="s">
        <v>119</v>
      </c>
      <c r="AH85" s="1" t="s">
        <v>75</v>
      </c>
      <c r="AI85" s="1">
        <v>4</v>
      </c>
      <c r="AJ85" s="3">
        <v>45835</v>
      </c>
      <c r="AK85" s="3">
        <v>45831</v>
      </c>
      <c r="AL85" s="3">
        <v>45824</v>
      </c>
      <c r="AM85" s="3">
        <v>45832</v>
      </c>
      <c r="AN85" s="3">
        <v>45833</v>
      </c>
      <c r="AO85" s="3">
        <v>45834</v>
      </c>
      <c r="AP85" s="3">
        <v>45830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812.74355555555564</v>
      </c>
    </row>
    <row r="86" spans="1:56" ht="27.75" customHeight="1" x14ac:dyDescent="0.45">
      <c r="A86" s="3" t="s">
        <v>141</v>
      </c>
      <c r="B86" s="14" t="s">
        <v>141</v>
      </c>
      <c r="C86" s="9" t="s">
        <v>147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45838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81</v>
      </c>
      <c r="AA86" s="8">
        <v>104775.00000000001</v>
      </c>
      <c r="AB86" s="8">
        <v>0</v>
      </c>
      <c r="AC86" s="8">
        <v>104775.00000000001</v>
      </c>
      <c r="AD86" s="8">
        <v>0</v>
      </c>
      <c r="AE86" s="8">
        <v>104775.00000000001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45838</v>
      </c>
      <c r="AK86" s="3">
        <v>45834</v>
      </c>
      <c r="AL86" s="3">
        <v>45827</v>
      </c>
      <c r="AM86" s="3">
        <v>45835</v>
      </c>
      <c r="AN86" s="3">
        <v>45836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7916.333333333333</v>
      </c>
    </row>
    <row r="87" spans="1:56" ht="27.75" customHeight="1" x14ac:dyDescent="0.45">
      <c r="A87" s="3">
        <v>45796</v>
      </c>
      <c r="B87" s="14" t="s">
        <v>378</v>
      </c>
      <c r="C87" s="9" t="s">
        <v>147</v>
      </c>
      <c r="D87" s="13" t="s">
        <v>369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45796</v>
      </c>
      <c r="B88" s="14" t="s">
        <v>380</v>
      </c>
      <c r="C88" s="9" t="s">
        <v>147</v>
      </c>
      <c r="D88" s="13" t="s">
        <v>295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45796</v>
      </c>
      <c r="B89" s="14" t="s">
        <v>380</v>
      </c>
      <c r="C89" s="9" t="s">
        <v>147</v>
      </c>
      <c r="D89" s="13" t="s">
        <v>371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45796</v>
      </c>
      <c r="B90" s="14" t="s">
        <v>381</v>
      </c>
      <c r="C90" s="9" t="s">
        <v>147</v>
      </c>
      <c r="D90" s="13" t="s">
        <v>136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45798</v>
      </c>
      <c r="B91" s="14" t="s">
        <v>405</v>
      </c>
      <c r="C91" s="9" t="s">
        <v>111</v>
      </c>
      <c r="D91" s="13" t="s">
        <v>397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7.75" customHeight="1" x14ac:dyDescent="0.45">
      <c r="A92" s="3">
        <v>45782</v>
      </c>
      <c r="B92" s="14" t="s">
        <v>367</v>
      </c>
      <c r="C92" s="9" t="s">
        <v>80</v>
      </c>
      <c r="D92" s="13" t="s">
        <v>318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1667.7075555555555</v>
      </c>
    </row>
    <row r="93" spans="1:56" ht="27.75" customHeight="1" x14ac:dyDescent="0.45">
      <c r="A93" s="3">
        <v>45810</v>
      </c>
      <c r="B93" s="14" t="s">
        <v>471</v>
      </c>
      <c r="C93" s="9" t="s">
        <v>80</v>
      </c>
      <c r="D93" s="13" t="s">
        <v>258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7.75" customHeight="1" x14ac:dyDescent="0.45">
      <c r="A94" s="3">
        <v>45810</v>
      </c>
      <c r="B94" s="14" t="s">
        <v>472</v>
      </c>
      <c r="C94" s="9" t="s">
        <v>80</v>
      </c>
      <c r="D94" s="13" t="s">
        <v>473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250.15613333333337</v>
      </c>
    </row>
    <row r="95" spans="1:56" ht="27.75" customHeight="1" x14ac:dyDescent="0.45">
      <c r="A95" s="3">
        <v>45721</v>
      </c>
      <c r="B95" s="14" t="s">
        <v>298</v>
      </c>
      <c r="C95" s="9" t="s">
        <v>147</v>
      </c>
      <c r="D95" s="13" t="s">
        <v>263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111</v>
      </c>
      <c r="V95" s="10">
        <v>0</v>
      </c>
      <c r="W95" s="10">
        <v>111</v>
      </c>
      <c r="X95" s="10">
        <v>5600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45611</v>
      </c>
      <c r="B96" s="14" t="s">
        <v>219</v>
      </c>
      <c r="C96" s="9" t="s">
        <v>147</v>
      </c>
      <c r="D96" s="13" t="s">
        <v>127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67</v>
      </c>
      <c r="V96" s="10">
        <v>67</v>
      </c>
      <c r="W96" s="10">
        <v>0</v>
      </c>
      <c r="X96" s="10">
        <v>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45721</v>
      </c>
      <c r="B97" s="14" t="s">
        <v>299</v>
      </c>
      <c r="C97" s="9" t="s">
        <v>147</v>
      </c>
      <c r="D97" s="13" t="s">
        <v>296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734</v>
      </c>
      <c r="V97" s="10">
        <v>0</v>
      </c>
      <c r="W97" s="10">
        <v>734</v>
      </c>
      <c r="X97" s="10">
        <v>5520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 t="s">
        <v>141</v>
      </c>
      <c r="B98" s="14" t="s">
        <v>141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45838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121</v>
      </c>
      <c r="AH98" s="1" t="s">
        <v>75</v>
      </c>
      <c r="AI98" s="1">
        <v>4</v>
      </c>
      <c r="AJ98" s="3">
        <v>45838</v>
      </c>
      <c r="AK98" s="3">
        <v>45834</v>
      </c>
      <c r="AL98" s="3">
        <v>45827</v>
      </c>
      <c r="AM98" s="3">
        <v>45835</v>
      </c>
      <c r="AN98" s="3">
        <v>45836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1667.7075555555555</v>
      </c>
    </row>
    <row r="99" spans="1:56" ht="27.75" customHeight="1" x14ac:dyDescent="0.45">
      <c r="A99" s="3" t="s">
        <v>141</v>
      </c>
      <c r="B99" s="14" t="s">
        <v>141</v>
      </c>
      <c r="C99" s="9" t="s">
        <v>98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45838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81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119</v>
      </c>
      <c r="AH99" s="1" t="s">
        <v>75</v>
      </c>
      <c r="AI99" s="1">
        <v>4</v>
      </c>
      <c r="AJ99" s="3">
        <v>45838</v>
      </c>
      <c r="AK99" s="3">
        <v>45834</v>
      </c>
      <c r="AL99" s="3">
        <v>45827</v>
      </c>
      <c r="AM99" s="3">
        <v>45835</v>
      </c>
      <c r="AN99" s="3">
        <v>45836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3250.9742222222226</v>
      </c>
    </row>
    <row r="100" spans="1:56" ht="27.75" customHeight="1" x14ac:dyDescent="0.45">
      <c r="A100" s="3">
        <v>45681</v>
      </c>
      <c r="B100" s="14" t="s">
        <v>269</v>
      </c>
      <c r="C100" s="9" t="s">
        <v>80</v>
      </c>
      <c r="D100" s="13" t="s">
        <v>268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3478.5300000000007</v>
      </c>
      <c r="AB100" s="8">
        <v>0</v>
      </c>
      <c r="AC100" s="8">
        <v>3478.5300000000007</v>
      </c>
      <c r="AD100" s="8">
        <v>0</v>
      </c>
      <c r="AE100" s="8">
        <v>3478.5300000000007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262.82226666666674</v>
      </c>
    </row>
    <row r="101" spans="1:56" ht="27.75" customHeight="1" x14ac:dyDescent="0.45">
      <c r="A101" s="3">
        <v>45705</v>
      </c>
      <c r="B101" s="14" t="s">
        <v>288</v>
      </c>
      <c r="C101" s="9" t="s">
        <v>147</v>
      </c>
      <c r="D101" s="13" t="s">
        <v>198</v>
      </c>
      <c r="E101" s="9">
        <v>20</v>
      </c>
      <c r="F101" s="9">
        <v>35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855</v>
      </c>
      <c r="V101" s="10">
        <v>0</v>
      </c>
      <c r="W101" s="10">
        <v>855</v>
      </c>
      <c r="X101" s="10">
        <v>16440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291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45674</v>
      </c>
      <c r="B102" s="14" t="s">
        <v>266</v>
      </c>
      <c r="C102" s="9" t="s">
        <v>147</v>
      </c>
      <c r="D102" s="13" t="s">
        <v>265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221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290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45611</v>
      </c>
      <c r="B103" s="14" t="s">
        <v>218</v>
      </c>
      <c r="C103" s="9" t="s">
        <v>147</v>
      </c>
      <c r="D103" s="13" t="s">
        <v>217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45523</v>
      </c>
      <c r="B104" s="14" t="s">
        <v>195</v>
      </c>
      <c r="C104" s="9" t="s">
        <v>147</v>
      </c>
      <c r="D104" s="13" t="s">
        <v>193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45523</v>
      </c>
      <c r="B105" s="14" t="s">
        <v>195</v>
      </c>
      <c r="C105" s="9" t="s">
        <v>147</v>
      </c>
      <c r="D105" s="13" t="s">
        <v>194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89</v>
      </c>
      <c r="V105" s="10">
        <v>0</v>
      </c>
      <c r="W105" s="10">
        <v>89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45752</v>
      </c>
      <c r="B106" s="14" t="s">
        <v>314</v>
      </c>
      <c r="C106" s="9" t="s">
        <v>80</v>
      </c>
      <c r="D106" s="13" t="s">
        <v>315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2000</v>
      </c>
      <c r="V106" s="10">
        <v>2000</v>
      </c>
      <c r="W106" s="10">
        <v>0</v>
      </c>
      <c r="X106" s="10">
        <v>5400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320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45741</v>
      </c>
      <c r="B107" s="14" t="s">
        <v>307</v>
      </c>
      <c r="C107" s="9" t="s">
        <v>111</v>
      </c>
      <c r="D107" s="13" t="s">
        <v>305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4000</v>
      </c>
      <c r="V107" s="10">
        <v>3857</v>
      </c>
      <c r="W107" s="10">
        <v>143</v>
      </c>
      <c r="X107" s="10">
        <v>4200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320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45720</v>
      </c>
      <c r="B108" s="14" t="s">
        <v>133</v>
      </c>
      <c r="C108" s="9" t="s">
        <v>111</v>
      </c>
      <c r="D108" s="13" t="s">
        <v>239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45720</v>
      </c>
      <c r="B109" s="14" t="s">
        <v>133</v>
      </c>
      <c r="C109" s="9" t="s">
        <v>111</v>
      </c>
      <c r="D109" s="13" t="s">
        <v>257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45541</v>
      </c>
      <c r="B110" s="14" t="s">
        <v>199</v>
      </c>
      <c r="C110" s="9" t="s">
        <v>111</v>
      </c>
      <c r="D110" s="13" t="s">
        <v>200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203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260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45548</v>
      </c>
      <c r="B111" s="14" t="s">
        <v>202</v>
      </c>
      <c r="C111" s="9" t="s">
        <v>111</v>
      </c>
      <c r="D111" s="13" t="s">
        <v>201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137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119</v>
      </c>
      <c r="AH111" s="1" t="s">
        <v>75</v>
      </c>
      <c r="AI111" s="1">
        <v>4</v>
      </c>
      <c r="AJ111" s="3" t="s">
        <v>137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45581</v>
      </c>
      <c r="B112" s="14" t="s">
        <v>207</v>
      </c>
      <c r="C112" s="9" t="s">
        <v>111</v>
      </c>
      <c r="D112" s="13" t="s">
        <v>208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137</v>
      </c>
      <c r="U112" s="11">
        <v>3000</v>
      </c>
      <c r="V112" s="10">
        <v>3194</v>
      </c>
      <c r="W112" s="10">
        <v>0</v>
      </c>
      <c r="X112" s="10">
        <v>5632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137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359979.30925000005</v>
      </c>
      <c r="AB113" s="8">
        <v>82451.289250000016</v>
      </c>
      <c r="AC113" s="8">
        <v>277528.02</v>
      </c>
      <c r="AD113" s="8">
        <v>0</v>
      </c>
      <c r="AE113" s="8">
        <v>359979.30925000005</v>
      </c>
      <c r="AF113" s="8" t="s">
        <v>58</v>
      </c>
      <c r="AG113" s="1" t="s">
        <v>119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45796</v>
      </c>
      <c r="B114" s="14" t="s">
        <v>384</v>
      </c>
      <c r="C114" s="9" t="s">
        <v>147</v>
      </c>
      <c r="D114" s="13" t="s">
        <v>372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221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640</v>
      </c>
      <c r="V114" s="10">
        <v>0</v>
      </c>
      <c r="W114" s="10">
        <v>640</v>
      </c>
      <c r="X114" s="10">
        <v>83500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241</v>
      </c>
      <c r="AG114" s="1" t="s">
        <v>120</v>
      </c>
      <c r="AH114" s="1" t="s">
        <v>74</v>
      </c>
      <c r="AI114" s="1">
        <v>2</v>
      </c>
      <c r="AJ114" s="3" t="s">
        <v>63</v>
      </c>
      <c r="AK114" s="3">
        <v>0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45786</v>
      </c>
      <c r="B115" s="14" t="s">
        <v>365</v>
      </c>
      <c r="C115" s="9" t="s">
        <v>86</v>
      </c>
      <c r="D115" s="13" t="s">
        <v>360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253</v>
      </c>
      <c r="T115" s="12">
        <v>45838</v>
      </c>
      <c r="U115" s="11">
        <v>10000</v>
      </c>
      <c r="V115" s="10">
        <v>10196</v>
      </c>
      <c r="W115" s="10">
        <v>0</v>
      </c>
      <c r="X115" s="10">
        <v>10500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240</v>
      </c>
      <c r="AG115" s="1" t="s">
        <v>121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45812</v>
      </c>
      <c r="B116" s="14" t="s">
        <v>497</v>
      </c>
      <c r="C116" s="9" t="s">
        <v>73</v>
      </c>
      <c r="D116" s="13" t="s">
        <v>474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150</v>
      </c>
      <c r="T116" s="12">
        <v>45827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4679.9500000000007</v>
      </c>
      <c r="AB116" s="8">
        <v>4679.9500000000007</v>
      </c>
      <c r="AC116" s="8">
        <v>0</v>
      </c>
      <c r="AD116" s="8">
        <v>0</v>
      </c>
      <c r="AE116" s="8">
        <v>0</v>
      </c>
      <c r="AF116" s="8" t="s">
        <v>475</v>
      </c>
      <c r="AG116" s="1" t="s">
        <v>121</v>
      </c>
      <c r="AH116" s="1" t="s">
        <v>74</v>
      </c>
      <c r="AI116" s="1">
        <v>2</v>
      </c>
      <c r="AJ116" s="3">
        <v>45827</v>
      </c>
      <c r="AK116" s="3">
        <v>0</v>
      </c>
      <c r="AL116" s="3">
        <v>45818</v>
      </c>
      <c r="AM116" s="3">
        <v>45825</v>
      </c>
      <c r="AN116" s="3">
        <v>45826</v>
      </c>
      <c r="AO116" s="3">
        <v>45826</v>
      </c>
      <c r="AP116" s="3">
        <v>45822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45813</v>
      </c>
      <c r="B117" s="14" t="s">
        <v>516</v>
      </c>
      <c r="C117" s="9" t="s">
        <v>86</v>
      </c>
      <c r="D117" s="13" t="s">
        <v>498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253</v>
      </c>
      <c r="T117" s="12">
        <v>45838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240</v>
      </c>
      <c r="AG117" s="1" t="s">
        <v>61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45805</v>
      </c>
      <c r="B118" s="14" t="s">
        <v>439</v>
      </c>
      <c r="C118" s="9" t="s">
        <v>86</v>
      </c>
      <c r="D118" s="13" t="s">
        <v>440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45845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356</v>
      </c>
      <c r="AG118" s="1" t="s">
        <v>119</v>
      </c>
      <c r="AH118" s="1" t="s">
        <v>74</v>
      </c>
      <c r="AI118" s="1">
        <v>2</v>
      </c>
      <c r="AJ118" s="3">
        <v>45845</v>
      </c>
      <c r="AK118" s="3">
        <v>0</v>
      </c>
      <c r="AL118" s="3">
        <v>45836</v>
      </c>
      <c r="AM118" s="3">
        <v>45843</v>
      </c>
      <c r="AN118" s="3">
        <v>45844</v>
      </c>
      <c r="AO118" s="3">
        <v>45844</v>
      </c>
      <c r="AP118" s="3">
        <v>45840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45805</v>
      </c>
      <c r="B119" s="14" t="s">
        <v>439</v>
      </c>
      <c r="C119" s="9" t="s">
        <v>86</v>
      </c>
      <c r="D119" s="13" t="s">
        <v>338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5450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356</v>
      </c>
      <c r="AG119" s="1" t="s">
        <v>119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141</v>
      </c>
      <c r="B120" s="14" t="s">
        <v>141</v>
      </c>
      <c r="C120" s="9" t="s">
        <v>147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221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82</v>
      </c>
      <c r="AA120" s="8">
        <v>157162.5</v>
      </c>
      <c r="AB120" s="8">
        <v>129450</v>
      </c>
      <c r="AC120" s="8">
        <v>27712.5</v>
      </c>
      <c r="AD120" s="8">
        <v>0</v>
      </c>
      <c r="AE120" s="8">
        <v>0</v>
      </c>
      <c r="AF120" s="8" t="s">
        <v>241</v>
      </c>
      <c r="AG120" s="1" t="s">
        <v>119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2118.4666666666667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167220.9</v>
      </c>
      <c r="AB121" s="8">
        <v>139508.4</v>
      </c>
      <c r="AC121" s="8">
        <v>27712.5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0</v>
      </c>
      <c r="B122" s="14" t="s">
        <v>133</v>
      </c>
      <c r="C122" s="9" t="s">
        <v>342</v>
      </c>
      <c r="D122" s="13" t="s">
        <v>342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598108</v>
      </c>
      <c r="Y122" s="10">
        <v>784236.6</v>
      </c>
      <c r="Z122" s="9" t="s">
        <v>343</v>
      </c>
      <c r="AA122" s="8">
        <v>714217.60364219989</v>
      </c>
      <c r="AB122" s="8">
        <v>190682</v>
      </c>
      <c r="AC122" s="8">
        <v>523535.60364219989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344</v>
      </c>
      <c r="BD122" s="56">
        <v>45983.87718657322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343</v>
      </c>
      <c r="AA123" s="8">
        <v>714217.60364219989</v>
      </c>
      <c r="AB123" s="8">
        <v>190682</v>
      </c>
      <c r="AC123" s="8">
        <v>523535.60364219989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345</v>
      </c>
      <c r="BD123" s="56">
        <v>0</v>
      </c>
    </row>
    <row r="124" spans="1:56" ht="27.75" customHeight="1" x14ac:dyDescent="0.45">
      <c r="A124" s="3">
        <v>45803</v>
      </c>
      <c r="B124" s="14" t="s">
        <v>424</v>
      </c>
      <c r="C124" s="9" t="s">
        <v>233</v>
      </c>
      <c r="D124" s="13" t="s">
        <v>412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36</v>
      </c>
      <c r="O124" s="9">
        <v>40</v>
      </c>
      <c r="P124" s="10">
        <v>195.39367372799995</v>
      </c>
      <c r="Q124" s="10">
        <v>0</v>
      </c>
      <c r="R124" s="10">
        <v>195.39367372799995</v>
      </c>
      <c r="S124" s="9" t="s">
        <v>67</v>
      </c>
      <c r="T124" s="12">
        <v>45820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135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676.95127500000001</v>
      </c>
    </row>
    <row r="125" spans="1:56" ht="27.75" customHeight="1" x14ac:dyDescent="0.45">
      <c r="A125" s="3">
        <v>45813</v>
      </c>
      <c r="B125" s="14" t="s">
        <v>133</v>
      </c>
      <c r="C125" s="9" t="s">
        <v>185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45817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135</v>
      </c>
      <c r="AA125" s="8">
        <v>11036.3</v>
      </c>
      <c r="AB125" s="8">
        <v>4900</v>
      </c>
      <c r="AC125" s="8">
        <v>6136.2999999999993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2</v>
      </c>
      <c r="AJ125" s="3">
        <v>45817</v>
      </c>
      <c r="AK125" s="3">
        <v>0</v>
      </c>
      <c r="AL125" s="3">
        <v>0</v>
      </c>
      <c r="AM125" s="3">
        <v>0</v>
      </c>
      <c r="AN125" s="3">
        <v>0</v>
      </c>
      <c r="AO125" s="3">
        <v>45815</v>
      </c>
      <c r="AP125" s="3">
        <v>45812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418.80247499999984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67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135</v>
      </c>
      <c r="AA126" s="8">
        <v>20955</v>
      </c>
      <c r="AB126" s="8">
        <v>4900</v>
      </c>
      <c r="AC126" s="8">
        <v>16055</v>
      </c>
      <c r="AD126" s="8">
        <v>0</v>
      </c>
      <c r="AE126" s="8">
        <v>0</v>
      </c>
      <c r="AF126" s="8" t="s">
        <v>58</v>
      </c>
      <c r="AG126" s="1" t="s">
        <v>120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45799</v>
      </c>
      <c r="B127" s="14" t="s">
        <v>428</v>
      </c>
      <c r="C127" s="9" t="s">
        <v>115</v>
      </c>
      <c r="D127" s="13" t="s">
        <v>300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45819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124</v>
      </c>
      <c r="AA127" s="8">
        <v>53784.500000000007</v>
      </c>
      <c r="AB127" s="8">
        <v>14689</v>
      </c>
      <c r="AC127" s="8">
        <v>39095.500000000007</v>
      </c>
      <c r="AD127" s="8">
        <v>4500</v>
      </c>
      <c r="AE127" s="8">
        <v>49284.500000000007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45819</v>
      </c>
      <c r="AK127" s="3">
        <v>45815</v>
      </c>
      <c r="AL127" s="3">
        <v>45809</v>
      </c>
      <c r="AM127" s="3">
        <v>45816</v>
      </c>
      <c r="AN127" s="3">
        <v>45817</v>
      </c>
      <c r="AO127" s="3">
        <v>45817</v>
      </c>
      <c r="AP127" s="3">
        <v>45814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2811.4877233333336</v>
      </c>
    </row>
    <row r="128" spans="1:56" ht="27.75" customHeight="1" x14ac:dyDescent="0.45">
      <c r="A128" s="3">
        <v>45799</v>
      </c>
      <c r="B128" s="14" t="s">
        <v>428</v>
      </c>
      <c r="C128" s="9" t="s">
        <v>115</v>
      </c>
      <c r="D128" s="13" t="s">
        <v>333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45819</v>
      </c>
      <c r="U128" s="11">
        <v>25000</v>
      </c>
      <c r="V128" s="10">
        <v>0</v>
      </c>
      <c r="W128" s="10">
        <v>25000</v>
      </c>
      <c r="X128" s="10">
        <v>52800</v>
      </c>
      <c r="Y128" s="10">
        <v>0</v>
      </c>
      <c r="Z128" s="9" t="s">
        <v>124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45819</v>
      </c>
      <c r="AK128" s="3">
        <v>45815</v>
      </c>
      <c r="AL128" s="3">
        <v>45809</v>
      </c>
      <c r="AM128" s="3">
        <v>45816</v>
      </c>
      <c r="AN128" s="3">
        <v>45817</v>
      </c>
      <c r="AO128" s="3">
        <v>45817</v>
      </c>
      <c r="AP128" s="3">
        <v>45814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0</v>
      </c>
    </row>
    <row r="129" spans="1:56" ht="27.75" customHeight="1" x14ac:dyDescent="0.45">
      <c r="A129" s="3">
        <v>45808</v>
      </c>
      <c r="B129" s="14" t="s">
        <v>456</v>
      </c>
      <c r="C129" s="9" t="s">
        <v>111</v>
      </c>
      <c r="D129" s="13" t="s">
        <v>403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124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120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396.82856033333326</v>
      </c>
    </row>
    <row r="130" spans="1:56" ht="27.75" customHeight="1" x14ac:dyDescent="0.45">
      <c r="A130" s="3">
        <v>45798</v>
      </c>
      <c r="B130" s="14" t="s">
        <v>409</v>
      </c>
      <c r="C130" s="9" t="s">
        <v>111</v>
      </c>
      <c r="D130" s="13" t="s">
        <v>402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65.13122457599998</v>
      </c>
      <c r="Q130" s="10">
        <v>0</v>
      </c>
      <c r="R130" s="10">
        <v>65.13122457599998</v>
      </c>
      <c r="S130" s="9" t="s">
        <v>67</v>
      </c>
      <c r="T130" s="12">
        <v>45817</v>
      </c>
      <c r="U130" s="11">
        <v>3000</v>
      </c>
      <c r="V130" s="10">
        <v>0</v>
      </c>
      <c r="W130" s="10">
        <v>3000</v>
      </c>
      <c r="X130" s="10">
        <v>3835</v>
      </c>
      <c r="Y130" s="10">
        <v>0</v>
      </c>
      <c r="Z130" s="9" t="s">
        <v>124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120</v>
      </c>
      <c r="AH130" s="1" t="s">
        <v>68</v>
      </c>
      <c r="AI130" s="1">
        <v>4</v>
      </c>
      <c r="AJ130" s="3">
        <v>45817</v>
      </c>
      <c r="AK130" s="3">
        <v>45813</v>
      </c>
      <c r="AL130" s="3">
        <v>45807</v>
      </c>
      <c r="AM130" s="3">
        <v>45814</v>
      </c>
      <c r="AN130" s="3">
        <v>45815</v>
      </c>
      <c r="AO130" s="3">
        <v>45815</v>
      </c>
      <c r="AP130" s="3">
        <v>45812</v>
      </c>
      <c r="AQ130" s="3">
        <v>45816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0</v>
      </c>
    </row>
    <row r="131" spans="1:56" ht="27.75" customHeight="1" x14ac:dyDescent="0.45">
      <c r="A131" s="3">
        <v>45799</v>
      </c>
      <c r="B131" s="14" t="s">
        <v>427</v>
      </c>
      <c r="C131" s="9" t="s">
        <v>115</v>
      </c>
      <c r="D131" s="13" t="s">
        <v>399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124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32270.700000000004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2320.6936060000003</v>
      </c>
    </row>
    <row r="132" spans="1:56" ht="27.75" customHeight="1" x14ac:dyDescent="0.45">
      <c r="A132" s="3">
        <v>45799</v>
      </c>
      <c r="B132" s="14" t="s">
        <v>427</v>
      </c>
      <c r="C132" s="9" t="s">
        <v>115</v>
      </c>
      <c r="D132" s="13" t="s">
        <v>350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124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2320.6936060000003</v>
      </c>
    </row>
    <row r="133" spans="1:56" ht="27.75" customHeight="1" x14ac:dyDescent="0.45">
      <c r="A133" s="3">
        <v>45799</v>
      </c>
      <c r="B133" s="14" t="s">
        <v>427</v>
      </c>
      <c r="C133" s="9" t="s">
        <v>115</v>
      </c>
      <c r="D133" s="13" t="s">
        <v>400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124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21513.800000000003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1547.1290706666666</v>
      </c>
    </row>
    <row r="134" spans="1:56" ht="27.75" customHeight="1" x14ac:dyDescent="0.45">
      <c r="A134" s="3">
        <v>45803</v>
      </c>
      <c r="B134" s="14" t="s">
        <v>425</v>
      </c>
      <c r="C134" s="9" t="s">
        <v>111</v>
      </c>
      <c r="D134" s="13" t="s">
        <v>426</v>
      </c>
      <c r="E134" s="9">
        <v>21</v>
      </c>
      <c r="F134" s="9">
        <v>40</v>
      </c>
      <c r="G134" s="9" t="s">
        <v>60</v>
      </c>
      <c r="H134" s="9" t="s">
        <v>66</v>
      </c>
      <c r="I134" s="9">
        <v>108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42</v>
      </c>
      <c r="O134" s="9">
        <v>40</v>
      </c>
      <c r="P134" s="10">
        <v>113.97964300799998</v>
      </c>
      <c r="Q134" s="10">
        <v>0</v>
      </c>
      <c r="R134" s="10">
        <v>113.97964300799998</v>
      </c>
      <c r="S134" s="9" t="s">
        <v>67</v>
      </c>
      <c r="T134" s="12">
        <v>45831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124</v>
      </c>
      <c r="AA134" s="8">
        <v>5797.55</v>
      </c>
      <c r="AB134" s="8">
        <v>0</v>
      </c>
      <c r="AC134" s="8">
        <v>5797.55</v>
      </c>
      <c r="AD134" s="8">
        <v>0</v>
      </c>
      <c r="AE134" s="8">
        <v>5797.55</v>
      </c>
      <c r="AF134" s="8">
        <v>0</v>
      </c>
      <c r="AG134" s="1" t="s">
        <v>122</v>
      </c>
      <c r="AH134" s="1" t="s">
        <v>68</v>
      </c>
      <c r="AI134" s="1">
        <v>4</v>
      </c>
      <c r="AJ134" s="3">
        <v>45831</v>
      </c>
      <c r="AK134" s="3">
        <v>45827</v>
      </c>
      <c r="AL134" s="3">
        <v>45821</v>
      </c>
      <c r="AM134" s="3">
        <v>45828</v>
      </c>
      <c r="AN134" s="3">
        <v>45829</v>
      </c>
      <c r="AO134" s="3">
        <v>45829</v>
      </c>
      <c r="AP134" s="3">
        <v>45826</v>
      </c>
      <c r="AQ134" s="3">
        <v>45830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416.92114566666663</v>
      </c>
    </row>
    <row r="135" spans="1:56" ht="27.75" customHeight="1" x14ac:dyDescent="0.45">
      <c r="A135" s="3">
        <v>45815</v>
      </c>
      <c r="B135" s="14" t="s">
        <v>133</v>
      </c>
      <c r="C135" s="9" t="s">
        <v>517</v>
      </c>
      <c r="D135" s="13" t="s">
        <v>518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217.10408191999997</v>
      </c>
      <c r="Q135" s="10">
        <v>0</v>
      </c>
      <c r="R135" s="10">
        <v>217.10408191999997</v>
      </c>
      <c r="S135" s="9" t="s">
        <v>71</v>
      </c>
      <c r="T135" s="12">
        <v>45825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124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10756.900000000001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45825</v>
      </c>
      <c r="AK135" s="3">
        <v>45821</v>
      </c>
      <c r="AL135" s="3">
        <v>45815</v>
      </c>
      <c r="AM135" s="3">
        <v>45822</v>
      </c>
      <c r="AN135" s="3">
        <v>45823</v>
      </c>
      <c r="AO135" s="3">
        <v>45823</v>
      </c>
      <c r="AP135" s="3">
        <v>45820</v>
      </c>
      <c r="AQ135" s="3">
        <v>45824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773.56453533333331</v>
      </c>
    </row>
    <row r="136" spans="1:56" ht="27.75" customHeight="1" x14ac:dyDescent="0.45">
      <c r="A136" s="3">
        <v>45814</v>
      </c>
      <c r="B136" s="14" t="s">
        <v>133</v>
      </c>
      <c r="C136" s="9" t="s">
        <v>111</v>
      </c>
      <c r="D136" s="13" t="s">
        <v>519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>
        <v>45821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124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45820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238.09713619999999</v>
      </c>
    </row>
    <row r="137" spans="1:56" ht="27.75" customHeight="1" x14ac:dyDescent="0.45">
      <c r="A137" s="3">
        <v>45814</v>
      </c>
      <c r="B137" s="14" t="s">
        <v>133</v>
      </c>
      <c r="C137" s="9" t="s">
        <v>520</v>
      </c>
      <c r="D137" s="13" t="s">
        <v>59</v>
      </c>
      <c r="E137" s="9">
        <v>21</v>
      </c>
      <c r="F137" s="9">
        <v>39</v>
      </c>
      <c r="G137" s="9" t="s">
        <v>60</v>
      </c>
      <c r="H137" s="9" t="s">
        <v>66</v>
      </c>
      <c r="I137" s="9">
        <v>105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521</v>
      </c>
      <c r="T137" s="12">
        <v>45817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124</v>
      </c>
      <c r="AA137" s="8">
        <v>1131.5700000000002</v>
      </c>
      <c r="AB137" s="8">
        <v>0</v>
      </c>
      <c r="AC137" s="8">
        <v>1131.5700000000002</v>
      </c>
      <c r="AD137" s="8">
        <v>0</v>
      </c>
      <c r="AE137" s="8">
        <v>1131.5700000000002</v>
      </c>
      <c r="AF137" s="8">
        <v>0</v>
      </c>
      <c r="AG137" s="1" t="s">
        <v>120</v>
      </c>
      <c r="AH137" s="1" t="s">
        <v>156</v>
      </c>
      <c r="AI137" s="1">
        <v>2</v>
      </c>
      <c r="AJ137" s="3">
        <v>45817</v>
      </c>
      <c r="AK137" s="3">
        <v>45815</v>
      </c>
      <c r="AL137" s="3">
        <v>0</v>
      </c>
      <c r="AM137" s="3">
        <v>0</v>
      </c>
      <c r="AN137" s="3">
        <v>0</v>
      </c>
      <c r="AO137" s="3">
        <v>45816</v>
      </c>
      <c r="AP137" s="3">
        <v>45812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152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81.374970599999997</v>
      </c>
    </row>
    <row r="138" spans="1:56" ht="27.75" customHeight="1" x14ac:dyDescent="0.45">
      <c r="A138" s="3">
        <v>45814</v>
      </c>
      <c r="B138" s="14" t="s">
        <v>522</v>
      </c>
      <c r="C138" s="9" t="s">
        <v>523</v>
      </c>
      <c r="D138" s="13" t="s">
        <v>524</v>
      </c>
      <c r="E138" s="9">
        <v>21</v>
      </c>
      <c r="F138" s="9">
        <v>37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124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5378.4500000000007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45822</v>
      </c>
      <c r="AK138" s="3">
        <v>45818</v>
      </c>
      <c r="AL138" s="3">
        <v>45812</v>
      </c>
      <c r="AM138" s="3">
        <v>45819</v>
      </c>
      <c r="AN138" s="3">
        <v>45820</v>
      </c>
      <c r="AO138" s="3">
        <v>45820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386.78226766666666</v>
      </c>
    </row>
    <row r="139" spans="1:56" ht="27.75" customHeight="1" x14ac:dyDescent="0.45">
      <c r="A139" s="3" t="s">
        <v>141</v>
      </c>
      <c r="B139" s="14" t="s">
        <v>141</v>
      </c>
      <c r="C139" s="9" t="s">
        <v>115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45838</v>
      </c>
      <c r="U139" s="11">
        <v>130000</v>
      </c>
      <c r="V139" s="10">
        <v>0</v>
      </c>
      <c r="W139" s="10">
        <v>130000</v>
      </c>
      <c r="X139" s="10">
        <v>0</v>
      </c>
      <c r="Y139" s="10">
        <v>136500</v>
      </c>
      <c r="Z139" s="9" t="s">
        <v>124</v>
      </c>
      <c r="AA139" s="8">
        <v>139839.70000000001</v>
      </c>
      <c r="AB139" s="8">
        <v>0</v>
      </c>
      <c r="AC139" s="8">
        <v>139839.70000000001</v>
      </c>
      <c r="AD139" s="8">
        <v>0</v>
      </c>
      <c r="AE139" s="8">
        <v>139839.70000000001</v>
      </c>
      <c r="AF139" s="8">
        <v>0</v>
      </c>
      <c r="AG139" s="1" t="s">
        <v>119</v>
      </c>
      <c r="AH139" s="1" t="s">
        <v>68</v>
      </c>
      <c r="AI139" s="1">
        <v>4</v>
      </c>
      <c r="AJ139" s="3">
        <v>45838</v>
      </c>
      <c r="AK139" s="3">
        <v>45834</v>
      </c>
      <c r="AL139" s="3">
        <v>45828</v>
      </c>
      <c r="AM139" s="3">
        <v>45835</v>
      </c>
      <c r="AN139" s="3">
        <v>45836</v>
      </c>
      <c r="AO139" s="3">
        <v>45836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10056.338959333332</v>
      </c>
    </row>
    <row r="140" spans="1:56" ht="27.75" customHeight="1" x14ac:dyDescent="0.45">
      <c r="A140" s="3">
        <v>45628</v>
      </c>
      <c r="B140" s="14" t="s">
        <v>226</v>
      </c>
      <c r="C140" s="9" t="s">
        <v>113</v>
      </c>
      <c r="D140" s="13" t="s">
        <v>153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45838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124</v>
      </c>
      <c r="AA140" s="8">
        <v>8605.52</v>
      </c>
      <c r="AB140" s="8">
        <v>0</v>
      </c>
      <c r="AC140" s="8">
        <v>8605.52</v>
      </c>
      <c r="AD140" s="8">
        <v>0</v>
      </c>
      <c r="AE140" s="8">
        <v>8605.52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45838</v>
      </c>
      <c r="AK140" s="3">
        <v>45834</v>
      </c>
      <c r="AL140" s="3">
        <v>45828</v>
      </c>
      <c r="AM140" s="3">
        <v>45835</v>
      </c>
      <c r="AN140" s="3">
        <v>45836</v>
      </c>
      <c r="AO140" s="3">
        <v>45836</v>
      </c>
      <c r="AP140" s="3">
        <v>45833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254</v>
      </c>
      <c r="AZ140" s="2">
        <v>0</v>
      </c>
      <c r="BA140" s="2">
        <v>0</v>
      </c>
      <c r="BB140" s="2">
        <v>0</v>
      </c>
      <c r="BC140" s="1" t="s">
        <v>125</v>
      </c>
      <c r="BD140" s="56">
        <v>618.85162826666658</v>
      </c>
    </row>
    <row r="141" spans="1:56" ht="27.75" customHeight="1" x14ac:dyDescent="0.45">
      <c r="A141" s="3">
        <v>45814</v>
      </c>
      <c r="B141" s="14" t="s">
        <v>133</v>
      </c>
      <c r="C141" s="9" t="s">
        <v>111</v>
      </c>
      <c r="D141" s="13" t="s">
        <v>407</v>
      </c>
      <c r="E141" s="9">
        <v>21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42</v>
      </c>
      <c r="O141" s="9">
        <v>40</v>
      </c>
      <c r="P141" s="10">
        <v>68.387785804799989</v>
      </c>
      <c r="Q141" s="10">
        <v>0</v>
      </c>
      <c r="R141" s="10">
        <v>68.387785804799989</v>
      </c>
      <c r="S141" s="9" t="s">
        <v>67</v>
      </c>
      <c r="T141" s="12">
        <v>45821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124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250.15268740000002</v>
      </c>
    </row>
    <row r="142" spans="1:56" ht="27.75" customHeight="1" x14ac:dyDescent="0.45">
      <c r="A142" s="3">
        <v>45800</v>
      </c>
      <c r="B142" s="14" t="s">
        <v>406</v>
      </c>
      <c r="C142" s="9" t="s">
        <v>80</v>
      </c>
      <c r="D142" s="13" t="s">
        <v>407</v>
      </c>
      <c r="E142" s="9">
        <v>21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42</v>
      </c>
      <c r="O142" s="9">
        <v>40</v>
      </c>
      <c r="P142" s="10">
        <v>5.2886554355711999</v>
      </c>
      <c r="Q142" s="10">
        <v>0</v>
      </c>
      <c r="R142" s="10">
        <v>5.2886554355711999</v>
      </c>
      <c r="S142" s="9" t="s">
        <v>67</v>
      </c>
      <c r="T142" s="12">
        <v>45838</v>
      </c>
      <c r="U142" s="11">
        <v>5000</v>
      </c>
      <c r="V142" s="10">
        <v>4768</v>
      </c>
      <c r="W142" s="10">
        <v>232</v>
      </c>
      <c r="X142" s="10">
        <v>10420</v>
      </c>
      <c r="Y142" s="10">
        <v>0</v>
      </c>
      <c r="Z142" s="9" t="s">
        <v>124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45838</v>
      </c>
      <c r="AK142" s="3">
        <v>45834</v>
      </c>
      <c r="AL142" s="3">
        <v>45828</v>
      </c>
      <c r="AM142" s="3">
        <v>45835</v>
      </c>
      <c r="AN142" s="3">
        <v>45836</v>
      </c>
      <c r="AO142" s="3">
        <v>45836</v>
      </c>
      <c r="AP142" s="3">
        <v>45833</v>
      </c>
      <c r="AQ142" s="3">
        <v>45837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0</v>
      </c>
    </row>
    <row r="143" spans="1:56" ht="27.75" customHeight="1" x14ac:dyDescent="0.45">
      <c r="A143" s="3">
        <v>45798</v>
      </c>
      <c r="B143" s="14" t="s">
        <v>408</v>
      </c>
      <c r="C143" s="9" t="s">
        <v>111</v>
      </c>
      <c r="D143" s="13" t="s">
        <v>401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124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120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238.09713619999999</v>
      </c>
    </row>
    <row r="144" spans="1:56" ht="27.75" customHeight="1" x14ac:dyDescent="0.45">
      <c r="A144" s="3">
        <v>45631</v>
      </c>
      <c r="B144" s="14" t="s">
        <v>230</v>
      </c>
      <c r="C144" s="9" t="s">
        <v>113</v>
      </c>
      <c r="D144" s="13" t="s">
        <v>153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124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255</v>
      </c>
      <c r="AZ144" s="2">
        <v>0</v>
      </c>
      <c r="BA144" s="2">
        <v>0</v>
      </c>
      <c r="BB144" s="2">
        <v>0</v>
      </c>
      <c r="BC144" s="1" t="s">
        <v>125</v>
      </c>
      <c r="BD144" s="56">
        <v>1237.7032565333332</v>
      </c>
    </row>
    <row r="145" spans="1:56" ht="27.75" customHeight="1" x14ac:dyDescent="0.45">
      <c r="A145" s="3">
        <v>45631</v>
      </c>
      <c r="B145" s="14" t="s">
        <v>231</v>
      </c>
      <c r="C145" s="9" t="s">
        <v>113</v>
      </c>
      <c r="D145" s="13" t="s">
        <v>153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124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120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256</v>
      </c>
      <c r="AZ145" s="2">
        <v>0</v>
      </c>
      <c r="BA145" s="2">
        <v>0</v>
      </c>
      <c r="BB145" s="2">
        <v>0</v>
      </c>
      <c r="BC145" s="1" t="s">
        <v>125</v>
      </c>
      <c r="BD145" s="56">
        <v>1237.7032565333332</v>
      </c>
    </row>
    <row r="146" spans="1:56" ht="27.75" customHeight="1" x14ac:dyDescent="0.45">
      <c r="A146" s="3" t="s">
        <v>141</v>
      </c>
      <c r="B146" s="14" t="s">
        <v>141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124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119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773.56453533333331</v>
      </c>
    </row>
    <row r="147" spans="1:56" ht="27.75" customHeight="1" x14ac:dyDescent="0.45">
      <c r="A147" s="3" t="s">
        <v>141</v>
      </c>
      <c r="B147" s="14" t="s">
        <v>141</v>
      </c>
      <c r="C147" s="9" t="s">
        <v>111</v>
      </c>
      <c r="D147" s="13" t="s">
        <v>61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227.95928601599996</v>
      </c>
      <c r="Q147" s="10">
        <v>0</v>
      </c>
      <c r="R147" s="10">
        <v>227.95928601599996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124</v>
      </c>
      <c r="AA147" s="8">
        <v>11595.1</v>
      </c>
      <c r="AB147" s="8">
        <v>0</v>
      </c>
      <c r="AC147" s="8">
        <v>11595.1</v>
      </c>
      <c r="AD147" s="8">
        <v>0</v>
      </c>
      <c r="AE147" s="8">
        <v>11595.1</v>
      </c>
      <c r="AF147" s="8">
        <v>0</v>
      </c>
      <c r="AG147" s="1" t="s">
        <v>123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833.84229133333326</v>
      </c>
    </row>
    <row r="148" spans="1:56" ht="27.75" customHeight="1" x14ac:dyDescent="0.45">
      <c r="A148" s="3">
        <v>45066</v>
      </c>
      <c r="B148" s="14" t="s">
        <v>131</v>
      </c>
      <c r="C148" s="9" t="s">
        <v>80</v>
      </c>
      <c r="D148" s="13" t="s">
        <v>130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124</v>
      </c>
      <c r="AA148" s="8">
        <v>5518.15</v>
      </c>
      <c r="AB148" s="8">
        <v>0</v>
      </c>
      <c r="AC148" s="8">
        <v>5518.15</v>
      </c>
      <c r="AD148" s="8">
        <v>0</v>
      </c>
      <c r="AE148" s="8">
        <v>5518.15</v>
      </c>
      <c r="AF148" s="8">
        <v>0</v>
      </c>
      <c r="AG148" s="1" t="s">
        <v>119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396.82856033333326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>
        <v>0</v>
      </c>
      <c r="H149" s="9">
        <v>0</v>
      </c>
      <c r="I149" s="9">
        <v>74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 t="s">
        <v>83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124</v>
      </c>
      <c r="AA149" s="8">
        <v>389260.08000000007</v>
      </c>
      <c r="AB149" s="8">
        <v>14689</v>
      </c>
      <c r="AC149" s="8">
        <v>374571.08000000007</v>
      </c>
      <c r="AD149" s="8">
        <v>4500</v>
      </c>
      <c r="AE149" s="8">
        <v>384760.08000000007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126</v>
      </c>
      <c r="BD149" s="56">
        <v>0</v>
      </c>
    </row>
    <row r="150" spans="1:56" ht="27.75" customHeight="1" x14ac:dyDescent="0.45">
      <c r="A150" s="3">
        <v>9</v>
      </c>
      <c r="B150" s="14" t="s">
        <v>366</v>
      </c>
      <c r="C150" s="9" t="s">
        <v>361</v>
      </c>
      <c r="D150" s="13" t="s">
        <v>362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363</v>
      </c>
      <c r="T150" s="12">
        <v>45833</v>
      </c>
      <c r="U150" s="11">
        <v>239700</v>
      </c>
      <c r="V150" s="10">
        <v>0</v>
      </c>
      <c r="W150" s="10">
        <v>239700</v>
      </c>
      <c r="X150" s="10">
        <v>117200</v>
      </c>
      <c r="Y150" s="10">
        <v>128625</v>
      </c>
      <c r="Z150" s="9" t="s">
        <v>280</v>
      </c>
      <c r="AA150" s="8">
        <v>127579.27875</v>
      </c>
      <c r="AB150" s="8">
        <v>31742</v>
      </c>
      <c r="AC150" s="8">
        <v>95837.278749999998</v>
      </c>
      <c r="AD150" s="8">
        <v>0</v>
      </c>
      <c r="AE150" s="8">
        <v>127579.27875</v>
      </c>
      <c r="AF150" s="8" t="s">
        <v>364</v>
      </c>
      <c r="AG150" s="1" t="s">
        <v>61</v>
      </c>
      <c r="AH150" s="1" t="s">
        <v>68</v>
      </c>
      <c r="AI150" s="1">
        <v>4</v>
      </c>
      <c r="AJ150" s="3">
        <v>45833</v>
      </c>
      <c r="AK150" s="3">
        <v>45829</v>
      </c>
      <c r="AL150" s="3">
        <v>45823</v>
      </c>
      <c r="AM150" s="3">
        <v>45830</v>
      </c>
      <c r="AN150" s="3">
        <v>45831</v>
      </c>
      <c r="AO150" s="3">
        <v>45831</v>
      </c>
      <c r="AP150" s="3">
        <v>45828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282</v>
      </c>
      <c r="BD150" s="56">
        <v>10239.893776841667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21.6</v>
      </c>
      <c r="F151" s="9">
        <v>34</v>
      </c>
      <c r="G151" s="9">
        <v>0</v>
      </c>
      <c r="H151" s="9">
        <v>0</v>
      </c>
      <c r="I151" s="9">
        <v>97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280</v>
      </c>
      <c r="AA151" s="8">
        <v>127579.27875</v>
      </c>
      <c r="AB151" s="8">
        <v>31742</v>
      </c>
      <c r="AC151" s="8">
        <v>95837.278749999998</v>
      </c>
      <c r="AD151" s="8">
        <v>0</v>
      </c>
      <c r="AE151" s="8">
        <v>127579.27875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282</v>
      </c>
      <c r="BD151" s="56">
        <v>0</v>
      </c>
    </row>
    <row r="152" spans="1:56" ht="27.75" customHeight="1" x14ac:dyDescent="0.45">
      <c r="A152" s="3" t="s">
        <v>141</v>
      </c>
      <c r="B152" s="14" t="s">
        <v>141</v>
      </c>
      <c r="C152" s="9" t="s">
        <v>259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128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 t="s">
        <v>141</v>
      </c>
      <c r="B153" s="14" t="s">
        <v>141</v>
      </c>
      <c r="C153" s="9" t="s">
        <v>259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128</v>
      </c>
      <c r="T153" s="12">
        <v>45838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9918.7000000000007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72</v>
      </c>
      <c r="AI153" s="1">
        <v>3</v>
      </c>
      <c r="AJ153" s="3">
        <v>45838</v>
      </c>
      <c r="AK153" s="3">
        <v>0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45837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19837.400000000001</v>
      </c>
      <c r="AB154" s="8">
        <v>19837.400000000001</v>
      </c>
      <c r="AC154" s="8">
        <v>0</v>
      </c>
      <c r="AD154" s="8">
        <v>0</v>
      </c>
      <c r="AE154" s="8">
        <v>9918.7000000000007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 t="s">
        <v>141</v>
      </c>
      <c r="B155" s="14" t="s">
        <v>141</v>
      </c>
      <c r="C155" s="9" t="s">
        <v>251</v>
      </c>
      <c r="D155" s="13" t="s">
        <v>61</v>
      </c>
      <c r="E155" s="9">
        <v>23</v>
      </c>
      <c r="F155" s="9">
        <v>34</v>
      </c>
      <c r="G155" s="9" t="s">
        <v>189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191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119</v>
      </c>
      <c r="AH155" s="1" t="s">
        <v>74</v>
      </c>
      <c r="AI155" s="1">
        <v>2</v>
      </c>
      <c r="AJ155" s="3">
        <v>45838</v>
      </c>
      <c r="AK155" s="3">
        <v>0</v>
      </c>
      <c r="AL155" s="3">
        <v>45829</v>
      </c>
      <c r="AM155" s="3">
        <v>45836</v>
      </c>
      <c r="AN155" s="3">
        <v>45837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800.41704844444439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189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191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45">
      <c r="A157" s="3">
        <v>45810</v>
      </c>
      <c r="B157" s="14" t="s">
        <v>476</v>
      </c>
      <c r="C157" s="9" t="s">
        <v>457</v>
      </c>
      <c r="D157" s="13" t="s">
        <v>334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45817</v>
      </c>
      <c r="U157" s="11">
        <v>10000</v>
      </c>
      <c r="V157" s="10">
        <v>0</v>
      </c>
      <c r="W157" s="10">
        <v>10000</v>
      </c>
      <c r="X157" s="10">
        <v>10500</v>
      </c>
      <c r="Y157" s="10">
        <v>0</v>
      </c>
      <c r="Z157" s="9" t="s">
        <v>245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430</v>
      </c>
      <c r="AG157" s="1" t="s">
        <v>119</v>
      </c>
      <c r="AH157" s="1" t="s">
        <v>74</v>
      </c>
      <c r="AI157" s="1">
        <v>2</v>
      </c>
      <c r="AJ157" s="3">
        <v>45817</v>
      </c>
      <c r="AK157" s="3">
        <v>0</v>
      </c>
      <c r="AL157" s="3">
        <v>45808</v>
      </c>
      <c r="AM157" s="3">
        <v>45815</v>
      </c>
      <c r="AN157" s="3">
        <v>45816</v>
      </c>
      <c r="AO157" s="3">
        <v>45816</v>
      </c>
      <c r="AP157" s="3">
        <v>45812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7.75" customHeight="1" x14ac:dyDescent="0.45">
      <c r="A158" s="3">
        <v>45727</v>
      </c>
      <c r="B158" s="14" t="s">
        <v>303</v>
      </c>
      <c r="C158" s="9" t="s">
        <v>115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221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245</v>
      </c>
      <c r="AA158" s="8">
        <v>1159.5100000000002</v>
      </c>
      <c r="AB158" s="8">
        <v>1159.5100000000002</v>
      </c>
      <c r="AC158" s="8">
        <v>0</v>
      </c>
      <c r="AD158" s="8">
        <v>1159.5100000000002</v>
      </c>
      <c r="AE158" s="8">
        <v>0</v>
      </c>
      <c r="AF158" s="8" t="s">
        <v>248</v>
      </c>
      <c r="AG158" s="1" t="s">
        <v>119</v>
      </c>
      <c r="AH158" s="1" t="s">
        <v>156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152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245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246</v>
      </c>
      <c r="BD159" s="56">
        <v>0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110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1758.5430635519999</v>
      </c>
      <c r="Q160" s="10">
        <v>0</v>
      </c>
      <c r="R160" s="10">
        <v>1758.5430635519999</v>
      </c>
      <c r="S160" s="9" t="s">
        <v>100</v>
      </c>
      <c r="T160" s="12">
        <v>45831</v>
      </c>
      <c r="U160" s="11">
        <v>54000</v>
      </c>
      <c r="V160" s="10">
        <v>0</v>
      </c>
      <c r="W160" s="10">
        <v>54000</v>
      </c>
      <c r="X160" s="10">
        <v>0</v>
      </c>
      <c r="Y160" s="10">
        <v>56700</v>
      </c>
      <c r="Z160" s="9" t="s">
        <v>101</v>
      </c>
      <c r="AA160" s="8">
        <v>58087.26</v>
      </c>
      <c r="AB160" s="8">
        <v>56728</v>
      </c>
      <c r="AC160" s="8">
        <v>1359.260000000002</v>
      </c>
      <c r="AD160" s="8">
        <v>0</v>
      </c>
      <c r="AE160" s="8">
        <v>0</v>
      </c>
      <c r="AF160" s="8">
        <v>0</v>
      </c>
      <c r="AG160" s="1" t="s">
        <v>120</v>
      </c>
      <c r="AH160" s="1" t="s">
        <v>72</v>
      </c>
      <c r="AI160" s="1">
        <v>3</v>
      </c>
      <c r="AJ160" s="3">
        <v>45831</v>
      </c>
      <c r="AK160" s="3">
        <v>0</v>
      </c>
      <c r="AL160" s="3">
        <v>45821</v>
      </c>
      <c r="AM160" s="3">
        <v>45828</v>
      </c>
      <c r="AN160" s="3">
        <v>45829</v>
      </c>
      <c r="AO160" s="3">
        <v>45829</v>
      </c>
      <c r="AP160" s="3">
        <v>45826</v>
      </c>
      <c r="AQ160" s="3">
        <v>45830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117</v>
      </c>
      <c r="BD160" s="56">
        <v>174.12611443888918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110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1758.5430635519999</v>
      </c>
      <c r="Q161" s="10">
        <v>0</v>
      </c>
      <c r="R161" s="10">
        <v>1758.5430635519999</v>
      </c>
      <c r="S161" s="9" t="s">
        <v>100</v>
      </c>
      <c r="T161" s="12">
        <v>45835</v>
      </c>
      <c r="U161" s="11">
        <v>54000</v>
      </c>
      <c r="V161" s="10">
        <v>0</v>
      </c>
      <c r="W161" s="10">
        <v>54000</v>
      </c>
      <c r="X161" s="10">
        <v>0</v>
      </c>
      <c r="Y161" s="10">
        <v>56700</v>
      </c>
      <c r="Z161" s="9" t="s">
        <v>101</v>
      </c>
      <c r="AA161" s="8">
        <v>58087.26</v>
      </c>
      <c r="AB161" s="8">
        <v>0</v>
      </c>
      <c r="AC161" s="8">
        <v>58087.26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72</v>
      </c>
      <c r="AI161" s="1">
        <v>3</v>
      </c>
      <c r="AJ161" s="3">
        <v>45835</v>
      </c>
      <c r="AK161" s="3">
        <v>0</v>
      </c>
      <c r="AL161" s="3">
        <v>45825</v>
      </c>
      <c r="AM161" s="3">
        <v>45832</v>
      </c>
      <c r="AN161" s="3">
        <v>45833</v>
      </c>
      <c r="AO161" s="3">
        <v>45833</v>
      </c>
      <c r="AP161" s="3">
        <v>45830</v>
      </c>
      <c r="AQ161" s="3">
        <v>45834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7441.1877655499993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110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1396.4134549094399</v>
      </c>
      <c r="Q162" s="10">
        <v>0</v>
      </c>
      <c r="R162" s="10">
        <v>1396.4134549094399</v>
      </c>
      <c r="S162" s="9" t="s">
        <v>100</v>
      </c>
      <c r="T162" s="12">
        <v>45842</v>
      </c>
      <c r="U162" s="11">
        <v>50800</v>
      </c>
      <c r="V162" s="10">
        <v>7920</v>
      </c>
      <c r="W162" s="10">
        <v>42880</v>
      </c>
      <c r="X162" s="10">
        <v>0</v>
      </c>
      <c r="Y162" s="10">
        <v>45024</v>
      </c>
      <c r="Z162" s="9" t="s">
        <v>101</v>
      </c>
      <c r="AA162" s="8">
        <v>46125.587200000002</v>
      </c>
      <c r="AB162" s="8">
        <v>0</v>
      </c>
      <c r="AC162" s="8">
        <v>46125.587200000002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72</v>
      </c>
      <c r="AI162" s="1">
        <v>3</v>
      </c>
      <c r="AJ162" s="3">
        <v>45842</v>
      </c>
      <c r="AK162" s="3">
        <v>0</v>
      </c>
      <c r="AL162" s="3">
        <v>45832</v>
      </c>
      <c r="AM162" s="3">
        <v>45839</v>
      </c>
      <c r="AN162" s="3">
        <v>45840</v>
      </c>
      <c r="AO162" s="3">
        <v>45840</v>
      </c>
      <c r="AP162" s="3">
        <v>45837</v>
      </c>
      <c r="AQ162" s="3">
        <v>45841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117</v>
      </c>
      <c r="BD162" s="56">
        <v>5908.8542849404448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151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4070.701536</v>
      </c>
      <c r="Q163" s="10">
        <v>264</v>
      </c>
      <c r="R163" s="10">
        <v>3806.701536</v>
      </c>
      <c r="S163" s="9" t="s">
        <v>100</v>
      </c>
      <c r="T163" s="12" t="s">
        <v>63</v>
      </c>
      <c r="U163" s="11">
        <v>200000</v>
      </c>
      <c r="V163" s="10">
        <v>75000</v>
      </c>
      <c r="W163" s="10">
        <v>125000</v>
      </c>
      <c r="X163" s="10">
        <v>0</v>
      </c>
      <c r="Y163" s="10">
        <v>131250</v>
      </c>
      <c r="Z163" s="9" t="s">
        <v>277</v>
      </c>
      <c r="AA163" s="8">
        <v>134461.25</v>
      </c>
      <c r="AB163" s="8">
        <v>0</v>
      </c>
      <c r="AC163" s="8">
        <v>134461.25</v>
      </c>
      <c r="AD163" s="8">
        <v>0</v>
      </c>
      <c r="AE163" s="8">
        <v>0</v>
      </c>
      <c r="AF163" s="8" t="s">
        <v>278</v>
      </c>
      <c r="AG163" s="1" t="s">
        <v>120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 t="s">
        <v>386</v>
      </c>
      <c r="AZ163" s="2">
        <v>0</v>
      </c>
      <c r="BA163" s="2">
        <v>0</v>
      </c>
      <c r="BB163" s="2">
        <v>0</v>
      </c>
      <c r="BC163" s="1" t="s">
        <v>117</v>
      </c>
      <c r="BD163" s="56">
        <v>17224.971679513892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100</v>
      </c>
      <c r="T164" s="12" t="s">
        <v>63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277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278</v>
      </c>
      <c r="AG164" s="1" t="s">
        <v>119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45858</v>
      </c>
      <c r="AZ164" s="2">
        <v>0</v>
      </c>
      <c r="BA164" s="2">
        <v>0</v>
      </c>
      <c r="BB164" s="2">
        <v>0</v>
      </c>
      <c r="BC164" s="1" t="s">
        <v>117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151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6513.1224575999995</v>
      </c>
      <c r="Q165" s="10">
        <v>0</v>
      </c>
      <c r="R165" s="10">
        <v>6513.1224575999995</v>
      </c>
      <c r="S165" s="9" t="s">
        <v>100</v>
      </c>
      <c r="T165" s="12" t="s">
        <v>63</v>
      </c>
      <c r="U165" s="11">
        <v>200000</v>
      </c>
      <c r="V165" s="10">
        <v>0</v>
      </c>
      <c r="W165" s="10">
        <v>200000</v>
      </c>
      <c r="X165" s="10">
        <v>0</v>
      </c>
      <c r="Y165" s="10">
        <v>210000</v>
      </c>
      <c r="Z165" s="9" t="s">
        <v>101</v>
      </c>
      <c r="AA165" s="8">
        <v>215138.00000000003</v>
      </c>
      <c r="AB165" s="8">
        <v>0</v>
      </c>
      <c r="AC165" s="8">
        <v>215138.00000000003</v>
      </c>
      <c r="AD165" s="8">
        <v>0</v>
      </c>
      <c r="AE165" s="8">
        <v>0</v>
      </c>
      <c r="AF165" s="8" t="s">
        <v>278</v>
      </c>
      <c r="AG165" s="1" t="s">
        <v>119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45889</v>
      </c>
      <c r="AZ165" s="2">
        <v>0</v>
      </c>
      <c r="BA165" s="2">
        <v>0</v>
      </c>
      <c r="BB165" s="2">
        <v>0</v>
      </c>
      <c r="BC165" s="1" t="s">
        <v>117</v>
      </c>
      <c r="BD165" s="56">
        <v>27559.954687222227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151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3461.0081427440637</v>
      </c>
      <c r="Q166" s="10">
        <v>0</v>
      </c>
      <c r="R166" s="10">
        <v>3461.0081427440637</v>
      </c>
      <c r="S166" s="9" t="s">
        <v>100</v>
      </c>
      <c r="T166" s="12" t="s">
        <v>63</v>
      </c>
      <c r="U166" s="11">
        <v>106278</v>
      </c>
      <c r="V166" s="10">
        <v>0</v>
      </c>
      <c r="W166" s="10">
        <v>106278</v>
      </c>
      <c r="X166" s="10">
        <v>0</v>
      </c>
      <c r="Y166" s="10">
        <v>111591.90000000001</v>
      </c>
      <c r="Z166" s="9" t="s">
        <v>101</v>
      </c>
      <c r="AA166" s="8">
        <v>114322.18182000001</v>
      </c>
      <c r="AB166" s="8">
        <v>0</v>
      </c>
      <c r="AC166" s="8">
        <v>114322.18182000001</v>
      </c>
      <c r="AD166" s="8">
        <v>0</v>
      </c>
      <c r="AE166" s="8">
        <v>0</v>
      </c>
      <c r="AF166" s="8" t="s">
        <v>278</v>
      </c>
      <c r="AG166" s="1" t="s">
        <v>119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14645.084321243019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151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100</v>
      </c>
      <c r="T167" s="12" t="s">
        <v>137</v>
      </c>
      <c r="U167" s="11">
        <v>10000</v>
      </c>
      <c r="V167" s="10">
        <v>12607</v>
      </c>
      <c r="W167" s="10">
        <v>0</v>
      </c>
      <c r="X167" s="10">
        <v>56730</v>
      </c>
      <c r="Y167" s="10">
        <v>0</v>
      </c>
      <c r="Z167" s="9" t="s">
        <v>277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72</v>
      </c>
      <c r="AI167" s="1">
        <v>3</v>
      </c>
      <c r="AJ167" s="3" t="s">
        <v>137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281</v>
      </c>
      <c r="AZ167" s="2">
        <v>0</v>
      </c>
      <c r="BA167" s="2">
        <v>0</v>
      </c>
      <c r="BB167" s="2">
        <v>0</v>
      </c>
      <c r="BC167" s="1" t="s">
        <v>117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101</v>
      </c>
      <c r="AA168" s="8">
        <v>841359.53902000003</v>
      </c>
      <c r="AB168" s="8">
        <v>56728</v>
      </c>
      <c r="AC168" s="8">
        <v>784631.53902000014</v>
      </c>
      <c r="AD168" s="8">
        <v>0</v>
      </c>
      <c r="AE168" s="8">
        <v>0</v>
      </c>
      <c r="AF168" s="8" t="s">
        <v>58</v>
      </c>
      <c r="AG168" s="1" t="s">
        <v>119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7.75" customHeight="1" x14ac:dyDescent="0.45">
      <c r="A169" s="3">
        <v>45804</v>
      </c>
      <c r="B169" s="14" t="s">
        <v>499</v>
      </c>
      <c r="C169" s="9" t="s">
        <v>145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128</v>
      </c>
      <c r="T169" s="12">
        <v>45818</v>
      </c>
      <c r="U169" s="11">
        <v>8800</v>
      </c>
      <c r="V169" s="10">
        <v>0</v>
      </c>
      <c r="W169" s="10">
        <v>8800</v>
      </c>
      <c r="X169" s="10">
        <v>0</v>
      </c>
      <c r="Y169" s="10">
        <v>0</v>
      </c>
      <c r="Z169" s="9" t="s">
        <v>85</v>
      </c>
      <c r="AA169" s="8">
        <v>9957.8160000000007</v>
      </c>
      <c r="AB169" s="8">
        <v>3000</v>
      </c>
      <c r="AC169" s="8">
        <v>6957.8160000000007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77</v>
      </c>
      <c r="AI169" s="1">
        <v>1</v>
      </c>
      <c r="AJ169" s="3">
        <v>45818</v>
      </c>
      <c r="AK169" s="3">
        <v>0</v>
      </c>
      <c r="AL169" s="3">
        <v>0</v>
      </c>
      <c r="AM169" s="3">
        <v>0</v>
      </c>
      <c r="AN169" s="3">
        <v>0</v>
      </c>
      <c r="AO169" s="3">
        <v>45817</v>
      </c>
      <c r="AP169" s="3">
        <v>45813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561.8049874666666</v>
      </c>
    </row>
    <row r="170" spans="1:56" ht="27.75" customHeight="1" x14ac:dyDescent="0.45">
      <c r="A170" s="3" t="s">
        <v>141</v>
      </c>
      <c r="B170" s="14" t="s">
        <v>141</v>
      </c>
      <c r="C170" s="9" t="s">
        <v>148</v>
      </c>
      <c r="D170" s="13" t="s">
        <v>59</v>
      </c>
      <c r="E170" s="9">
        <v>26</v>
      </c>
      <c r="F170" s="9">
        <v>42</v>
      </c>
      <c r="G170" s="9" t="s">
        <v>60</v>
      </c>
      <c r="H170" s="9">
        <v>0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45838</v>
      </c>
      <c r="U170" s="11">
        <v>40000</v>
      </c>
      <c r="V170" s="10">
        <v>0</v>
      </c>
      <c r="W170" s="10">
        <v>40000</v>
      </c>
      <c r="X170" s="10">
        <v>0</v>
      </c>
      <c r="Y170" s="10">
        <v>0</v>
      </c>
      <c r="Z170" s="9" t="s">
        <v>85</v>
      </c>
      <c r="AA170" s="8">
        <v>48615.600000000006</v>
      </c>
      <c r="AB170" s="8">
        <v>0</v>
      </c>
      <c r="AC170" s="8">
        <v>48615.600000000006</v>
      </c>
      <c r="AD170" s="8">
        <v>0</v>
      </c>
      <c r="AE170" s="8">
        <v>0</v>
      </c>
      <c r="AF170" s="8">
        <v>0</v>
      </c>
      <c r="AG170" s="1" t="s">
        <v>121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3925.4396133333335</v>
      </c>
    </row>
    <row r="171" spans="1:56" ht="27.75" customHeight="1" x14ac:dyDescent="0.45">
      <c r="A171" s="3" t="s">
        <v>141</v>
      </c>
      <c r="B171" s="14" t="s">
        <v>141</v>
      </c>
      <c r="C171" s="9" t="s">
        <v>196</v>
      </c>
      <c r="D171" s="13" t="s">
        <v>61</v>
      </c>
      <c r="E171" s="9">
        <v>26</v>
      </c>
      <c r="F171" s="9">
        <v>41</v>
      </c>
      <c r="G171" s="9" t="s">
        <v>60</v>
      </c>
      <c r="H171" s="9">
        <v>0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27</v>
      </c>
      <c r="N171" s="9">
        <v>43</v>
      </c>
      <c r="O171" s="9">
        <v>40</v>
      </c>
      <c r="P171" s="10">
        <v>286.42936262399996</v>
      </c>
      <c r="Q171" s="10">
        <v>0</v>
      </c>
      <c r="R171" s="10">
        <v>286.42936262399996</v>
      </c>
      <c r="S171" s="9" t="s">
        <v>204</v>
      </c>
      <c r="T171" s="12">
        <v>45838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85</v>
      </c>
      <c r="AA171" s="8">
        <v>11874.499999999998</v>
      </c>
      <c r="AB171" s="8">
        <v>0</v>
      </c>
      <c r="AC171" s="8">
        <v>11874.499999999998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72</v>
      </c>
      <c r="AI171" s="1">
        <v>3</v>
      </c>
      <c r="AJ171" s="3">
        <v>45838</v>
      </c>
      <c r="AK171" s="3">
        <v>0</v>
      </c>
      <c r="AL171" s="3">
        <v>45828</v>
      </c>
      <c r="AM171" s="3">
        <v>45835</v>
      </c>
      <c r="AN171" s="3">
        <v>45836</v>
      </c>
      <c r="AO171" s="3">
        <v>45836</v>
      </c>
      <c r="AP171" s="3">
        <v>45833</v>
      </c>
      <c r="AQ171" s="3">
        <v>45837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958.79990555555537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 t="s">
        <v>60</v>
      </c>
      <c r="H172" s="9">
        <v>0</v>
      </c>
      <c r="I172" s="9">
        <v>102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85</v>
      </c>
      <c r="AA172" s="8">
        <v>70447.915999999997</v>
      </c>
      <c r="AB172" s="8">
        <v>3000</v>
      </c>
      <c r="AC172" s="8">
        <v>67447.915999999997</v>
      </c>
      <c r="AD172" s="8">
        <v>0</v>
      </c>
      <c r="AE172" s="8">
        <v>0</v>
      </c>
      <c r="AF172" s="8" t="s">
        <v>58</v>
      </c>
      <c r="AG172" s="1" t="s">
        <v>119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45806</v>
      </c>
      <c r="B173" s="14" t="s">
        <v>442</v>
      </c>
      <c r="C173" s="9" t="s">
        <v>196</v>
      </c>
      <c r="D173" s="13" t="s">
        <v>443</v>
      </c>
      <c r="E173" s="9">
        <v>26</v>
      </c>
      <c r="F173" s="9">
        <v>41</v>
      </c>
      <c r="G173" s="9" t="s">
        <v>60</v>
      </c>
      <c r="H173" s="9">
        <v>0</v>
      </c>
      <c r="I173" s="9">
        <v>97</v>
      </c>
      <c r="J173" s="9" t="s">
        <v>57</v>
      </c>
      <c r="K173" s="9">
        <v>5</v>
      </c>
      <c r="L173" s="9" t="s">
        <v>92</v>
      </c>
      <c r="M173" s="10">
        <v>27</v>
      </c>
      <c r="N173" s="9">
        <v>43</v>
      </c>
      <c r="O173" s="9">
        <v>40</v>
      </c>
      <c r="P173" s="10">
        <v>114.57174504959998</v>
      </c>
      <c r="Q173" s="10">
        <v>0</v>
      </c>
      <c r="R173" s="10">
        <v>114.57174504959998</v>
      </c>
      <c r="S173" s="9" t="s">
        <v>204</v>
      </c>
      <c r="T173" s="12">
        <v>45817</v>
      </c>
      <c r="U173" s="11">
        <v>4000</v>
      </c>
      <c r="V173" s="10">
        <v>0</v>
      </c>
      <c r="W173" s="10">
        <v>4000</v>
      </c>
      <c r="X173" s="10">
        <v>4300</v>
      </c>
      <c r="Y173" s="10">
        <v>0</v>
      </c>
      <c r="Z173" s="9" t="s">
        <v>157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72</v>
      </c>
      <c r="AI173" s="1">
        <v>3</v>
      </c>
      <c r="AJ173" s="3">
        <v>45817</v>
      </c>
      <c r="AK173" s="3">
        <v>0</v>
      </c>
      <c r="AL173" s="3">
        <v>45807</v>
      </c>
      <c r="AM173" s="3">
        <v>45814</v>
      </c>
      <c r="AN173" s="3">
        <v>45815</v>
      </c>
      <c r="AO173" s="3">
        <v>45815</v>
      </c>
      <c r="AP173" s="3">
        <v>45812</v>
      </c>
      <c r="AQ173" s="3">
        <v>45816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7.75" customHeight="1" x14ac:dyDescent="0.45">
      <c r="A174" s="3">
        <v>45806</v>
      </c>
      <c r="B174" s="14" t="s">
        <v>442</v>
      </c>
      <c r="C174" s="9" t="s">
        <v>196</v>
      </c>
      <c r="D174" s="13" t="s">
        <v>444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92</v>
      </c>
      <c r="M174" s="10">
        <v>27</v>
      </c>
      <c r="N174" s="9">
        <v>43</v>
      </c>
      <c r="O174" s="9">
        <v>40</v>
      </c>
      <c r="P174" s="10">
        <v>114.57174504959998</v>
      </c>
      <c r="Q174" s="10">
        <v>0</v>
      </c>
      <c r="R174" s="10">
        <v>114.57174504959998</v>
      </c>
      <c r="S174" s="9" t="s">
        <v>204</v>
      </c>
      <c r="T174" s="12">
        <v>45817</v>
      </c>
      <c r="U174" s="11">
        <v>4000</v>
      </c>
      <c r="V174" s="10">
        <v>0</v>
      </c>
      <c r="W174" s="10">
        <v>4000</v>
      </c>
      <c r="X174" s="10">
        <v>4405</v>
      </c>
      <c r="Y174" s="10">
        <v>0</v>
      </c>
      <c r="Z174" s="9" t="s">
        <v>157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72</v>
      </c>
      <c r="AI174" s="1">
        <v>3</v>
      </c>
      <c r="AJ174" s="3">
        <v>45817</v>
      </c>
      <c r="AK174" s="3">
        <v>0</v>
      </c>
      <c r="AL174" s="3">
        <v>45807</v>
      </c>
      <c r="AM174" s="3">
        <v>45814</v>
      </c>
      <c r="AN174" s="3">
        <v>45815</v>
      </c>
      <c r="AO174" s="3">
        <v>45815</v>
      </c>
      <c r="AP174" s="3">
        <v>45812</v>
      </c>
      <c r="AQ174" s="3">
        <v>45816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120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45813</v>
      </c>
      <c r="B176" s="14" t="s">
        <v>525</v>
      </c>
      <c r="C176" s="9" t="s">
        <v>500</v>
      </c>
      <c r="D176" s="13" t="s">
        <v>501</v>
      </c>
      <c r="E176" s="9">
        <v>26</v>
      </c>
      <c r="F176" s="9">
        <v>40</v>
      </c>
      <c r="G176" s="9" t="s">
        <v>60</v>
      </c>
      <c r="H176" s="9">
        <v>0</v>
      </c>
      <c r="I176" s="9">
        <v>108</v>
      </c>
      <c r="J176" s="9" t="s">
        <v>57</v>
      </c>
      <c r="K176" s="9">
        <v>5</v>
      </c>
      <c r="L176" s="9" t="s">
        <v>93</v>
      </c>
      <c r="M176" s="10">
        <v>27</v>
      </c>
      <c r="N176" s="9">
        <v>43</v>
      </c>
      <c r="O176" s="9">
        <v>40</v>
      </c>
      <c r="P176" s="10">
        <v>286.42936262399996</v>
      </c>
      <c r="Q176" s="10">
        <v>0</v>
      </c>
      <c r="R176" s="10">
        <v>286.42936262399996</v>
      </c>
      <c r="S176" s="9" t="s">
        <v>502</v>
      </c>
      <c r="T176" s="12">
        <v>45825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223</v>
      </c>
      <c r="AA176" s="8">
        <v>11595.1</v>
      </c>
      <c r="AB176" s="8">
        <v>9516</v>
      </c>
      <c r="AC176" s="8">
        <v>2079.1000000000004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>
        <v>45825</v>
      </c>
      <c r="AK176" s="3">
        <v>0</v>
      </c>
      <c r="AL176" s="3">
        <v>45815</v>
      </c>
      <c r="AM176" s="3">
        <v>45822</v>
      </c>
      <c r="AN176" s="3">
        <v>45823</v>
      </c>
      <c r="AO176" s="3">
        <v>45823</v>
      </c>
      <c r="AP176" s="3">
        <v>45820</v>
      </c>
      <c r="AQ176" s="3">
        <v>45824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206.6163377777778</v>
      </c>
    </row>
    <row r="177" spans="1:56" ht="27.75" customHeight="1" x14ac:dyDescent="0.45">
      <c r="A177" s="3" t="s">
        <v>141</v>
      </c>
      <c r="B177" s="14" t="s">
        <v>141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45838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223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77</v>
      </c>
      <c r="AI177" s="1">
        <v>1</v>
      </c>
      <c r="AJ177" s="3">
        <v>45838</v>
      </c>
      <c r="AK177" s="3">
        <v>0</v>
      </c>
      <c r="AL177" s="3">
        <v>0</v>
      </c>
      <c r="AM177" s="3">
        <v>0</v>
      </c>
      <c r="AN177" s="3">
        <v>0</v>
      </c>
      <c r="AO177" s="3">
        <v>45837</v>
      </c>
      <c r="AP177" s="3">
        <v>45833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2471.1874488888889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223</v>
      </c>
      <c r="AA178" s="8">
        <v>36461.699999999997</v>
      </c>
      <c r="AB178" s="8">
        <v>9516</v>
      </c>
      <c r="AC178" s="8">
        <v>26945.699999999997</v>
      </c>
      <c r="AD178" s="8">
        <v>0</v>
      </c>
      <c r="AE178" s="8">
        <v>0</v>
      </c>
      <c r="AF178" s="8" t="s">
        <v>58</v>
      </c>
      <c r="AG178" s="1" t="s">
        <v>119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224</v>
      </c>
      <c r="BD178" s="56">
        <v>0</v>
      </c>
    </row>
    <row r="179" spans="1:56" ht="27.75" customHeight="1" x14ac:dyDescent="0.45">
      <c r="A179" s="3">
        <v>45815</v>
      </c>
      <c r="B179" s="14" t="s">
        <v>133</v>
      </c>
      <c r="C179" s="9" t="s">
        <v>113</v>
      </c>
      <c r="D179" s="13" t="s">
        <v>59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45835</v>
      </c>
      <c r="U179" s="11">
        <v>15000</v>
      </c>
      <c r="V179" s="10">
        <v>0</v>
      </c>
      <c r="W179" s="10">
        <v>15000</v>
      </c>
      <c r="X179" s="10">
        <v>0</v>
      </c>
      <c r="Y179" s="10">
        <v>0</v>
      </c>
      <c r="Z179" s="9" t="s">
        <v>89</v>
      </c>
      <c r="AA179" s="8">
        <v>18649.949999999997</v>
      </c>
      <c r="AB179" s="8">
        <v>0</v>
      </c>
      <c r="AC179" s="8">
        <v>18649.949999999997</v>
      </c>
      <c r="AD179" s="8">
        <v>0</v>
      </c>
      <c r="AE179" s="8">
        <v>18649.949999999997</v>
      </c>
      <c r="AF179" s="8" t="s">
        <v>248</v>
      </c>
      <c r="AG179" s="1" t="s">
        <v>119</v>
      </c>
      <c r="AH179" s="1" t="s">
        <v>398</v>
      </c>
      <c r="AI179" s="1">
        <v>2</v>
      </c>
      <c r="AJ179" s="3">
        <v>45835</v>
      </c>
      <c r="AK179" s="3">
        <v>0</v>
      </c>
      <c r="AL179" s="3">
        <v>0</v>
      </c>
      <c r="AM179" s="3">
        <v>0</v>
      </c>
      <c r="AN179" s="3">
        <v>0</v>
      </c>
      <c r="AO179" s="3">
        <v>45833</v>
      </c>
      <c r="AP179" s="3">
        <v>45830</v>
      </c>
      <c r="AQ179" s="3">
        <v>45834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152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1923.4315100000001</v>
      </c>
    </row>
    <row r="180" spans="1:56" ht="27.75" customHeight="1" x14ac:dyDescent="0.45">
      <c r="A180" s="3">
        <v>45799</v>
      </c>
      <c r="B180" s="14" t="s">
        <v>433</v>
      </c>
      <c r="C180" s="9" t="s">
        <v>113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45825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89</v>
      </c>
      <c r="AA180" s="8">
        <v>18649.949999999997</v>
      </c>
      <c r="AB180" s="8">
        <v>18649.949999999997</v>
      </c>
      <c r="AC180" s="8">
        <v>0</v>
      </c>
      <c r="AD180" s="8">
        <v>0</v>
      </c>
      <c r="AE180" s="8">
        <v>18649.949999999997</v>
      </c>
      <c r="AF180" s="8" t="s">
        <v>248</v>
      </c>
      <c r="AG180" s="1" t="s">
        <v>123</v>
      </c>
      <c r="AH180" s="1" t="s">
        <v>398</v>
      </c>
      <c r="AI180" s="1">
        <v>2</v>
      </c>
      <c r="AJ180" s="3">
        <v>45825</v>
      </c>
      <c r="AK180" s="3">
        <v>0</v>
      </c>
      <c r="AL180" s="3">
        <v>0</v>
      </c>
      <c r="AM180" s="3">
        <v>0</v>
      </c>
      <c r="AN180" s="3">
        <v>0</v>
      </c>
      <c r="AO180" s="3">
        <v>45823</v>
      </c>
      <c r="AP180" s="3">
        <v>45820</v>
      </c>
      <c r="AQ180" s="3">
        <v>45824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152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120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89</v>
      </c>
      <c r="AA181" s="8">
        <v>37299.899999999994</v>
      </c>
      <c r="AB181" s="8">
        <v>18649.949999999997</v>
      </c>
      <c r="AC181" s="8">
        <v>18649.949999999997</v>
      </c>
      <c r="AD181" s="8">
        <v>0</v>
      </c>
      <c r="AE181" s="8">
        <v>37299.899999999994</v>
      </c>
      <c r="AF181" s="8" t="s">
        <v>58</v>
      </c>
      <c r="AG181" s="1" t="s">
        <v>122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109</v>
      </c>
      <c r="BD181" s="56">
        <v>0</v>
      </c>
    </row>
    <row r="182" spans="1:56" ht="27.75" customHeight="1" x14ac:dyDescent="0.45">
      <c r="A182" s="3">
        <v>45800</v>
      </c>
      <c r="B182" s="14" t="s">
        <v>429</v>
      </c>
      <c r="C182" s="9" t="s">
        <v>158</v>
      </c>
      <c r="D182" s="13" t="s">
        <v>159</v>
      </c>
      <c r="E182" s="9">
        <v>28</v>
      </c>
      <c r="F182" s="9">
        <v>41</v>
      </c>
      <c r="G182" s="9" t="s">
        <v>60</v>
      </c>
      <c r="H182" s="9">
        <v>0</v>
      </c>
      <c r="I182" s="9">
        <v>120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45824</v>
      </c>
      <c r="U182" s="11">
        <v>50000</v>
      </c>
      <c r="V182" s="10">
        <v>0</v>
      </c>
      <c r="W182" s="10">
        <v>50000</v>
      </c>
      <c r="X182" s="10">
        <v>27330</v>
      </c>
      <c r="Y182" s="10">
        <v>23803.5</v>
      </c>
      <c r="Z182" s="9" t="s">
        <v>132</v>
      </c>
      <c r="AA182" s="8">
        <v>28265.466075</v>
      </c>
      <c r="AB182" s="8">
        <v>0</v>
      </c>
      <c r="AC182" s="8">
        <v>28265.466075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160</v>
      </c>
      <c r="AI182" s="1">
        <v>2</v>
      </c>
      <c r="AJ182" s="3">
        <v>45824</v>
      </c>
      <c r="AK182" s="3">
        <v>0</v>
      </c>
      <c r="AL182" s="3">
        <v>45815</v>
      </c>
      <c r="AM182" s="3">
        <v>45822</v>
      </c>
      <c r="AN182" s="3">
        <v>0</v>
      </c>
      <c r="AO182" s="3">
        <v>45823</v>
      </c>
      <c r="AP182" s="3">
        <v>45819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3176.7243260958335</v>
      </c>
    </row>
    <row r="183" spans="1:56" ht="27.75" customHeight="1" x14ac:dyDescent="0.45">
      <c r="A183" s="3" t="s">
        <v>141</v>
      </c>
      <c r="B183" s="14" t="s">
        <v>141</v>
      </c>
      <c r="C183" s="9" t="s">
        <v>113</v>
      </c>
      <c r="D183" s="13" t="s">
        <v>59</v>
      </c>
      <c r="E183" s="9">
        <v>28</v>
      </c>
      <c r="F183" s="9">
        <v>47</v>
      </c>
      <c r="G183" s="9" t="s">
        <v>60</v>
      </c>
      <c r="H183" s="9" t="s">
        <v>66</v>
      </c>
      <c r="I183" s="9">
        <v>180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132</v>
      </c>
      <c r="AA183" s="8">
        <v>13550.900000000001</v>
      </c>
      <c r="AB183" s="8">
        <v>0</v>
      </c>
      <c r="AC183" s="8">
        <v>13550.900000000001</v>
      </c>
      <c r="AD183" s="8">
        <v>0</v>
      </c>
      <c r="AE183" s="8">
        <v>13550.900000000001</v>
      </c>
      <c r="AF183" s="8">
        <v>0</v>
      </c>
      <c r="AG183" s="1">
        <v>0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 t="s">
        <v>404</v>
      </c>
      <c r="AZ183" s="2">
        <v>0</v>
      </c>
      <c r="BA183" s="2">
        <v>0</v>
      </c>
      <c r="BB183" s="2">
        <v>0</v>
      </c>
      <c r="BC183" s="1" t="s">
        <v>107</v>
      </c>
      <c r="BD183" s="56">
        <v>1522.9705944444447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132</v>
      </c>
      <c r="AA184" s="8">
        <v>41816.366074999998</v>
      </c>
      <c r="AB184" s="8">
        <v>0</v>
      </c>
      <c r="AC184" s="8">
        <v>41816.366074999998</v>
      </c>
      <c r="AD184" s="8">
        <v>0</v>
      </c>
      <c r="AE184" s="8">
        <v>13550.900000000001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161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C028-DB25-4D5E-9ED3-4C7C1655F27F}">
  <sheetPr>
    <tabColor rgb="FFFFFF00"/>
  </sheetPr>
  <dimension ref="A1:BD180"/>
  <sheetViews>
    <sheetView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45814</v>
      </c>
      <c r="E3" s="82" t="s">
        <v>52</v>
      </c>
      <c r="F3" s="82"/>
      <c r="G3" s="83">
        <v>10.51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413</v>
      </c>
      <c r="C6" s="9" t="s">
        <v>390</v>
      </c>
      <c r="D6" s="13" t="s">
        <v>391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393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243</v>
      </c>
      <c r="D10" s="13" t="s">
        <v>292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229</v>
      </c>
      <c r="D11" s="13">
        <v>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387</v>
      </c>
      <c r="C12" s="9" t="s">
        <v>184</v>
      </c>
      <c r="D12" s="13" t="s">
        <v>374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10300</v>
      </c>
      <c r="Y12" s="10">
        <v>0</v>
      </c>
      <c r="Z12" s="9" t="s">
        <v>143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311</v>
      </c>
      <c r="AG12" s="1" t="s">
        <v>120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459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387</v>
      </c>
      <c r="C13" s="9" t="s">
        <v>184</v>
      </c>
      <c r="D13" s="13" t="s">
        <v>351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10200</v>
      </c>
      <c r="Y13" s="10">
        <v>0</v>
      </c>
      <c r="Z13" s="9" t="s">
        <v>143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311</v>
      </c>
      <c r="AG13" s="1" t="s">
        <v>119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459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437</v>
      </c>
      <c r="C14" s="9" t="s">
        <v>339</v>
      </c>
      <c r="D14" s="13" t="s">
        <v>438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430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374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311</v>
      </c>
      <c r="AG15" s="1" t="s">
        <v>120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8242.3000000000011</v>
      </c>
      <c r="AC16" s="8">
        <v>8801.1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375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1125</v>
      </c>
      <c r="W17" s="10">
        <v>38875</v>
      </c>
      <c r="X17" s="10">
        <v>0</v>
      </c>
      <c r="Y17" s="10">
        <v>40818.75</v>
      </c>
      <c r="Z17" s="9" t="s">
        <v>180</v>
      </c>
      <c r="AA17" s="8">
        <v>34214.276250000003</v>
      </c>
      <c r="AB17" s="8">
        <v>34214.276250000003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376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500</v>
      </c>
      <c r="W18" s="10">
        <v>29500</v>
      </c>
      <c r="X18" s="10">
        <v>0</v>
      </c>
      <c r="Y18" s="10">
        <v>30975</v>
      </c>
      <c r="Z18" s="9" t="s">
        <v>180</v>
      </c>
      <c r="AA18" s="8">
        <v>25963.244999999999</v>
      </c>
      <c r="AB18" s="8">
        <v>25963.244999999999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6960</v>
      </c>
      <c r="AC20" s="8">
        <v>2399.9000000000015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174.28607111111123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95940.721250000002</v>
      </c>
      <c r="AB21" s="8">
        <v>67137.521250000005</v>
      </c>
      <c r="AC21" s="8">
        <v>28803.200000000001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447</v>
      </c>
      <c r="C22" s="9" t="s">
        <v>73</v>
      </c>
      <c r="D22" s="13" t="s">
        <v>448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447</v>
      </c>
      <c r="C23" s="9" t="s">
        <v>73</v>
      </c>
      <c r="D23" s="13" t="s">
        <v>449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447</v>
      </c>
      <c r="C24" s="9" t="s">
        <v>73</v>
      </c>
      <c r="D24" s="13" t="s">
        <v>349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450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119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451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451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452</v>
      </c>
      <c r="C28" s="9" t="s">
        <v>73</v>
      </c>
      <c r="D28" s="13" t="s">
        <v>211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451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452</v>
      </c>
      <c r="C30" s="9" t="s">
        <v>73</v>
      </c>
      <c r="D30" s="13" t="s">
        <v>349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453</v>
      </c>
      <c r="T30" s="12">
        <v>45820</v>
      </c>
      <c r="U30" s="11">
        <v>20000</v>
      </c>
      <c r="V30" s="10">
        <v>0</v>
      </c>
      <c r="W30" s="10">
        <v>20000</v>
      </c>
      <c r="X30" s="10">
        <v>8590</v>
      </c>
      <c r="Y30" s="10">
        <v>11980.5</v>
      </c>
      <c r="Z30" s="9" t="s">
        <v>186</v>
      </c>
      <c r="AA30" s="8">
        <v>11213.628195000001</v>
      </c>
      <c r="AB30" s="8">
        <v>11213.628195000001</v>
      </c>
      <c r="AC30" s="8">
        <v>0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451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452</v>
      </c>
      <c r="C32" s="9" t="s">
        <v>73</v>
      </c>
      <c r="D32" s="13" t="s">
        <v>349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453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186</v>
      </c>
      <c r="AA32" s="8">
        <v>14039.85</v>
      </c>
      <c r="AB32" s="8">
        <v>14039.85</v>
      </c>
      <c r="AC32" s="8">
        <v>0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477</v>
      </c>
      <c r="C33" s="9" t="s">
        <v>73</v>
      </c>
      <c r="D33" s="13" t="s">
        <v>183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453</v>
      </c>
      <c r="T33" s="12">
        <v>45820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478</v>
      </c>
      <c r="AG33" s="1" t="s">
        <v>120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477</v>
      </c>
      <c r="C34" s="9" t="s">
        <v>73</v>
      </c>
      <c r="D34" s="13" t="s">
        <v>222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453</v>
      </c>
      <c r="T34" s="12">
        <v>45820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186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478</v>
      </c>
      <c r="AG34" s="1" t="s">
        <v>120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662.93796800000007</v>
      </c>
    </row>
    <row r="35" spans="1:56" ht="27.75" customHeight="1" x14ac:dyDescent="0.45">
      <c r="A35" s="3">
        <v>45812</v>
      </c>
      <c r="B35" s="14" t="s">
        <v>477</v>
      </c>
      <c r="C35" s="9" t="s">
        <v>73</v>
      </c>
      <c r="D35" s="13" t="s">
        <v>479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453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478</v>
      </c>
      <c r="AG35" s="1" t="s">
        <v>120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477</v>
      </c>
      <c r="C36" s="9" t="s">
        <v>73</v>
      </c>
      <c r="D36" s="13" t="s">
        <v>211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453</v>
      </c>
      <c r="T36" s="12">
        <v>45822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469</v>
      </c>
      <c r="AG36" s="1" t="s">
        <v>122</v>
      </c>
      <c r="AH36" s="1" t="s">
        <v>74</v>
      </c>
      <c r="AI36" s="1">
        <v>2</v>
      </c>
      <c r="AJ36" s="3">
        <v>45822</v>
      </c>
      <c r="AK36" s="3">
        <v>0</v>
      </c>
      <c r="AL36" s="3">
        <v>45813</v>
      </c>
      <c r="AM36" s="3">
        <v>45820</v>
      </c>
      <c r="AN36" s="3">
        <v>45821</v>
      </c>
      <c r="AO36" s="3">
        <v>45821</v>
      </c>
      <c r="AP36" s="3">
        <v>45817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45812</v>
      </c>
      <c r="B37" s="14" t="s">
        <v>477</v>
      </c>
      <c r="C37" s="9" t="s">
        <v>73</v>
      </c>
      <c r="D37" s="13" t="s">
        <v>480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453</v>
      </c>
      <c r="T37" s="12">
        <v>45822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469</v>
      </c>
      <c r="AG37" s="1" t="s">
        <v>120</v>
      </c>
      <c r="AH37" s="1" t="s">
        <v>74</v>
      </c>
      <c r="AI37" s="1">
        <v>2</v>
      </c>
      <c r="AJ37" s="3">
        <v>45822</v>
      </c>
      <c r="AK37" s="3">
        <v>0</v>
      </c>
      <c r="AL37" s="3">
        <v>45813</v>
      </c>
      <c r="AM37" s="3">
        <v>45820</v>
      </c>
      <c r="AN37" s="3">
        <v>45821</v>
      </c>
      <c r="AO37" s="3">
        <v>45821</v>
      </c>
      <c r="AP37" s="3">
        <v>45817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331.46898400000003</v>
      </c>
    </row>
    <row r="38" spans="1:56" ht="27.75" customHeight="1" x14ac:dyDescent="0.45">
      <c r="A38" s="3">
        <v>45812</v>
      </c>
      <c r="B38" s="14" t="s">
        <v>477</v>
      </c>
      <c r="C38" s="9" t="s">
        <v>73</v>
      </c>
      <c r="D38" s="13" t="s">
        <v>481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453</v>
      </c>
      <c r="T38" s="12">
        <v>45822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469</v>
      </c>
      <c r="AG38" s="1" t="s">
        <v>120</v>
      </c>
      <c r="AH38" s="1" t="s">
        <v>74</v>
      </c>
      <c r="AI38" s="1">
        <v>2</v>
      </c>
      <c r="AJ38" s="3">
        <v>45822</v>
      </c>
      <c r="AK38" s="3">
        <v>0</v>
      </c>
      <c r="AL38" s="3">
        <v>45813</v>
      </c>
      <c r="AM38" s="3">
        <v>45820</v>
      </c>
      <c r="AN38" s="3">
        <v>45821</v>
      </c>
      <c r="AO38" s="3">
        <v>45821</v>
      </c>
      <c r="AP38" s="3">
        <v>45817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482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453</v>
      </c>
      <c r="T39" s="12">
        <v>45822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186</v>
      </c>
      <c r="AA39" s="8">
        <v>10477.5</v>
      </c>
      <c r="AB39" s="8">
        <v>0</v>
      </c>
      <c r="AC39" s="8">
        <v>10477.5</v>
      </c>
      <c r="AD39" s="8">
        <v>0</v>
      </c>
      <c r="AE39" s="8">
        <v>0</v>
      </c>
      <c r="AF39" s="8" t="s">
        <v>469</v>
      </c>
      <c r="AG39" s="1" t="s">
        <v>122</v>
      </c>
      <c r="AH39" s="1" t="s">
        <v>77</v>
      </c>
      <c r="AI39" s="1">
        <v>2</v>
      </c>
      <c r="AJ39" s="3">
        <v>45822</v>
      </c>
      <c r="AK39" s="3">
        <v>0</v>
      </c>
      <c r="AL39" s="3">
        <v>0</v>
      </c>
      <c r="AM39" s="3">
        <v>0</v>
      </c>
      <c r="AN39" s="3">
        <v>0</v>
      </c>
      <c r="AO39" s="3">
        <v>45820</v>
      </c>
      <c r="AP39" s="3">
        <v>45817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789.21186666666665</v>
      </c>
    </row>
    <row r="40" spans="1:56" ht="27.75" customHeight="1" x14ac:dyDescent="0.45">
      <c r="A40" s="3">
        <v>45812</v>
      </c>
      <c r="B40" s="14" t="s">
        <v>477</v>
      </c>
      <c r="C40" s="9" t="s">
        <v>73</v>
      </c>
      <c r="D40" s="13" t="s">
        <v>483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453</v>
      </c>
      <c r="T40" s="12">
        <v>45825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186</v>
      </c>
      <c r="AA40" s="8">
        <v>2640.33</v>
      </c>
      <c r="AB40" s="8">
        <v>0</v>
      </c>
      <c r="AC40" s="8">
        <v>2640.33</v>
      </c>
      <c r="AD40" s="8">
        <v>0</v>
      </c>
      <c r="AE40" s="8">
        <v>0</v>
      </c>
      <c r="AF40" s="8" t="s">
        <v>470</v>
      </c>
      <c r="AG40" s="1" t="s">
        <v>120</v>
      </c>
      <c r="AH40" s="1" t="s">
        <v>74</v>
      </c>
      <c r="AI40" s="1">
        <v>2</v>
      </c>
      <c r="AJ40" s="3">
        <v>45825</v>
      </c>
      <c r="AK40" s="3">
        <v>0</v>
      </c>
      <c r="AL40" s="3">
        <v>45816</v>
      </c>
      <c r="AM40" s="3">
        <v>45823</v>
      </c>
      <c r="AN40" s="3">
        <v>45824</v>
      </c>
      <c r="AO40" s="3">
        <v>45824</v>
      </c>
      <c r="AP40" s="3">
        <v>45820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198.88139040000004</v>
      </c>
    </row>
    <row r="41" spans="1:56" ht="27.75" customHeight="1" x14ac:dyDescent="0.45">
      <c r="A41" s="3">
        <v>45812</v>
      </c>
      <c r="B41" s="14" t="s">
        <v>477</v>
      </c>
      <c r="C41" s="9" t="s">
        <v>73</v>
      </c>
      <c r="D41" s="13" t="s">
        <v>222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453</v>
      </c>
      <c r="T41" s="12">
        <v>45825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186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470</v>
      </c>
      <c r="AG41" s="1" t="s">
        <v>120</v>
      </c>
      <c r="AH41" s="1" t="s">
        <v>74</v>
      </c>
      <c r="AI41" s="1">
        <v>2</v>
      </c>
      <c r="AJ41" s="3">
        <v>45825</v>
      </c>
      <c r="AK41" s="3">
        <v>0</v>
      </c>
      <c r="AL41" s="3">
        <v>45816</v>
      </c>
      <c r="AM41" s="3">
        <v>45823</v>
      </c>
      <c r="AN41" s="3">
        <v>45824</v>
      </c>
      <c r="AO41" s="3">
        <v>45824</v>
      </c>
      <c r="AP41" s="3">
        <v>45820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662.93796800000007</v>
      </c>
    </row>
    <row r="42" spans="1:56" ht="27.75" customHeight="1" x14ac:dyDescent="0.45">
      <c r="A42" s="3">
        <v>45812</v>
      </c>
      <c r="B42" s="14" t="s">
        <v>484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453</v>
      </c>
      <c r="T42" s="12">
        <v>45825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186</v>
      </c>
      <c r="AA42" s="8">
        <v>10477.5</v>
      </c>
      <c r="AB42" s="8">
        <v>0</v>
      </c>
      <c r="AC42" s="8">
        <v>10477.5</v>
      </c>
      <c r="AD42" s="8">
        <v>0</v>
      </c>
      <c r="AE42" s="8">
        <v>0</v>
      </c>
      <c r="AF42" s="8" t="s">
        <v>470</v>
      </c>
      <c r="AG42" s="1" t="s">
        <v>120</v>
      </c>
      <c r="AH42" s="1" t="s">
        <v>77</v>
      </c>
      <c r="AI42" s="1">
        <v>2</v>
      </c>
      <c r="AJ42" s="3">
        <v>45825</v>
      </c>
      <c r="AK42" s="3">
        <v>0</v>
      </c>
      <c r="AL42" s="3">
        <v>0</v>
      </c>
      <c r="AM42" s="3">
        <v>0</v>
      </c>
      <c r="AN42" s="3">
        <v>0</v>
      </c>
      <c r="AO42" s="3">
        <v>45823</v>
      </c>
      <c r="AP42" s="3">
        <v>45820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789.21186666666665</v>
      </c>
    </row>
    <row r="43" spans="1:56" ht="27.75" customHeight="1" x14ac:dyDescent="0.45">
      <c r="A43" s="3">
        <v>45812</v>
      </c>
      <c r="B43" s="14" t="s">
        <v>477</v>
      </c>
      <c r="C43" s="9" t="s">
        <v>73</v>
      </c>
      <c r="D43" s="13" t="s">
        <v>485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453</v>
      </c>
      <c r="T43" s="12">
        <v>45827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475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45812</v>
      </c>
      <c r="B44" s="14" t="s">
        <v>477</v>
      </c>
      <c r="C44" s="9" t="s">
        <v>73</v>
      </c>
      <c r="D44" s="13" t="s">
        <v>486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453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475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477</v>
      </c>
      <c r="C45" s="9" t="s">
        <v>73</v>
      </c>
      <c r="D45" s="13" t="s">
        <v>349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453</v>
      </c>
      <c r="T45" s="12">
        <v>45827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475</v>
      </c>
      <c r="AG45" s="1" t="s">
        <v>120</v>
      </c>
      <c r="AH45" s="1" t="s">
        <v>74</v>
      </c>
      <c r="AI45" s="1">
        <v>2</v>
      </c>
      <c r="AJ45" s="3">
        <v>45827</v>
      </c>
      <c r="AK45" s="3">
        <v>0</v>
      </c>
      <c r="AL45" s="3">
        <v>45818</v>
      </c>
      <c r="AM45" s="3">
        <v>45825</v>
      </c>
      <c r="AN45" s="3">
        <v>45826</v>
      </c>
      <c r="AO45" s="3">
        <v>45826</v>
      </c>
      <c r="AP45" s="3">
        <v>45822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662.93796800000007</v>
      </c>
    </row>
    <row r="46" spans="1:56" ht="27.75" customHeight="1" x14ac:dyDescent="0.45">
      <c r="A46" s="3">
        <v>45812</v>
      </c>
      <c r="B46" s="14" t="s">
        <v>487</v>
      </c>
      <c r="C46" s="9" t="s">
        <v>73</v>
      </c>
      <c r="D46" s="13" t="s">
        <v>488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453</v>
      </c>
      <c r="T46" s="12">
        <v>45827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489</v>
      </c>
      <c r="AG46" s="1" t="s">
        <v>120</v>
      </c>
      <c r="AH46" s="1" t="s">
        <v>74</v>
      </c>
      <c r="AI46" s="1">
        <v>2</v>
      </c>
      <c r="AJ46" s="3">
        <v>45827</v>
      </c>
      <c r="AK46" s="3">
        <v>0</v>
      </c>
      <c r="AL46" s="3">
        <v>45818</v>
      </c>
      <c r="AM46" s="3">
        <v>45825</v>
      </c>
      <c r="AN46" s="3">
        <v>45826</v>
      </c>
      <c r="AO46" s="3">
        <v>45826</v>
      </c>
      <c r="AP46" s="3">
        <v>45822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487</v>
      </c>
      <c r="C47" s="9" t="s">
        <v>73</v>
      </c>
      <c r="D47" s="13" t="s">
        <v>490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453</v>
      </c>
      <c r="T47" s="12">
        <v>45827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489</v>
      </c>
      <c r="AG47" s="1" t="s">
        <v>120</v>
      </c>
      <c r="AH47" s="1" t="s">
        <v>74</v>
      </c>
      <c r="AI47" s="1">
        <v>2</v>
      </c>
      <c r="AJ47" s="3">
        <v>45827</v>
      </c>
      <c r="AK47" s="3">
        <v>0</v>
      </c>
      <c r="AL47" s="3">
        <v>45818</v>
      </c>
      <c r="AM47" s="3">
        <v>45825</v>
      </c>
      <c r="AN47" s="3">
        <v>45826</v>
      </c>
      <c r="AO47" s="3">
        <v>45826</v>
      </c>
      <c r="AP47" s="3">
        <v>45822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491</v>
      </c>
      <c r="C48" s="9" t="s">
        <v>73</v>
      </c>
      <c r="D48" s="13" t="s">
        <v>349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453</v>
      </c>
      <c r="T48" s="12">
        <v>45827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186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489</v>
      </c>
      <c r="AG48" s="1" t="s">
        <v>120</v>
      </c>
      <c r="AH48" s="1" t="s">
        <v>74</v>
      </c>
      <c r="AI48" s="1">
        <v>2</v>
      </c>
      <c r="AJ48" s="3">
        <v>45827</v>
      </c>
      <c r="AK48" s="3">
        <v>0</v>
      </c>
      <c r="AL48" s="3">
        <v>45818</v>
      </c>
      <c r="AM48" s="3">
        <v>45825</v>
      </c>
      <c r="AN48" s="3">
        <v>45826</v>
      </c>
      <c r="AO48" s="3">
        <v>45826</v>
      </c>
      <c r="AP48" s="3">
        <v>45822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705.02926755555563</v>
      </c>
    </row>
    <row r="49" spans="1:56" ht="27.75" customHeight="1" x14ac:dyDescent="0.45">
      <c r="A49" s="3">
        <v>45812</v>
      </c>
      <c r="B49" s="14" t="s">
        <v>491</v>
      </c>
      <c r="C49" s="9" t="s">
        <v>73</v>
      </c>
      <c r="D49" s="13" t="s">
        <v>492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453</v>
      </c>
      <c r="T49" s="12">
        <v>45827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489</v>
      </c>
      <c r="AG49" s="1" t="s">
        <v>120</v>
      </c>
      <c r="AH49" s="1" t="s">
        <v>74</v>
      </c>
      <c r="AI49" s="1">
        <v>2</v>
      </c>
      <c r="AJ49" s="3">
        <v>45827</v>
      </c>
      <c r="AK49" s="3">
        <v>0</v>
      </c>
      <c r="AL49" s="3">
        <v>45818</v>
      </c>
      <c r="AM49" s="3">
        <v>45825</v>
      </c>
      <c r="AN49" s="3">
        <v>45826</v>
      </c>
      <c r="AO49" s="3">
        <v>45826</v>
      </c>
      <c r="AP49" s="3">
        <v>45822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352.51463377777782</v>
      </c>
    </row>
    <row r="50" spans="1:56" ht="27.75" customHeight="1" x14ac:dyDescent="0.45">
      <c r="A50" s="3">
        <v>45812</v>
      </c>
      <c r="B50" s="14" t="s">
        <v>487</v>
      </c>
      <c r="C50" s="9" t="s">
        <v>73</v>
      </c>
      <c r="D50" s="13" t="s">
        <v>493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453</v>
      </c>
      <c r="T50" s="12">
        <v>45828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494</v>
      </c>
      <c r="AG50" s="1" t="s">
        <v>120</v>
      </c>
      <c r="AH50" s="1" t="s">
        <v>74</v>
      </c>
      <c r="AI50" s="1">
        <v>2</v>
      </c>
      <c r="AJ50" s="3">
        <v>45828</v>
      </c>
      <c r="AK50" s="3">
        <v>0</v>
      </c>
      <c r="AL50" s="3">
        <v>45819</v>
      </c>
      <c r="AM50" s="3">
        <v>45826</v>
      </c>
      <c r="AN50" s="3">
        <v>45827</v>
      </c>
      <c r="AO50" s="3">
        <v>45827</v>
      </c>
      <c r="AP50" s="3">
        <v>45823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487</v>
      </c>
      <c r="C51" s="9" t="s">
        <v>73</v>
      </c>
      <c r="D51" s="13" t="s">
        <v>183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453</v>
      </c>
      <c r="T51" s="12">
        <v>45828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186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494</v>
      </c>
      <c r="AG51" s="1" t="s">
        <v>120</v>
      </c>
      <c r="AH51" s="1" t="s">
        <v>74</v>
      </c>
      <c r="AI51" s="1">
        <v>2</v>
      </c>
      <c r="AJ51" s="3">
        <v>45828</v>
      </c>
      <c r="AK51" s="3">
        <v>0</v>
      </c>
      <c r="AL51" s="3">
        <v>45819</v>
      </c>
      <c r="AM51" s="3">
        <v>45826</v>
      </c>
      <c r="AN51" s="3">
        <v>45827</v>
      </c>
      <c r="AO51" s="3">
        <v>45827</v>
      </c>
      <c r="AP51" s="3">
        <v>45823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662.93796800000007</v>
      </c>
    </row>
    <row r="52" spans="1:56" ht="27.75" customHeight="1" x14ac:dyDescent="0.45">
      <c r="A52" s="3">
        <v>45812</v>
      </c>
      <c r="B52" s="14" t="s">
        <v>491</v>
      </c>
      <c r="C52" s="9" t="s">
        <v>73</v>
      </c>
      <c r="D52" s="13" t="s">
        <v>211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453</v>
      </c>
      <c r="T52" s="12">
        <v>45828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186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494</v>
      </c>
      <c r="AG52" s="1" t="s">
        <v>120</v>
      </c>
      <c r="AH52" s="1" t="s">
        <v>74</v>
      </c>
      <c r="AI52" s="1">
        <v>2</v>
      </c>
      <c r="AJ52" s="3">
        <v>45828</v>
      </c>
      <c r="AK52" s="3">
        <v>0</v>
      </c>
      <c r="AL52" s="3">
        <v>45819</v>
      </c>
      <c r="AM52" s="3">
        <v>45826</v>
      </c>
      <c r="AN52" s="3">
        <v>45827</v>
      </c>
      <c r="AO52" s="3">
        <v>45827</v>
      </c>
      <c r="AP52" s="3">
        <v>45823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705.02926755555563</v>
      </c>
    </row>
    <row r="53" spans="1:56" ht="27.75" customHeight="1" x14ac:dyDescent="0.45">
      <c r="A53" s="3">
        <v>45812</v>
      </c>
      <c r="B53" s="14" t="s">
        <v>477</v>
      </c>
      <c r="C53" s="9" t="s">
        <v>73</v>
      </c>
      <c r="D53" s="13" t="s">
        <v>485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453</v>
      </c>
      <c r="T53" s="12">
        <v>45829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495</v>
      </c>
      <c r="AG53" s="1" t="s">
        <v>120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331.46898400000003</v>
      </c>
    </row>
    <row r="54" spans="1:56" ht="27.75" customHeight="1" x14ac:dyDescent="0.45">
      <c r="A54" s="3">
        <v>45812</v>
      </c>
      <c r="B54" s="14" t="s">
        <v>477</v>
      </c>
      <c r="C54" s="9" t="s">
        <v>73</v>
      </c>
      <c r="D54" s="13" t="s">
        <v>496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453</v>
      </c>
      <c r="T54" s="12">
        <v>45829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495</v>
      </c>
      <c r="AG54" s="1" t="s">
        <v>61</v>
      </c>
      <c r="AH54" s="1" t="s">
        <v>74</v>
      </c>
      <c r="AI54" s="1">
        <v>2</v>
      </c>
      <c r="AJ54" s="3">
        <v>45829</v>
      </c>
      <c r="AK54" s="3">
        <v>0</v>
      </c>
      <c r="AL54" s="3">
        <v>45820</v>
      </c>
      <c r="AM54" s="3">
        <v>45827</v>
      </c>
      <c r="AN54" s="3">
        <v>45828</v>
      </c>
      <c r="AO54" s="3">
        <v>45828</v>
      </c>
      <c r="AP54" s="3">
        <v>45824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331.46898400000003</v>
      </c>
    </row>
    <row r="55" spans="1:56" ht="27.75" customHeight="1" x14ac:dyDescent="0.45">
      <c r="A55" s="3">
        <v>45812</v>
      </c>
      <c r="B55" s="14" t="s">
        <v>477</v>
      </c>
      <c r="C55" s="9" t="s">
        <v>73</v>
      </c>
      <c r="D55" s="13" t="s">
        <v>210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453</v>
      </c>
      <c r="T55" s="12">
        <v>45829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495</v>
      </c>
      <c r="AG55" s="1" t="s">
        <v>119</v>
      </c>
      <c r="AH55" s="1" t="s">
        <v>74</v>
      </c>
      <c r="AI55" s="1">
        <v>2</v>
      </c>
      <c r="AJ55" s="3">
        <v>45829</v>
      </c>
      <c r="AK55" s="3">
        <v>0</v>
      </c>
      <c r="AL55" s="3">
        <v>45820</v>
      </c>
      <c r="AM55" s="3">
        <v>45827</v>
      </c>
      <c r="AN55" s="3">
        <v>45828</v>
      </c>
      <c r="AO55" s="3">
        <v>45828</v>
      </c>
      <c r="AP55" s="3">
        <v>45824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331.46898400000003</v>
      </c>
    </row>
    <row r="56" spans="1:56" ht="27.75" customHeight="1" x14ac:dyDescent="0.45">
      <c r="A56" s="3">
        <v>45812</v>
      </c>
      <c r="B56" s="14" t="s">
        <v>477</v>
      </c>
      <c r="C56" s="9" t="s">
        <v>73</v>
      </c>
      <c r="D56" s="13" t="s">
        <v>183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453</v>
      </c>
      <c r="T56" s="12">
        <v>45829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186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495</v>
      </c>
      <c r="AG56" s="1" t="s">
        <v>120</v>
      </c>
      <c r="AH56" s="1" t="s">
        <v>74</v>
      </c>
      <c r="AI56" s="1">
        <v>2</v>
      </c>
      <c r="AJ56" s="3">
        <v>45829</v>
      </c>
      <c r="AK56" s="3">
        <v>0</v>
      </c>
      <c r="AL56" s="3">
        <v>45820</v>
      </c>
      <c r="AM56" s="3">
        <v>45827</v>
      </c>
      <c r="AN56" s="3">
        <v>45828</v>
      </c>
      <c r="AO56" s="3">
        <v>45828</v>
      </c>
      <c r="AP56" s="3">
        <v>45824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662.93796800000007</v>
      </c>
    </row>
    <row r="57" spans="1:56" ht="27.75" customHeight="1" x14ac:dyDescent="0.45">
      <c r="A57" s="3" t="s">
        <v>141</v>
      </c>
      <c r="B57" s="14" t="s">
        <v>141</v>
      </c>
      <c r="C57" s="9" t="s">
        <v>73</v>
      </c>
      <c r="D57" s="13" t="s">
        <v>61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150</v>
      </c>
      <c r="T57" s="12">
        <v>45838</v>
      </c>
      <c r="U57" s="11">
        <v>275000</v>
      </c>
      <c r="V57" s="10">
        <v>0</v>
      </c>
      <c r="W57" s="10">
        <v>275000</v>
      </c>
      <c r="X57" s="10">
        <v>0</v>
      </c>
      <c r="Y57" s="10">
        <v>288750</v>
      </c>
      <c r="Z57" s="9" t="s">
        <v>186</v>
      </c>
      <c r="AA57" s="8">
        <v>242030.25</v>
      </c>
      <c r="AB57" s="8">
        <v>0</v>
      </c>
      <c r="AC57" s="8">
        <v>242030.25</v>
      </c>
      <c r="AD57" s="8">
        <v>0</v>
      </c>
      <c r="AE57" s="8">
        <v>0</v>
      </c>
      <c r="AF57" s="8">
        <v>0</v>
      </c>
      <c r="AG57" s="1" t="s">
        <v>119</v>
      </c>
      <c r="AH57" s="1" t="s">
        <v>74</v>
      </c>
      <c r="AI57" s="1">
        <v>2</v>
      </c>
      <c r="AJ57" s="3">
        <v>45838</v>
      </c>
      <c r="AK57" s="3">
        <v>0</v>
      </c>
      <c r="AL57" s="3">
        <v>45829</v>
      </c>
      <c r="AM57" s="3">
        <v>45836</v>
      </c>
      <c r="AN57" s="3">
        <v>45837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187</v>
      </c>
      <c r="BD57" s="56">
        <v>18230.794120000006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63</v>
      </c>
      <c r="J58" s="9" t="s">
        <v>78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186</v>
      </c>
      <c r="AA58" s="8">
        <v>419892.008195</v>
      </c>
      <c r="AB58" s="8">
        <v>34054.578195000002</v>
      </c>
      <c r="AC58" s="8">
        <v>385837.43000000005</v>
      </c>
      <c r="AD58" s="8">
        <v>0</v>
      </c>
      <c r="AE58" s="8">
        <v>0</v>
      </c>
      <c r="AF58" s="8" t="s">
        <v>58</v>
      </c>
      <c r="AG58" s="1" t="s">
        <v>119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188</v>
      </c>
      <c r="BD58" s="56">
        <v>0</v>
      </c>
    </row>
    <row r="59" spans="1:56" ht="27.75" customHeight="1" x14ac:dyDescent="0.45">
      <c r="A59" s="3">
        <v>45803</v>
      </c>
      <c r="B59" s="14" t="s">
        <v>414</v>
      </c>
      <c r="C59" s="9" t="s">
        <v>411</v>
      </c>
      <c r="D59" s="13" t="s">
        <v>415</v>
      </c>
      <c r="E59" s="9">
        <v>19</v>
      </c>
      <c r="F59" s="9">
        <v>34</v>
      </c>
      <c r="G59" s="9" t="s">
        <v>60</v>
      </c>
      <c r="H59" s="9" t="s">
        <v>76</v>
      </c>
      <c r="I59" s="9">
        <v>84</v>
      </c>
      <c r="J59" s="9" t="s">
        <v>57</v>
      </c>
      <c r="K59" s="9">
        <v>5</v>
      </c>
      <c r="L59" s="9" t="s">
        <v>91</v>
      </c>
      <c r="M59" s="10">
        <v>20</v>
      </c>
      <c r="N59" s="9">
        <v>37</v>
      </c>
      <c r="O59" s="9">
        <v>40</v>
      </c>
      <c r="P59" s="10">
        <v>182.56479615999996</v>
      </c>
      <c r="Q59" s="10">
        <v>0</v>
      </c>
      <c r="R59" s="10">
        <v>182.56479615999996</v>
      </c>
      <c r="S59" s="9" t="s">
        <v>67</v>
      </c>
      <c r="T59" s="12">
        <v>45817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249</v>
      </c>
      <c r="AA59" s="8">
        <v>9918.7000000000007</v>
      </c>
      <c r="AB59" s="8">
        <v>9918.7000000000007</v>
      </c>
      <c r="AC59" s="8">
        <v>0</v>
      </c>
      <c r="AD59" s="8">
        <v>0</v>
      </c>
      <c r="AE59" s="8">
        <v>9918.7000000000007</v>
      </c>
      <c r="AF59" s="8">
        <v>0</v>
      </c>
      <c r="AG59" s="1" t="s">
        <v>119</v>
      </c>
      <c r="AH59" s="1" t="s">
        <v>68</v>
      </c>
      <c r="AI59" s="1">
        <v>4</v>
      </c>
      <c r="AJ59" s="3">
        <v>45817</v>
      </c>
      <c r="AK59" s="3">
        <v>45813</v>
      </c>
      <c r="AL59" s="3">
        <v>45807</v>
      </c>
      <c r="AM59" s="3">
        <v>45814</v>
      </c>
      <c r="AN59" s="3">
        <v>45815</v>
      </c>
      <c r="AO59" s="3">
        <v>45815</v>
      </c>
      <c r="AP59" s="3">
        <v>45812</v>
      </c>
      <c r="AQ59" s="3">
        <v>45816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56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 t="s">
        <v>96</v>
      </c>
      <c r="W60" s="10">
        <v>0</v>
      </c>
      <c r="X60" s="10">
        <v>0</v>
      </c>
      <c r="Y60" s="10">
        <v>0</v>
      </c>
      <c r="Z60" s="9" t="s">
        <v>249</v>
      </c>
      <c r="AA60" s="8">
        <v>9918.7000000000007</v>
      </c>
      <c r="AB60" s="8">
        <v>9918.7000000000007</v>
      </c>
      <c r="AC60" s="8">
        <v>0</v>
      </c>
      <c r="AD60" s="8">
        <v>0</v>
      </c>
      <c r="AE60" s="8">
        <v>9918.7000000000007</v>
      </c>
      <c r="AF60" s="8" t="s">
        <v>58</v>
      </c>
      <c r="AG60" s="1" t="s">
        <v>120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250</v>
      </c>
      <c r="BD60" s="56">
        <v>0</v>
      </c>
    </row>
    <row r="61" spans="1:56" ht="27.75" customHeight="1" x14ac:dyDescent="0.45">
      <c r="A61" s="3">
        <v>45796</v>
      </c>
      <c r="B61" s="14" t="s">
        <v>377</v>
      </c>
      <c r="C61" s="9" t="s">
        <v>147</v>
      </c>
      <c r="D61" s="13" t="s">
        <v>368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221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503</v>
      </c>
      <c r="V61" s="10">
        <v>0</v>
      </c>
      <c r="W61" s="10">
        <v>503</v>
      </c>
      <c r="X61" s="10">
        <v>5250</v>
      </c>
      <c r="Y61" s="10">
        <v>0</v>
      </c>
      <c r="Z61" s="9" t="s">
        <v>116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214</v>
      </c>
      <c r="BD61" s="56">
        <v>0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119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215</v>
      </c>
      <c r="BD62" s="56">
        <v>0</v>
      </c>
    </row>
    <row r="63" spans="1:56" ht="27.75" customHeight="1" x14ac:dyDescent="0.45">
      <c r="A63" s="3" t="s">
        <v>141</v>
      </c>
      <c r="B63" s="14" t="s">
        <v>141</v>
      </c>
      <c r="C63" s="9" t="s">
        <v>340</v>
      </c>
      <c r="D63" s="13" t="s">
        <v>341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45838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146</v>
      </c>
      <c r="AA63" s="8">
        <v>18719.800000000003</v>
      </c>
      <c r="AB63" s="8">
        <v>0</v>
      </c>
      <c r="AC63" s="8">
        <v>18719.800000000003</v>
      </c>
      <c r="AD63" s="8">
        <v>0</v>
      </c>
      <c r="AE63" s="8">
        <v>0</v>
      </c>
      <c r="AF63" s="8">
        <v>0</v>
      </c>
      <c r="AG63" s="1" t="s">
        <v>119</v>
      </c>
      <c r="AH63" s="1" t="s">
        <v>74</v>
      </c>
      <c r="AI63" s="1">
        <v>2</v>
      </c>
      <c r="AJ63" s="3">
        <v>45838</v>
      </c>
      <c r="AK63" s="3">
        <v>0</v>
      </c>
      <c r="AL63" s="3">
        <v>45829</v>
      </c>
      <c r="AM63" s="3">
        <v>45836</v>
      </c>
      <c r="AN63" s="3">
        <v>45837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1149.1877222222222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146</v>
      </c>
      <c r="AA64" s="8">
        <v>18719.800000000003</v>
      </c>
      <c r="AB64" s="8">
        <v>0</v>
      </c>
      <c r="AC64" s="8">
        <v>18719.800000000003</v>
      </c>
      <c r="AD64" s="8">
        <v>0</v>
      </c>
      <c r="AE64" s="8">
        <v>0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45796</v>
      </c>
      <c r="B65" s="14" t="s">
        <v>378</v>
      </c>
      <c r="C65" s="9" t="s">
        <v>147</v>
      </c>
      <c r="D65" s="13" t="s">
        <v>369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366</v>
      </c>
      <c r="V65" s="10">
        <v>0</v>
      </c>
      <c r="W65" s="10">
        <v>366</v>
      </c>
      <c r="X65" s="10">
        <v>5113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378</v>
      </c>
      <c r="C66" s="9" t="s">
        <v>147</v>
      </c>
      <c r="D66" s="13" t="s">
        <v>370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45818</v>
      </c>
      <c r="U66" s="11">
        <v>3280</v>
      </c>
      <c r="V66" s="10">
        <v>2447</v>
      </c>
      <c r="W66" s="10">
        <v>833</v>
      </c>
      <c r="X66" s="10">
        <v>5975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45818</v>
      </c>
      <c r="AK66" s="3">
        <v>45814</v>
      </c>
      <c r="AL66" s="3">
        <v>45807</v>
      </c>
      <c r="AM66" s="3">
        <v>45815</v>
      </c>
      <c r="AN66" s="3">
        <v>45816</v>
      </c>
      <c r="AO66" s="3">
        <v>45817</v>
      </c>
      <c r="AP66" s="3">
        <v>45813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379</v>
      </c>
      <c r="C67" s="9" t="s">
        <v>147</v>
      </c>
      <c r="D67" s="13" t="s">
        <v>262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45818</v>
      </c>
      <c r="U67" s="11">
        <v>3853</v>
      </c>
      <c r="V67" s="10">
        <v>840</v>
      </c>
      <c r="W67" s="10">
        <v>3013</v>
      </c>
      <c r="X67" s="10">
        <v>15401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119</v>
      </c>
      <c r="AH67" s="1" t="s">
        <v>75</v>
      </c>
      <c r="AI67" s="1">
        <v>4</v>
      </c>
      <c r="AJ67" s="3">
        <v>45818</v>
      </c>
      <c r="AK67" s="3">
        <v>45814</v>
      </c>
      <c r="AL67" s="3">
        <v>45807</v>
      </c>
      <c r="AM67" s="3">
        <v>45815</v>
      </c>
      <c r="AN67" s="3">
        <v>45816</v>
      </c>
      <c r="AO67" s="3">
        <v>45817</v>
      </c>
      <c r="AP67" s="3">
        <v>45813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379</v>
      </c>
      <c r="C68" s="9" t="s">
        <v>147</v>
      </c>
      <c r="D68" s="13" t="s">
        <v>209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45818</v>
      </c>
      <c r="U68" s="11">
        <v>4349</v>
      </c>
      <c r="V68" s="10">
        <v>0</v>
      </c>
      <c r="W68" s="10">
        <v>4349</v>
      </c>
      <c r="X68" s="10">
        <v>0</v>
      </c>
      <c r="Y68" s="10">
        <v>4566.45</v>
      </c>
      <c r="Z68" s="9" t="s">
        <v>81</v>
      </c>
      <c r="AA68" s="8">
        <v>4556.6647499999999</v>
      </c>
      <c r="AB68" s="8">
        <v>4556.6647499999999</v>
      </c>
      <c r="AC68" s="8">
        <v>0</v>
      </c>
      <c r="AD68" s="8">
        <v>0</v>
      </c>
      <c r="AE68" s="8">
        <v>4556.6647499999999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45818</v>
      </c>
      <c r="AK68" s="3">
        <v>45814</v>
      </c>
      <c r="AL68" s="3">
        <v>45807</v>
      </c>
      <c r="AM68" s="3">
        <v>45815</v>
      </c>
      <c r="AN68" s="3">
        <v>45816</v>
      </c>
      <c r="AO68" s="3">
        <v>45817</v>
      </c>
      <c r="AP68" s="3">
        <v>45813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380</v>
      </c>
      <c r="C69" s="9" t="s">
        <v>147</v>
      </c>
      <c r="D69" s="13" t="s">
        <v>295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179</v>
      </c>
      <c r="V69" s="10">
        <v>0</v>
      </c>
      <c r="W69" s="10">
        <v>179</v>
      </c>
      <c r="X69" s="10">
        <v>11000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380</v>
      </c>
      <c r="C70" s="9" t="s">
        <v>147</v>
      </c>
      <c r="D70" s="13" t="s">
        <v>371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302</v>
      </c>
      <c r="V70" s="10">
        <v>0</v>
      </c>
      <c r="W70" s="10">
        <v>302</v>
      </c>
      <c r="X70" s="10">
        <v>5300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45796</v>
      </c>
      <c r="B71" s="14" t="s">
        <v>381</v>
      </c>
      <c r="C71" s="9" t="s">
        <v>147</v>
      </c>
      <c r="D71" s="13" t="s">
        <v>136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1200</v>
      </c>
      <c r="V71" s="10">
        <v>0</v>
      </c>
      <c r="W71" s="10">
        <v>1200</v>
      </c>
      <c r="X71" s="10">
        <v>10700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382</v>
      </c>
      <c r="C72" s="9" t="s">
        <v>147</v>
      </c>
      <c r="D72" s="13" t="s">
        <v>154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45818</v>
      </c>
      <c r="U72" s="11">
        <v>40000</v>
      </c>
      <c r="V72" s="10">
        <v>3782</v>
      </c>
      <c r="W72" s="10">
        <v>36218</v>
      </c>
      <c r="X72" s="10">
        <v>11000</v>
      </c>
      <c r="Y72" s="10">
        <v>30450</v>
      </c>
      <c r="Z72" s="9" t="s">
        <v>81</v>
      </c>
      <c r="AA72" s="8">
        <v>31903.987500000003</v>
      </c>
      <c r="AB72" s="8">
        <v>31903.987500000003</v>
      </c>
      <c r="AC72" s="8">
        <v>0</v>
      </c>
      <c r="AD72" s="8">
        <v>0</v>
      </c>
      <c r="AE72" s="8">
        <v>31903.987500000003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45818</v>
      </c>
      <c r="AK72" s="3">
        <v>45814</v>
      </c>
      <c r="AL72" s="3">
        <v>45807</v>
      </c>
      <c r="AM72" s="3">
        <v>45815</v>
      </c>
      <c r="AN72" s="3">
        <v>45816</v>
      </c>
      <c r="AO72" s="3">
        <v>45817</v>
      </c>
      <c r="AP72" s="3">
        <v>45813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373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45766</v>
      </c>
      <c r="B73" s="14" t="s">
        <v>330</v>
      </c>
      <c r="C73" s="9" t="s">
        <v>147</v>
      </c>
      <c r="D73" s="13" t="s">
        <v>154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45818</v>
      </c>
      <c r="U73" s="11">
        <v>1866</v>
      </c>
      <c r="V73" s="10">
        <v>1866</v>
      </c>
      <c r="W73" s="10">
        <v>0</v>
      </c>
      <c r="X73" s="10">
        <v>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241</v>
      </c>
      <c r="AG73" s="1" t="s">
        <v>120</v>
      </c>
      <c r="AH73" s="1" t="s">
        <v>75</v>
      </c>
      <c r="AI73" s="1">
        <v>4</v>
      </c>
      <c r="AJ73" s="3">
        <v>45818</v>
      </c>
      <c r="AK73" s="3">
        <v>45814</v>
      </c>
      <c r="AL73" s="3">
        <v>45807</v>
      </c>
      <c r="AM73" s="3">
        <v>45815</v>
      </c>
      <c r="AN73" s="3">
        <v>45816</v>
      </c>
      <c r="AO73" s="3">
        <v>45817</v>
      </c>
      <c r="AP73" s="3">
        <v>45813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45796</v>
      </c>
      <c r="B74" s="14" t="s">
        <v>383</v>
      </c>
      <c r="C74" s="9" t="s">
        <v>147</v>
      </c>
      <c r="D74" s="13" t="s">
        <v>264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45818</v>
      </c>
      <c r="U74" s="11">
        <v>10000</v>
      </c>
      <c r="V74" s="10">
        <v>3920</v>
      </c>
      <c r="W74" s="10">
        <v>6080</v>
      </c>
      <c r="X74" s="10">
        <v>12101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45818</v>
      </c>
      <c r="AK74" s="3">
        <v>45814</v>
      </c>
      <c r="AL74" s="3">
        <v>45807</v>
      </c>
      <c r="AM74" s="3">
        <v>45815</v>
      </c>
      <c r="AN74" s="3">
        <v>45816</v>
      </c>
      <c r="AO74" s="3">
        <v>45817</v>
      </c>
      <c r="AP74" s="3">
        <v>45813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45766</v>
      </c>
      <c r="B75" s="14" t="s">
        <v>330</v>
      </c>
      <c r="C75" s="9" t="s">
        <v>147</v>
      </c>
      <c r="D75" s="13" t="s">
        <v>264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45818</v>
      </c>
      <c r="U75" s="11">
        <v>1120</v>
      </c>
      <c r="V75" s="10">
        <v>1120</v>
      </c>
      <c r="W75" s="10">
        <v>0</v>
      </c>
      <c r="X75" s="10">
        <v>1200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241</v>
      </c>
      <c r="AG75" s="1" t="s">
        <v>120</v>
      </c>
      <c r="AH75" s="1" t="s">
        <v>75</v>
      </c>
      <c r="AI75" s="1">
        <v>4</v>
      </c>
      <c r="AJ75" s="3">
        <v>45818</v>
      </c>
      <c r="AK75" s="3">
        <v>45814</v>
      </c>
      <c r="AL75" s="3">
        <v>45807</v>
      </c>
      <c r="AM75" s="3">
        <v>45815</v>
      </c>
      <c r="AN75" s="3">
        <v>45816</v>
      </c>
      <c r="AO75" s="3">
        <v>45817</v>
      </c>
      <c r="AP75" s="3">
        <v>45813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45799</v>
      </c>
      <c r="B76" s="14" t="s">
        <v>416</v>
      </c>
      <c r="C76" s="9" t="s">
        <v>394</v>
      </c>
      <c r="D76" s="13" t="s">
        <v>395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45819</v>
      </c>
      <c r="U76" s="11">
        <v>12000</v>
      </c>
      <c r="V76" s="10">
        <v>0</v>
      </c>
      <c r="W76" s="10">
        <v>12000</v>
      </c>
      <c r="X76" s="10">
        <v>0</v>
      </c>
      <c r="Y76" s="10">
        <v>12600</v>
      </c>
      <c r="Z76" s="9" t="s">
        <v>81</v>
      </c>
      <c r="AA76" s="8">
        <v>11902.44</v>
      </c>
      <c r="AB76" s="8">
        <v>11902.44</v>
      </c>
      <c r="AC76" s="8">
        <v>0</v>
      </c>
      <c r="AD76" s="8">
        <v>0</v>
      </c>
      <c r="AE76" s="8">
        <v>11902.44</v>
      </c>
      <c r="AF76" s="8" t="s">
        <v>241</v>
      </c>
      <c r="AG76" s="1" t="s">
        <v>120</v>
      </c>
      <c r="AH76" s="1" t="s">
        <v>75</v>
      </c>
      <c r="AI76" s="1">
        <v>4</v>
      </c>
      <c r="AJ76" s="3">
        <v>45819</v>
      </c>
      <c r="AK76" s="3">
        <v>45815</v>
      </c>
      <c r="AL76" s="3">
        <v>45808</v>
      </c>
      <c r="AM76" s="3">
        <v>45816</v>
      </c>
      <c r="AN76" s="3">
        <v>45817</v>
      </c>
      <c r="AO76" s="3">
        <v>45818</v>
      </c>
      <c r="AP76" s="3">
        <v>45814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45810</v>
      </c>
      <c r="B77" s="14" t="s">
        <v>460</v>
      </c>
      <c r="C77" s="9" t="s">
        <v>461</v>
      </c>
      <c r="D77" s="13" t="s">
        <v>395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45819</v>
      </c>
      <c r="U77" s="11">
        <v>1500</v>
      </c>
      <c r="V77" s="10">
        <v>0</v>
      </c>
      <c r="W77" s="10">
        <v>1500</v>
      </c>
      <c r="X77" s="10">
        <v>0</v>
      </c>
      <c r="Y77" s="10">
        <v>1575</v>
      </c>
      <c r="Z77" s="9" t="s">
        <v>81</v>
      </c>
      <c r="AA77" s="8">
        <v>1487.8050000000001</v>
      </c>
      <c r="AB77" s="8">
        <v>1487.8050000000001</v>
      </c>
      <c r="AC77" s="8">
        <v>0</v>
      </c>
      <c r="AD77" s="8">
        <v>0</v>
      </c>
      <c r="AE77" s="8">
        <v>1487.8050000000001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45819</v>
      </c>
      <c r="AK77" s="3">
        <v>45815</v>
      </c>
      <c r="AL77" s="3">
        <v>45808</v>
      </c>
      <c r="AM77" s="3">
        <v>45816</v>
      </c>
      <c r="AN77" s="3">
        <v>45817</v>
      </c>
      <c r="AO77" s="3">
        <v>45818</v>
      </c>
      <c r="AP77" s="3">
        <v>45814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45799</v>
      </c>
      <c r="B78" s="14" t="s">
        <v>416</v>
      </c>
      <c r="C78" s="9" t="s">
        <v>394</v>
      </c>
      <c r="D78" s="13" t="s">
        <v>396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81</v>
      </c>
      <c r="AA78" s="8">
        <v>7934.96</v>
      </c>
      <c r="AB78" s="8">
        <v>7934.96</v>
      </c>
      <c r="AC78" s="8">
        <v>0</v>
      </c>
      <c r="AD78" s="8">
        <v>0</v>
      </c>
      <c r="AE78" s="8">
        <v>7934.96</v>
      </c>
      <c r="AF78" s="8" t="s">
        <v>241</v>
      </c>
      <c r="AG78" s="1" t="s">
        <v>119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45810</v>
      </c>
      <c r="B79" s="14" t="s">
        <v>460</v>
      </c>
      <c r="C79" s="9" t="s">
        <v>461</v>
      </c>
      <c r="D79" s="13" t="s">
        <v>396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45819</v>
      </c>
      <c r="U79" s="11">
        <v>1000</v>
      </c>
      <c r="V79" s="10">
        <v>0</v>
      </c>
      <c r="W79" s="10">
        <v>1000</v>
      </c>
      <c r="X79" s="10">
        <v>0</v>
      </c>
      <c r="Y79" s="10">
        <v>1050</v>
      </c>
      <c r="Z79" s="9" t="s">
        <v>81</v>
      </c>
      <c r="AA79" s="8">
        <v>991.87</v>
      </c>
      <c r="AB79" s="8">
        <v>991.87</v>
      </c>
      <c r="AC79" s="8">
        <v>0</v>
      </c>
      <c r="AD79" s="8">
        <v>0</v>
      </c>
      <c r="AE79" s="8">
        <v>991.87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45819</v>
      </c>
      <c r="AK79" s="3">
        <v>45815</v>
      </c>
      <c r="AL79" s="3">
        <v>45808</v>
      </c>
      <c r="AM79" s="3">
        <v>45816</v>
      </c>
      <c r="AN79" s="3">
        <v>45817</v>
      </c>
      <c r="AO79" s="3">
        <v>45818</v>
      </c>
      <c r="AP79" s="3">
        <v>45814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45782</v>
      </c>
      <c r="B80" s="14" t="s">
        <v>367</v>
      </c>
      <c r="C80" s="9" t="s">
        <v>80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45756</v>
      </c>
      <c r="B81" s="14" t="s">
        <v>321</v>
      </c>
      <c r="C81" s="9" t="s">
        <v>80</v>
      </c>
      <c r="D81" s="13" t="s">
        <v>322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3000</v>
      </c>
      <c r="V81" s="10">
        <v>3148</v>
      </c>
      <c r="W81" s="10">
        <v>0</v>
      </c>
      <c r="X81" s="10">
        <v>6505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45740</v>
      </c>
      <c r="B82" s="14" t="s">
        <v>306</v>
      </c>
      <c r="C82" s="9" t="s">
        <v>80</v>
      </c>
      <c r="D82" s="13" t="s">
        <v>258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45808</v>
      </c>
      <c r="B83" s="14" t="s">
        <v>454</v>
      </c>
      <c r="C83" s="9" t="s">
        <v>445</v>
      </c>
      <c r="D83" s="13" t="s">
        <v>446</v>
      </c>
      <c r="E83" s="9">
        <v>20</v>
      </c>
      <c r="F83" s="9">
        <v>30</v>
      </c>
      <c r="G83" s="9" t="s">
        <v>60</v>
      </c>
      <c r="H83" s="9" t="s">
        <v>66</v>
      </c>
      <c r="I83" s="9">
        <v>80</v>
      </c>
      <c r="J83" s="9" t="s">
        <v>57</v>
      </c>
      <c r="K83" s="9">
        <v>5</v>
      </c>
      <c r="L83" s="9" t="s">
        <v>220</v>
      </c>
      <c r="M83" s="10">
        <v>21</v>
      </c>
      <c r="N83" s="9">
        <v>33</v>
      </c>
      <c r="O83" s="9">
        <v>40</v>
      </c>
      <c r="P83" s="10">
        <v>170.969464512</v>
      </c>
      <c r="Q83" s="10">
        <v>0</v>
      </c>
      <c r="R83" s="10">
        <v>170.969464512</v>
      </c>
      <c r="S83" s="9" t="s">
        <v>71</v>
      </c>
      <c r="T83" s="12">
        <v>45821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8801.1</v>
      </c>
      <c r="AB83" s="8">
        <v>8801.1</v>
      </c>
      <c r="AC83" s="8">
        <v>0</v>
      </c>
      <c r="AD83" s="8">
        <v>0</v>
      </c>
      <c r="AE83" s="8">
        <v>8801.1</v>
      </c>
      <c r="AF83" s="8">
        <v>0</v>
      </c>
      <c r="AG83" s="1" t="s">
        <v>61</v>
      </c>
      <c r="AH83" s="1" t="s">
        <v>68</v>
      </c>
      <c r="AI83" s="1">
        <v>4</v>
      </c>
      <c r="AJ83" s="3">
        <v>45821</v>
      </c>
      <c r="AK83" s="3">
        <v>45817</v>
      </c>
      <c r="AL83" s="3">
        <v>45811</v>
      </c>
      <c r="AM83" s="3">
        <v>45818</v>
      </c>
      <c r="AN83" s="3">
        <v>45819</v>
      </c>
      <c r="AO83" s="3">
        <v>45819</v>
      </c>
      <c r="AP83" s="3">
        <v>45816</v>
      </c>
      <c r="AQ83" s="3">
        <v>45820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45803</v>
      </c>
      <c r="B84" s="14" t="s">
        <v>417</v>
      </c>
      <c r="C84" s="9" t="s">
        <v>111</v>
      </c>
      <c r="D84" s="13" t="s">
        <v>418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120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45803</v>
      </c>
      <c r="B85" s="14" t="s">
        <v>419</v>
      </c>
      <c r="C85" s="9" t="s">
        <v>111</v>
      </c>
      <c r="D85" s="13" t="s">
        <v>420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45817</v>
      </c>
      <c r="U85" s="11">
        <v>3000</v>
      </c>
      <c r="V85" s="10">
        <v>0</v>
      </c>
      <c r="W85" s="10">
        <v>3000</v>
      </c>
      <c r="X85" s="10">
        <v>3300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>
        <v>45817</v>
      </c>
      <c r="AK85" s="3">
        <v>45813</v>
      </c>
      <c r="AL85" s="3">
        <v>45806</v>
      </c>
      <c r="AM85" s="3">
        <v>45814</v>
      </c>
      <c r="AN85" s="3">
        <v>45815</v>
      </c>
      <c r="AO85" s="3">
        <v>45816</v>
      </c>
      <c r="AP85" s="3">
        <v>45812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 t="s">
        <v>141</v>
      </c>
      <c r="B86" s="14" t="s">
        <v>141</v>
      </c>
      <c r="C86" s="9" t="s">
        <v>147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45838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81</v>
      </c>
      <c r="AA86" s="8">
        <v>104775.00000000001</v>
      </c>
      <c r="AB86" s="8">
        <v>0</v>
      </c>
      <c r="AC86" s="8">
        <v>104775.00000000001</v>
      </c>
      <c r="AD86" s="8">
        <v>0</v>
      </c>
      <c r="AE86" s="8">
        <v>104775.00000000001</v>
      </c>
      <c r="AF86" s="8">
        <v>0</v>
      </c>
      <c r="AG86" s="1" t="s">
        <v>120</v>
      </c>
      <c r="AH86" s="1" t="s">
        <v>75</v>
      </c>
      <c r="AI86" s="1">
        <v>4</v>
      </c>
      <c r="AJ86" s="3">
        <v>45838</v>
      </c>
      <c r="AK86" s="3">
        <v>45834</v>
      </c>
      <c r="AL86" s="3">
        <v>45827</v>
      </c>
      <c r="AM86" s="3">
        <v>45835</v>
      </c>
      <c r="AN86" s="3">
        <v>45836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7916.333333333333</v>
      </c>
    </row>
    <row r="87" spans="1:56" ht="27.75" customHeight="1" x14ac:dyDescent="0.45">
      <c r="A87" s="3">
        <v>45803</v>
      </c>
      <c r="B87" s="14" t="s">
        <v>421</v>
      </c>
      <c r="C87" s="9" t="s">
        <v>111</v>
      </c>
      <c r="D87" s="13" t="s">
        <v>422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45831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120</v>
      </c>
      <c r="AH87" s="1" t="s">
        <v>75</v>
      </c>
      <c r="AI87" s="1">
        <v>4</v>
      </c>
      <c r="AJ87" s="3">
        <v>45831</v>
      </c>
      <c r="AK87" s="3">
        <v>45827</v>
      </c>
      <c r="AL87" s="3">
        <v>45820</v>
      </c>
      <c r="AM87" s="3">
        <v>45828</v>
      </c>
      <c r="AN87" s="3">
        <v>45829</v>
      </c>
      <c r="AO87" s="3">
        <v>45830</v>
      </c>
      <c r="AP87" s="3">
        <v>45826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7.75" customHeight="1" x14ac:dyDescent="0.45">
      <c r="A88" s="3">
        <v>45798</v>
      </c>
      <c r="B88" s="14" t="s">
        <v>405</v>
      </c>
      <c r="C88" s="9" t="s">
        <v>111</v>
      </c>
      <c r="D88" s="13" t="s">
        <v>397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45782</v>
      </c>
      <c r="B89" s="14" t="s">
        <v>367</v>
      </c>
      <c r="C89" s="9" t="s">
        <v>80</v>
      </c>
      <c r="D89" s="13" t="s">
        <v>318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>
        <v>45808</v>
      </c>
      <c r="B90" s="14" t="s">
        <v>462</v>
      </c>
      <c r="C90" s="9" t="s">
        <v>147</v>
      </c>
      <c r="D90" s="13" t="s">
        <v>155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329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45822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81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45822</v>
      </c>
      <c r="AK90" s="3">
        <v>45818</v>
      </c>
      <c r="AL90" s="3">
        <v>45811</v>
      </c>
      <c r="AM90" s="3">
        <v>45819</v>
      </c>
      <c r="AN90" s="3">
        <v>45820</v>
      </c>
      <c r="AO90" s="3">
        <v>45821</v>
      </c>
      <c r="AP90" s="3">
        <v>45817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398.98320000000001</v>
      </c>
    </row>
    <row r="91" spans="1:56" ht="27.75" customHeight="1" x14ac:dyDescent="0.45">
      <c r="A91" s="3">
        <v>45810</v>
      </c>
      <c r="B91" s="14" t="s">
        <v>471</v>
      </c>
      <c r="C91" s="9" t="s">
        <v>80</v>
      </c>
      <c r="D91" s="13" t="s">
        <v>258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7.75" customHeight="1" x14ac:dyDescent="0.45">
      <c r="A92" s="3">
        <v>45810</v>
      </c>
      <c r="B92" s="14" t="s">
        <v>472</v>
      </c>
      <c r="C92" s="9" t="s">
        <v>80</v>
      </c>
      <c r="D92" s="13" t="s">
        <v>473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7.75" customHeight="1" x14ac:dyDescent="0.45">
      <c r="A93" s="3">
        <v>45721</v>
      </c>
      <c r="B93" s="14" t="s">
        <v>298</v>
      </c>
      <c r="C93" s="9" t="s">
        <v>147</v>
      </c>
      <c r="D93" s="13" t="s">
        <v>263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219</v>
      </c>
      <c r="C94" s="9" t="s">
        <v>147</v>
      </c>
      <c r="D94" s="13" t="s">
        <v>127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45721</v>
      </c>
      <c r="B95" s="14" t="s">
        <v>299</v>
      </c>
      <c r="C95" s="9" t="s">
        <v>147</v>
      </c>
      <c r="D95" s="13" t="s">
        <v>296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 t="s">
        <v>141</v>
      </c>
      <c r="B96" s="14" t="s">
        <v>141</v>
      </c>
      <c r="C96" s="9" t="s">
        <v>80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45838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121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1667.7075555555555</v>
      </c>
    </row>
    <row r="97" spans="1:56" ht="27.75" customHeight="1" x14ac:dyDescent="0.45">
      <c r="A97" s="3" t="s">
        <v>141</v>
      </c>
      <c r="B97" s="14" t="s">
        <v>141</v>
      </c>
      <c r="C97" s="9" t="s">
        <v>98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45838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81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43027.600000000006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45838</v>
      </c>
      <c r="AK97" s="3">
        <v>45834</v>
      </c>
      <c r="AL97" s="3">
        <v>45827</v>
      </c>
      <c r="AM97" s="3">
        <v>45835</v>
      </c>
      <c r="AN97" s="3">
        <v>45836</v>
      </c>
      <c r="AO97" s="3">
        <v>45837</v>
      </c>
      <c r="AP97" s="3">
        <v>45833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3250.9742222222226</v>
      </c>
    </row>
    <row r="98" spans="1:56" ht="27.75" customHeight="1" x14ac:dyDescent="0.45">
      <c r="A98" s="3">
        <v>45681</v>
      </c>
      <c r="B98" s="14" t="s">
        <v>269</v>
      </c>
      <c r="C98" s="9" t="s">
        <v>80</v>
      </c>
      <c r="D98" s="13" t="s">
        <v>268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262.82226666666674</v>
      </c>
    </row>
    <row r="99" spans="1:56" ht="27.75" customHeight="1" x14ac:dyDescent="0.45">
      <c r="A99" s="3">
        <v>45705</v>
      </c>
      <c r="B99" s="14" t="s">
        <v>288</v>
      </c>
      <c r="C99" s="9" t="s">
        <v>147</v>
      </c>
      <c r="D99" s="13" t="s">
        <v>198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221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855</v>
      </c>
      <c r="V99" s="10">
        <v>0</v>
      </c>
      <c r="W99" s="10">
        <v>855</v>
      </c>
      <c r="X99" s="10">
        <v>16440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291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45674</v>
      </c>
      <c r="B100" s="14" t="s">
        <v>266</v>
      </c>
      <c r="C100" s="9" t="s">
        <v>147</v>
      </c>
      <c r="D100" s="13" t="s">
        <v>265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221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152</v>
      </c>
      <c r="V100" s="10">
        <v>0</v>
      </c>
      <c r="W100" s="10">
        <v>152</v>
      </c>
      <c r="X100" s="10">
        <v>6000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5987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290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45611</v>
      </c>
      <c r="B101" s="14" t="s">
        <v>218</v>
      </c>
      <c r="C101" s="9" t="s">
        <v>147</v>
      </c>
      <c r="D101" s="13" t="s">
        <v>217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45523</v>
      </c>
      <c r="B102" s="14" t="s">
        <v>195</v>
      </c>
      <c r="C102" s="9" t="s">
        <v>147</v>
      </c>
      <c r="D102" s="13" t="s">
        <v>193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1260</v>
      </c>
      <c r="V102" s="10">
        <v>0</v>
      </c>
      <c r="W102" s="10">
        <v>1260</v>
      </c>
      <c r="X102" s="10">
        <v>11095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45523</v>
      </c>
      <c r="B103" s="14" t="s">
        <v>195</v>
      </c>
      <c r="C103" s="9" t="s">
        <v>147</v>
      </c>
      <c r="D103" s="13" t="s">
        <v>194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89</v>
      </c>
      <c r="V103" s="10">
        <v>0</v>
      </c>
      <c r="W103" s="10">
        <v>89</v>
      </c>
      <c r="X103" s="10">
        <v>11180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45752</v>
      </c>
      <c r="B104" s="14" t="s">
        <v>314</v>
      </c>
      <c r="C104" s="9" t="s">
        <v>80</v>
      </c>
      <c r="D104" s="13" t="s">
        <v>315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2000</v>
      </c>
      <c r="V104" s="10">
        <v>2000</v>
      </c>
      <c r="W104" s="10">
        <v>0</v>
      </c>
      <c r="X104" s="10">
        <v>5400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320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45741</v>
      </c>
      <c r="B105" s="14" t="s">
        <v>307</v>
      </c>
      <c r="C105" s="9" t="s">
        <v>111</v>
      </c>
      <c r="D105" s="13" t="s">
        <v>305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4000</v>
      </c>
      <c r="V105" s="10">
        <v>3857</v>
      </c>
      <c r="W105" s="10">
        <v>143</v>
      </c>
      <c r="X105" s="10">
        <v>4200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320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45720</v>
      </c>
      <c r="B106" s="14" t="s">
        <v>133</v>
      </c>
      <c r="C106" s="9" t="s">
        <v>111</v>
      </c>
      <c r="D106" s="13" t="s">
        <v>239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45720</v>
      </c>
      <c r="B107" s="14" t="s">
        <v>133</v>
      </c>
      <c r="C107" s="9" t="s">
        <v>111</v>
      </c>
      <c r="D107" s="13" t="s">
        <v>257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45541</v>
      </c>
      <c r="B108" s="14" t="s">
        <v>199</v>
      </c>
      <c r="C108" s="9" t="s">
        <v>111</v>
      </c>
      <c r="D108" s="13" t="s">
        <v>200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203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 t="s">
        <v>260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45548</v>
      </c>
      <c r="B109" s="14" t="s">
        <v>202</v>
      </c>
      <c r="C109" s="9" t="s">
        <v>111</v>
      </c>
      <c r="D109" s="13" t="s">
        <v>201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2500</v>
      </c>
      <c r="V109" s="10">
        <v>2364</v>
      </c>
      <c r="W109" s="10">
        <v>136</v>
      </c>
      <c r="X109" s="10">
        <v>5500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140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45581</v>
      </c>
      <c r="B110" s="14" t="s">
        <v>207</v>
      </c>
      <c r="C110" s="9" t="s">
        <v>111</v>
      </c>
      <c r="D110" s="13" t="s">
        <v>208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38</v>
      </c>
      <c r="G111" s="9">
        <v>0</v>
      </c>
      <c r="H111" s="9">
        <v>0</v>
      </c>
      <c r="I111" s="9">
        <v>84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294772.93725000008</v>
      </c>
      <c r="AB111" s="8">
        <v>76407.86725000001</v>
      </c>
      <c r="AC111" s="8">
        <v>218365.07000000004</v>
      </c>
      <c r="AD111" s="8">
        <v>0</v>
      </c>
      <c r="AE111" s="8">
        <v>294772.93725000008</v>
      </c>
      <c r="AF111" s="8" t="s">
        <v>58</v>
      </c>
      <c r="AG111" s="1" t="s">
        <v>119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45796</v>
      </c>
      <c r="B112" s="14" t="s">
        <v>384</v>
      </c>
      <c r="C112" s="9" t="s">
        <v>147</v>
      </c>
      <c r="D112" s="13" t="s">
        <v>372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221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640</v>
      </c>
      <c r="V112" s="10">
        <v>0</v>
      </c>
      <c r="W112" s="10">
        <v>640</v>
      </c>
      <c r="X112" s="10">
        <v>83500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241</v>
      </c>
      <c r="AG112" s="1" t="s">
        <v>119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354</v>
      </c>
      <c r="C113" s="9" t="s">
        <v>86</v>
      </c>
      <c r="D113" s="13" t="s">
        <v>355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45817</v>
      </c>
      <c r="U113" s="11">
        <v>60000</v>
      </c>
      <c r="V113" s="10">
        <v>60679</v>
      </c>
      <c r="W113" s="10">
        <v>0</v>
      </c>
      <c r="X113" s="10">
        <v>62600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356</v>
      </c>
      <c r="AG113" s="1" t="s">
        <v>119</v>
      </c>
      <c r="AH113" s="1" t="s">
        <v>74</v>
      </c>
      <c r="AI113" s="1">
        <v>2</v>
      </c>
      <c r="AJ113" s="3">
        <v>45817</v>
      </c>
      <c r="AK113" s="3">
        <v>0</v>
      </c>
      <c r="AL113" s="3">
        <v>45808</v>
      </c>
      <c r="AM113" s="3">
        <v>45815</v>
      </c>
      <c r="AN113" s="3">
        <v>45816</v>
      </c>
      <c r="AO113" s="3">
        <v>45816</v>
      </c>
      <c r="AP113" s="3">
        <v>45812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357</v>
      </c>
      <c r="C114" s="9" t="s">
        <v>86</v>
      </c>
      <c r="D114" s="13" t="s">
        <v>358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45817</v>
      </c>
      <c r="U114" s="11">
        <v>15000</v>
      </c>
      <c r="V114" s="10">
        <v>14947</v>
      </c>
      <c r="W114" s="10">
        <v>53</v>
      </c>
      <c r="X114" s="10">
        <v>15750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356</v>
      </c>
      <c r="AG114" s="1" t="s">
        <v>120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45785</v>
      </c>
      <c r="B115" s="14" t="s">
        <v>357</v>
      </c>
      <c r="C115" s="9" t="s">
        <v>86</v>
      </c>
      <c r="D115" s="13" t="s">
        <v>279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45817</v>
      </c>
      <c r="U115" s="11">
        <v>40000</v>
      </c>
      <c r="V115" s="10">
        <v>39929</v>
      </c>
      <c r="W115" s="10">
        <v>71</v>
      </c>
      <c r="X115" s="10">
        <v>41600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356</v>
      </c>
      <c r="AG115" s="1" t="s">
        <v>120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45786</v>
      </c>
      <c r="B116" s="14" t="s">
        <v>365</v>
      </c>
      <c r="C116" s="9" t="s">
        <v>86</v>
      </c>
      <c r="D116" s="13" t="s">
        <v>360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253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240</v>
      </c>
      <c r="AG116" s="1" t="s">
        <v>121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45812</v>
      </c>
      <c r="B117" s="14" t="s">
        <v>497</v>
      </c>
      <c r="C117" s="9" t="s">
        <v>73</v>
      </c>
      <c r="D117" s="13" t="s">
        <v>474</v>
      </c>
      <c r="E117" s="9">
        <v>20</v>
      </c>
      <c r="F117" s="9">
        <v>32</v>
      </c>
      <c r="G117" s="9" t="s">
        <v>60</v>
      </c>
      <c r="H117" s="9">
        <v>0</v>
      </c>
      <c r="I117" s="9">
        <v>72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150</v>
      </c>
      <c r="T117" s="12">
        <v>45827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4679.9500000000007</v>
      </c>
      <c r="AB117" s="8">
        <v>4679.9500000000007</v>
      </c>
      <c r="AC117" s="8">
        <v>0</v>
      </c>
      <c r="AD117" s="8">
        <v>0</v>
      </c>
      <c r="AE117" s="8">
        <v>0</v>
      </c>
      <c r="AF117" s="8" t="s">
        <v>475</v>
      </c>
      <c r="AG117" s="1" t="s">
        <v>120</v>
      </c>
      <c r="AH117" s="1" t="s">
        <v>74</v>
      </c>
      <c r="AI117" s="1">
        <v>2</v>
      </c>
      <c r="AJ117" s="3">
        <v>45827</v>
      </c>
      <c r="AK117" s="3">
        <v>0</v>
      </c>
      <c r="AL117" s="3">
        <v>45818</v>
      </c>
      <c r="AM117" s="3">
        <v>45825</v>
      </c>
      <c r="AN117" s="3">
        <v>45826</v>
      </c>
      <c r="AO117" s="3">
        <v>45826</v>
      </c>
      <c r="AP117" s="3">
        <v>45822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45813</v>
      </c>
      <c r="B118" s="14" t="s">
        <v>133</v>
      </c>
      <c r="C118" s="9" t="s">
        <v>86</v>
      </c>
      <c r="D118" s="13" t="s">
        <v>498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253</v>
      </c>
      <c r="T118" s="12">
        <v>45838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5378.4500000000007</v>
      </c>
      <c r="AB118" s="8">
        <v>5378.4500000000007</v>
      </c>
      <c r="AC118" s="8">
        <v>0</v>
      </c>
      <c r="AD118" s="8">
        <v>0</v>
      </c>
      <c r="AE118" s="8">
        <v>0</v>
      </c>
      <c r="AF118" s="8" t="s">
        <v>240</v>
      </c>
      <c r="AG118" s="1" t="s">
        <v>61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45805</v>
      </c>
      <c r="B119" s="14" t="s">
        <v>439</v>
      </c>
      <c r="C119" s="9" t="s">
        <v>86</v>
      </c>
      <c r="D119" s="13" t="s">
        <v>440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356</v>
      </c>
      <c r="AG119" s="1" t="s">
        <v>119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45805</v>
      </c>
      <c r="B120" s="14" t="s">
        <v>439</v>
      </c>
      <c r="C120" s="9" t="s">
        <v>86</v>
      </c>
      <c r="D120" s="13" t="s">
        <v>338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82</v>
      </c>
      <c r="AA120" s="8">
        <v>5378.4500000000007</v>
      </c>
      <c r="AB120" s="8">
        <v>5378.4500000000007</v>
      </c>
      <c r="AC120" s="8">
        <v>0</v>
      </c>
      <c r="AD120" s="8">
        <v>0</v>
      </c>
      <c r="AE120" s="8">
        <v>0</v>
      </c>
      <c r="AF120" s="8" t="s">
        <v>356</v>
      </c>
      <c r="AG120" s="1" t="s">
        <v>119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141</v>
      </c>
      <c r="B121" s="14" t="s">
        <v>141</v>
      </c>
      <c r="C121" s="9" t="s">
        <v>147</v>
      </c>
      <c r="D121" s="13" t="s">
        <v>61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221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45838</v>
      </c>
      <c r="U121" s="11">
        <v>150000</v>
      </c>
      <c r="V121" s="10">
        <v>0</v>
      </c>
      <c r="W121" s="10">
        <v>150000</v>
      </c>
      <c r="X121" s="10">
        <v>0</v>
      </c>
      <c r="Y121" s="10">
        <v>157500</v>
      </c>
      <c r="Z121" s="9" t="s">
        <v>82</v>
      </c>
      <c r="AA121" s="8">
        <v>157162.5</v>
      </c>
      <c r="AB121" s="8">
        <v>129450</v>
      </c>
      <c r="AC121" s="8">
        <v>27712.5</v>
      </c>
      <c r="AD121" s="8">
        <v>0</v>
      </c>
      <c r="AE121" s="8">
        <v>0</v>
      </c>
      <c r="AF121" s="8" t="s">
        <v>241</v>
      </c>
      <c r="AG121" s="1" t="s">
        <v>119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2118.4666666666667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37</v>
      </c>
      <c r="G122" s="9">
        <v>0</v>
      </c>
      <c r="H122" s="9">
        <v>0</v>
      </c>
      <c r="I122" s="9">
        <v>80</v>
      </c>
      <c r="J122" s="9" t="s">
        <v>57</v>
      </c>
      <c r="K122" s="9">
        <v>3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82</v>
      </c>
      <c r="AA122" s="8">
        <v>172599.35</v>
      </c>
      <c r="AB122" s="8">
        <v>144886.85</v>
      </c>
      <c r="AC122" s="8">
        <v>27712.5</v>
      </c>
      <c r="AD122" s="8">
        <v>0</v>
      </c>
      <c r="AE122" s="8">
        <v>0</v>
      </c>
      <c r="AF122" s="8" t="s">
        <v>58</v>
      </c>
      <c r="AG122" s="1" t="s">
        <v>119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 t="s">
        <v>133</v>
      </c>
      <c r="C123" s="9" t="s">
        <v>342</v>
      </c>
      <c r="D123" s="13" t="s">
        <v>342</v>
      </c>
      <c r="E123" s="9">
        <v>20</v>
      </c>
      <c r="F123" s="9">
        <v>34</v>
      </c>
      <c r="G123" s="9" t="s">
        <v>60</v>
      </c>
      <c r="H123" s="9">
        <v>0</v>
      </c>
      <c r="I123" s="9">
        <v>85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45838</v>
      </c>
      <c r="U123" s="11">
        <v>1345000</v>
      </c>
      <c r="V123" s="10">
        <v>0</v>
      </c>
      <c r="W123" s="10">
        <v>1345000</v>
      </c>
      <c r="X123" s="10">
        <v>381895</v>
      </c>
      <c r="Y123" s="10">
        <v>1011260.25</v>
      </c>
      <c r="Z123" s="9" t="s">
        <v>343</v>
      </c>
      <c r="AA123" s="8">
        <v>920971.90109924995</v>
      </c>
      <c r="AB123" s="8">
        <v>316435</v>
      </c>
      <c r="AC123" s="8">
        <v>604536.90109924995</v>
      </c>
      <c r="AD123" s="8">
        <v>0</v>
      </c>
      <c r="AE123" s="8">
        <v>0</v>
      </c>
      <c r="AF123" s="8">
        <v>0</v>
      </c>
      <c r="AG123" s="1" t="s">
        <v>119</v>
      </c>
      <c r="AH123" s="1" t="s">
        <v>74</v>
      </c>
      <c r="AI123" s="1">
        <v>2</v>
      </c>
      <c r="AJ123" s="3">
        <v>45838</v>
      </c>
      <c r="AK123" s="3">
        <v>0</v>
      </c>
      <c r="AL123" s="3">
        <v>45829</v>
      </c>
      <c r="AM123" s="3">
        <v>45836</v>
      </c>
      <c r="AN123" s="3">
        <v>45837</v>
      </c>
      <c r="AO123" s="3">
        <v>45837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344</v>
      </c>
      <c r="BD123" s="56">
        <v>53098.49114655079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34</v>
      </c>
      <c r="G124" s="9">
        <v>0</v>
      </c>
      <c r="H124" s="9">
        <v>0</v>
      </c>
      <c r="I124" s="9">
        <v>85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343</v>
      </c>
      <c r="AA124" s="8">
        <v>920971.90109924995</v>
      </c>
      <c r="AB124" s="8">
        <v>316435</v>
      </c>
      <c r="AC124" s="8">
        <v>604536.90109924995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345</v>
      </c>
      <c r="BD124" s="56">
        <v>0</v>
      </c>
    </row>
    <row r="125" spans="1:56" ht="27.75" customHeight="1" x14ac:dyDescent="0.45">
      <c r="A125" s="3">
        <v>45803</v>
      </c>
      <c r="B125" s="14" t="s">
        <v>424</v>
      </c>
      <c r="C125" s="9" t="s">
        <v>233</v>
      </c>
      <c r="D125" s="13" t="s">
        <v>412</v>
      </c>
      <c r="E125" s="9">
        <v>21</v>
      </c>
      <c r="F125" s="9">
        <v>34</v>
      </c>
      <c r="G125" s="9" t="s">
        <v>60</v>
      </c>
      <c r="H125" s="9">
        <v>0</v>
      </c>
      <c r="I125" s="9">
        <v>60</v>
      </c>
      <c r="J125" s="9" t="s">
        <v>57</v>
      </c>
      <c r="K125" s="9">
        <v>5</v>
      </c>
      <c r="L125" s="9" t="s">
        <v>93</v>
      </c>
      <c r="M125" s="10">
        <v>22</v>
      </c>
      <c r="N125" s="9">
        <v>36</v>
      </c>
      <c r="O125" s="9">
        <v>40</v>
      </c>
      <c r="P125" s="10">
        <v>195.39367372799995</v>
      </c>
      <c r="Q125" s="10">
        <v>0</v>
      </c>
      <c r="R125" s="10">
        <v>195.39367372799995</v>
      </c>
      <c r="S125" s="9" t="s">
        <v>67</v>
      </c>
      <c r="T125" s="12">
        <v>45824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135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72</v>
      </c>
      <c r="AI125" s="1">
        <v>3</v>
      </c>
      <c r="AJ125" s="3">
        <v>45824</v>
      </c>
      <c r="AK125" s="3">
        <v>0</v>
      </c>
      <c r="AL125" s="3">
        <v>45814</v>
      </c>
      <c r="AM125" s="3">
        <v>45821</v>
      </c>
      <c r="AN125" s="3">
        <v>45822</v>
      </c>
      <c r="AO125" s="3">
        <v>45822</v>
      </c>
      <c r="AP125" s="3">
        <v>45819</v>
      </c>
      <c r="AQ125" s="3">
        <v>45823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676.95127500000001</v>
      </c>
    </row>
    <row r="126" spans="1:56" ht="27.75" customHeight="1" x14ac:dyDescent="0.45">
      <c r="A126" s="3">
        <v>45813</v>
      </c>
      <c r="B126" s="14" t="s">
        <v>133</v>
      </c>
      <c r="C126" s="9" t="s">
        <v>185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45817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135</v>
      </c>
      <c r="AA126" s="8">
        <v>11036.3</v>
      </c>
      <c r="AB126" s="8">
        <v>4900</v>
      </c>
      <c r="AC126" s="8">
        <v>6136.2999999999993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77</v>
      </c>
      <c r="AI126" s="1">
        <v>2</v>
      </c>
      <c r="AJ126" s="3">
        <v>45817</v>
      </c>
      <c r="AK126" s="3">
        <v>0</v>
      </c>
      <c r="AL126" s="3">
        <v>0</v>
      </c>
      <c r="AM126" s="3">
        <v>0</v>
      </c>
      <c r="AN126" s="3">
        <v>0</v>
      </c>
      <c r="AO126" s="3">
        <v>45815</v>
      </c>
      <c r="AP126" s="3">
        <v>45812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418.80247499999984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135</v>
      </c>
      <c r="AA127" s="8">
        <v>20955</v>
      </c>
      <c r="AB127" s="8">
        <v>4900</v>
      </c>
      <c r="AC127" s="8">
        <v>16055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45799</v>
      </c>
      <c r="B128" s="14" t="s">
        <v>428</v>
      </c>
      <c r="C128" s="9" t="s">
        <v>115</v>
      </c>
      <c r="D128" s="13" t="s">
        <v>300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45819</v>
      </c>
      <c r="U128" s="11">
        <v>50000</v>
      </c>
      <c r="V128" s="10">
        <v>0</v>
      </c>
      <c r="W128" s="10">
        <v>50000</v>
      </c>
      <c r="X128" s="10">
        <v>0</v>
      </c>
      <c r="Y128" s="10">
        <v>52500</v>
      </c>
      <c r="Z128" s="9" t="s">
        <v>124</v>
      </c>
      <c r="AA128" s="8">
        <v>53784.500000000007</v>
      </c>
      <c r="AB128" s="8">
        <v>14689</v>
      </c>
      <c r="AC128" s="8">
        <v>39095.500000000007</v>
      </c>
      <c r="AD128" s="8">
        <v>4500</v>
      </c>
      <c r="AE128" s="8">
        <v>49284.500000000007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45819</v>
      </c>
      <c r="AK128" s="3">
        <v>45815</v>
      </c>
      <c r="AL128" s="3">
        <v>45809</v>
      </c>
      <c r="AM128" s="3">
        <v>45816</v>
      </c>
      <c r="AN128" s="3">
        <v>45817</v>
      </c>
      <c r="AO128" s="3">
        <v>45817</v>
      </c>
      <c r="AP128" s="3">
        <v>45814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2811.4877233333336</v>
      </c>
    </row>
    <row r="129" spans="1:56" ht="27.75" customHeight="1" x14ac:dyDescent="0.45">
      <c r="A129" s="3">
        <v>45799</v>
      </c>
      <c r="B129" s="14" t="s">
        <v>428</v>
      </c>
      <c r="C129" s="9" t="s">
        <v>115</v>
      </c>
      <c r="D129" s="13" t="s">
        <v>333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45819</v>
      </c>
      <c r="U129" s="11">
        <v>25000</v>
      </c>
      <c r="V129" s="10">
        <v>0</v>
      </c>
      <c r="W129" s="10">
        <v>25000</v>
      </c>
      <c r="X129" s="10">
        <v>52800</v>
      </c>
      <c r="Y129" s="10">
        <v>0</v>
      </c>
      <c r="Z129" s="9" t="s">
        <v>124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120</v>
      </c>
      <c r="AH129" s="1" t="s">
        <v>68</v>
      </c>
      <c r="AI129" s="1">
        <v>4</v>
      </c>
      <c r="AJ129" s="3">
        <v>45819</v>
      </c>
      <c r="AK129" s="3">
        <v>45815</v>
      </c>
      <c r="AL129" s="3">
        <v>45809</v>
      </c>
      <c r="AM129" s="3">
        <v>45816</v>
      </c>
      <c r="AN129" s="3">
        <v>45817</v>
      </c>
      <c r="AO129" s="3">
        <v>45817</v>
      </c>
      <c r="AP129" s="3">
        <v>45814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0</v>
      </c>
    </row>
    <row r="130" spans="1:56" ht="27.75" customHeight="1" x14ac:dyDescent="0.45">
      <c r="A130" s="3">
        <v>45808</v>
      </c>
      <c r="B130" s="14" t="s">
        <v>456</v>
      </c>
      <c r="C130" s="9" t="s">
        <v>111</v>
      </c>
      <c r="D130" s="13" t="s">
        <v>403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124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120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396.82856033333326</v>
      </c>
    </row>
    <row r="131" spans="1:56" ht="27.75" customHeight="1" x14ac:dyDescent="0.45">
      <c r="A131" s="3">
        <v>45798</v>
      </c>
      <c r="B131" s="14" t="s">
        <v>409</v>
      </c>
      <c r="C131" s="9" t="s">
        <v>111</v>
      </c>
      <c r="D131" s="13" t="s">
        <v>402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45817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124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45817</v>
      </c>
      <c r="AK131" s="3">
        <v>45813</v>
      </c>
      <c r="AL131" s="3">
        <v>45807</v>
      </c>
      <c r="AM131" s="3">
        <v>45814</v>
      </c>
      <c r="AN131" s="3">
        <v>45815</v>
      </c>
      <c r="AO131" s="3">
        <v>45815</v>
      </c>
      <c r="AP131" s="3">
        <v>45812</v>
      </c>
      <c r="AQ131" s="3">
        <v>45816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45799</v>
      </c>
      <c r="B132" s="14" t="s">
        <v>427</v>
      </c>
      <c r="C132" s="9" t="s">
        <v>115</v>
      </c>
      <c r="D132" s="13" t="s">
        <v>399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124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2320.6936060000003</v>
      </c>
    </row>
    <row r="133" spans="1:56" ht="27.75" customHeight="1" x14ac:dyDescent="0.45">
      <c r="A133" s="3">
        <v>45799</v>
      </c>
      <c r="B133" s="14" t="s">
        <v>427</v>
      </c>
      <c r="C133" s="9" t="s">
        <v>115</v>
      </c>
      <c r="D133" s="13" t="s">
        <v>350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124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2320.6936060000003</v>
      </c>
    </row>
    <row r="134" spans="1:56" ht="27.75" customHeight="1" x14ac:dyDescent="0.45">
      <c r="A134" s="3">
        <v>45799</v>
      </c>
      <c r="B134" s="14" t="s">
        <v>427</v>
      </c>
      <c r="C134" s="9" t="s">
        <v>115</v>
      </c>
      <c r="D134" s="13" t="s">
        <v>400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124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1547.1290706666666</v>
      </c>
    </row>
    <row r="135" spans="1:56" ht="27.75" customHeight="1" x14ac:dyDescent="0.45">
      <c r="A135" s="3">
        <v>45803</v>
      </c>
      <c r="B135" s="14" t="s">
        <v>425</v>
      </c>
      <c r="C135" s="9" t="s">
        <v>111</v>
      </c>
      <c r="D135" s="13" t="s">
        <v>426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113.97964300799998</v>
      </c>
      <c r="Q135" s="10">
        <v>0</v>
      </c>
      <c r="R135" s="10">
        <v>113.97964300799998</v>
      </c>
      <c r="S135" s="9" t="s">
        <v>71</v>
      </c>
      <c r="T135" s="12">
        <v>45831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124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45831</v>
      </c>
      <c r="AK135" s="3">
        <v>45827</v>
      </c>
      <c r="AL135" s="3">
        <v>45821</v>
      </c>
      <c r="AM135" s="3">
        <v>45828</v>
      </c>
      <c r="AN135" s="3">
        <v>45829</v>
      </c>
      <c r="AO135" s="3">
        <v>45829</v>
      </c>
      <c r="AP135" s="3">
        <v>45826</v>
      </c>
      <c r="AQ135" s="3">
        <v>45830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416.92114566666663</v>
      </c>
    </row>
    <row r="136" spans="1:56" ht="27.75" customHeight="1" x14ac:dyDescent="0.45">
      <c r="A136" s="3" t="s">
        <v>141</v>
      </c>
      <c r="B136" s="14" t="s">
        <v>141</v>
      </c>
      <c r="C136" s="9" t="s">
        <v>115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45838</v>
      </c>
      <c r="U136" s="11">
        <v>130000</v>
      </c>
      <c r="V136" s="10">
        <v>0</v>
      </c>
      <c r="W136" s="10">
        <v>130000</v>
      </c>
      <c r="X136" s="10">
        <v>0</v>
      </c>
      <c r="Y136" s="10">
        <v>136500</v>
      </c>
      <c r="Z136" s="9" t="s">
        <v>124</v>
      </c>
      <c r="AA136" s="8">
        <v>139839.70000000001</v>
      </c>
      <c r="AB136" s="8">
        <v>0</v>
      </c>
      <c r="AC136" s="8">
        <v>139839.70000000001</v>
      </c>
      <c r="AD136" s="8">
        <v>0</v>
      </c>
      <c r="AE136" s="8">
        <v>139839.70000000001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10056.338959333332</v>
      </c>
    </row>
    <row r="137" spans="1:56" ht="27.75" customHeight="1" x14ac:dyDescent="0.45">
      <c r="A137" s="3">
        <v>45628</v>
      </c>
      <c r="B137" s="14" t="s">
        <v>226</v>
      </c>
      <c r="C137" s="9" t="s">
        <v>113</v>
      </c>
      <c r="D137" s="13" t="s">
        <v>153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45838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124</v>
      </c>
      <c r="AA137" s="8">
        <v>8605.52</v>
      </c>
      <c r="AB137" s="8">
        <v>0</v>
      </c>
      <c r="AC137" s="8">
        <v>8605.52</v>
      </c>
      <c r="AD137" s="8">
        <v>0</v>
      </c>
      <c r="AE137" s="8">
        <v>8605.52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45838</v>
      </c>
      <c r="AK137" s="3">
        <v>45834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254</v>
      </c>
      <c r="AZ137" s="2">
        <v>0</v>
      </c>
      <c r="BA137" s="2">
        <v>0</v>
      </c>
      <c r="BB137" s="2">
        <v>0</v>
      </c>
      <c r="BC137" s="1" t="s">
        <v>125</v>
      </c>
      <c r="BD137" s="56">
        <v>618.85162826666658</v>
      </c>
    </row>
    <row r="138" spans="1:56" ht="27.75" customHeight="1" x14ac:dyDescent="0.45">
      <c r="A138" s="3">
        <v>45800</v>
      </c>
      <c r="B138" s="14" t="s">
        <v>406</v>
      </c>
      <c r="C138" s="9" t="s">
        <v>80</v>
      </c>
      <c r="D138" s="13" t="s">
        <v>407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113.97964300799998</v>
      </c>
      <c r="Q138" s="10">
        <v>0</v>
      </c>
      <c r="R138" s="10">
        <v>113.97964300799998</v>
      </c>
      <c r="S138" s="9" t="s">
        <v>67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10420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45800</v>
      </c>
      <c r="B139" s="14" t="s">
        <v>406</v>
      </c>
      <c r="C139" s="9" t="s">
        <v>80</v>
      </c>
      <c r="D139" s="13" t="s">
        <v>407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42</v>
      </c>
      <c r="O139" s="9">
        <v>40</v>
      </c>
      <c r="P139" s="10">
        <v>113.97964300799998</v>
      </c>
      <c r="Q139" s="10">
        <v>0</v>
      </c>
      <c r="R139" s="10">
        <v>113.97964300799998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124</v>
      </c>
      <c r="AA139" s="8">
        <v>5797.55</v>
      </c>
      <c r="AB139" s="8">
        <v>5797.55</v>
      </c>
      <c r="AC139" s="8">
        <v>0</v>
      </c>
      <c r="AD139" s="8">
        <v>5797.55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45798</v>
      </c>
      <c r="B140" s="14" t="s">
        <v>408</v>
      </c>
      <c r="C140" s="9" t="s">
        <v>111</v>
      </c>
      <c r="D140" s="13" t="s">
        <v>401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124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120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238.09713619999999</v>
      </c>
    </row>
    <row r="141" spans="1:56" ht="27.75" customHeight="1" x14ac:dyDescent="0.45">
      <c r="A141" s="3">
        <v>45631</v>
      </c>
      <c r="B141" s="14" t="s">
        <v>230</v>
      </c>
      <c r="C141" s="9" t="s">
        <v>113</v>
      </c>
      <c r="D141" s="13" t="s">
        <v>153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124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61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255</v>
      </c>
      <c r="AZ141" s="2">
        <v>0</v>
      </c>
      <c r="BA141" s="2">
        <v>0</v>
      </c>
      <c r="BB141" s="2">
        <v>0</v>
      </c>
      <c r="BC141" s="1" t="s">
        <v>125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231</v>
      </c>
      <c r="C142" s="9" t="s">
        <v>113</v>
      </c>
      <c r="D142" s="13" t="s">
        <v>153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124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120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256</v>
      </c>
      <c r="AZ142" s="2">
        <v>0</v>
      </c>
      <c r="BA142" s="2">
        <v>0</v>
      </c>
      <c r="BB142" s="2">
        <v>0</v>
      </c>
      <c r="BC142" s="1" t="s">
        <v>125</v>
      </c>
      <c r="BD142" s="56">
        <v>1237.7032565333332</v>
      </c>
    </row>
    <row r="143" spans="1:56" ht="27.75" customHeight="1" x14ac:dyDescent="0.45">
      <c r="A143" s="3" t="s">
        <v>141</v>
      </c>
      <c r="B143" s="14" t="s">
        <v>141</v>
      </c>
      <c r="C143" s="9" t="s">
        <v>113</v>
      </c>
      <c r="D143" s="13" t="s">
        <v>153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124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10756.900000000001</v>
      </c>
      <c r="AF143" s="8">
        <v>0</v>
      </c>
      <c r="AG143" s="1" t="s">
        <v>119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773.56453533333331</v>
      </c>
    </row>
    <row r="144" spans="1:56" ht="27.75" customHeight="1" x14ac:dyDescent="0.45">
      <c r="A144" s="3" t="s">
        <v>141</v>
      </c>
      <c r="B144" s="14" t="s">
        <v>141</v>
      </c>
      <c r="C144" s="9" t="s">
        <v>111</v>
      </c>
      <c r="D144" s="13" t="s">
        <v>61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227.95928601599996</v>
      </c>
      <c r="Q144" s="10">
        <v>0</v>
      </c>
      <c r="R144" s="10">
        <v>227.95928601599996</v>
      </c>
      <c r="S144" s="9" t="s">
        <v>67</v>
      </c>
      <c r="T144" s="12">
        <v>45838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124</v>
      </c>
      <c r="AA144" s="8">
        <v>11595.1</v>
      </c>
      <c r="AB144" s="8">
        <v>0</v>
      </c>
      <c r="AC144" s="8">
        <v>11595.1</v>
      </c>
      <c r="AD144" s="8">
        <v>0</v>
      </c>
      <c r="AE144" s="8">
        <v>11595.1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833.84229133333326</v>
      </c>
    </row>
    <row r="145" spans="1:56" ht="27.75" customHeight="1" x14ac:dyDescent="0.45">
      <c r="A145" s="3">
        <v>45066</v>
      </c>
      <c r="B145" s="14" t="s">
        <v>131</v>
      </c>
      <c r="C145" s="9" t="s">
        <v>80</v>
      </c>
      <c r="D145" s="13" t="s">
        <v>130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124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119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396.82856033333326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>
        <v>0</v>
      </c>
      <c r="H146" s="9">
        <v>0</v>
      </c>
      <c r="I146" s="9">
        <v>74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 t="s">
        <v>83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124</v>
      </c>
      <c r="AA146" s="8">
        <v>374312.18000000005</v>
      </c>
      <c r="AB146" s="8">
        <v>23797.439999999999</v>
      </c>
      <c r="AC146" s="8">
        <v>350514.74000000005</v>
      </c>
      <c r="AD146" s="8">
        <v>13608.439999999999</v>
      </c>
      <c r="AE146" s="8">
        <v>360703.74000000005</v>
      </c>
      <c r="AF146" s="8" t="s">
        <v>58</v>
      </c>
      <c r="AG146" s="1" t="s">
        <v>61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126</v>
      </c>
      <c r="BD146" s="56">
        <v>0</v>
      </c>
    </row>
    <row r="147" spans="1:56" ht="27.75" customHeight="1" x14ac:dyDescent="0.45">
      <c r="A147" s="3">
        <v>9</v>
      </c>
      <c r="B147" s="14" t="s">
        <v>366</v>
      </c>
      <c r="C147" s="9" t="s">
        <v>361</v>
      </c>
      <c r="D147" s="13" t="s">
        <v>362</v>
      </c>
      <c r="E147" s="9">
        <v>22</v>
      </c>
      <c r="F147" s="9">
        <v>34</v>
      </c>
      <c r="G147" s="9" t="s">
        <v>60</v>
      </c>
      <c r="H147" s="9" t="s">
        <v>66</v>
      </c>
      <c r="I147" s="9">
        <v>115</v>
      </c>
      <c r="J147" s="9" t="s">
        <v>78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363</v>
      </c>
      <c r="T147" s="12">
        <v>45833</v>
      </c>
      <c r="U147" s="11">
        <v>239700</v>
      </c>
      <c r="V147" s="10">
        <v>0</v>
      </c>
      <c r="W147" s="10">
        <v>239700</v>
      </c>
      <c r="X147" s="10">
        <v>117200</v>
      </c>
      <c r="Y147" s="10">
        <v>128625</v>
      </c>
      <c r="Z147" s="9" t="s">
        <v>280</v>
      </c>
      <c r="AA147" s="8">
        <v>127579.27875</v>
      </c>
      <c r="AB147" s="8">
        <v>31742</v>
      </c>
      <c r="AC147" s="8">
        <v>95837.278749999998</v>
      </c>
      <c r="AD147" s="8">
        <v>0</v>
      </c>
      <c r="AE147" s="8">
        <v>127579.27875</v>
      </c>
      <c r="AF147" s="8" t="s">
        <v>364</v>
      </c>
      <c r="AG147" s="1" t="s">
        <v>61</v>
      </c>
      <c r="AH147" s="1" t="s">
        <v>68</v>
      </c>
      <c r="AI147" s="1">
        <v>4</v>
      </c>
      <c r="AJ147" s="3">
        <v>45833</v>
      </c>
      <c r="AK147" s="3">
        <v>45829</v>
      </c>
      <c r="AL147" s="3">
        <v>45823</v>
      </c>
      <c r="AM147" s="3">
        <v>45830</v>
      </c>
      <c r="AN147" s="3">
        <v>45831</v>
      </c>
      <c r="AO147" s="3">
        <v>45831</v>
      </c>
      <c r="AP147" s="3">
        <v>45828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282</v>
      </c>
      <c r="BD147" s="56">
        <v>10239.893776841667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21.6</v>
      </c>
      <c r="F148" s="9">
        <v>34</v>
      </c>
      <c r="G148" s="9">
        <v>0</v>
      </c>
      <c r="H148" s="9">
        <v>0</v>
      </c>
      <c r="I148" s="9">
        <v>97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280</v>
      </c>
      <c r="AA148" s="8">
        <v>127579.27875</v>
      </c>
      <c r="AB148" s="8">
        <v>31742</v>
      </c>
      <c r="AC148" s="8">
        <v>95837.278749999998</v>
      </c>
      <c r="AD148" s="8">
        <v>0</v>
      </c>
      <c r="AE148" s="8">
        <v>127579.27875</v>
      </c>
      <c r="AF148" s="8" t="s">
        <v>58</v>
      </c>
      <c r="AG148" s="1" t="s">
        <v>119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282</v>
      </c>
      <c r="BD148" s="56">
        <v>0</v>
      </c>
    </row>
    <row r="149" spans="1:56" ht="27.75" customHeight="1" x14ac:dyDescent="0.45">
      <c r="A149" s="3" t="s">
        <v>141</v>
      </c>
      <c r="B149" s="14" t="s">
        <v>141</v>
      </c>
      <c r="C149" s="9" t="s">
        <v>259</v>
      </c>
      <c r="D149" s="13" t="s">
        <v>61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128</v>
      </c>
      <c r="T149" s="12">
        <v>45838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9918.7000000000007</v>
      </c>
      <c r="AC149" s="8">
        <v>0</v>
      </c>
      <c r="AD149" s="8">
        <v>0</v>
      </c>
      <c r="AE149" s="8">
        <v>9918.7000000000007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45838</v>
      </c>
      <c r="AK149" s="3">
        <v>45834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 t="s">
        <v>141</v>
      </c>
      <c r="B150" s="14" t="s">
        <v>141</v>
      </c>
      <c r="C150" s="9" t="s">
        <v>259</v>
      </c>
      <c r="D150" s="13" t="s">
        <v>61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93</v>
      </c>
      <c r="M150" s="10">
        <v>24</v>
      </c>
      <c r="N150" s="9">
        <v>37</v>
      </c>
      <c r="O150" s="9">
        <v>50</v>
      </c>
      <c r="P150" s="10">
        <v>273.84719423999996</v>
      </c>
      <c r="Q150" s="10">
        <v>0</v>
      </c>
      <c r="R150" s="10">
        <v>273.84719423999996</v>
      </c>
      <c r="S150" s="9" t="s">
        <v>128</v>
      </c>
      <c r="T150" s="12">
        <v>45838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9918.7000000000007</v>
      </c>
      <c r="AB150" s="8">
        <v>9918.7000000000007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>
        <v>45838</v>
      </c>
      <c r="AK150" s="3">
        <v>0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45837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84</v>
      </c>
      <c r="AA151" s="8">
        <v>19837.400000000001</v>
      </c>
      <c r="AB151" s="8">
        <v>19837.400000000001</v>
      </c>
      <c r="AC151" s="8">
        <v>0</v>
      </c>
      <c r="AD151" s="8">
        <v>0</v>
      </c>
      <c r="AE151" s="8">
        <v>9918.7000000000007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 t="s">
        <v>141</v>
      </c>
      <c r="B152" s="14" t="s">
        <v>141</v>
      </c>
      <c r="C152" s="9" t="s">
        <v>251</v>
      </c>
      <c r="D152" s="13" t="s">
        <v>61</v>
      </c>
      <c r="E152" s="9">
        <v>23</v>
      </c>
      <c r="F152" s="9">
        <v>34</v>
      </c>
      <c r="G152" s="9" t="s">
        <v>189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191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74</v>
      </c>
      <c r="AI152" s="1">
        <v>2</v>
      </c>
      <c r="AJ152" s="3">
        <v>45838</v>
      </c>
      <c r="AK152" s="3">
        <v>0</v>
      </c>
      <c r="AL152" s="3">
        <v>45829</v>
      </c>
      <c r="AM152" s="3">
        <v>45836</v>
      </c>
      <c r="AN152" s="3">
        <v>45837</v>
      </c>
      <c r="AO152" s="3">
        <v>45837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800.41704844444439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189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191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45">
      <c r="A154" s="3">
        <v>45810</v>
      </c>
      <c r="B154" s="14" t="s">
        <v>476</v>
      </c>
      <c r="C154" s="9" t="s">
        <v>457</v>
      </c>
      <c r="D154" s="13" t="s">
        <v>334</v>
      </c>
      <c r="E154" s="9">
        <v>23</v>
      </c>
      <c r="F154" s="9">
        <v>37</v>
      </c>
      <c r="G154" s="9" t="s">
        <v>60</v>
      </c>
      <c r="H154" s="9">
        <v>0</v>
      </c>
      <c r="I154" s="9">
        <v>85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45817</v>
      </c>
      <c r="U154" s="11">
        <v>10000</v>
      </c>
      <c r="V154" s="10">
        <v>0</v>
      </c>
      <c r="W154" s="10">
        <v>10000</v>
      </c>
      <c r="X154" s="10">
        <v>10500</v>
      </c>
      <c r="Y154" s="10">
        <v>0</v>
      </c>
      <c r="Z154" s="9" t="s">
        <v>245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430</v>
      </c>
      <c r="AG154" s="1" t="s">
        <v>119</v>
      </c>
      <c r="AH154" s="1" t="s">
        <v>74</v>
      </c>
      <c r="AI154" s="1">
        <v>2</v>
      </c>
      <c r="AJ154" s="3">
        <v>45817</v>
      </c>
      <c r="AK154" s="3">
        <v>0</v>
      </c>
      <c r="AL154" s="3">
        <v>45808</v>
      </c>
      <c r="AM154" s="3">
        <v>45815</v>
      </c>
      <c r="AN154" s="3">
        <v>45816</v>
      </c>
      <c r="AO154" s="3">
        <v>45816</v>
      </c>
      <c r="AP154" s="3">
        <v>45812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7.75" customHeight="1" x14ac:dyDescent="0.45">
      <c r="A155" s="3">
        <v>45727</v>
      </c>
      <c r="B155" s="14" t="s">
        <v>303</v>
      </c>
      <c r="C155" s="9" t="s">
        <v>115</v>
      </c>
      <c r="D155" s="13" t="s">
        <v>59</v>
      </c>
      <c r="E155" s="9">
        <v>23</v>
      </c>
      <c r="F155" s="9">
        <v>40</v>
      </c>
      <c r="G155" s="9" t="s">
        <v>60</v>
      </c>
      <c r="H155" s="9" t="s">
        <v>66</v>
      </c>
      <c r="I155" s="9">
        <v>125</v>
      </c>
      <c r="J155" s="9" t="s">
        <v>57</v>
      </c>
      <c r="K155" s="9">
        <v>5</v>
      </c>
      <c r="L155" s="9" t="s">
        <v>221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</v>
      </c>
      <c r="V155" s="10">
        <v>0</v>
      </c>
      <c r="W155" s="10">
        <v>1000</v>
      </c>
      <c r="X155" s="10">
        <v>0</v>
      </c>
      <c r="Y155" s="10">
        <v>0</v>
      </c>
      <c r="Z155" s="9" t="s">
        <v>245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248</v>
      </c>
      <c r="AG155" s="1" t="s">
        <v>119</v>
      </c>
      <c r="AH155" s="1" t="s">
        <v>156</v>
      </c>
      <c r="AI155" s="1">
        <v>2</v>
      </c>
      <c r="AJ155" s="3" t="s">
        <v>63</v>
      </c>
      <c r="AK155" s="3" t="e">
        <v>#VALUE!</v>
      </c>
      <c r="AL155" s="3">
        <v>0</v>
      </c>
      <c r="AM155" s="3">
        <v>0</v>
      </c>
      <c r="AN155" s="3">
        <v>0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152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85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245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58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246</v>
      </c>
      <c r="BD156" s="56">
        <v>0</v>
      </c>
    </row>
    <row r="157" spans="1:56" ht="27.75" customHeight="1" x14ac:dyDescent="0.45">
      <c r="A157" s="3">
        <v>45601</v>
      </c>
      <c r="B157" s="14" t="s">
        <v>216</v>
      </c>
      <c r="C157" s="9" t="s">
        <v>94</v>
      </c>
      <c r="D157" s="13" t="s">
        <v>110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1758.5430635519999</v>
      </c>
      <c r="Q157" s="10">
        <v>0</v>
      </c>
      <c r="R157" s="10">
        <v>1758.5430635519999</v>
      </c>
      <c r="S157" s="9" t="s">
        <v>100</v>
      </c>
      <c r="T157" s="12">
        <v>45831</v>
      </c>
      <c r="U157" s="11">
        <v>54000</v>
      </c>
      <c r="V157" s="10">
        <v>0</v>
      </c>
      <c r="W157" s="10">
        <v>54000</v>
      </c>
      <c r="X157" s="10">
        <v>0</v>
      </c>
      <c r="Y157" s="10">
        <v>56700</v>
      </c>
      <c r="Z157" s="9" t="s">
        <v>101</v>
      </c>
      <c r="AA157" s="8">
        <v>58087.26</v>
      </c>
      <c r="AB157" s="8">
        <v>56728</v>
      </c>
      <c r="AC157" s="8">
        <v>1359.260000000002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45831</v>
      </c>
      <c r="AK157" s="3">
        <v>0</v>
      </c>
      <c r="AL157" s="3">
        <v>45821</v>
      </c>
      <c r="AM157" s="3">
        <v>45828</v>
      </c>
      <c r="AN157" s="3">
        <v>45829</v>
      </c>
      <c r="AO157" s="3">
        <v>45829</v>
      </c>
      <c r="AP157" s="3">
        <v>45826</v>
      </c>
      <c r="AQ157" s="3">
        <v>45830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174.12611443888918</v>
      </c>
    </row>
    <row r="158" spans="1:56" ht="27.75" customHeight="1" x14ac:dyDescent="0.45">
      <c r="A158" s="3">
        <v>45601</v>
      </c>
      <c r="B158" s="14" t="s">
        <v>216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1758.5430635519999</v>
      </c>
      <c r="Q158" s="10">
        <v>0</v>
      </c>
      <c r="R158" s="10">
        <v>1758.5430635519999</v>
      </c>
      <c r="S158" s="9" t="s">
        <v>100</v>
      </c>
      <c r="T158" s="12">
        <v>45835</v>
      </c>
      <c r="U158" s="11">
        <v>54000</v>
      </c>
      <c r="V158" s="10">
        <v>0</v>
      </c>
      <c r="W158" s="10">
        <v>54000</v>
      </c>
      <c r="X158" s="10">
        <v>0</v>
      </c>
      <c r="Y158" s="10">
        <v>56700</v>
      </c>
      <c r="Z158" s="9" t="s">
        <v>101</v>
      </c>
      <c r="AA158" s="8">
        <v>58087.26</v>
      </c>
      <c r="AB158" s="8">
        <v>0</v>
      </c>
      <c r="AC158" s="8">
        <v>58087.26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72</v>
      </c>
      <c r="AI158" s="1">
        <v>3</v>
      </c>
      <c r="AJ158" s="3">
        <v>45835</v>
      </c>
      <c r="AK158" s="3">
        <v>0</v>
      </c>
      <c r="AL158" s="3">
        <v>45825</v>
      </c>
      <c r="AM158" s="3">
        <v>45832</v>
      </c>
      <c r="AN158" s="3">
        <v>45833</v>
      </c>
      <c r="AO158" s="3">
        <v>45833</v>
      </c>
      <c r="AP158" s="3">
        <v>45830</v>
      </c>
      <c r="AQ158" s="3">
        <v>45834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117</v>
      </c>
      <c r="BD158" s="56">
        <v>7441.1877655499993</v>
      </c>
    </row>
    <row r="159" spans="1:56" ht="27.75" customHeight="1" x14ac:dyDescent="0.45">
      <c r="A159" s="3">
        <v>45601</v>
      </c>
      <c r="B159" s="14" t="s">
        <v>216</v>
      </c>
      <c r="C159" s="9" t="s">
        <v>94</v>
      </c>
      <c r="D159" s="13" t="s">
        <v>110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1396.4134549094399</v>
      </c>
      <c r="Q159" s="10">
        <v>0</v>
      </c>
      <c r="R159" s="10">
        <v>1396.4134549094399</v>
      </c>
      <c r="S159" s="9" t="s">
        <v>100</v>
      </c>
      <c r="T159" s="12">
        <v>45842</v>
      </c>
      <c r="U159" s="11">
        <v>50800</v>
      </c>
      <c r="V159" s="10">
        <v>7920</v>
      </c>
      <c r="W159" s="10">
        <v>42880</v>
      </c>
      <c r="X159" s="10">
        <v>0</v>
      </c>
      <c r="Y159" s="10">
        <v>45024</v>
      </c>
      <c r="Z159" s="9" t="s">
        <v>101</v>
      </c>
      <c r="AA159" s="8">
        <v>46125.587200000002</v>
      </c>
      <c r="AB159" s="8">
        <v>0</v>
      </c>
      <c r="AC159" s="8">
        <v>46125.587200000002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>
        <v>45842</v>
      </c>
      <c r="AK159" s="3">
        <v>0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45841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117</v>
      </c>
      <c r="BD159" s="56">
        <v>5908.8542849404448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151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4070.701536</v>
      </c>
      <c r="Q160" s="10">
        <v>264</v>
      </c>
      <c r="R160" s="10">
        <v>3806.701536</v>
      </c>
      <c r="S160" s="9" t="s">
        <v>100</v>
      </c>
      <c r="T160" s="12" t="s">
        <v>63</v>
      </c>
      <c r="U160" s="11">
        <v>200000</v>
      </c>
      <c r="V160" s="10">
        <v>75000</v>
      </c>
      <c r="W160" s="10">
        <v>125000</v>
      </c>
      <c r="X160" s="10">
        <v>0</v>
      </c>
      <c r="Y160" s="10">
        <v>131250</v>
      </c>
      <c r="Z160" s="9" t="s">
        <v>277</v>
      </c>
      <c r="AA160" s="8">
        <v>134461.25</v>
      </c>
      <c r="AB160" s="8">
        <v>0</v>
      </c>
      <c r="AC160" s="8">
        <v>134461.25</v>
      </c>
      <c r="AD160" s="8">
        <v>0</v>
      </c>
      <c r="AE160" s="8">
        <v>0</v>
      </c>
      <c r="AF160" s="8" t="s">
        <v>278</v>
      </c>
      <c r="AG160" s="1" t="s">
        <v>120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386</v>
      </c>
      <c r="AZ160" s="2">
        <v>0</v>
      </c>
      <c r="BA160" s="2">
        <v>0</v>
      </c>
      <c r="BB160" s="2">
        <v>0</v>
      </c>
      <c r="BC160" s="1" t="s">
        <v>117</v>
      </c>
      <c r="BD160" s="56">
        <v>17224.971679513892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151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0</v>
      </c>
      <c r="R161" s="10">
        <v>6513.1224575999995</v>
      </c>
      <c r="S161" s="9" t="s">
        <v>100</v>
      </c>
      <c r="T161" s="12" t="s">
        <v>63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277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278</v>
      </c>
      <c r="AG161" s="1" t="s">
        <v>119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45858</v>
      </c>
      <c r="AZ161" s="2">
        <v>0</v>
      </c>
      <c r="BA161" s="2">
        <v>0</v>
      </c>
      <c r="BB161" s="2">
        <v>0</v>
      </c>
      <c r="BC161" s="1" t="s">
        <v>117</v>
      </c>
      <c r="BD161" s="56">
        <v>27559.954687222227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151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100</v>
      </c>
      <c r="T162" s="12" t="s">
        <v>63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101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278</v>
      </c>
      <c r="AG162" s="1" t="s">
        <v>119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45889</v>
      </c>
      <c r="AZ162" s="2">
        <v>0</v>
      </c>
      <c r="BA162" s="2">
        <v>0</v>
      </c>
      <c r="BB162" s="2">
        <v>0</v>
      </c>
      <c r="BC162" s="1" t="s">
        <v>117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151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3461.0081427440637</v>
      </c>
      <c r="Q163" s="10">
        <v>0</v>
      </c>
      <c r="R163" s="10">
        <v>3461.0081427440637</v>
      </c>
      <c r="S163" s="9" t="s">
        <v>100</v>
      </c>
      <c r="T163" s="12" t="s">
        <v>63</v>
      </c>
      <c r="U163" s="11">
        <v>106278</v>
      </c>
      <c r="V163" s="10">
        <v>0</v>
      </c>
      <c r="W163" s="10">
        <v>106278</v>
      </c>
      <c r="X163" s="10">
        <v>0</v>
      </c>
      <c r="Y163" s="10">
        <v>111591.90000000001</v>
      </c>
      <c r="Z163" s="9" t="s">
        <v>101</v>
      </c>
      <c r="AA163" s="8">
        <v>114322.18182000001</v>
      </c>
      <c r="AB163" s="8">
        <v>0</v>
      </c>
      <c r="AC163" s="8">
        <v>114322.18182000001</v>
      </c>
      <c r="AD163" s="8">
        <v>0</v>
      </c>
      <c r="AE163" s="8">
        <v>0</v>
      </c>
      <c r="AF163" s="8" t="s">
        <v>278</v>
      </c>
      <c r="AG163" s="1" t="s">
        <v>119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14645.084321243019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0</v>
      </c>
      <c r="Q164" s="10">
        <v>0</v>
      </c>
      <c r="R164" s="10">
        <v>0</v>
      </c>
      <c r="S164" s="9" t="s">
        <v>100</v>
      </c>
      <c r="T164" s="12" t="s">
        <v>137</v>
      </c>
      <c r="U164" s="11">
        <v>10000</v>
      </c>
      <c r="V164" s="10">
        <v>12607</v>
      </c>
      <c r="W164" s="10">
        <v>0</v>
      </c>
      <c r="X164" s="10">
        <v>56730</v>
      </c>
      <c r="Y164" s="10">
        <v>0</v>
      </c>
      <c r="Z164" s="9" t="s">
        <v>277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72</v>
      </c>
      <c r="AI164" s="1">
        <v>3</v>
      </c>
      <c r="AJ164" s="3" t="s">
        <v>137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281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101</v>
      </c>
      <c r="AA165" s="8">
        <v>841359.53902000003</v>
      </c>
      <c r="AB165" s="8">
        <v>56728</v>
      </c>
      <c r="AC165" s="8">
        <v>784631.53902000014</v>
      </c>
      <c r="AD165" s="8">
        <v>0</v>
      </c>
      <c r="AE165" s="8">
        <v>0</v>
      </c>
      <c r="AF165" s="8" t="s">
        <v>58</v>
      </c>
      <c r="AG165" s="1" t="s">
        <v>119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7.75" customHeight="1" x14ac:dyDescent="0.45">
      <c r="A166" s="3">
        <v>45804</v>
      </c>
      <c r="B166" s="14" t="s">
        <v>499</v>
      </c>
      <c r="C166" s="9" t="s">
        <v>145</v>
      </c>
      <c r="D166" s="13" t="s">
        <v>59</v>
      </c>
      <c r="E166" s="9">
        <v>26</v>
      </c>
      <c r="F166" s="9">
        <v>39</v>
      </c>
      <c r="G166" s="9" t="s">
        <v>60</v>
      </c>
      <c r="H166" s="9">
        <v>0</v>
      </c>
      <c r="I166" s="9">
        <v>93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128</v>
      </c>
      <c r="T166" s="12">
        <v>45818</v>
      </c>
      <c r="U166" s="11">
        <v>8800</v>
      </c>
      <c r="V166" s="10">
        <v>0</v>
      </c>
      <c r="W166" s="10">
        <v>8800</v>
      </c>
      <c r="X166" s="10">
        <v>0</v>
      </c>
      <c r="Y166" s="10">
        <v>0</v>
      </c>
      <c r="Z166" s="9" t="s">
        <v>85</v>
      </c>
      <c r="AA166" s="8">
        <v>9957.8160000000007</v>
      </c>
      <c r="AB166" s="8">
        <v>3000</v>
      </c>
      <c r="AC166" s="8">
        <v>6957.8160000000007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77</v>
      </c>
      <c r="AI166" s="1">
        <v>1</v>
      </c>
      <c r="AJ166" s="3">
        <v>45818</v>
      </c>
      <c r="AK166" s="3">
        <v>0</v>
      </c>
      <c r="AL166" s="3">
        <v>0</v>
      </c>
      <c r="AM166" s="3">
        <v>0</v>
      </c>
      <c r="AN166" s="3">
        <v>0</v>
      </c>
      <c r="AO166" s="3">
        <v>45817</v>
      </c>
      <c r="AP166" s="3">
        <v>45813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561.8049874666666</v>
      </c>
    </row>
    <row r="167" spans="1:56" ht="27.75" customHeight="1" x14ac:dyDescent="0.45">
      <c r="A167" s="3" t="s">
        <v>141</v>
      </c>
      <c r="B167" s="14" t="s">
        <v>141</v>
      </c>
      <c r="C167" s="9" t="s">
        <v>148</v>
      </c>
      <c r="D167" s="13" t="s">
        <v>59</v>
      </c>
      <c r="E167" s="9">
        <v>26</v>
      </c>
      <c r="F167" s="9">
        <v>42</v>
      </c>
      <c r="G167" s="9" t="s">
        <v>60</v>
      </c>
      <c r="H167" s="9">
        <v>0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45838</v>
      </c>
      <c r="U167" s="11">
        <v>40000</v>
      </c>
      <c r="V167" s="10">
        <v>0</v>
      </c>
      <c r="W167" s="10">
        <v>40000</v>
      </c>
      <c r="X167" s="10">
        <v>0</v>
      </c>
      <c r="Y167" s="10">
        <v>0</v>
      </c>
      <c r="Z167" s="9" t="s">
        <v>85</v>
      </c>
      <c r="AA167" s="8">
        <v>48615.600000000006</v>
      </c>
      <c r="AB167" s="8">
        <v>0</v>
      </c>
      <c r="AC167" s="8">
        <v>48615.600000000006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77</v>
      </c>
      <c r="AI167" s="1">
        <v>1</v>
      </c>
      <c r="AJ167" s="3">
        <v>45838</v>
      </c>
      <c r="AK167" s="3">
        <v>0</v>
      </c>
      <c r="AL167" s="3">
        <v>0</v>
      </c>
      <c r="AM167" s="3">
        <v>0</v>
      </c>
      <c r="AN167" s="3">
        <v>0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3925.4396133333335</v>
      </c>
    </row>
    <row r="168" spans="1:56" ht="27.75" customHeight="1" x14ac:dyDescent="0.45">
      <c r="A168" s="3" t="s">
        <v>141</v>
      </c>
      <c r="B168" s="14" t="s">
        <v>141</v>
      </c>
      <c r="C168" s="9" t="s">
        <v>196</v>
      </c>
      <c r="D168" s="13" t="s">
        <v>61</v>
      </c>
      <c r="E168" s="9">
        <v>26</v>
      </c>
      <c r="F168" s="9">
        <v>41</v>
      </c>
      <c r="G168" s="9" t="s">
        <v>60</v>
      </c>
      <c r="H168" s="9">
        <v>0</v>
      </c>
      <c r="I168" s="9">
        <v>97</v>
      </c>
      <c r="J168" s="9" t="s">
        <v>57</v>
      </c>
      <c r="K168" s="9">
        <v>5</v>
      </c>
      <c r="L168" s="9" t="s">
        <v>92</v>
      </c>
      <c r="M168" s="10">
        <v>27</v>
      </c>
      <c r="N168" s="9">
        <v>43</v>
      </c>
      <c r="O168" s="9">
        <v>40</v>
      </c>
      <c r="P168" s="10">
        <v>286.42936262399996</v>
      </c>
      <c r="Q168" s="10">
        <v>0</v>
      </c>
      <c r="R168" s="10">
        <v>286.42936262399996</v>
      </c>
      <c r="S168" s="9" t="s">
        <v>204</v>
      </c>
      <c r="T168" s="12">
        <v>45838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85</v>
      </c>
      <c r="AA168" s="8">
        <v>11874.499999999998</v>
      </c>
      <c r="AB168" s="8">
        <v>0</v>
      </c>
      <c r="AC168" s="8">
        <v>11874.499999999998</v>
      </c>
      <c r="AD168" s="8">
        <v>0</v>
      </c>
      <c r="AE168" s="8">
        <v>0</v>
      </c>
      <c r="AF168" s="8">
        <v>0</v>
      </c>
      <c r="AG168" s="1" t="s">
        <v>120</v>
      </c>
      <c r="AH168" s="1" t="s">
        <v>72</v>
      </c>
      <c r="AI168" s="1">
        <v>3</v>
      </c>
      <c r="AJ168" s="3">
        <v>45838</v>
      </c>
      <c r="AK168" s="3">
        <v>0</v>
      </c>
      <c r="AL168" s="3">
        <v>45828</v>
      </c>
      <c r="AM168" s="3">
        <v>45835</v>
      </c>
      <c r="AN168" s="3">
        <v>45836</v>
      </c>
      <c r="AO168" s="3">
        <v>45836</v>
      </c>
      <c r="AP168" s="3">
        <v>45833</v>
      </c>
      <c r="AQ168" s="3">
        <v>45837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958.79990555555537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 t="s">
        <v>60</v>
      </c>
      <c r="H169" s="9">
        <v>0</v>
      </c>
      <c r="I169" s="9">
        <v>102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85</v>
      </c>
      <c r="AA169" s="8">
        <v>70447.915999999997</v>
      </c>
      <c r="AB169" s="8">
        <v>3000</v>
      </c>
      <c r="AC169" s="8">
        <v>67447.915999999997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>
        <v>45806</v>
      </c>
      <c r="B170" s="14" t="s">
        <v>442</v>
      </c>
      <c r="C170" s="9" t="s">
        <v>196</v>
      </c>
      <c r="D170" s="13" t="s">
        <v>443</v>
      </c>
      <c r="E170" s="9">
        <v>26</v>
      </c>
      <c r="F170" s="9">
        <v>41</v>
      </c>
      <c r="G170" s="9" t="s">
        <v>60</v>
      </c>
      <c r="H170" s="9">
        <v>0</v>
      </c>
      <c r="I170" s="9">
        <v>97</v>
      </c>
      <c r="J170" s="9" t="s">
        <v>57</v>
      </c>
      <c r="K170" s="9">
        <v>5</v>
      </c>
      <c r="L170" s="9" t="s">
        <v>92</v>
      </c>
      <c r="M170" s="10">
        <v>27</v>
      </c>
      <c r="N170" s="9">
        <v>43</v>
      </c>
      <c r="O170" s="9">
        <v>40</v>
      </c>
      <c r="P170" s="10">
        <v>114.57174504959998</v>
      </c>
      <c r="Q170" s="10">
        <v>0</v>
      </c>
      <c r="R170" s="10">
        <v>114.57174504959998</v>
      </c>
      <c r="S170" s="9" t="s">
        <v>204</v>
      </c>
      <c r="T170" s="12">
        <v>45817</v>
      </c>
      <c r="U170" s="11">
        <v>4000</v>
      </c>
      <c r="V170" s="10">
        <v>0</v>
      </c>
      <c r="W170" s="10">
        <v>4000</v>
      </c>
      <c r="X170" s="10">
        <v>4300</v>
      </c>
      <c r="Y170" s="10">
        <v>0</v>
      </c>
      <c r="Z170" s="9" t="s">
        <v>157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72</v>
      </c>
      <c r="AI170" s="1">
        <v>3</v>
      </c>
      <c r="AJ170" s="3">
        <v>45817</v>
      </c>
      <c r="AK170" s="3">
        <v>0</v>
      </c>
      <c r="AL170" s="3">
        <v>45807</v>
      </c>
      <c r="AM170" s="3">
        <v>45814</v>
      </c>
      <c r="AN170" s="3">
        <v>45815</v>
      </c>
      <c r="AO170" s="3">
        <v>45815</v>
      </c>
      <c r="AP170" s="3">
        <v>45812</v>
      </c>
      <c r="AQ170" s="3">
        <v>45816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>
        <v>45806</v>
      </c>
      <c r="B171" s="14" t="s">
        <v>442</v>
      </c>
      <c r="C171" s="9" t="s">
        <v>196</v>
      </c>
      <c r="D171" s="13" t="s">
        <v>444</v>
      </c>
      <c r="E171" s="9">
        <v>26</v>
      </c>
      <c r="F171" s="9">
        <v>41</v>
      </c>
      <c r="G171" s="9" t="s">
        <v>60</v>
      </c>
      <c r="H171" s="9">
        <v>0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27</v>
      </c>
      <c r="N171" s="9">
        <v>43</v>
      </c>
      <c r="O171" s="9">
        <v>40</v>
      </c>
      <c r="P171" s="10">
        <v>114.57174504959998</v>
      </c>
      <c r="Q171" s="10">
        <v>0</v>
      </c>
      <c r="R171" s="10">
        <v>114.57174504959998</v>
      </c>
      <c r="S171" s="9" t="s">
        <v>204</v>
      </c>
      <c r="T171" s="12">
        <v>45817</v>
      </c>
      <c r="U171" s="11">
        <v>4000</v>
      </c>
      <c r="V171" s="10">
        <v>0</v>
      </c>
      <c r="W171" s="10">
        <v>4000</v>
      </c>
      <c r="X171" s="10">
        <v>0</v>
      </c>
      <c r="Y171" s="10">
        <v>4200</v>
      </c>
      <c r="Z171" s="9" t="s">
        <v>157</v>
      </c>
      <c r="AA171" s="8">
        <v>4749.8</v>
      </c>
      <c r="AB171" s="8">
        <v>4749.8</v>
      </c>
      <c r="AC171" s="8">
        <v>0</v>
      </c>
      <c r="AD171" s="8">
        <v>0</v>
      </c>
      <c r="AE171" s="8">
        <v>0</v>
      </c>
      <c r="AF171" s="8">
        <v>0</v>
      </c>
      <c r="AG171" s="1" t="s">
        <v>119</v>
      </c>
      <c r="AH171" s="1" t="s">
        <v>72</v>
      </c>
      <c r="AI171" s="1">
        <v>3</v>
      </c>
      <c r="AJ171" s="3">
        <v>45817</v>
      </c>
      <c r="AK171" s="3">
        <v>0</v>
      </c>
      <c r="AL171" s="3">
        <v>45807</v>
      </c>
      <c r="AM171" s="3">
        <v>45814</v>
      </c>
      <c r="AN171" s="3">
        <v>45815</v>
      </c>
      <c r="AO171" s="3">
        <v>45815</v>
      </c>
      <c r="AP171" s="3">
        <v>45812</v>
      </c>
      <c r="AQ171" s="3">
        <v>45816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100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157</v>
      </c>
      <c r="AA172" s="8">
        <v>4749.8</v>
      </c>
      <c r="AB172" s="8">
        <v>4749.8</v>
      </c>
      <c r="AC172" s="8">
        <v>0</v>
      </c>
      <c r="AD172" s="8">
        <v>0</v>
      </c>
      <c r="AE172" s="8">
        <v>0</v>
      </c>
      <c r="AF172" s="8" t="s">
        <v>58</v>
      </c>
      <c r="AG172" s="1" t="s">
        <v>120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45813</v>
      </c>
      <c r="B173" s="14" t="s">
        <v>133</v>
      </c>
      <c r="C173" s="9" t="s">
        <v>500</v>
      </c>
      <c r="D173" s="13" t="s">
        <v>501</v>
      </c>
      <c r="E173" s="9">
        <v>26</v>
      </c>
      <c r="F173" s="9">
        <v>40</v>
      </c>
      <c r="G173" s="9" t="s">
        <v>60</v>
      </c>
      <c r="H173" s="9">
        <v>0</v>
      </c>
      <c r="I173" s="9">
        <v>108</v>
      </c>
      <c r="J173" s="9" t="s">
        <v>57</v>
      </c>
      <c r="K173" s="9">
        <v>5</v>
      </c>
      <c r="L173" s="9" t="s">
        <v>93</v>
      </c>
      <c r="M173" s="10">
        <v>27</v>
      </c>
      <c r="N173" s="9">
        <v>43</v>
      </c>
      <c r="O173" s="9">
        <v>40</v>
      </c>
      <c r="P173" s="10">
        <v>286.42936262399996</v>
      </c>
      <c r="Q173" s="10">
        <v>0</v>
      </c>
      <c r="R173" s="10">
        <v>286.42936262399996</v>
      </c>
      <c r="S173" s="9" t="s">
        <v>502</v>
      </c>
      <c r="T173" s="12">
        <v>45825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223</v>
      </c>
      <c r="AA173" s="8">
        <v>11595.1</v>
      </c>
      <c r="AB173" s="8">
        <v>9516</v>
      </c>
      <c r="AC173" s="8">
        <v>2079.1000000000004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72</v>
      </c>
      <c r="AI173" s="1">
        <v>3</v>
      </c>
      <c r="AJ173" s="3">
        <v>45825</v>
      </c>
      <c r="AK173" s="3">
        <v>0</v>
      </c>
      <c r="AL173" s="3">
        <v>45815</v>
      </c>
      <c r="AM173" s="3">
        <v>45822</v>
      </c>
      <c r="AN173" s="3">
        <v>45823</v>
      </c>
      <c r="AO173" s="3">
        <v>45823</v>
      </c>
      <c r="AP173" s="3">
        <v>45820</v>
      </c>
      <c r="AQ173" s="3">
        <v>45824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206.6163377777778</v>
      </c>
    </row>
    <row r="174" spans="1:56" ht="27.75" customHeight="1" x14ac:dyDescent="0.45">
      <c r="A174" s="3" t="s">
        <v>141</v>
      </c>
      <c r="B174" s="14" t="s">
        <v>141</v>
      </c>
      <c r="C174" s="9" t="s">
        <v>113</v>
      </c>
      <c r="D174" s="13" t="s">
        <v>59</v>
      </c>
      <c r="E174" s="9">
        <v>26</v>
      </c>
      <c r="F174" s="9">
        <v>43</v>
      </c>
      <c r="G174" s="9" t="s">
        <v>60</v>
      </c>
      <c r="H174" s="9">
        <v>0</v>
      </c>
      <c r="I174" s="9">
        <v>116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45838</v>
      </c>
      <c r="U174" s="11">
        <v>20000</v>
      </c>
      <c r="V174" s="10">
        <v>0</v>
      </c>
      <c r="W174" s="10">
        <v>20000</v>
      </c>
      <c r="X174" s="10">
        <v>0</v>
      </c>
      <c r="Y174" s="10">
        <v>0</v>
      </c>
      <c r="Z174" s="9" t="s">
        <v>223</v>
      </c>
      <c r="AA174" s="8">
        <v>24866.6</v>
      </c>
      <c r="AB174" s="8">
        <v>0</v>
      </c>
      <c r="AC174" s="8">
        <v>24866.6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77</v>
      </c>
      <c r="AI174" s="1">
        <v>1</v>
      </c>
      <c r="AJ174" s="3">
        <v>45838</v>
      </c>
      <c r="AK174" s="3">
        <v>0</v>
      </c>
      <c r="AL174" s="3">
        <v>0</v>
      </c>
      <c r="AM174" s="3">
        <v>0</v>
      </c>
      <c r="AN174" s="3">
        <v>0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2471.1874488888889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116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223</v>
      </c>
      <c r="AA175" s="8">
        <v>36461.699999999997</v>
      </c>
      <c r="AB175" s="8">
        <v>9516</v>
      </c>
      <c r="AC175" s="8">
        <v>26945.699999999997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224</v>
      </c>
      <c r="BD175" s="56">
        <v>0</v>
      </c>
    </row>
    <row r="176" spans="1:56" ht="27.75" customHeight="1" x14ac:dyDescent="0.45">
      <c r="A176" s="3">
        <v>45799</v>
      </c>
      <c r="B176" s="14" t="s">
        <v>433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45825</v>
      </c>
      <c r="U176" s="11">
        <v>15000</v>
      </c>
      <c r="V176" s="10">
        <v>0</v>
      </c>
      <c r="W176" s="10">
        <v>15000</v>
      </c>
      <c r="X176" s="10">
        <v>0</v>
      </c>
      <c r="Y176" s="10">
        <v>0</v>
      </c>
      <c r="Z176" s="9" t="s">
        <v>89</v>
      </c>
      <c r="AA176" s="8">
        <v>18649.949999999997</v>
      </c>
      <c r="AB176" s="8">
        <v>18649.949999999997</v>
      </c>
      <c r="AC176" s="8">
        <v>0</v>
      </c>
      <c r="AD176" s="8">
        <v>0</v>
      </c>
      <c r="AE176" s="8">
        <v>18649.949999999997</v>
      </c>
      <c r="AF176" s="8" t="s">
        <v>248</v>
      </c>
      <c r="AG176" s="1" t="s">
        <v>123</v>
      </c>
      <c r="AH176" s="1" t="s">
        <v>398</v>
      </c>
      <c r="AI176" s="1">
        <v>2</v>
      </c>
      <c r="AJ176" s="3">
        <v>45825</v>
      </c>
      <c r="AK176" s="3">
        <v>0</v>
      </c>
      <c r="AL176" s="3">
        <v>0</v>
      </c>
      <c r="AM176" s="3">
        <v>0</v>
      </c>
      <c r="AN176" s="3">
        <v>0</v>
      </c>
      <c r="AO176" s="3">
        <v>45823</v>
      </c>
      <c r="AP176" s="3">
        <v>45820</v>
      </c>
      <c r="AQ176" s="3">
        <v>45824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152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120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89</v>
      </c>
      <c r="AA177" s="8">
        <v>18649.949999999997</v>
      </c>
      <c r="AB177" s="8">
        <v>18649.949999999997</v>
      </c>
      <c r="AC177" s="8">
        <v>0</v>
      </c>
      <c r="AD177" s="8">
        <v>0</v>
      </c>
      <c r="AE177" s="8">
        <v>18649.949999999997</v>
      </c>
      <c r="AF177" s="8" t="s">
        <v>58</v>
      </c>
      <c r="AG177" s="1" t="s">
        <v>122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109</v>
      </c>
      <c r="BD177" s="56">
        <v>0</v>
      </c>
    </row>
    <row r="178" spans="1:56" ht="27.75" customHeight="1" x14ac:dyDescent="0.45">
      <c r="A178" s="3">
        <v>45800</v>
      </c>
      <c r="B178" s="14" t="s">
        <v>429</v>
      </c>
      <c r="C178" s="9" t="s">
        <v>158</v>
      </c>
      <c r="D178" s="13" t="s">
        <v>159</v>
      </c>
      <c r="E178" s="9">
        <v>28</v>
      </c>
      <c r="F178" s="9">
        <v>41</v>
      </c>
      <c r="G178" s="9" t="s">
        <v>60</v>
      </c>
      <c r="H178" s="9">
        <v>0</v>
      </c>
      <c r="I178" s="9">
        <v>120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45824</v>
      </c>
      <c r="U178" s="11">
        <v>50000</v>
      </c>
      <c r="V178" s="10">
        <v>0</v>
      </c>
      <c r="W178" s="10">
        <v>50000</v>
      </c>
      <c r="X178" s="10">
        <v>27330</v>
      </c>
      <c r="Y178" s="10">
        <v>23803.5</v>
      </c>
      <c r="Z178" s="9" t="s">
        <v>132</v>
      </c>
      <c r="AA178" s="8">
        <v>28265.466075</v>
      </c>
      <c r="AB178" s="8">
        <v>0</v>
      </c>
      <c r="AC178" s="8">
        <v>28265.466075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160</v>
      </c>
      <c r="AI178" s="1">
        <v>2</v>
      </c>
      <c r="AJ178" s="3">
        <v>45824</v>
      </c>
      <c r="AK178" s="3">
        <v>0</v>
      </c>
      <c r="AL178" s="3">
        <v>45815</v>
      </c>
      <c r="AM178" s="3">
        <v>45822</v>
      </c>
      <c r="AN178" s="3">
        <v>0</v>
      </c>
      <c r="AO178" s="3">
        <v>45823</v>
      </c>
      <c r="AP178" s="3">
        <v>45819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107</v>
      </c>
      <c r="BD178" s="56">
        <v>3176.7243260958335</v>
      </c>
    </row>
    <row r="179" spans="1:56" ht="27.75" customHeight="1" x14ac:dyDescent="0.45">
      <c r="A179" s="3" t="s">
        <v>141</v>
      </c>
      <c r="B179" s="14" t="s">
        <v>141</v>
      </c>
      <c r="C179" s="9" t="s">
        <v>113</v>
      </c>
      <c r="D179" s="13" t="s">
        <v>59</v>
      </c>
      <c r="E179" s="9">
        <v>28</v>
      </c>
      <c r="F179" s="9">
        <v>47</v>
      </c>
      <c r="G179" s="9" t="s">
        <v>60</v>
      </c>
      <c r="H179" s="9" t="s">
        <v>66</v>
      </c>
      <c r="I179" s="9">
        <v>180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132</v>
      </c>
      <c r="AA179" s="8">
        <v>13550.900000000001</v>
      </c>
      <c r="AB179" s="8">
        <v>0</v>
      </c>
      <c r="AC179" s="8">
        <v>13550.900000000001</v>
      </c>
      <c r="AD179" s="8">
        <v>0</v>
      </c>
      <c r="AE179" s="8">
        <v>13550.900000000001</v>
      </c>
      <c r="AF179" s="8">
        <v>0</v>
      </c>
      <c r="AG179" s="1">
        <v>0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 t="s">
        <v>404</v>
      </c>
      <c r="AZ179" s="2">
        <v>0</v>
      </c>
      <c r="BA179" s="2">
        <v>0</v>
      </c>
      <c r="BB179" s="2">
        <v>0</v>
      </c>
      <c r="BC179" s="1" t="s">
        <v>107</v>
      </c>
      <c r="BD179" s="56">
        <v>1522.9705944444447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28</v>
      </c>
      <c r="F180" s="9">
        <v>43</v>
      </c>
      <c r="G180" s="9">
        <v>0</v>
      </c>
      <c r="H180" s="9">
        <v>0</v>
      </c>
      <c r="I180" s="9">
        <v>130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132</v>
      </c>
      <c r="AA180" s="8">
        <v>41816.366074999998</v>
      </c>
      <c r="AB180" s="8">
        <v>0</v>
      </c>
      <c r="AC180" s="8">
        <v>41816.366074999998</v>
      </c>
      <c r="AD180" s="8">
        <v>0</v>
      </c>
      <c r="AE180" s="8">
        <v>13550.900000000001</v>
      </c>
      <c r="AF180" s="8" t="s">
        <v>58</v>
      </c>
      <c r="AG180" s="1">
        <v>0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161</v>
      </c>
      <c r="BD180" s="56">
        <v>0</v>
      </c>
    </row>
  </sheetData>
  <autoFilter ref="A5:BD1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D8BB-2A79-412B-BEDA-9E360740FCE6}">
  <sheetPr>
    <tabColor rgb="FFFFFF00"/>
  </sheetPr>
  <dimension ref="A1:BD165"/>
  <sheetViews>
    <sheetView zoomScale="80" zoomScaleNormal="80" workbookViewId="0">
      <selection activeCell="I17" sqref="I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45813</v>
      </c>
      <c r="E3" s="82" t="s">
        <v>52</v>
      </c>
      <c r="F3" s="82"/>
      <c r="G3" s="83">
        <v>10.02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413</v>
      </c>
      <c r="C6" s="9" t="s">
        <v>390</v>
      </c>
      <c r="D6" s="13" t="s">
        <v>391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393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243</v>
      </c>
      <c r="D10" s="13" t="s">
        <v>292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229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387</v>
      </c>
      <c r="C12" s="9" t="s">
        <v>184</v>
      </c>
      <c r="D12" s="13" t="s">
        <v>374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311</v>
      </c>
      <c r="AG12" s="1" t="s">
        <v>120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459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387</v>
      </c>
      <c r="C13" s="9" t="s">
        <v>184</v>
      </c>
      <c r="D13" s="13" t="s">
        <v>351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143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311</v>
      </c>
      <c r="AG13" s="1" t="s">
        <v>119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459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437</v>
      </c>
      <c r="C14" s="9" t="s">
        <v>339</v>
      </c>
      <c r="D14" s="13" t="s">
        <v>438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6398</v>
      </c>
      <c r="AC14" s="8">
        <v>1844.3000000000011</v>
      </c>
      <c r="AD14" s="8">
        <v>0</v>
      </c>
      <c r="AE14" s="8">
        <v>8242.3000000000011</v>
      </c>
      <c r="AF14" s="8" t="s">
        <v>430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118.0352000000001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374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311</v>
      </c>
      <c r="AG15" s="1" t="s">
        <v>120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34645.599999999999</v>
      </c>
      <c r="AB16" s="8">
        <v>24000.2</v>
      </c>
      <c r="AC16" s="8">
        <v>10645.400000000001</v>
      </c>
      <c r="AD16" s="8">
        <v>17602.2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375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180</v>
      </c>
      <c r="AA17" s="8">
        <v>35204.400000000001</v>
      </c>
      <c r="AB17" s="8">
        <v>35204.400000000001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376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26403.3</v>
      </c>
      <c r="AB18" s="8">
        <v>26403.3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4460</v>
      </c>
      <c r="AC20" s="8">
        <v>4899.9000000000015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355.84162666666674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97370.9</v>
      </c>
      <c r="AB21" s="8">
        <v>66067.7</v>
      </c>
      <c r="AC21" s="8">
        <v>31303.200000000001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447</v>
      </c>
      <c r="C22" s="9" t="s">
        <v>73</v>
      </c>
      <c r="D22" s="13" t="s">
        <v>448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447</v>
      </c>
      <c r="C23" s="9" t="s">
        <v>73</v>
      </c>
      <c r="D23" s="13" t="s">
        <v>449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447</v>
      </c>
      <c r="C24" s="9" t="s">
        <v>73</v>
      </c>
      <c r="D24" s="13" t="s">
        <v>349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450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119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451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451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452</v>
      </c>
      <c r="C28" s="9" t="s">
        <v>73</v>
      </c>
      <c r="D28" s="13" t="s">
        <v>211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451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452</v>
      </c>
      <c r="C30" s="9" t="s">
        <v>73</v>
      </c>
      <c r="D30" s="13" t="s">
        <v>349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453</v>
      </c>
      <c r="T30" s="12">
        <v>45820</v>
      </c>
      <c r="U30" s="11">
        <v>20000</v>
      </c>
      <c r="V30" s="10">
        <v>0</v>
      </c>
      <c r="W30" s="10">
        <v>20000</v>
      </c>
      <c r="X30" s="10">
        <v>0</v>
      </c>
      <c r="Y30" s="10">
        <v>21000</v>
      </c>
      <c r="Z30" s="9" t="s">
        <v>186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451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122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452</v>
      </c>
      <c r="C32" s="9" t="s">
        <v>73</v>
      </c>
      <c r="D32" s="13" t="s">
        <v>349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453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186</v>
      </c>
      <c r="AA32" s="8">
        <v>14039.85</v>
      </c>
      <c r="AB32" s="8">
        <v>1768</v>
      </c>
      <c r="AC32" s="8">
        <v>12271.85</v>
      </c>
      <c r="AD32" s="8">
        <v>0</v>
      </c>
      <c r="AE32" s="8">
        <v>0</v>
      </c>
      <c r="AF32" s="8">
        <v>0</v>
      </c>
      <c r="AG32" s="1" t="s">
        <v>61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924.37028355555549</v>
      </c>
    </row>
    <row r="33" spans="1:56" ht="27.75" customHeight="1" x14ac:dyDescent="0.45">
      <c r="A33" s="3">
        <v>45812</v>
      </c>
      <c r="B33" s="14" t="s">
        <v>133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453</v>
      </c>
      <c r="T33" s="12">
        <v>45822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186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469</v>
      </c>
      <c r="AG33" s="1" t="s">
        <v>61</v>
      </c>
      <c r="AH33" s="1" t="s">
        <v>77</v>
      </c>
      <c r="AI33" s="1">
        <v>2</v>
      </c>
      <c r="AJ33" s="3">
        <v>45822</v>
      </c>
      <c r="AK33" s="3">
        <v>0</v>
      </c>
      <c r="AL33" s="3">
        <v>0</v>
      </c>
      <c r="AM33" s="3">
        <v>0</v>
      </c>
      <c r="AN33" s="3">
        <v>0</v>
      </c>
      <c r="AO33" s="3">
        <v>45820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789.21186666666665</v>
      </c>
    </row>
    <row r="34" spans="1:56" ht="27.75" customHeight="1" x14ac:dyDescent="0.45">
      <c r="A34" s="3">
        <v>45812</v>
      </c>
      <c r="B34" s="14" t="s">
        <v>133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453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470</v>
      </c>
      <c r="AG34" s="1" t="s">
        <v>61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133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453</v>
      </c>
      <c r="T35" s="12">
        <v>45838</v>
      </c>
      <c r="U35" s="11">
        <v>98000</v>
      </c>
      <c r="V35" s="10">
        <v>0</v>
      </c>
      <c r="W35" s="10">
        <v>98000</v>
      </c>
      <c r="X35" s="10">
        <v>0</v>
      </c>
      <c r="Y35" s="10">
        <v>102900</v>
      </c>
      <c r="Z35" s="9" t="s">
        <v>186</v>
      </c>
      <c r="AA35" s="8">
        <v>86250.78</v>
      </c>
      <c r="AB35" s="8">
        <v>0</v>
      </c>
      <c r="AC35" s="8">
        <v>86250.78</v>
      </c>
      <c r="AD35" s="8">
        <v>0</v>
      </c>
      <c r="AE35" s="8">
        <v>0</v>
      </c>
      <c r="AF35" s="8">
        <v>0</v>
      </c>
      <c r="AG35" s="1" t="s">
        <v>61</v>
      </c>
      <c r="AH35" s="1" t="s">
        <v>74</v>
      </c>
      <c r="AI35" s="1">
        <v>2</v>
      </c>
      <c r="AJ35" s="3">
        <v>45838</v>
      </c>
      <c r="AK35" s="3">
        <v>0</v>
      </c>
      <c r="AL35" s="3">
        <v>45829</v>
      </c>
      <c r="AM35" s="3">
        <v>45836</v>
      </c>
      <c r="AN35" s="3">
        <v>45837</v>
      </c>
      <c r="AO35" s="3">
        <v>45837</v>
      </c>
      <c r="AP35" s="3">
        <v>45833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6496.7920864000016</v>
      </c>
    </row>
    <row r="36" spans="1:56" ht="27.75" customHeight="1" x14ac:dyDescent="0.45">
      <c r="A36" s="3">
        <v>45812</v>
      </c>
      <c r="B36" s="14" t="s">
        <v>133</v>
      </c>
      <c r="C36" s="9" t="s">
        <v>73</v>
      </c>
      <c r="D36" s="13" t="s">
        <v>61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453</v>
      </c>
      <c r="T36" s="12">
        <v>45838</v>
      </c>
      <c r="U36" s="11">
        <v>25000</v>
      </c>
      <c r="V36" s="10">
        <v>0</v>
      </c>
      <c r="W36" s="10">
        <v>25000</v>
      </c>
      <c r="X36" s="10">
        <v>0</v>
      </c>
      <c r="Y36" s="10">
        <v>26250</v>
      </c>
      <c r="Z36" s="9" t="s">
        <v>186</v>
      </c>
      <c r="AA36" s="8">
        <v>22002.749999999996</v>
      </c>
      <c r="AB36" s="8">
        <v>0</v>
      </c>
      <c r="AC36" s="8">
        <v>22002.749999999996</v>
      </c>
      <c r="AD36" s="8">
        <v>0</v>
      </c>
      <c r="AE36" s="8">
        <v>0</v>
      </c>
      <c r="AF36" s="8">
        <v>0</v>
      </c>
      <c r="AG36" s="1" t="s">
        <v>121</v>
      </c>
      <c r="AH36" s="1" t="s">
        <v>74</v>
      </c>
      <c r="AI36" s="1">
        <v>2</v>
      </c>
      <c r="AJ36" s="3">
        <v>45838</v>
      </c>
      <c r="AK36" s="3">
        <v>0</v>
      </c>
      <c r="AL36" s="3">
        <v>45829</v>
      </c>
      <c r="AM36" s="3">
        <v>45836</v>
      </c>
      <c r="AN36" s="3">
        <v>45837</v>
      </c>
      <c r="AO36" s="3">
        <v>45837</v>
      </c>
      <c r="AP36" s="3">
        <v>45833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1657.34492</v>
      </c>
    </row>
    <row r="37" spans="1:56" ht="27.75" customHeight="1" x14ac:dyDescent="0.45">
      <c r="A37" s="3">
        <v>45812</v>
      </c>
      <c r="B37" s="14" t="s">
        <v>133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453</v>
      </c>
      <c r="T37" s="12">
        <v>45838</v>
      </c>
      <c r="U37" s="11">
        <v>25000</v>
      </c>
      <c r="V37" s="10">
        <v>0</v>
      </c>
      <c r="W37" s="10">
        <v>25000</v>
      </c>
      <c r="X37" s="10">
        <v>0</v>
      </c>
      <c r="Y37" s="10">
        <v>26250</v>
      </c>
      <c r="Z37" s="9" t="s">
        <v>186</v>
      </c>
      <c r="AA37" s="8">
        <v>23399.750000000004</v>
      </c>
      <c r="AB37" s="8">
        <v>0</v>
      </c>
      <c r="AC37" s="8">
        <v>23399.750000000004</v>
      </c>
      <c r="AD37" s="8">
        <v>0</v>
      </c>
      <c r="AE37" s="8">
        <v>0</v>
      </c>
      <c r="AF37" s="8">
        <v>0</v>
      </c>
      <c r="AG37" s="1" t="s">
        <v>119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1762.5731688888891</v>
      </c>
    </row>
    <row r="38" spans="1:56" ht="27.75" customHeight="1" x14ac:dyDescent="0.45">
      <c r="A38" s="3" t="s">
        <v>141</v>
      </c>
      <c r="B38" s="14" t="s">
        <v>141</v>
      </c>
      <c r="C38" s="9" t="s">
        <v>73</v>
      </c>
      <c r="D38" s="13" t="s">
        <v>61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>
        <v>45838</v>
      </c>
      <c r="U38" s="11">
        <v>275000</v>
      </c>
      <c r="V38" s="10">
        <v>0</v>
      </c>
      <c r="W38" s="10">
        <v>275000</v>
      </c>
      <c r="X38" s="10">
        <v>0</v>
      </c>
      <c r="Y38" s="10">
        <v>288750</v>
      </c>
      <c r="Z38" s="9" t="s">
        <v>186</v>
      </c>
      <c r="AA38" s="8">
        <v>242030.25</v>
      </c>
      <c r="AB38" s="8">
        <v>0</v>
      </c>
      <c r="AC38" s="8">
        <v>242030.25</v>
      </c>
      <c r="AD38" s="8">
        <v>0</v>
      </c>
      <c r="AE38" s="8">
        <v>0</v>
      </c>
      <c r="AF38" s="8">
        <v>0</v>
      </c>
      <c r="AG38" s="1" t="s">
        <v>120</v>
      </c>
      <c r="AH38" s="1" t="s">
        <v>74</v>
      </c>
      <c r="AI38" s="1">
        <v>2</v>
      </c>
      <c r="AJ38" s="3">
        <v>45838</v>
      </c>
      <c r="AK38" s="3">
        <v>0</v>
      </c>
      <c r="AL38" s="3">
        <v>45829</v>
      </c>
      <c r="AM38" s="3">
        <v>45836</v>
      </c>
      <c r="AN38" s="3">
        <v>45837</v>
      </c>
      <c r="AO38" s="3">
        <v>45837</v>
      </c>
      <c r="AP38" s="3">
        <v>45833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18230.794120000006</v>
      </c>
    </row>
    <row r="39" spans="1:56" ht="27.75" customHeight="1" x14ac:dyDescent="0.45">
      <c r="A39" s="3">
        <v>0</v>
      </c>
      <c r="B39" s="14" t="s">
        <v>133</v>
      </c>
      <c r="C39" s="9" t="s">
        <v>73</v>
      </c>
      <c r="D39" s="13" t="s">
        <v>210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 t="s">
        <v>63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186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74</v>
      </c>
      <c r="AI39" s="1">
        <v>2</v>
      </c>
      <c r="AJ39" s="3" t="s">
        <v>63</v>
      </c>
      <c r="AK39" s="3">
        <v>0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186</v>
      </c>
      <c r="AA40" s="8">
        <v>436199.28</v>
      </c>
      <c r="AB40" s="8">
        <v>29288.9</v>
      </c>
      <c r="AC40" s="8">
        <v>406910.38</v>
      </c>
      <c r="AD40" s="8">
        <v>0</v>
      </c>
      <c r="AE40" s="8">
        <v>0</v>
      </c>
      <c r="AF40" s="8" t="s">
        <v>58</v>
      </c>
      <c r="AG40" s="1" t="s">
        <v>119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188</v>
      </c>
      <c r="BD40" s="56">
        <v>0</v>
      </c>
    </row>
    <row r="41" spans="1:56" ht="27.75" customHeight="1" x14ac:dyDescent="0.45">
      <c r="A41" s="3">
        <v>45803</v>
      </c>
      <c r="B41" s="14" t="s">
        <v>414</v>
      </c>
      <c r="C41" s="9" t="s">
        <v>411</v>
      </c>
      <c r="D41" s="13" t="s">
        <v>415</v>
      </c>
      <c r="E41" s="9">
        <v>19</v>
      </c>
      <c r="F41" s="9">
        <v>34</v>
      </c>
      <c r="G41" s="9" t="s">
        <v>60</v>
      </c>
      <c r="H41" s="9" t="s">
        <v>76</v>
      </c>
      <c r="I41" s="9">
        <v>84</v>
      </c>
      <c r="J41" s="9" t="s">
        <v>57</v>
      </c>
      <c r="K41" s="9">
        <v>5</v>
      </c>
      <c r="L41" s="9" t="s">
        <v>91</v>
      </c>
      <c r="M41" s="10">
        <v>20</v>
      </c>
      <c r="N41" s="9">
        <v>37</v>
      </c>
      <c r="O41" s="9">
        <v>40</v>
      </c>
      <c r="P41" s="10">
        <v>182.56479615999996</v>
      </c>
      <c r="Q41" s="10">
        <v>0</v>
      </c>
      <c r="R41" s="10">
        <v>182.56479615999996</v>
      </c>
      <c r="S41" s="9" t="s">
        <v>67</v>
      </c>
      <c r="T41" s="12">
        <v>45817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249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>
        <v>0</v>
      </c>
      <c r="AG41" s="1" t="s">
        <v>119</v>
      </c>
      <c r="AH41" s="1" t="s">
        <v>68</v>
      </c>
      <c r="AI41" s="1">
        <v>4</v>
      </c>
      <c r="AJ41" s="3">
        <v>45817</v>
      </c>
      <c r="AK41" s="3">
        <v>45813</v>
      </c>
      <c r="AL41" s="3">
        <v>45807</v>
      </c>
      <c r="AM41" s="3">
        <v>45814</v>
      </c>
      <c r="AN41" s="3">
        <v>45815</v>
      </c>
      <c r="AO41" s="3">
        <v>45815</v>
      </c>
      <c r="AP41" s="3">
        <v>45812</v>
      </c>
      <c r="AQ41" s="3">
        <v>45816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249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 t="s">
        <v>58</v>
      </c>
      <c r="AG42" s="1" t="s">
        <v>120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250</v>
      </c>
      <c r="BD42" s="56">
        <v>0</v>
      </c>
    </row>
    <row r="43" spans="1:56" ht="27.75" customHeight="1" x14ac:dyDescent="0.45">
      <c r="A43" s="3">
        <v>45796</v>
      </c>
      <c r="B43" s="14" t="s">
        <v>377</v>
      </c>
      <c r="C43" s="9" t="s">
        <v>147</v>
      </c>
      <c r="D43" s="13" t="s">
        <v>368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221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 t="s">
        <v>63</v>
      </c>
      <c r="U43" s="11">
        <v>503</v>
      </c>
      <c r="V43" s="10">
        <v>0</v>
      </c>
      <c r="W43" s="10">
        <v>503</v>
      </c>
      <c r="X43" s="10">
        <v>5250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214</v>
      </c>
      <c r="BD43" s="56">
        <v>0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119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215</v>
      </c>
      <c r="BD44" s="56">
        <v>0</v>
      </c>
    </row>
    <row r="45" spans="1:56" ht="27.75" customHeight="1" x14ac:dyDescent="0.45">
      <c r="A45" s="3" t="s">
        <v>141</v>
      </c>
      <c r="B45" s="14" t="s">
        <v>141</v>
      </c>
      <c r="C45" s="9" t="s">
        <v>340</v>
      </c>
      <c r="D45" s="13" t="s">
        <v>341</v>
      </c>
      <c r="E45" s="9">
        <v>20</v>
      </c>
      <c r="F45" s="9">
        <v>32</v>
      </c>
      <c r="G45" s="9" t="s">
        <v>60</v>
      </c>
      <c r="H45" s="9">
        <v>0</v>
      </c>
      <c r="I45" s="9">
        <v>60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45838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146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119</v>
      </c>
      <c r="AH45" s="1" t="s">
        <v>74</v>
      </c>
      <c r="AI45" s="1">
        <v>2</v>
      </c>
      <c r="AJ45" s="3">
        <v>45838</v>
      </c>
      <c r="AK45" s="3">
        <v>0</v>
      </c>
      <c r="AL45" s="3">
        <v>45829</v>
      </c>
      <c r="AM45" s="3">
        <v>45836</v>
      </c>
      <c r="AN45" s="3">
        <v>45837</v>
      </c>
      <c r="AO45" s="3">
        <v>45837</v>
      </c>
      <c r="AP45" s="3">
        <v>45833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1149.1877222222222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146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58</v>
      </c>
      <c r="AG46" s="1" t="s">
        <v>121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45796</v>
      </c>
      <c r="B47" s="14" t="s">
        <v>378</v>
      </c>
      <c r="C47" s="9" t="s">
        <v>147</v>
      </c>
      <c r="D47" s="13" t="s">
        <v>369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 t="s">
        <v>63</v>
      </c>
      <c r="U47" s="11">
        <v>366</v>
      </c>
      <c r="V47" s="10">
        <v>0</v>
      </c>
      <c r="W47" s="10">
        <v>366</v>
      </c>
      <c r="X47" s="10">
        <v>5113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378</v>
      </c>
      <c r="C48" s="9" t="s">
        <v>147</v>
      </c>
      <c r="D48" s="13" t="s">
        <v>370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45814</v>
      </c>
      <c r="U48" s="11">
        <v>3280</v>
      </c>
      <c r="V48" s="10">
        <v>0</v>
      </c>
      <c r="W48" s="10">
        <v>3280</v>
      </c>
      <c r="X48" s="10">
        <v>5975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45814</v>
      </c>
      <c r="AK48" s="3">
        <v>45810</v>
      </c>
      <c r="AL48" s="3">
        <v>45803</v>
      </c>
      <c r="AM48" s="3">
        <v>45811</v>
      </c>
      <c r="AN48" s="3">
        <v>45812</v>
      </c>
      <c r="AO48" s="3">
        <v>45813</v>
      </c>
      <c r="AP48" s="3">
        <v>45809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379</v>
      </c>
      <c r="C49" s="9" t="s">
        <v>147</v>
      </c>
      <c r="D49" s="13" t="s">
        <v>262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45814</v>
      </c>
      <c r="U49" s="11">
        <v>3853</v>
      </c>
      <c r="V49" s="10">
        <v>0</v>
      </c>
      <c r="W49" s="10">
        <v>3853</v>
      </c>
      <c r="X49" s="10">
        <v>15401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45814</v>
      </c>
      <c r="AK49" s="3">
        <v>45810</v>
      </c>
      <c r="AL49" s="3">
        <v>45803</v>
      </c>
      <c r="AM49" s="3">
        <v>45811</v>
      </c>
      <c r="AN49" s="3">
        <v>45812</v>
      </c>
      <c r="AO49" s="3">
        <v>45813</v>
      </c>
      <c r="AP49" s="3">
        <v>45809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379</v>
      </c>
      <c r="C50" s="9" t="s">
        <v>147</v>
      </c>
      <c r="D50" s="13" t="s">
        <v>209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45814</v>
      </c>
      <c r="U50" s="11">
        <v>4349</v>
      </c>
      <c r="V50" s="10">
        <v>0</v>
      </c>
      <c r="W50" s="10">
        <v>4349</v>
      </c>
      <c r="X50" s="10">
        <v>0</v>
      </c>
      <c r="Y50" s="10">
        <v>4566.45</v>
      </c>
      <c r="Z50" s="9" t="s">
        <v>81</v>
      </c>
      <c r="AA50" s="8">
        <v>4556.6647499999999</v>
      </c>
      <c r="AB50" s="8">
        <v>4556.6647499999999</v>
      </c>
      <c r="AC50" s="8">
        <v>0</v>
      </c>
      <c r="AD50" s="8">
        <v>0</v>
      </c>
      <c r="AE50" s="8">
        <v>4556.6647499999999</v>
      </c>
      <c r="AF50" s="8">
        <v>0</v>
      </c>
      <c r="AG50" s="1" t="s">
        <v>121</v>
      </c>
      <c r="AH50" s="1" t="s">
        <v>75</v>
      </c>
      <c r="AI50" s="1">
        <v>4</v>
      </c>
      <c r="AJ50" s="3">
        <v>45814</v>
      </c>
      <c r="AK50" s="3">
        <v>45810</v>
      </c>
      <c r="AL50" s="3">
        <v>45803</v>
      </c>
      <c r="AM50" s="3">
        <v>45811</v>
      </c>
      <c r="AN50" s="3">
        <v>45812</v>
      </c>
      <c r="AO50" s="3">
        <v>45813</v>
      </c>
      <c r="AP50" s="3">
        <v>45809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380</v>
      </c>
      <c r="C51" s="9" t="s">
        <v>147</v>
      </c>
      <c r="D51" s="13" t="s">
        <v>295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380</v>
      </c>
      <c r="C52" s="9" t="s">
        <v>147</v>
      </c>
      <c r="D52" s="13" t="s">
        <v>371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120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381</v>
      </c>
      <c r="C53" s="9" t="s">
        <v>147</v>
      </c>
      <c r="D53" s="13" t="s">
        <v>136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382</v>
      </c>
      <c r="C54" s="9" t="s">
        <v>147</v>
      </c>
      <c r="D54" s="13" t="s">
        <v>154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45814</v>
      </c>
      <c r="U54" s="11">
        <v>40000</v>
      </c>
      <c r="V54" s="10">
        <v>0</v>
      </c>
      <c r="W54" s="10">
        <v>40000</v>
      </c>
      <c r="X54" s="10">
        <v>11000</v>
      </c>
      <c r="Y54" s="10">
        <v>30450</v>
      </c>
      <c r="Z54" s="9" t="s">
        <v>81</v>
      </c>
      <c r="AA54" s="8">
        <v>31903.987500000003</v>
      </c>
      <c r="AB54" s="8">
        <v>31903.987500000003</v>
      </c>
      <c r="AC54" s="8">
        <v>0</v>
      </c>
      <c r="AD54" s="8">
        <v>0</v>
      </c>
      <c r="AE54" s="8">
        <v>31903.987500000003</v>
      </c>
      <c r="AF54" s="8">
        <v>0</v>
      </c>
      <c r="AG54" s="1" t="s">
        <v>119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373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45766</v>
      </c>
      <c r="B55" s="14" t="s">
        <v>330</v>
      </c>
      <c r="C55" s="9" t="s">
        <v>147</v>
      </c>
      <c r="D55" s="13" t="s">
        <v>154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1866</v>
      </c>
      <c r="V55" s="10">
        <v>608</v>
      </c>
      <c r="W55" s="10">
        <v>1258</v>
      </c>
      <c r="X55" s="10">
        <v>0</v>
      </c>
      <c r="Y55" s="10">
        <v>1320.9</v>
      </c>
      <c r="Z55" s="9" t="s">
        <v>81</v>
      </c>
      <c r="AA55" s="8">
        <v>1318.0695000000003</v>
      </c>
      <c r="AB55" s="8">
        <v>1318.0695000000003</v>
      </c>
      <c r="AC55" s="8">
        <v>0</v>
      </c>
      <c r="AD55" s="8">
        <v>0</v>
      </c>
      <c r="AE55" s="8">
        <v>1318.0695000000003</v>
      </c>
      <c r="AF55" s="8" t="s">
        <v>241</v>
      </c>
      <c r="AG55" s="1" t="s">
        <v>121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45796</v>
      </c>
      <c r="B56" s="14" t="s">
        <v>383</v>
      </c>
      <c r="C56" s="9" t="s">
        <v>147</v>
      </c>
      <c r="D56" s="13" t="s">
        <v>264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10000</v>
      </c>
      <c r="V56" s="10">
        <v>0</v>
      </c>
      <c r="W56" s="10">
        <v>10000</v>
      </c>
      <c r="X56" s="10">
        <v>12101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330</v>
      </c>
      <c r="C57" s="9" t="s">
        <v>147</v>
      </c>
      <c r="D57" s="13" t="s">
        <v>264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1120</v>
      </c>
      <c r="V57" s="10">
        <v>700</v>
      </c>
      <c r="W57" s="10">
        <v>420</v>
      </c>
      <c r="X57" s="10">
        <v>1200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241</v>
      </c>
      <c r="AG57" s="1" t="s">
        <v>120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45720</v>
      </c>
      <c r="B58" s="14" t="s">
        <v>297</v>
      </c>
      <c r="C58" s="9" t="s">
        <v>111</v>
      </c>
      <c r="D58" s="13" t="s">
        <v>326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45817</v>
      </c>
      <c r="U58" s="11">
        <v>3000</v>
      </c>
      <c r="V58" s="10">
        <v>0</v>
      </c>
      <c r="W58" s="10">
        <v>3000</v>
      </c>
      <c r="X58" s="10">
        <v>3300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45817</v>
      </c>
      <c r="AK58" s="3">
        <v>45813</v>
      </c>
      <c r="AL58" s="3">
        <v>45806</v>
      </c>
      <c r="AM58" s="3">
        <v>45814</v>
      </c>
      <c r="AN58" s="3">
        <v>45815</v>
      </c>
      <c r="AO58" s="3">
        <v>45816</v>
      </c>
      <c r="AP58" s="3">
        <v>45812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45799</v>
      </c>
      <c r="B59" s="14" t="s">
        <v>416</v>
      </c>
      <c r="C59" s="9" t="s">
        <v>394</v>
      </c>
      <c r="D59" s="13" t="s">
        <v>395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12000</v>
      </c>
      <c r="V59" s="10">
        <v>0</v>
      </c>
      <c r="W59" s="10">
        <v>12000</v>
      </c>
      <c r="X59" s="10">
        <v>0</v>
      </c>
      <c r="Y59" s="10">
        <v>12600</v>
      </c>
      <c r="Z59" s="9" t="s">
        <v>81</v>
      </c>
      <c r="AA59" s="8">
        <v>11902.44</v>
      </c>
      <c r="AB59" s="8">
        <v>11902.44</v>
      </c>
      <c r="AC59" s="8">
        <v>0</v>
      </c>
      <c r="AD59" s="8">
        <v>0</v>
      </c>
      <c r="AE59" s="8">
        <v>11902.44</v>
      </c>
      <c r="AF59" s="8" t="s">
        <v>241</v>
      </c>
      <c r="AG59" s="1" t="s">
        <v>120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45810</v>
      </c>
      <c r="B60" s="14" t="s">
        <v>460</v>
      </c>
      <c r="C60" s="9" t="s">
        <v>461</v>
      </c>
      <c r="D60" s="13" t="s">
        <v>395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1500</v>
      </c>
      <c r="V60" s="10">
        <v>0</v>
      </c>
      <c r="W60" s="10">
        <v>1500</v>
      </c>
      <c r="X60" s="10">
        <v>0</v>
      </c>
      <c r="Y60" s="10">
        <v>1575</v>
      </c>
      <c r="Z60" s="9" t="s">
        <v>81</v>
      </c>
      <c r="AA60" s="8">
        <v>1487.8050000000001</v>
      </c>
      <c r="AB60" s="8">
        <v>1487.8050000000001</v>
      </c>
      <c r="AC60" s="8">
        <v>0</v>
      </c>
      <c r="AD60" s="8">
        <v>0</v>
      </c>
      <c r="AE60" s="8">
        <v>1487.8050000000001</v>
      </c>
      <c r="AF60" s="8">
        <v>0</v>
      </c>
      <c r="AG60" s="1" t="s">
        <v>120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416</v>
      </c>
      <c r="C61" s="9" t="s">
        <v>394</v>
      </c>
      <c r="D61" s="13" t="s">
        <v>396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 t="s">
        <v>241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45810</v>
      </c>
      <c r="B62" s="14" t="s">
        <v>460</v>
      </c>
      <c r="C62" s="9" t="s">
        <v>461</v>
      </c>
      <c r="D62" s="13" t="s">
        <v>396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81</v>
      </c>
      <c r="AA62" s="8">
        <v>9918.7000000000007</v>
      </c>
      <c r="AB62" s="8">
        <v>9918.7000000000007</v>
      </c>
      <c r="AC62" s="8">
        <v>0</v>
      </c>
      <c r="AD62" s="8">
        <v>0</v>
      </c>
      <c r="AE62" s="8">
        <v>9918.7000000000007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45782</v>
      </c>
      <c r="B63" s="14" t="s">
        <v>367</v>
      </c>
      <c r="C63" s="9" t="s">
        <v>80</v>
      </c>
      <c r="D63" s="13" t="s">
        <v>318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5518.15</v>
      </c>
      <c r="AB63" s="8">
        <v>5518.15</v>
      </c>
      <c r="AC63" s="8">
        <v>0</v>
      </c>
      <c r="AD63" s="8">
        <v>0</v>
      </c>
      <c r="AE63" s="8">
        <v>5518.15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45756</v>
      </c>
      <c r="B64" s="14" t="s">
        <v>321</v>
      </c>
      <c r="C64" s="9" t="s">
        <v>80</v>
      </c>
      <c r="D64" s="13" t="s">
        <v>322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3000</v>
      </c>
      <c r="V64" s="10">
        <v>3148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45740</v>
      </c>
      <c r="B65" s="14" t="s">
        <v>306</v>
      </c>
      <c r="C65" s="9" t="s">
        <v>80</v>
      </c>
      <c r="D65" s="13" t="s">
        <v>258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2500</v>
      </c>
      <c r="V65" s="10">
        <v>2825</v>
      </c>
      <c r="W65" s="10">
        <v>0</v>
      </c>
      <c r="X65" s="10">
        <v>5688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45808</v>
      </c>
      <c r="B66" s="14" t="s">
        <v>454</v>
      </c>
      <c r="C66" s="9" t="s">
        <v>445</v>
      </c>
      <c r="D66" s="13" t="s">
        <v>446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220</v>
      </c>
      <c r="M66" s="10">
        <v>21</v>
      </c>
      <c r="N66" s="9">
        <v>33</v>
      </c>
      <c r="O66" s="9">
        <v>40</v>
      </c>
      <c r="P66" s="10">
        <v>170.969464512</v>
      </c>
      <c r="Q66" s="10">
        <v>0</v>
      </c>
      <c r="R66" s="10">
        <v>170.969464512</v>
      </c>
      <c r="S66" s="9" t="s">
        <v>71</v>
      </c>
      <c r="T66" s="12">
        <v>45821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8801.1</v>
      </c>
      <c r="AB66" s="8">
        <v>8801.1</v>
      </c>
      <c r="AC66" s="8">
        <v>0</v>
      </c>
      <c r="AD66" s="8">
        <v>0</v>
      </c>
      <c r="AE66" s="8">
        <v>8801.1</v>
      </c>
      <c r="AF66" s="8">
        <v>0</v>
      </c>
      <c r="AG66" s="1" t="s">
        <v>61</v>
      </c>
      <c r="AH66" s="1" t="s">
        <v>68</v>
      </c>
      <c r="AI66" s="1">
        <v>4</v>
      </c>
      <c r="AJ66" s="3">
        <v>45821</v>
      </c>
      <c r="AK66" s="3">
        <v>45817</v>
      </c>
      <c r="AL66" s="3">
        <v>45811</v>
      </c>
      <c r="AM66" s="3">
        <v>45818</v>
      </c>
      <c r="AN66" s="3">
        <v>45819</v>
      </c>
      <c r="AO66" s="3">
        <v>45819</v>
      </c>
      <c r="AP66" s="3">
        <v>45816</v>
      </c>
      <c r="AQ66" s="3">
        <v>45820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45803</v>
      </c>
      <c r="B67" s="14" t="s">
        <v>417</v>
      </c>
      <c r="C67" s="9" t="s">
        <v>111</v>
      </c>
      <c r="D67" s="13" t="s">
        <v>418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45835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45835</v>
      </c>
      <c r="AK67" s="3">
        <v>45831</v>
      </c>
      <c r="AL67" s="3">
        <v>45824</v>
      </c>
      <c r="AM67" s="3">
        <v>45832</v>
      </c>
      <c r="AN67" s="3">
        <v>45833</v>
      </c>
      <c r="AO67" s="3">
        <v>45834</v>
      </c>
      <c r="AP67" s="3">
        <v>45830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45803</v>
      </c>
      <c r="B68" s="14" t="s">
        <v>419</v>
      </c>
      <c r="C68" s="9" t="s">
        <v>111</v>
      </c>
      <c r="D68" s="13" t="s">
        <v>420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45817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45817</v>
      </c>
      <c r="AK68" s="3">
        <v>45813</v>
      </c>
      <c r="AL68" s="3">
        <v>45806</v>
      </c>
      <c r="AM68" s="3">
        <v>45814</v>
      </c>
      <c r="AN68" s="3">
        <v>45815</v>
      </c>
      <c r="AO68" s="3">
        <v>45816</v>
      </c>
      <c r="AP68" s="3">
        <v>45812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250.15613333333337</v>
      </c>
    </row>
    <row r="69" spans="1:56" ht="27.75" customHeight="1" x14ac:dyDescent="0.45">
      <c r="A69" s="3" t="s">
        <v>141</v>
      </c>
      <c r="B69" s="14" t="s">
        <v>141</v>
      </c>
      <c r="C69" s="9" t="s">
        <v>147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45838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81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7916.333333333333</v>
      </c>
    </row>
    <row r="70" spans="1:56" ht="27.75" customHeight="1" x14ac:dyDescent="0.45">
      <c r="A70" s="3">
        <v>45803</v>
      </c>
      <c r="B70" s="14" t="s">
        <v>421</v>
      </c>
      <c r="C70" s="9" t="s">
        <v>111</v>
      </c>
      <c r="D70" s="13" t="s">
        <v>422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7.75" customHeight="1" x14ac:dyDescent="0.45">
      <c r="A71" s="3">
        <v>45798</v>
      </c>
      <c r="B71" s="14" t="s">
        <v>405</v>
      </c>
      <c r="C71" s="9" t="s">
        <v>111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5518.15</v>
      </c>
      <c r="AB71" s="8">
        <v>0</v>
      </c>
      <c r="AC71" s="8">
        <v>5518.15</v>
      </c>
      <c r="AD71" s="8">
        <v>0</v>
      </c>
      <c r="AE71" s="8">
        <v>5518.15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416.92688888888887</v>
      </c>
    </row>
    <row r="72" spans="1:56" ht="27.75" customHeight="1" x14ac:dyDescent="0.45">
      <c r="A72" s="3">
        <v>45782</v>
      </c>
      <c r="B72" s="14" t="s">
        <v>367</v>
      </c>
      <c r="C72" s="9" t="s">
        <v>80</v>
      </c>
      <c r="D72" s="13" t="s">
        <v>318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1667.7075555555555</v>
      </c>
    </row>
    <row r="73" spans="1:56" ht="27.75" customHeight="1" x14ac:dyDescent="0.45">
      <c r="A73" s="3">
        <v>45808</v>
      </c>
      <c r="B73" s="14" t="s">
        <v>462</v>
      </c>
      <c r="C73" s="9" t="s">
        <v>147</v>
      </c>
      <c r="D73" s="13" t="s">
        <v>155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329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398.98320000000001</v>
      </c>
    </row>
    <row r="74" spans="1:56" ht="27.75" customHeight="1" x14ac:dyDescent="0.45">
      <c r="A74" s="3">
        <v>45810</v>
      </c>
      <c r="B74" s="14" t="s">
        <v>471</v>
      </c>
      <c r="C74" s="9" t="s">
        <v>80</v>
      </c>
      <c r="D74" s="13" t="s">
        <v>258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119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45810</v>
      </c>
      <c r="B75" s="14" t="s">
        <v>472</v>
      </c>
      <c r="C75" s="9" t="s">
        <v>80</v>
      </c>
      <c r="D75" s="13" t="s">
        <v>473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119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7.75" customHeight="1" x14ac:dyDescent="0.45">
      <c r="A76" s="3">
        <v>45721</v>
      </c>
      <c r="B76" s="14" t="s">
        <v>298</v>
      </c>
      <c r="C76" s="9" t="s">
        <v>147</v>
      </c>
      <c r="D76" s="13" t="s">
        <v>263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111</v>
      </c>
      <c r="V76" s="10">
        <v>0</v>
      </c>
      <c r="W76" s="10">
        <v>111</v>
      </c>
      <c r="X76" s="10">
        <v>5600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45611</v>
      </c>
      <c r="B77" s="14" t="s">
        <v>219</v>
      </c>
      <c r="C77" s="9" t="s">
        <v>147</v>
      </c>
      <c r="D77" s="13" t="s">
        <v>127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67</v>
      </c>
      <c r="V77" s="10">
        <v>67</v>
      </c>
      <c r="W77" s="10">
        <v>0</v>
      </c>
      <c r="X77" s="10">
        <v>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45721</v>
      </c>
      <c r="B78" s="14" t="s">
        <v>299</v>
      </c>
      <c r="C78" s="9" t="s">
        <v>147</v>
      </c>
      <c r="D78" s="13" t="s">
        <v>296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734</v>
      </c>
      <c r="V78" s="10">
        <v>0</v>
      </c>
      <c r="W78" s="10">
        <v>734</v>
      </c>
      <c r="X78" s="10">
        <v>5520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141</v>
      </c>
      <c r="B79" s="14" t="s">
        <v>141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121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1667.7075555555555</v>
      </c>
    </row>
    <row r="80" spans="1:56" ht="27.75" customHeight="1" x14ac:dyDescent="0.45">
      <c r="A80" s="3" t="s">
        <v>141</v>
      </c>
      <c r="B80" s="14" t="s">
        <v>141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45838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45681</v>
      </c>
      <c r="B81" s="14" t="s">
        <v>269</v>
      </c>
      <c r="C81" s="9" t="s">
        <v>80</v>
      </c>
      <c r="D81" s="13" t="s">
        <v>268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262.82226666666674</v>
      </c>
    </row>
    <row r="82" spans="1:56" ht="27.75" customHeight="1" x14ac:dyDescent="0.45">
      <c r="A82" s="3">
        <v>45705</v>
      </c>
      <c r="B82" s="14" t="s">
        <v>288</v>
      </c>
      <c r="C82" s="9" t="s">
        <v>147</v>
      </c>
      <c r="D82" s="13" t="s">
        <v>198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221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291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45674</v>
      </c>
      <c r="B83" s="14" t="s">
        <v>266</v>
      </c>
      <c r="C83" s="9" t="s">
        <v>147</v>
      </c>
      <c r="D83" s="13" t="s">
        <v>265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221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290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45611</v>
      </c>
      <c r="B84" s="14" t="s">
        <v>218</v>
      </c>
      <c r="C84" s="9" t="s">
        <v>147</v>
      </c>
      <c r="D84" s="13" t="s">
        <v>217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45523</v>
      </c>
      <c r="B85" s="14" t="s">
        <v>195</v>
      </c>
      <c r="C85" s="9" t="s">
        <v>147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195</v>
      </c>
      <c r="C86" s="9" t="s">
        <v>147</v>
      </c>
      <c r="D86" s="13" t="s">
        <v>194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45752</v>
      </c>
      <c r="B87" s="14" t="s">
        <v>314</v>
      </c>
      <c r="C87" s="9" t="s">
        <v>80</v>
      </c>
      <c r="D87" s="13" t="s">
        <v>315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320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45741</v>
      </c>
      <c r="B88" s="14" t="s">
        <v>307</v>
      </c>
      <c r="C88" s="9" t="s">
        <v>111</v>
      </c>
      <c r="D88" s="13" t="s">
        <v>305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4000</v>
      </c>
      <c r="V88" s="10">
        <v>3857</v>
      </c>
      <c r="W88" s="10">
        <v>143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320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45720</v>
      </c>
      <c r="B89" s="14" t="s">
        <v>133</v>
      </c>
      <c r="C89" s="9" t="s">
        <v>111</v>
      </c>
      <c r="D89" s="13" t="s">
        <v>239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45720</v>
      </c>
      <c r="B90" s="14" t="s">
        <v>133</v>
      </c>
      <c r="C90" s="9" t="s">
        <v>111</v>
      </c>
      <c r="D90" s="13" t="s">
        <v>257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45541</v>
      </c>
      <c r="B91" s="14" t="s">
        <v>199</v>
      </c>
      <c r="C91" s="9" t="s">
        <v>111</v>
      </c>
      <c r="D91" s="13" t="s">
        <v>200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137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203</v>
      </c>
      <c r="AG91" s="1" t="s">
        <v>119</v>
      </c>
      <c r="AH91" s="1" t="s">
        <v>75</v>
      </c>
      <c r="AI91" s="1">
        <v>4</v>
      </c>
      <c r="AJ91" s="3" t="s">
        <v>137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260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45548</v>
      </c>
      <c r="B92" s="14" t="s">
        <v>202</v>
      </c>
      <c r="C92" s="9" t="s">
        <v>111</v>
      </c>
      <c r="D92" s="13" t="s">
        <v>201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137</v>
      </c>
      <c r="U92" s="11">
        <v>2500</v>
      </c>
      <c r="V92" s="10">
        <v>2364</v>
      </c>
      <c r="W92" s="10">
        <v>136</v>
      </c>
      <c r="X92" s="10">
        <v>5500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137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45581</v>
      </c>
      <c r="B93" s="14" t="s">
        <v>207</v>
      </c>
      <c r="C93" s="9" t="s">
        <v>111</v>
      </c>
      <c r="D93" s="13" t="s">
        <v>208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137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137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81</v>
      </c>
      <c r="AA94" s="8">
        <v>308328.72675000009</v>
      </c>
      <c r="AB94" s="8">
        <v>86652.766749999995</v>
      </c>
      <c r="AC94" s="8">
        <v>221675.96000000002</v>
      </c>
      <c r="AD94" s="8">
        <v>0</v>
      </c>
      <c r="AE94" s="8">
        <v>308328.72675000009</v>
      </c>
      <c r="AF94" s="8" t="s">
        <v>58</v>
      </c>
      <c r="AG94" s="1" t="s">
        <v>119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45796</v>
      </c>
      <c r="B95" s="14" t="s">
        <v>384</v>
      </c>
      <c r="C95" s="9" t="s">
        <v>147</v>
      </c>
      <c r="D95" s="13" t="s">
        <v>372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221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45814</v>
      </c>
      <c r="U95" s="11">
        <v>640</v>
      </c>
      <c r="V95" s="10">
        <v>0</v>
      </c>
      <c r="W95" s="10">
        <v>640</v>
      </c>
      <c r="X95" s="10">
        <v>83500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241</v>
      </c>
      <c r="AG95" s="1" t="s">
        <v>119</v>
      </c>
      <c r="AH95" s="1" t="s">
        <v>74</v>
      </c>
      <c r="AI95" s="1">
        <v>2</v>
      </c>
      <c r="AJ95" s="3">
        <v>45814</v>
      </c>
      <c r="AK95" s="3">
        <v>0</v>
      </c>
      <c r="AL95" s="3">
        <v>45805</v>
      </c>
      <c r="AM95" s="3">
        <v>45812</v>
      </c>
      <c r="AN95" s="3">
        <v>45813</v>
      </c>
      <c r="AO95" s="3">
        <v>45813</v>
      </c>
      <c r="AP95" s="3">
        <v>45809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354</v>
      </c>
      <c r="C96" s="9" t="s">
        <v>86</v>
      </c>
      <c r="D96" s="13" t="s">
        <v>355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60000</v>
      </c>
      <c r="V96" s="10">
        <v>60679</v>
      </c>
      <c r="W96" s="10">
        <v>0</v>
      </c>
      <c r="X96" s="10">
        <v>62600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356</v>
      </c>
      <c r="AG96" s="1" t="s">
        <v>119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357</v>
      </c>
      <c r="C97" s="9" t="s">
        <v>86</v>
      </c>
      <c r="D97" s="13" t="s">
        <v>358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15000</v>
      </c>
      <c r="V97" s="10">
        <v>14947</v>
      </c>
      <c r="W97" s="10">
        <v>53</v>
      </c>
      <c r="X97" s="10">
        <v>15750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356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45785</v>
      </c>
      <c r="B98" s="14" t="s">
        <v>357</v>
      </c>
      <c r="C98" s="9" t="s">
        <v>86</v>
      </c>
      <c r="D98" s="13" t="s">
        <v>279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212</v>
      </c>
      <c r="T98" s="12">
        <v>45817</v>
      </c>
      <c r="U98" s="11">
        <v>40000</v>
      </c>
      <c r="V98" s="10">
        <v>39929</v>
      </c>
      <c r="W98" s="10">
        <v>71</v>
      </c>
      <c r="X98" s="10">
        <v>41600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356</v>
      </c>
      <c r="AG98" s="1" t="s">
        <v>120</v>
      </c>
      <c r="AH98" s="1" t="s">
        <v>74</v>
      </c>
      <c r="AI98" s="1">
        <v>2</v>
      </c>
      <c r="AJ98" s="3">
        <v>45817</v>
      </c>
      <c r="AK98" s="3">
        <v>0</v>
      </c>
      <c r="AL98" s="3">
        <v>45808</v>
      </c>
      <c r="AM98" s="3">
        <v>45815</v>
      </c>
      <c r="AN98" s="3">
        <v>45816</v>
      </c>
      <c r="AO98" s="3">
        <v>45816</v>
      </c>
      <c r="AP98" s="3">
        <v>45812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45786</v>
      </c>
      <c r="B99" s="14" t="s">
        <v>365</v>
      </c>
      <c r="C99" s="9" t="s">
        <v>86</v>
      </c>
      <c r="D99" s="13" t="s">
        <v>360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253</v>
      </c>
      <c r="T99" s="12">
        <v>45838</v>
      </c>
      <c r="U99" s="11">
        <v>10000</v>
      </c>
      <c r="V99" s="10">
        <v>10196</v>
      </c>
      <c r="W99" s="10">
        <v>0</v>
      </c>
      <c r="X99" s="10">
        <v>10500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240</v>
      </c>
      <c r="AG99" s="1" t="s">
        <v>120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45812</v>
      </c>
      <c r="B100" s="14" t="s">
        <v>133</v>
      </c>
      <c r="C100" s="9" t="s">
        <v>73</v>
      </c>
      <c r="D100" s="13" t="s">
        <v>474</v>
      </c>
      <c r="E100" s="9">
        <v>20</v>
      </c>
      <c r="F100" s="9">
        <v>32</v>
      </c>
      <c r="G100" s="9" t="s">
        <v>60</v>
      </c>
      <c r="H100" s="9">
        <v>0</v>
      </c>
      <c r="I100" s="9">
        <v>72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150</v>
      </c>
      <c r="T100" s="12">
        <v>45827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 t="s">
        <v>475</v>
      </c>
      <c r="AG100" s="1" t="s">
        <v>61</v>
      </c>
      <c r="AH100" s="1" t="s">
        <v>74</v>
      </c>
      <c r="AI100" s="1">
        <v>2</v>
      </c>
      <c r="AJ100" s="3">
        <v>45827</v>
      </c>
      <c r="AK100" s="3">
        <v>0</v>
      </c>
      <c r="AL100" s="3">
        <v>45818</v>
      </c>
      <c r="AM100" s="3">
        <v>45825</v>
      </c>
      <c r="AN100" s="3">
        <v>45826</v>
      </c>
      <c r="AO100" s="3">
        <v>45826</v>
      </c>
      <c r="AP100" s="3">
        <v>45822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357.75617777777779</v>
      </c>
    </row>
    <row r="101" spans="1:56" ht="27.75" customHeight="1" x14ac:dyDescent="0.45">
      <c r="A101" s="3">
        <v>45805</v>
      </c>
      <c r="B101" s="14" t="s">
        <v>439</v>
      </c>
      <c r="C101" s="9" t="s">
        <v>86</v>
      </c>
      <c r="D101" s="13" t="s">
        <v>440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212</v>
      </c>
      <c r="T101" s="12">
        <v>45845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82</v>
      </c>
      <c r="AA101" s="8">
        <v>5378.4500000000007</v>
      </c>
      <c r="AB101" s="8">
        <v>5378.4500000000007</v>
      </c>
      <c r="AC101" s="8">
        <v>0</v>
      </c>
      <c r="AD101" s="8">
        <v>0</v>
      </c>
      <c r="AE101" s="8">
        <v>0</v>
      </c>
      <c r="AF101" s="8" t="s">
        <v>356</v>
      </c>
      <c r="AG101" s="1" t="s">
        <v>119</v>
      </c>
      <c r="AH101" s="1" t="s">
        <v>74</v>
      </c>
      <c r="AI101" s="1">
        <v>2</v>
      </c>
      <c r="AJ101" s="3">
        <v>45845</v>
      </c>
      <c r="AK101" s="3">
        <v>0</v>
      </c>
      <c r="AL101" s="3">
        <v>45836</v>
      </c>
      <c r="AM101" s="3">
        <v>45843</v>
      </c>
      <c r="AN101" s="3">
        <v>45844</v>
      </c>
      <c r="AO101" s="3">
        <v>45844</v>
      </c>
      <c r="AP101" s="3">
        <v>45840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45805</v>
      </c>
      <c r="B102" s="14" t="s">
        <v>439</v>
      </c>
      <c r="C102" s="9" t="s">
        <v>86</v>
      </c>
      <c r="D102" s="13" t="s">
        <v>338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212</v>
      </c>
      <c r="T102" s="12">
        <v>45845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82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 t="s">
        <v>356</v>
      </c>
      <c r="AG102" s="1" t="s">
        <v>119</v>
      </c>
      <c r="AH102" s="1" t="s">
        <v>74</v>
      </c>
      <c r="AI102" s="1">
        <v>2</v>
      </c>
      <c r="AJ102" s="3">
        <v>45845</v>
      </c>
      <c r="AK102" s="3">
        <v>0</v>
      </c>
      <c r="AL102" s="3">
        <v>45836</v>
      </c>
      <c r="AM102" s="3">
        <v>45843</v>
      </c>
      <c r="AN102" s="3">
        <v>45844</v>
      </c>
      <c r="AO102" s="3">
        <v>45844</v>
      </c>
      <c r="AP102" s="3">
        <v>45840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 t="s">
        <v>141</v>
      </c>
      <c r="B103" s="14" t="s">
        <v>141</v>
      </c>
      <c r="C103" s="9" t="s">
        <v>147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221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45838</v>
      </c>
      <c r="U103" s="11">
        <v>150000</v>
      </c>
      <c r="V103" s="10">
        <v>0</v>
      </c>
      <c r="W103" s="10">
        <v>150000</v>
      </c>
      <c r="X103" s="10">
        <v>0</v>
      </c>
      <c r="Y103" s="10">
        <v>157500</v>
      </c>
      <c r="Z103" s="9" t="s">
        <v>82</v>
      </c>
      <c r="AA103" s="8">
        <v>157162.5</v>
      </c>
      <c r="AB103" s="8">
        <v>119664</v>
      </c>
      <c r="AC103" s="8">
        <v>37498.5</v>
      </c>
      <c r="AD103" s="8">
        <v>0</v>
      </c>
      <c r="AE103" s="8">
        <v>0</v>
      </c>
      <c r="AF103" s="8" t="s">
        <v>241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2866.5520000000001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37</v>
      </c>
      <c r="G104" s="9">
        <v>0</v>
      </c>
      <c r="H104" s="9">
        <v>0</v>
      </c>
      <c r="I104" s="9">
        <v>80</v>
      </c>
      <c r="J104" s="9" t="s">
        <v>57</v>
      </c>
      <c r="K104" s="9">
        <v>3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82</v>
      </c>
      <c r="AA104" s="8">
        <v>172599.35</v>
      </c>
      <c r="AB104" s="8">
        <v>130420.9</v>
      </c>
      <c r="AC104" s="8">
        <v>42178.45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0</v>
      </c>
      <c r="B105" s="14" t="s">
        <v>133</v>
      </c>
      <c r="C105" s="9" t="s">
        <v>342</v>
      </c>
      <c r="D105" s="13" t="s">
        <v>342</v>
      </c>
      <c r="E105" s="9">
        <v>20</v>
      </c>
      <c r="F105" s="9">
        <v>34</v>
      </c>
      <c r="G105" s="9" t="s">
        <v>60</v>
      </c>
      <c r="H105" s="9">
        <v>0</v>
      </c>
      <c r="I105" s="9">
        <v>85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45838</v>
      </c>
      <c r="U105" s="11">
        <v>1345000</v>
      </c>
      <c r="V105" s="10">
        <v>0</v>
      </c>
      <c r="W105" s="10">
        <v>1345000</v>
      </c>
      <c r="X105" s="10">
        <v>381895</v>
      </c>
      <c r="Y105" s="10">
        <v>1011260.25</v>
      </c>
      <c r="Z105" s="9" t="s">
        <v>343</v>
      </c>
      <c r="AA105" s="8">
        <v>920971.90109924995</v>
      </c>
      <c r="AB105" s="8">
        <v>316435</v>
      </c>
      <c r="AC105" s="8">
        <v>604536.90109924995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344</v>
      </c>
      <c r="BD105" s="56">
        <v>53098.49114655079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34</v>
      </c>
      <c r="G106" s="9">
        <v>0</v>
      </c>
      <c r="H106" s="9">
        <v>0</v>
      </c>
      <c r="I106" s="9">
        <v>85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343</v>
      </c>
      <c r="AA106" s="8">
        <v>920971.90109924995</v>
      </c>
      <c r="AB106" s="8">
        <v>316435</v>
      </c>
      <c r="AC106" s="8">
        <v>604536.90109924995</v>
      </c>
      <c r="AD106" s="8">
        <v>0</v>
      </c>
      <c r="AE106" s="8">
        <v>0</v>
      </c>
      <c r="AF106" s="8" t="s">
        <v>58</v>
      </c>
      <c r="AG106" s="1" t="s">
        <v>120</v>
      </c>
      <c r="AH106" s="1">
        <v>0</v>
      </c>
      <c r="AI106" s="1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345</v>
      </c>
      <c r="BD106" s="56">
        <v>0</v>
      </c>
    </row>
    <row r="107" spans="1:56" ht="27.75" customHeight="1" x14ac:dyDescent="0.45">
      <c r="A107" s="3">
        <v>45803</v>
      </c>
      <c r="B107" s="14" t="s">
        <v>424</v>
      </c>
      <c r="C107" s="9" t="s">
        <v>233</v>
      </c>
      <c r="D107" s="13" t="s">
        <v>412</v>
      </c>
      <c r="E107" s="9">
        <v>21</v>
      </c>
      <c r="F107" s="9">
        <v>34</v>
      </c>
      <c r="G107" s="9" t="s">
        <v>60</v>
      </c>
      <c r="H107" s="9">
        <v>0</v>
      </c>
      <c r="I107" s="9">
        <v>60</v>
      </c>
      <c r="J107" s="9" t="s">
        <v>57</v>
      </c>
      <c r="K107" s="9">
        <v>5</v>
      </c>
      <c r="L107" s="9" t="s">
        <v>93</v>
      </c>
      <c r="M107" s="10">
        <v>22</v>
      </c>
      <c r="N107" s="9">
        <v>36</v>
      </c>
      <c r="O107" s="9">
        <v>40</v>
      </c>
      <c r="P107" s="10">
        <v>195.39367372799995</v>
      </c>
      <c r="Q107" s="10">
        <v>0</v>
      </c>
      <c r="R107" s="10">
        <v>195.39367372799995</v>
      </c>
      <c r="S107" s="9" t="s">
        <v>67</v>
      </c>
      <c r="T107" s="12">
        <v>45824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135</v>
      </c>
      <c r="AA107" s="8">
        <v>9918.7000000000007</v>
      </c>
      <c r="AB107" s="8">
        <v>0</v>
      </c>
      <c r="AC107" s="8">
        <v>9918.7000000000007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72</v>
      </c>
      <c r="AI107" s="1">
        <v>3</v>
      </c>
      <c r="AJ107" s="3">
        <v>45824</v>
      </c>
      <c r="AK107" s="3">
        <v>0</v>
      </c>
      <c r="AL107" s="3">
        <v>45814</v>
      </c>
      <c r="AM107" s="3">
        <v>45821</v>
      </c>
      <c r="AN107" s="3">
        <v>45822</v>
      </c>
      <c r="AO107" s="3">
        <v>45822</v>
      </c>
      <c r="AP107" s="3">
        <v>45819</v>
      </c>
      <c r="AQ107" s="3">
        <v>45823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676.95127500000001</v>
      </c>
    </row>
    <row r="108" spans="1:56" ht="27.75" customHeight="1" x14ac:dyDescent="0.45">
      <c r="A108" s="3" t="s">
        <v>141</v>
      </c>
      <c r="B108" s="14" t="s">
        <v>141</v>
      </c>
      <c r="C108" s="9" t="s">
        <v>185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45838</v>
      </c>
      <c r="U108" s="11">
        <v>5000</v>
      </c>
      <c r="V108" s="10">
        <v>0</v>
      </c>
      <c r="W108" s="10">
        <v>5000</v>
      </c>
      <c r="X108" s="10">
        <v>0</v>
      </c>
      <c r="Y108" s="10">
        <v>0</v>
      </c>
      <c r="Z108" s="9" t="s">
        <v>135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77</v>
      </c>
      <c r="AI108" s="1">
        <v>2</v>
      </c>
      <c r="AJ108" s="3">
        <v>45838</v>
      </c>
      <c r="AK108" s="3">
        <v>0</v>
      </c>
      <c r="AL108" s="3">
        <v>0</v>
      </c>
      <c r="AM108" s="3">
        <v>0</v>
      </c>
      <c r="AN108" s="3">
        <v>0</v>
      </c>
      <c r="AO108" s="3">
        <v>45836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376.6137374999999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67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135</v>
      </c>
      <c r="AA109" s="8">
        <v>15436.85</v>
      </c>
      <c r="AB109" s="8">
        <v>0</v>
      </c>
      <c r="AC109" s="8">
        <v>15436.85</v>
      </c>
      <c r="AD109" s="8">
        <v>0</v>
      </c>
      <c r="AE109" s="8">
        <v>0</v>
      </c>
      <c r="AF109" s="8" t="s">
        <v>58</v>
      </c>
      <c r="AG109" s="1" t="s">
        <v>120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45799</v>
      </c>
      <c r="B110" s="14" t="s">
        <v>428</v>
      </c>
      <c r="C110" s="9" t="s">
        <v>115</v>
      </c>
      <c r="D110" s="13" t="s">
        <v>300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124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120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125</v>
      </c>
      <c r="BD110" s="56">
        <v>3867.8226766666667</v>
      </c>
    </row>
    <row r="111" spans="1:56" ht="27.75" customHeight="1" x14ac:dyDescent="0.45">
      <c r="A111" s="3">
        <v>45799</v>
      </c>
      <c r="B111" s="14" t="s">
        <v>428</v>
      </c>
      <c r="C111" s="9" t="s">
        <v>115</v>
      </c>
      <c r="D111" s="13" t="s">
        <v>333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37015</v>
      </c>
      <c r="Y111" s="10">
        <v>13634.25</v>
      </c>
      <c r="Z111" s="9" t="s">
        <v>124</v>
      </c>
      <c r="AA111" s="8">
        <v>14666.226382500001</v>
      </c>
      <c r="AB111" s="8">
        <v>14666.226382500001</v>
      </c>
      <c r="AC111" s="8">
        <v>0</v>
      </c>
      <c r="AD111" s="8">
        <v>0</v>
      </c>
      <c r="AE111" s="8">
        <v>14666.226382500001</v>
      </c>
      <c r="AF111" s="8">
        <v>0</v>
      </c>
      <c r="AG111" s="1" t="s">
        <v>120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45808</v>
      </c>
      <c r="B112" s="14" t="s">
        <v>456</v>
      </c>
      <c r="C112" s="9" t="s">
        <v>111</v>
      </c>
      <c r="D112" s="13" t="s">
        <v>403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124</v>
      </c>
      <c r="AA112" s="8">
        <v>11036.3</v>
      </c>
      <c r="AB112" s="8">
        <v>11036.3</v>
      </c>
      <c r="AC112" s="8">
        <v>0</v>
      </c>
      <c r="AD112" s="8">
        <v>0</v>
      </c>
      <c r="AE112" s="8">
        <v>11036.3</v>
      </c>
      <c r="AF112" s="8">
        <v>0</v>
      </c>
      <c r="AG112" s="1" t="s">
        <v>120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0</v>
      </c>
    </row>
    <row r="113" spans="1:56" ht="27.75" customHeight="1" x14ac:dyDescent="0.45">
      <c r="A113" s="3">
        <v>45798</v>
      </c>
      <c r="B113" s="14" t="s">
        <v>409</v>
      </c>
      <c r="C113" s="9" t="s">
        <v>111</v>
      </c>
      <c r="D113" s="13" t="s">
        <v>402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124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427</v>
      </c>
      <c r="C114" s="9" t="s">
        <v>115</v>
      </c>
      <c r="D114" s="13" t="s">
        <v>399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124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427</v>
      </c>
      <c r="C115" s="9" t="s">
        <v>115</v>
      </c>
      <c r="D115" s="13" t="s">
        <v>350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124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427</v>
      </c>
      <c r="C116" s="9" t="s">
        <v>115</v>
      </c>
      <c r="D116" s="13" t="s">
        <v>400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124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425</v>
      </c>
      <c r="C117" s="9" t="s">
        <v>111</v>
      </c>
      <c r="D117" s="13" t="s">
        <v>426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124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416.92114566666663</v>
      </c>
    </row>
    <row r="118" spans="1:56" ht="27.75" customHeight="1" x14ac:dyDescent="0.45">
      <c r="A118" s="3" t="s">
        <v>141</v>
      </c>
      <c r="B118" s="14" t="s">
        <v>141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124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226</v>
      </c>
      <c r="C119" s="9" t="s">
        <v>113</v>
      </c>
      <c r="D119" s="13" t="s">
        <v>153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124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254</v>
      </c>
      <c r="AZ119" s="2">
        <v>0</v>
      </c>
      <c r="BA119" s="2">
        <v>0</v>
      </c>
      <c r="BB119" s="2">
        <v>0</v>
      </c>
      <c r="BC119" s="1" t="s">
        <v>125</v>
      </c>
      <c r="BD119" s="56">
        <v>618.85162826666658</v>
      </c>
    </row>
    <row r="120" spans="1:56" ht="27.75" customHeight="1" x14ac:dyDescent="0.45">
      <c r="A120" s="3">
        <v>45800</v>
      </c>
      <c r="B120" s="14" t="s">
        <v>406</v>
      </c>
      <c r="C120" s="9" t="s">
        <v>80</v>
      </c>
      <c r="D120" s="13" t="s">
        <v>407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45800</v>
      </c>
      <c r="B121" s="14" t="s">
        <v>406</v>
      </c>
      <c r="C121" s="9" t="s">
        <v>80</v>
      </c>
      <c r="D121" s="13" t="s">
        <v>407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124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120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45798</v>
      </c>
      <c r="B122" s="14" t="s">
        <v>408</v>
      </c>
      <c r="C122" s="9" t="s">
        <v>111</v>
      </c>
      <c r="D122" s="13" t="s">
        <v>401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45631</v>
      </c>
      <c r="B123" s="14" t="s">
        <v>230</v>
      </c>
      <c r="C123" s="9" t="s">
        <v>113</v>
      </c>
      <c r="D123" s="13" t="s">
        <v>153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124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255</v>
      </c>
      <c r="AZ123" s="2">
        <v>0</v>
      </c>
      <c r="BA123" s="2">
        <v>0</v>
      </c>
      <c r="BB123" s="2">
        <v>0</v>
      </c>
      <c r="BC123" s="1" t="s">
        <v>125</v>
      </c>
      <c r="BD123" s="56">
        <v>1237.7032565333332</v>
      </c>
    </row>
    <row r="124" spans="1:56" ht="27.75" customHeight="1" x14ac:dyDescent="0.45">
      <c r="A124" s="3">
        <v>45631</v>
      </c>
      <c r="B124" s="14" t="s">
        <v>231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120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256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 t="s">
        <v>141</v>
      </c>
      <c r="B125" s="14" t="s">
        <v>141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124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119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773.56453533333331</v>
      </c>
    </row>
    <row r="126" spans="1:56" ht="27.75" customHeight="1" x14ac:dyDescent="0.45">
      <c r="A126" s="3" t="s">
        <v>141</v>
      </c>
      <c r="B126" s="14" t="s">
        <v>141</v>
      </c>
      <c r="C126" s="9" t="s">
        <v>111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833.84229133333326</v>
      </c>
    </row>
    <row r="127" spans="1:56" ht="27.75" customHeight="1" x14ac:dyDescent="0.45">
      <c r="A127" s="3">
        <v>45066</v>
      </c>
      <c r="B127" s="14" t="s">
        <v>131</v>
      </c>
      <c r="C127" s="9" t="s">
        <v>80</v>
      </c>
      <c r="D127" s="13" t="s">
        <v>130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119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396.82856033333326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83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124</v>
      </c>
      <c r="AA128" s="8">
        <v>394496.55638250004</v>
      </c>
      <c r="AB128" s="8">
        <v>31500.076382499999</v>
      </c>
      <c r="AC128" s="8">
        <v>362996.48000000004</v>
      </c>
      <c r="AD128" s="8">
        <v>5797.55</v>
      </c>
      <c r="AE128" s="8">
        <v>388699.00638250005</v>
      </c>
      <c r="AF128" s="8" t="s">
        <v>58</v>
      </c>
      <c r="AG128" s="1" t="s">
        <v>61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126</v>
      </c>
      <c r="BD128" s="56">
        <v>0</v>
      </c>
    </row>
    <row r="129" spans="1:56" ht="27.75" customHeight="1" x14ac:dyDescent="0.45">
      <c r="A129" s="3">
        <v>9</v>
      </c>
      <c r="B129" s="14" t="s">
        <v>366</v>
      </c>
      <c r="C129" s="9" t="s">
        <v>361</v>
      </c>
      <c r="D129" s="13" t="s">
        <v>362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363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280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364</v>
      </c>
      <c r="AG129" s="1" t="s">
        <v>61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282</v>
      </c>
      <c r="BD129" s="56">
        <v>10239.893776841667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280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119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0</v>
      </c>
    </row>
    <row r="131" spans="1:56" ht="27.75" customHeight="1" x14ac:dyDescent="0.45">
      <c r="A131" s="3" t="s">
        <v>141</v>
      </c>
      <c r="B131" s="14" t="s">
        <v>141</v>
      </c>
      <c r="C131" s="9" t="s">
        <v>259</v>
      </c>
      <c r="D131" s="13" t="s">
        <v>61</v>
      </c>
      <c r="E131" s="9">
        <v>23</v>
      </c>
      <c r="F131" s="9">
        <v>34</v>
      </c>
      <c r="G131" s="9" t="s">
        <v>60</v>
      </c>
      <c r="H131" s="9" t="s">
        <v>66</v>
      </c>
      <c r="I131" s="9">
        <v>92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128</v>
      </c>
      <c r="T131" s="12">
        <v>45838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84</v>
      </c>
      <c r="AA131" s="8">
        <v>9918.7000000000007</v>
      </c>
      <c r="AB131" s="8">
        <v>9918.7000000000007</v>
      </c>
      <c r="AC131" s="8">
        <v>0</v>
      </c>
      <c r="AD131" s="8">
        <v>0</v>
      </c>
      <c r="AE131" s="8">
        <v>9918.7000000000007</v>
      </c>
      <c r="AF131" s="8">
        <v>0</v>
      </c>
      <c r="AG131" s="1" t="s">
        <v>61</v>
      </c>
      <c r="AH131" s="1" t="s">
        <v>68</v>
      </c>
      <c r="AI131" s="1">
        <v>4</v>
      </c>
      <c r="AJ131" s="3">
        <v>45838</v>
      </c>
      <c r="AK131" s="3">
        <v>45834</v>
      </c>
      <c r="AL131" s="3">
        <v>45828</v>
      </c>
      <c r="AM131" s="3">
        <v>45835</v>
      </c>
      <c r="AN131" s="3">
        <v>45836</v>
      </c>
      <c r="AO131" s="3">
        <v>45836</v>
      </c>
      <c r="AP131" s="3">
        <v>45833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 t="s">
        <v>141</v>
      </c>
      <c r="B132" s="14" t="s">
        <v>141</v>
      </c>
      <c r="C132" s="9" t="s">
        <v>259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93</v>
      </c>
      <c r="M132" s="10">
        <v>24</v>
      </c>
      <c r="N132" s="9">
        <v>37</v>
      </c>
      <c r="O132" s="9">
        <v>50</v>
      </c>
      <c r="P132" s="10">
        <v>273.84719423999996</v>
      </c>
      <c r="Q132" s="10">
        <v>0</v>
      </c>
      <c r="R132" s="10">
        <v>273.84719423999996</v>
      </c>
      <c r="S132" s="9" t="s">
        <v>128</v>
      </c>
      <c r="T132" s="12">
        <v>45838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84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45838</v>
      </c>
      <c r="AK132" s="3">
        <v>0</v>
      </c>
      <c r="AL132" s="3">
        <v>45828</v>
      </c>
      <c r="AM132" s="3">
        <v>45835</v>
      </c>
      <c r="AN132" s="3">
        <v>45836</v>
      </c>
      <c r="AO132" s="3">
        <v>45836</v>
      </c>
      <c r="AP132" s="3">
        <v>45833</v>
      </c>
      <c r="AQ132" s="3">
        <v>45837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84</v>
      </c>
      <c r="AA133" s="8">
        <v>19837.400000000001</v>
      </c>
      <c r="AB133" s="8">
        <v>19837.400000000001</v>
      </c>
      <c r="AC133" s="8">
        <v>0</v>
      </c>
      <c r="AD133" s="8">
        <v>0</v>
      </c>
      <c r="AE133" s="8">
        <v>9918.7000000000007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 t="s">
        <v>141</v>
      </c>
      <c r="B134" s="14" t="s">
        <v>141</v>
      </c>
      <c r="C134" s="9" t="s">
        <v>251</v>
      </c>
      <c r="D134" s="13" t="s">
        <v>61</v>
      </c>
      <c r="E134" s="9">
        <v>23</v>
      </c>
      <c r="F134" s="9">
        <v>34</v>
      </c>
      <c r="G134" s="9" t="s">
        <v>189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45838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191</v>
      </c>
      <c r="AA134" s="8">
        <v>9918.7000000000007</v>
      </c>
      <c r="AB134" s="8">
        <v>0</v>
      </c>
      <c r="AC134" s="8">
        <v>9918.7000000000007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74</v>
      </c>
      <c r="AI134" s="1">
        <v>2</v>
      </c>
      <c r="AJ134" s="3">
        <v>45838</v>
      </c>
      <c r="AK134" s="3">
        <v>0</v>
      </c>
      <c r="AL134" s="3">
        <v>45829</v>
      </c>
      <c r="AM134" s="3">
        <v>45836</v>
      </c>
      <c r="AN134" s="3">
        <v>45837</v>
      </c>
      <c r="AO134" s="3">
        <v>45837</v>
      </c>
      <c r="AP134" s="3">
        <v>45833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800.41704844444439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189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191</v>
      </c>
      <c r="AA135" s="8">
        <v>9918.7000000000007</v>
      </c>
      <c r="AB135" s="8">
        <v>0</v>
      </c>
      <c r="AC135" s="8">
        <v>9918.7000000000007</v>
      </c>
      <c r="AD135" s="8">
        <v>0</v>
      </c>
      <c r="AE135" s="8">
        <v>0</v>
      </c>
      <c r="AF135" s="8">
        <v>0</v>
      </c>
      <c r="AG135" s="1" t="s">
        <v>120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45">
      <c r="A136" s="3">
        <v>45810</v>
      </c>
      <c r="B136" s="14" t="s">
        <v>476</v>
      </c>
      <c r="C136" s="9" t="s">
        <v>457</v>
      </c>
      <c r="D136" s="13" t="s">
        <v>334</v>
      </c>
      <c r="E136" s="9">
        <v>23</v>
      </c>
      <c r="F136" s="9">
        <v>37</v>
      </c>
      <c r="G136" s="9" t="s">
        <v>60</v>
      </c>
      <c r="H136" s="9">
        <v>0</v>
      </c>
      <c r="I136" s="9">
        <v>85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45817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245</v>
      </c>
      <c r="AA136" s="8">
        <v>10756.900000000001</v>
      </c>
      <c r="AB136" s="8">
        <v>10108</v>
      </c>
      <c r="AC136" s="8">
        <v>648.90000000000146</v>
      </c>
      <c r="AD136" s="8">
        <v>0</v>
      </c>
      <c r="AE136" s="8">
        <v>0</v>
      </c>
      <c r="AF136" s="8" t="s">
        <v>430</v>
      </c>
      <c r="AG136" s="1" t="s">
        <v>119</v>
      </c>
      <c r="AH136" s="1" t="s">
        <v>74</v>
      </c>
      <c r="AI136" s="1">
        <v>2</v>
      </c>
      <c r="AJ136" s="3">
        <v>45817</v>
      </c>
      <c r="AK136" s="3">
        <v>0</v>
      </c>
      <c r="AL136" s="3">
        <v>45808</v>
      </c>
      <c r="AM136" s="3">
        <v>45815</v>
      </c>
      <c r="AN136" s="3">
        <v>45816</v>
      </c>
      <c r="AO136" s="3">
        <v>45816</v>
      </c>
      <c r="AP136" s="3">
        <v>45812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57.211350000000117</v>
      </c>
    </row>
    <row r="137" spans="1:56" ht="27.75" customHeight="1" x14ac:dyDescent="0.45">
      <c r="A137" s="3">
        <v>45727</v>
      </c>
      <c r="B137" s="14" t="s">
        <v>303</v>
      </c>
      <c r="C137" s="9" t="s">
        <v>115</v>
      </c>
      <c r="D137" s="13" t="s">
        <v>59</v>
      </c>
      <c r="E137" s="9">
        <v>23</v>
      </c>
      <c r="F137" s="9">
        <v>40</v>
      </c>
      <c r="G137" s="9" t="s">
        <v>60</v>
      </c>
      <c r="H137" s="9" t="s">
        <v>66</v>
      </c>
      <c r="I137" s="9">
        <v>125</v>
      </c>
      <c r="J137" s="9" t="s">
        <v>57</v>
      </c>
      <c r="K137" s="9">
        <v>5</v>
      </c>
      <c r="L137" s="9" t="s">
        <v>221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245</v>
      </c>
      <c r="AA137" s="8">
        <v>1159.5100000000002</v>
      </c>
      <c r="AB137" s="8">
        <v>0</v>
      </c>
      <c r="AC137" s="8">
        <v>1159.5100000000002</v>
      </c>
      <c r="AD137" s="8">
        <v>0</v>
      </c>
      <c r="AE137" s="8">
        <v>1159.5100000000002</v>
      </c>
      <c r="AF137" s="8" t="s">
        <v>248</v>
      </c>
      <c r="AG137" s="1" t="s">
        <v>119</v>
      </c>
      <c r="AH137" s="1" t="s">
        <v>156</v>
      </c>
      <c r="AI137" s="1">
        <v>2</v>
      </c>
      <c r="AJ137" s="3" t="s">
        <v>63</v>
      </c>
      <c r="AK137" s="3" t="e">
        <v>#VALUE!</v>
      </c>
      <c r="AL137" s="3">
        <v>0</v>
      </c>
      <c r="AM137" s="3">
        <v>0</v>
      </c>
      <c r="AN137" s="3">
        <v>0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152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102.23013166666668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37</v>
      </c>
      <c r="G138" s="9">
        <v>0</v>
      </c>
      <c r="H138" s="9">
        <v>0</v>
      </c>
      <c r="I138" s="9">
        <v>85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245</v>
      </c>
      <c r="AA138" s="8">
        <v>11916.410000000002</v>
      </c>
      <c r="AB138" s="8">
        <v>10108</v>
      </c>
      <c r="AC138" s="8">
        <v>1808.4100000000017</v>
      </c>
      <c r="AD138" s="8">
        <v>0</v>
      </c>
      <c r="AE138" s="8">
        <v>1159.5100000000002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246</v>
      </c>
      <c r="BD138" s="56">
        <v>0</v>
      </c>
    </row>
    <row r="139" spans="1:56" ht="27.75" customHeight="1" x14ac:dyDescent="0.45">
      <c r="A139" s="3">
        <v>45601</v>
      </c>
      <c r="B139" s="14" t="s">
        <v>216</v>
      </c>
      <c r="C139" s="9" t="s">
        <v>94</v>
      </c>
      <c r="D139" s="13" t="s">
        <v>110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40</v>
      </c>
      <c r="O139" s="9">
        <v>55</v>
      </c>
      <c r="P139" s="10">
        <v>1758.5430635519999</v>
      </c>
      <c r="Q139" s="10">
        <v>0</v>
      </c>
      <c r="R139" s="10">
        <v>1758.5430635519999</v>
      </c>
      <c r="S139" s="9" t="s">
        <v>100</v>
      </c>
      <c r="T139" s="12">
        <v>45831</v>
      </c>
      <c r="U139" s="11">
        <v>54000</v>
      </c>
      <c r="V139" s="10">
        <v>0</v>
      </c>
      <c r="W139" s="10">
        <v>54000</v>
      </c>
      <c r="X139" s="10">
        <v>0</v>
      </c>
      <c r="Y139" s="10">
        <v>56700</v>
      </c>
      <c r="Z139" s="9" t="s">
        <v>101</v>
      </c>
      <c r="AA139" s="8">
        <v>58087.26</v>
      </c>
      <c r="AB139" s="8">
        <v>47083</v>
      </c>
      <c r="AC139" s="8">
        <v>11004.260000000002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72</v>
      </c>
      <c r="AI139" s="1">
        <v>3</v>
      </c>
      <c r="AJ139" s="3">
        <v>45831</v>
      </c>
      <c r="AK139" s="3">
        <v>0</v>
      </c>
      <c r="AL139" s="3">
        <v>45821</v>
      </c>
      <c r="AM139" s="3">
        <v>45828</v>
      </c>
      <c r="AN139" s="3">
        <v>45829</v>
      </c>
      <c r="AO139" s="3">
        <v>45829</v>
      </c>
      <c r="AP139" s="3">
        <v>45826</v>
      </c>
      <c r="AQ139" s="3">
        <v>45830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117</v>
      </c>
      <c r="BD139" s="56">
        <v>1409.685443605556</v>
      </c>
    </row>
    <row r="140" spans="1:56" ht="27.75" customHeight="1" x14ac:dyDescent="0.45">
      <c r="A140" s="3">
        <v>45601</v>
      </c>
      <c r="B140" s="14" t="s">
        <v>216</v>
      </c>
      <c r="C140" s="9" t="s">
        <v>94</v>
      </c>
      <c r="D140" s="13" t="s">
        <v>110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40</v>
      </c>
      <c r="O140" s="9">
        <v>55</v>
      </c>
      <c r="P140" s="10">
        <v>1758.5430635519999</v>
      </c>
      <c r="Q140" s="10">
        <v>0</v>
      </c>
      <c r="R140" s="10">
        <v>1758.5430635519999</v>
      </c>
      <c r="S140" s="9" t="s">
        <v>100</v>
      </c>
      <c r="T140" s="12">
        <v>45835</v>
      </c>
      <c r="U140" s="11">
        <v>54000</v>
      </c>
      <c r="V140" s="10">
        <v>0</v>
      </c>
      <c r="W140" s="10">
        <v>54000</v>
      </c>
      <c r="X140" s="10">
        <v>0</v>
      </c>
      <c r="Y140" s="10">
        <v>56700</v>
      </c>
      <c r="Z140" s="9" t="s">
        <v>101</v>
      </c>
      <c r="AA140" s="8">
        <v>58087.26</v>
      </c>
      <c r="AB140" s="8">
        <v>0</v>
      </c>
      <c r="AC140" s="8">
        <v>58087.26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72</v>
      </c>
      <c r="AI140" s="1">
        <v>3</v>
      </c>
      <c r="AJ140" s="3">
        <v>45835</v>
      </c>
      <c r="AK140" s="3">
        <v>0</v>
      </c>
      <c r="AL140" s="3">
        <v>45825</v>
      </c>
      <c r="AM140" s="3">
        <v>45832</v>
      </c>
      <c r="AN140" s="3">
        <v>45833</v>
      </c>
      <c r="AO140" s="3">
        <v>45833</v>
      </c>
      <c r="AP140" s="3">
        <v>45830</v>
      </c>
      <c r="AQ140" s="3">
        <v>45834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117</v>
      </c>
      <c r="BD140" s="56">
        <v>7441.1877655499993</v>
      </c>
    </row>
    <row r="141" spans="1:56" ht="27.75" customHeight="1" x14ac:dyDescent="0.45">
      <c r="A141" s="3">
        <v>45601</v>
      </c>
      <c r="B141" s="14" t="s">
        <v>216</v>
      </c>
      <c r="C141" s="9" t="s">
        <v>94</v>
      </c>
      <c r="D141" s="13" t="s">
        <v>110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40</v>
      </c>
      <c r="O141" s="9">
        <v>55</v>
      </c>
      <c r="P141" s="10">
        <v>1396.4134549094399</v>
      </c>
      <c r="Q141" s="10">
        <v>0</v>
      </c>
      <c r="R141" s="10">
        <v>1396.4134549094399</v>
      </c>
      <c r="S141" s="9" t="s">
        <v>100</v>
      </c>
      <c r="T141" s="12">
        <v>45842</v>
      </c>
      <c r="U141" s="11">
        <v>50800</v>
      </c>
      <c r="V141" s="10">
        <v>7920</v>
      </c>
      <c r="W141" s="10">
        <v>42880</v>
      </c>
      <c r="X141" s="10">
        <v>0</v>
      </c>
      <c r="Y141" s="10">
        <v>45024</v>
      </c>
      <c r="Z141" s="9" t="s">
        <v>101</v>
      </c>
      <c r="AA141" s="8">
        <v>46125.587200000002</v>
      </c>
      <c r="AB141" s="8">
        <v>0</v>
      </c>
      <c r="AC141" s="8">
        <v>46125.587200000002</v>
      </c>
      <c r="AD141" s="8">
        <v>0</v>
      </c>
      <c r="AE141" s="8">
        <v>0</v>
      </c>
      <c r="AF141" s="8">
        <v>0</v>
      </c>
      <c r="AG141" s="1" t="s">
        <v>120</v>
      </c>
      <c r="AH141" s="1" t="s">
        <v>72</v>
      </c>
      <c r="AI141" s="1">
        <v>3</v>
      </c>
      <c r="AJ141" s="3">
        <v>45842</v>
      </c>
      <c r="AK141" s="3">
        <v>0</v>
      </c>
      <c r="AL141" s="3">
        <v>45832</v>
      </c>
      <c r="AM141" s="3">
        <v>45839</v>
      </c>
      <c r="AN141" s="3">
        <v>45840</v>
      </c>
      <c r="AO141" s="3">
        <v>45840</v>
      </c>
      <c r="AP141" s="3">
        <v>45837</v>
      </c>
      <c r="AQ141" s="3">
        <v>45841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5908.8542849404448</v>
      </c>
    </row>
    <row r="142" spans="1:56" ht="27.75" customHeight="1" x14ac:dyDescent="0.45">
      <c r="A142" s="3">
        <v>45601</v>
      </c>
      <c r="B142" s="14" t="s">
        <v>216</v>
      </c>
      <c r="C142" s="9" t="s">
        <v>94</v>
      </c>
      <c r="D142" s="13" t="s">
        <v>151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40</v>
      </c>
      <c r="O142" s="9">
        <v>55</v>
      </c>
      <c r="P142" s="10">
        <v>4070.701536</v>
      </c>
      <c r="Q142" s="10">
        <v>264</v>
      </c>
      <c r="R142" s="10">
        <v>3806.701536</v>
      </c>
      <c r="S142" s="9" t="s">
        <v>100</v>
      </c>
      <c r="T142" s="12" t="s">
        <v>63</v>
      </c>
      <c r="U142" s="11">
        <v>200000</v>
      </c>
      <c r="V142" s="10">
        <v>75000</v>
      </c>
      <c r="W142" s="10">
        <v>125000</v>
      </c>
      <c r="X142" s="10">
        <v>0</v>
      </c>
      <c r="Y142" s="10">
        <v>131250</v>
      </c>
      <c r="Z142" s="9" t="s">
        <v>277</v>
      </c>
      <c r="AA142" s="8">
        <v>134461.25</v>
      </c>
      <c r="AB142" s="8">
        <v>0</v>
      </c>
      <c r="AC142" s="8">
        <v>134461.25</v>
      </c>
      <c r="AD142" s="8">
        <v>0</v>
      </c>
      <c r="AE142" s="8">
        <v>0</v>
      </c>
      <c r="AF142" s="8" t="s">
        <v>278</v>
      </c>
      <c r="AG142" s="1" t="s">
        <v>120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386</v>
      </c>
      <c r="AZ142" s="2">
        <v>0</v>
      </c>
      <c r="BA142" s="2">
        <v>0</v>
      </c>
      <c r="BB142" s="2">
        <v>0</v>
      </c>
      <c r="BC142" s="1" t="s">
        <v>117</v>
      </c>
      <c r="BD142" s="56">
        <v>17224.971679513892</v>
      </c>
    </row>
    <row r="143" spans="1:56" ht="27.75" customHeight="1" x14ac:dyDescent="0.45">
      <c r="A143" s="3">
        <v>45601</v>
      </c>
      <c r="B143" s="14" t="s">
        <v>216</v>
      </c>
      <c r="C143" s="9" t="s">
        <v>94</v>
      </c>
      <c r="D143" s="13" t="s">
        <v>151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6513.1224575999995</v>
      </c>
      <c r="Q143" s="10">
        <v>0</v>
      </c>
      <c r="R143" s="10">
        <v>6513.1224575999995</v>
      </c>
      <c r="S143" s="9" t="s">
        <v>100</v>
      </c>
      <c r="T143" s="12" t="s">
        <v>63</v>
      </c>
      <c r="U143" s="11">
        <v>200000</v>
      </c>
      <c r="V143" s="10">
        <v>0</v>
      </c>
      <c r="W143" s="10">
        <v>200000</v>
      </c>
      <c r="X143" s="10">
        <v>0</v>
      </c>
      <c r="Y143" s="10">
        <v>210000</v>
      </c>
      <c r="Z143" s="9" t="s">
        <v>277</v>
      </c>
      <c r="AA143" s="8">
        <v>215138.00000000003</v>
      </c>
      <c r="AB143" s="8">
        <v>0</v>
      </c>
      <c r="AC143" s="8">
        <v>215138.00000000003</v>
      </c>
      <c r="AD143" s="8">
        <v>0</v>
      </c>
      <c r="AE143" s="8">
        <v>0</v>
      </c>
      <c r="AF143" s="8" t="s">
        <v>278</v>
      </c>
      <c r="AG143" s="1" t="s">
        <v>119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45858</v>
      </c>
      <c r="AZ143" s="2">
        <v>0</v>
      </c>
      <c r="BA143" s="2">
        <v>0</v>
      </c>
      <c r="BB143" s="2">
        <v>0</v>
      </c>
      <c r="BC143" s="1" t="s">
        <v>117</v>
      </c>
      <c r="BD143" s="56">
        <v>27559.954687222227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151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6513.1224575999995</v>
      </c>
      <c r="Q144" s="10">
        <v>0</v>
      </c>
      <c r="R144" s="10">
        <v>6513.1224575999995</v>
      </c>
      <c r="S144" s="9" t="s">
        <v>100</v>
      </c>
      <c r="T144" s="12" t="s">
        <v>63</v>
      </c>
      <c r="U144" s="11">
        <v>200000</v>
      </c>
      <c r="V144" s="10">
        <v>0</v>
      </c>
      <c r="W144" s="10">
        <v>200000</v>
      </c>
      <c r="X144" s="10">
        <v>0</v>
      </c>
      <c r="Y144" s="10">
        <v>210000</v>
      </c>
      <c r="Z144" s="9" t="s">
        <v>101</v>
      </c>
      <c r="AA144" s="8">
        <v>215138.00000000003</v>
      </c>
      <c r="AB144" s="8">
        <v>0</v>
      </c>
      <c r="AC144" s="8">
        <v>215138.00000000003</v>
      </c>
      <c r="AD144" s="8">
        <v>0</v>
      </c>
      <c r="AE144" s="8">
        <v>0</v>
      </c>
      <c r="AF144" s="8" t="s">
        <v>278</v>
      </c>
      <c r="AG144" s="1" t="s">
        <v>119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45889</v>
      </c>
      <c r="AZ144" s="2">
        <v>0</v>
      </c>
      <c r="BA144" s="2">
        <v>0</v>
      </c>
      <c r="BB144" s="2">
        <v>0</v>
      </c>
      <c r="BC144" s="1" t="s">
        <v>117</v>
      </c>
      <c r="BD144" s="56">
        <v>27559.954687222227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3461.0081427440637</v>
      </c>
      <c r="Q145" s="10">
        <v>0</v>
      </c>
      <c r="R145" s="10">
        <v>3461.0081427440637</v>
      </c>
      <c r="S145" s="9" t="s">
        <v>100</v>
      </c>
      <c r="T145" s="12" t="s">
        <v>63</v>
      </c>
      <c r="U145" s="11">
        <v>106278</v>
      </c>
      <c r="V145" s="10">
        <v>0</v>
      </c>
      <c r="W145" s="10">
        <v>106278</v>
      </c>
      <c r="X145" s="10">
        <v>0</v>
      </c>
      <c r="Y145" s="10">
        <v>111591.90000000001</v>
      </c>
      <c r="Z145" s="9" t="s">
        <v>101</v>
      </c>
      <c r="AA145" s="8">
        <v>114322.18182000001</v>
      </c>
      <c r="AB145" s="8">
        <v>0</v>
      </c>
      <c r="AC145" s="8">
        <v>114322.18182000001</v>
      </c>
      <c r="AD145" s="8">
        <v>0</v>
      </c>
      <c r="AE145" s="8">
        <v>0</v>
      </c>
      <c r="AF145" s="8" t="s">
        <v>278</v>
      </c>
      <c r="AG145" s="1" t="s">
        <v>119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117</v>
      </c>
      <c r="BD145" s="56">
        <v>14645.084321243019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0</v>
      </c>
      <c r="Q146" s="10">
        <v>0</v>
      </c>
      <c r="R146" s="10">
        <v>0</v>
      </c>
      <c r="S146" s="9" t="s">
        <v>100</v>
      </c>
      <c r="T146" s="12" t="s">
        <v>137</v>
      </c>
      <c r="U146" s="11">
        <v>10000</v>
      </c>
      <c r="V146" s="10">
        <v>12607</v>
      </c>
      <c r="W146" s="10">
        <v>0</v>
      </c>
      <c r="X146" s="10">
        <v>56730</v>
      </c>
      <c r="Y146" s="10">
        <v>0</v>
      </c>
      <c r="Z146" s="9" t="s">
        <v>277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72</v>
      </c>
      <c r="AI146" s="1">
        <v>3</v>
      </c>
      <c r="AJ146" s="3" t="s">
        <v>137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281</v>
      </c>
      <c r="AZ146" s="2">
        <v>0</v>
      </c>
      <c r="BA146" s="2">
        <v>0</v>
      </c>
      <c r="BB146" s="2">
        <v>0</v>
      </c>
      <c r="BC146" s="1" t="s">
        <v>117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101</v>
      </c>
      <c r="AA147" s="8">
        <v>841359.53902000003</v>
      </c>
      <c r="AB147" s="8">
        <v>47083</v>
      </c>
      <c r="AC147" s="8">
        <v>794276.53902000014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7.75" customHeight="1" x14ac:dyDescent="0.45">
      <c r="A148" s="3">
        <v>45782</v>
      </c>
      <c r="B148" s="14" t="s">
        <v>359</v>
      </c>
      <c r="C148" s="9" t="s">
        <v>145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128</v>
      </c>
      <c r="T148" s="12">
        <v>45814</v>
      </c>
      <c r="U148" s="11">
        <v>5000</v>
      </c>
      <c r="V148" s="10">
        <v>5069</v>
      </c>
      <c r="W148" s="10">
        <v>0</v>
      </c>
      <c r="X148" s="10">
        <v>0</v>
      </c>
      <c r="Y148" s="10">
        <v>0</v>
      </c>
      <c r="Z148" s="9" t="s">
        <v>157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77</v>
      </c>
      <c r="AI148" s="1">
        <v>1</v>
      </c>
      <c r="AJ148" s="3">
        <v>45814</v>
      </c>
      <c r="AK148" s="3">
        <v>0</v>
      </c>
      <c r="AL148" s="3">
        <v>0</v>
      </c>
      <c r="AM148" s="3">
        <v>0</v>
      </c>
      <c r="AN148" s="3">
        <v>0</v>
      </c>
      <c r="AO148" s="3">
        <v>45813</v>
      </c>
      <c r="AP148" s="3">
        <v>45809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45804</v>
      </c>
      <c r="B149" s="14" t="s">
        <v>133</v>
      </c>
      <c r="C149" s="9" t="s">
        <v>145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128</v>
      </c>
      <c r="T149" s="12">
        <v>45818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85</v>
      </c>
      <c r="AA149" s="8">
        <v>11315.7</v>
      </c>
      <c r="AB149" s="8">
        <v>3000</v>
      </c>
      <c r="AC149" s="8">
        <v>8315.7000000000007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45818</v>
      </c>
      <c r="AK149" s="3">
        <v>0</v>
      </c>
      <c r="AL149" s="3">
        <v>0</v>
      </c>
      <c r="AM149" s="3">
        <v>0</v>
      </c>
      <c r="AN149" s="3">
        <v>0</v>
      </c>
      <c r="AO149" s="3">
        <v>45817</v>
      </c>
      <c r="AP149" s="3">
        <v>45813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671.44657666666672</v>
      </c>
    </row>
    <row r="150" spans="1:56" ht="27.75" customHeight="1" x14ac:dyDescent="0.45">
      <c r="A150" s="3" t="s">
        <v>141</v>
      </c>
      <c r="B150" s="14" t="s">
        <v>141</v>
      </c>
      <c r="C150" s="9" t="s">
        <v>148</v>
      </c>
      <c r="D150" s="13" t="s">
        <v>59</v>
      </c>
      <c r="E150" s="9">
        <v>26</v>
      </c>
      <c r="F150" s="9">
        <v>42</v>
      </c>
      <c r="G150" s="9" t="s">
        <v>60</v>
      </c>
      <c r="H150" s="9">
        <v>0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45838</v>
      </c>
      <c r="U150" s="11">
        <v>40000</v>
      </c>
      <c r="V150" s="10">
        <v>0</v>
      </c>
      <c r="W150" s="10">
        <v>40000</v>
      </c>
      <c r="X150" s="10">
        <v>0</v>
      </c>
      <c r="Y150" s="10">
        <v>0</v>
      </c>
      <c r="Z150" s="9" t="s">
        <v>85</v>
      </c>
      <c r="AA150" s="8">
        <v>48615.600000000006</v>
      </c>
      <c r="AB150" s="8">
        <v>0</v>
      </c>
      <c r="AC150" s="8">
        <v>48615.600000000006</v>
      </c>
      <c r="AD150" s="8">
        <v>0</v>
      </c>
      <c r="AE150" s="8">
        <v>0</v>
      </c>
      <c r="AF150" s="8">
        <v>0</v>
      </c>
      <c r="AG150" s="1" t="s">
        <v>120</v>
      </c>
      <c r="AH150" s="1" t="s">
        <v>77</v>
      </c>
      <c r="AI150" s="1">
        <v>1</v>
      </c>
      <c r="AJ150" s="3">
        <v>45838</v>
      </c>
      <c r="AK150" s="3">
        <v>0</v>
      </c>
      <c r="AL150" s="3">
        <v>0</v>
      </c>
      <c r="AM150" s="3">
        <v>0</v>
      </c>
      <c r="AN150" s="3">
        <v>0</v>
      </c>
      <c r="AO150" s="3">
        <v>45837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3925.4396133333335</v>
      </c>
    </row>
    <row r="151" spans="1:56" ht="27.75" customHeight="1" x14ac:dyDescent="0.45">
      <c r="A151" s="3" t="s">
        <v>141</v>
      </c>
      <c r="B151" s="14" t="s">
        <v>141</v>
      </c>
      <c r="C151" s="9" t="s">
        <v>196</v>
      </c>
      <c r="D151" s="13" t="s">
        <v>61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92</v>
      </c>
      <c r="M151" s="10">
        <v>27</v>
      </c>
      <c r="N151" s="9">
        <v>43</v>
      </c>
      <c r="O151" s="9">
        <v>40</v>
      </c>
      <c r="P151" s="10">
        <v>286.42936262399996</v>
      </c>
      <c r="Q151" s="10">
        <v>0</v>
      </c>
      <c r="R151" s="10">
        <v>286.42936262399996</v>
      </c>
      <c r="S151" s="9" t="s">
        <v>204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85</v>
      </c>
      <c r="AA151" s="8">
        <v>11874.499999999998</v>
      </c>
      <c r="AB151" s="8">
        <v>0</v>
      </c>
      <c r="AC151" s="8">
        <v>11874.499999999998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72</v>
      </c>
      <c r="AI151" s="1">
        <v>3</v>
      </c>
      <c r="AJ151" s="3">
        <v>45838</v>
      </c>
      <c r="AK151" s="3">
        <v>0</v>
      </c>
      <c r="AL151" s="3">
        <v>45828</v>
      </c>
      <c r="AM151" s="3">
        <v>45835</v>
      </c>
      <c r="AN151" s="3">
        <v>45836</v>
      </c>
      <c r="AO151" s="3">
        <v>45836</v>
      </c>
      <c r="AP151" s="3">
        <v>45833</v>
      </c>
      <c r="AQ151" s="3">
        <v>45837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958.79990555555537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85</v>
      </c>
      <c r="AA152" s="8">
        <v>71805.8</v>
      </c>
      <c r="AB152" s="8">
        <v>3000</v>
      </c>
      <c r="AC152" s="8">
        <v>68805.8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>
        <v>45806</v>
      </c>
      <c r="B153" s="14" t="s">
        <v>442</v>
      </c>
      <c r="C153" s="9" t="s">
        <v>196</v>
      </c>
      <c r="D153" s="13" t="s">
        <v>443</v>
      </c>
      <c r="E153" s="9">
        <v>26</v>
      </c>
      <c r="F153" s="9">
        <v>41</v>
      </c>
      <c r="G153" s="9" t="s">
        <v>60</v>
      </c>
      <c r="H153" s="9">
        <v>0</v>
      </c>
      <c r="I153" s="9">
        <v>97</v>
      </c>
      <c r="J153" s="9" t="s">
        <v>57</v>
      </c>
      <c r="K153" s="9">
        <v>5</v>
      </c>
      <c r="L153" s="9" t="s">
        <v>92</v>
      </c>
      <c r="M153" s="10">
        <v>27</v>
      </c>
      <c r="N153" s="9">
        <v>43</v>
      </c>
      <c r="O153" s="9">
        <v>40</v>
      </c>
      <c r="P153" s="10">
        <v>114.57174504959998</v>
      </c>
      <c r="Q153" s="10">
        <v>0</v>
      </c>
      <c r="R153" s="10">
        <v>114.57174504959998</v>
      </c>
      <c r="S153" s="9" t="s">
        <v>204</v>
      </c>
      <c r="T153" s="12">
        <v>45817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157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72</v>
      </c>
      <c r="AI153" s="1">
        <v>3</v>
      </c>
      <c r="AJ153" s="3">
        <v>45817</v>
      </c>
      <c r="AK153" s="3">
        <v>0</v>
      </c>
      <c r="AL153" s="3">
        <v>45807</v>
      </c>
      <c r="AM153" s="3">
        <v>45814</v>
      </c>
      <c r="AN153" s="3">
        <v>45815</v>
      </c>
      <c r="AO153" s="3">
        <v>45815</v>
      </c>
      <c r="AP153" s="3">
        <v>45812</v>
      </c>
      <c r="AQ153" s="3">
        <v>45816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45806</v>
      </c>
      <c r="B154" s="14" t="s">
        <v>442</v>
      </c>
      <c r="C154" s="9" t="s">
        <v>196</v>
      </c>
      <c r="D154" s="13" t="s">
        <v>444</v>
      </c>
      <c r="E154" s="9">
        <v>26</v>
      </c>
      <c r="F154" s="9">
        <v>41</v>
      </c>
      <c r="G154" s="9" t="s">
        <v>60</v>
      </c>
      <c r="H154" s="9">
        <v>0</v>
      </c>
      <c r="I154" s="9">
        <v>97</v>
      </c>
      <c r="J154" s="9" t="s">
        <v>57</v>
      </c>
      <c r="K154" s="9">
        <v>5</v>
      </c>
      <c r="L154" s="9" t="s">
        <v>92</v>
      </c>
      <c r="M154" s="10">
        <v>27</v>
      </c>
      <c r="N154" s="9">
        <v>43</v>
      </c>
      <c r="O154" s="9">
        <v>40</v>
      </c>
      <c r="P154" s="10">
        <v>114.57174504959998</v>
      </c>
      <c r="Q154" s="10">
        <v>0</v>
      </c>
      <c r="R154" s="10">
        <v>114.57174504959998</v>
      </c>
      <c r="S154" s="9" t="s">
        <v>204</v>
      </c>
      <c r="T154" s="12">
        <v>45817</v>
      </c>
      <c r="U154" s="11">
        <v>4000</v>
      </c>
      <c r="V154" s="10">
        <v>0</v>
      </c>
      <c r="W154" s="10">
        <v>4000</v>
      </c>
      <c r="X154" s="10">
        <v>0</v>
      </c>
      <c r="Y154" s="10">
        <v>4200</v>
      </c>
      <c r="Z154" s="9" t="s">
        <v>157</v>
      </c>
      <c r="AA154" s="8">
        <v>4749.8</v>
      </c>
      <c r="AB154" s="8">
        <v>4749.8</v>
      </c>
      <c r="AC154" s="8">
        <v>0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72</v>
      </c>
      <c r="AI154" s="1">
        <v>3</v>
      </c>
      <c r="AJ154" s="3">
        <v>45817</v>
      </c>
      <c r="AK154" s="3">
        <v>0</v>
      </c>
      <c r="AL154" s="3">
        <v>45807</v>
      </c>
      <c r="AM154" s="3">
        <v>45814</v>
      </c>
      <c r="AN154" s="3">
        <v>45815</v>
      </c>
      <c r="AO154" s="3">
        <v>45815</v>
      </c>
      <c r="AP154" s="3">
        <v>45812</v>
      </c>
      <c r="AQ154" s="3">
        <v>45816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100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157</v>
      </c>
      <c r="AA155" s="8">
        <v>9499.6</v>
      </c>
      <c r="AB155" s="8">
        <v>9499.6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120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45">
      <c r="A156" s="3">
        <v>0</v>
      </c>
      <c r="B156" s="14" t="s">
        <v>133</v>
      </c>
      <c r="C156" s="9">
        <v>0</v>
      </c>
      <c r="D156" s="13" t="s">
        <v>463</v>
      </c>
      <c r="E156" s="9">
        <v>26</v>
      </c>
      <c r="F156" s="9">
        <v>40</v>
      </c>
      <c r="G156" s="9" t="s">
        <v>60</v>
      </c>
      <c r="H156" s="9">
        <v>0</v>
      </c>
      <c r="I156" s="9">
        <v>108</v>
      </c>
      <c r="J156" s="9" t="s">
        <v>57</v>
      </c>
      <c r="K156" s="9">
        <v>5</v>
      </c>
      <c r="L156" s="9" t="s">
        <v>93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>
        <v>0</v>
      </c>
      <c r="T156" s="12">
        <v>45825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223</v>
      </c>
      <c r="AA156" s="8">
        <v>11595.1</v>
      </c>
      <c r="AB156" s="8">
        <v>9516</v>
      </c>
      <c r="AC156" s="8">
        <v>2079.1000000000004</v>
      </c>
      <c r="AD156" s="8">
        <v>0</v>
      </c>
      <c r="AE156" s="8">
        <v>0</v>
      </c>
      <c r="AF156" s="8">
        <v>0</v>
      </c>
      <c r="AG156" s="1" t="s">
        <v>119</v>
      </c>
      <c r="AH156" s="1" t="s">
        <v>72</v>
      </c>
      <c r="AI156" s="1">
        <v>3</v>
      </c>
      <c r="AJ156" s="3">
        <v>45825</v>
      </c>
      <c r="AK156" s="3">
        <v>0</v>
      </c>
      <c r="AL156" s="3">
        <v>45815</v>
      </c>
      <c r="AM156" s="3">
        <v>45822</v>
      </c>
      <c r="AN156" s="3">
        <v>45823</v>
      </c>
      <c r="AO156" s="3">
        <v>45823</v>
      </c>
      <c r="AP156" s="3">
        <v>45820</v>
      </c>
      <c r="AQ156" s="3">
        <v>45824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206.6163377777778</v>
      </c>
    </row>
    <row r="157" spans="1:56" ht="27.75" customHeight="1" x14ac:dyDescent="0.45">
      <c r="A157" s="3" t="s">
        <v>141</v>
      </c>
      <c r="B157" s="14" t="s">
        <v>141</v>
      </c>
      <c r="C157" s="9" t="s">
        <v>113</v>
      </c>
      <c r="D157" s="13" t="s">
        <v>59</v>
      </c>
      <c r="E157" s="9">
        <v>26</v>
      </c>
      <c r="F157" s="9">
        <v>43</v>
      </c>
      <c r="G157" s="9" t="s">
        <v>60</v>
      </c>
      <c r="H157" s="9">
        <v>0</v>
      </c>
      <c r="I157" s="9">
        <v>116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45838</v>
      </c>
      <c r="U157" s="11">
        <v>20000</v>
      </c>
      <c r="V157" s="10">
        <v>0</v>
      </c>
      <c r="W157" s="10">
        <v>20000</v>
      </c>
      <c r="X157" s="10">
        <v>0</v>
      </c>
      <c r="Y157" s="10">
        <v>0</v>
      </c>
      <c r="Z157" s="9" t="s">
        <v>223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77</v>
      </c>
      <c r="AI157" s="1">
        <v>1</v>
      </c>
      <c r="AJ157" s="3">
        <v>45838</v>
      </c>
      <c r="AK157" s="3">
        <v>0</v>
      </c>
      <c r="AL157" s="3">
        <v>0</v>
      </c>
      <c r="AM157" s="3">
        <v>0</v>
      </c>
      <c r="AN157" s="3">
        <v>0</v>
      </c>
      <c r="AO157" s="3">
        <v>45837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2471.1874488888889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116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223</v>
      </c>
      <c r="AA158" s="8">
        <v>36461.699999999997</v>
      </c>
      <c r="AB158" s="8">
        <v>9516</v>
      </c>
      <c r="AC158" s="8">
        <v>26945.699999999997</v>
      </c>
      <c r="AD158" s="8">
        <v>0</v>
      </c>
      <c r="AE158" s="8">
        <v>0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224</v>
      </c>
      <c r="BD158" s="56">
        <v>0</v>
      </c>
    </row>
    <row r="159" spans="1:56" ht="27.75" customHeight="1" x14ac:dyDescent="0.45">
      <c r="A159" s="3">
        <v>45723</v>
      </c>
      <c r="B159" s="14" t="s">
        <v>301</v>
      </c>
      <c r="C159" s="9" t="s">
        <v>113</v>
      </c>
      <c r="D159" s="13" t="s">
        <v>153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45814</v>
      </c>
      <c r="U159" s="11">
        <v>13693</v>
      </c>
      <c r="V159" s="10">
        <v>13500</v>
      </c>
      <c r="W159" s="10">
        <v>193</v>
      </c>
      <c r="X159" s="10">
        <v>14800</v>
      </c>
      <c r="Y159" s="10">
        <v>0</v>
      </c>
      <c r="Z159" s="9" t="s">
        <v>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248</v>
      </c>
      <c r="AG159" s="1" t="s">
        <v>119</v>
      </c>
      <c r="AH159" s="1" t="s">
        <v>68</v>
      </c>
      <c r="AI159" s="1">
        <v>4</v>
      </c>
      <c r="AJ159" s="3">
        <v>45814</v>
      </c>
      <c r="AK159" s="3">
        <v>45810</v>
      </c>
      <c r="AL159" s="3">
        <v>45804</v>
      </c>
      <c r="AM159" s="3">
        <v>45811</v>
      </c>
      <c r="AN159" s="3">
        <v>45812</v>
      </c>
      <c r="AO159" s="3">
        <v>45812</v>
      </c>
      <c r="AP159" s="3">
        <v>45809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431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7.75" customHeight="1" x14ac:dyDescent="0.45">
      <c r="A160" s="3">
        <v>45799</v>
      </c>
      <c r="B160" s="14" t="s">
        <v>432</v>
      </c>
      <c r="C160" s="9" t="s">
        <v>113</v>
      </c>
      <c r="D160" s="13" t="s">
        <v>59</v>
      </c>
      <c r="E160" s="9">
        <v>26</v>
      </c>
      <c r="F160" s="9">
        <v>43</v>
      </c>
      <c r="G160" s="9" t="s">
        <v>60</v>
      </c>
      <c r="H160" s="9" t="s">
        <v>66</v>
      </c>
      <c r="I160" s="9">
        <v>150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45814</v>
      </c>
      <c r="U160" s="11">
        <v>15000</v>
      </c>
      <c r="V160" s="10">
        <v>0</v>
      </c>
      <c r="W160" s="10">
        <v>15000</v>
      </c>
      <c r="X160" s="10">
        <v>0</v>
      </c>
      <c r="Y160" s="10">
        <v>0</v>
      </c>
      <c r="Z160" s="9" t="s">
        <v>89</v>
      </c>
      <c r="AA160" s="8">
        <v>18649.949999999997</v>
      </c>
      <c r="AB160" s="8">
        <v>18649.949999999997</v>
      </c>
      <c r="AC160" s="8">
        <v>0</v>
      </c>
      <c r="AD160" s="8">
        <v>0</v>
      </c>
      <c r="AE160" s="8">
        <v>18649.949999999997</v>
      </c>
      <c r="AF160" s="8" t="s">
        <v>248</v>
      </c>
      <c r="AG160" s="1" t="s">
        <v>119</v>
      </c>
      <c r="AH160" s="1" t="s">
        <v>398</v>
      </c>
      <c r="AI160" s="1">
        <v>2</v>
      </c>
      <c r="AJ160" s="3">
        <v>45814</v>
      </c>
      <c r="AK160" s="3">
        <v>0</v>
      </c>
      <c r="AL160" s="3">
        <v>0</v>
      </c>
      <c r="AM160" s="3">
        <v>0</v>
      </c>
      <c r="AN160" s="3">
        <v>0</v>
      </c>
      <c r="AO160" s="3">
        <v>45812</v>
      </c>
      <c r="AP160" s="3">
        <v>45809</v>
      </c>
      <c r="AQ160" s="3">
        <v>45813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152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0</v>
      </c>
    </row>
    <row r="161" spans="1:56" ht="27.75" customHeight="1" x14ac:dyDescent="0.45">
      <c r="A161" s="3">
        <v>45799</v>
      </c>
      <c r="B161" s="14" t="s">
        <v>433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45825</v>
      </c>
      <c r="U161" s="11">
        <v>15000</v>
      </c>
      <c r="V161" s="10">
        <v>0</v>
      </c>
      <c r="W161" s="10">
        <v>15000</v>
      </c>
      <c r="X161" s="10">
        <v>0</v>
      </c>
      <c r="Y161" s="10">
        <v>0</v>
      </c>
      <c r="Z161" s="9" t="s">
        <v>89</v>
      </c>
      <c r="AA161" s="8">
        <v>18649.949999999997</v>
      </c>
      <c r="AB161" s="8">
        <v>18649.949999999997</v>
      </c>
      <c r="AC161" s="8">
        <v>0</v>
      </c>
      <c r="AD161" s="8">
        <v>0</v>
      </c>
      <c r="AE161" s="8">
        <v>18649.949999999997</v>
      </c>
      <c r="AF161" s="8" t="s">
        <v>248</v>
      </c>
      <c r="AG161" s="1" t="s">
        <v>123</v>
      </c>
      <c r="AH161" s="1" t="s">
        <v>398</v>
      </c>
      <c r="AI161" s="1">
        <v>2</v>
      </c>
      <c r="AJ161" s="3">
        <v>45825</v>
      </c>
      <c r="AK161" s="3">
        <v>0</v>
      </c>
      <c r="AL161" s="3">
        <v>0</v>
      </c>
      <c r="AM161" s="3">
        <v>0</v>
      </c>
      <c r="AN161" s="3">
        <v>0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152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120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89</v>
      </c>
      <c r="AA162" s="8">
        <v>37299.899999999994</v>
      </c>
      <c r="AB162" s="8">
        <v>37299.899999999994</v>
      </c>
      <c r="AC162" s="8">
        <v>0</v>
      </c>
      <c r="AD162" s="8">
        <v>0</v>
      </c>
      <c r="AE162" s="8">
        <v>37299.899999999994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109</v>
      </c>
      <c r="BD162" s="56">
        <v>0</v>
      </c>
    </row>
    <row r="163" spans="1:56" ht="27.75" customHeight="1" x14ac:dyDescent="0.45">
      <c r="A163" s="3">
        <v>45800</v>
      </c>
      <c r="B163" s="14" t="s">
        <v>429</v>
      </c>
      <c r="C163" s="9" t="s">
        <v>158</v>
      </c>
      <c r="D163" s="13" t="s">
        <v>159</v>
      </c>
      <c r="E163" s="9">
        <v>28</v>
      </c>
      <c r="F163" s="9">
        <v>41</v>
      </c>
      <c r="G163" s="9" t="s">
        <v>60</v>
      </c>
      <c r="H163" s="9">
        <v>0</v>
      </c>
      <c r="I163" s="9">
        <v>120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45824</v>
      </c>
      <c r="U163" s="11">
        <v>50000</v>
      </c>
      <c r="V163" s="10">
        <v>0</v>
      </c>
      <c r="W163" s="10">
        <v>50000</v>
      </c>
      <c r="X163" s="10">
        <v>19185</v>
      </c>
      <c r="Y163" s="10">
        <v>32355.75</v>
      </c>
      <c r="Z163" s="9" t="s">
        <v>132</v>
      </c>
      <c r="AA163" s="8">
        <v>38420.835337500001</v>
      </c>
      <c r="AB163" s="8">
        <v>6000</v>
      </c>
      <c r="AC163" s="8">
        <v>32420.835337500001</v>
      </c>
      <c r="AD163" s="8">
        <v>0</v>
      </c>
      <c r="AE163" s="8">
        <v>0</v>
      </c>
      <c r="AF163" s="8">
        <v>0</v>
      </c>
      <c r="AG163" s="1" t="s">
        <v>119</v>
      </c>
      <c r="AH163" s="1" t="s">
        <v>160</v>
      </c>
      <c r="AI163" s="1">
        <v>2</v>
      </c>
      <c r="AJ163" s="3">
        <v>45824</v>
      </c>
      <c r="AK163" s="3">
        <v>0</v>
      </c>
      <c r="AL163" s="3">
        <v>45815</v>
      </c>
      <c r="AM163" s="3">
        <v>45822</v>
      </c>
      <c r="AN163" s="3">
        <v>0</v>
      </c>
      <c r="AO163" s="3">
        <v>45823</v>
      </c>
      <c r="AP163" s="3">
        <v>45819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107</v>
      </c>
      <c r="BD163" s="56">
        <v>3643.7416604312498</v>
      </c>
    </row>
    <row r="164" spans="1:56" ht="27.75" customHeight="1" x14ac:dyDescent="0.45">
      <c r="A164" s="3" t="s">
        <v>141</v>
      </c>
      <c r="B164" s="14" t="s">
        <v>141</v>
      </c>
      <c r="C164" s="9" t="s">
        <v>113</v>
      </c>
      <c r="D164" s="13" t="s">
        <v>59</v>
      </c>
      <c r="E164" s="9">
        <v>28</v>
      </c>
      <c r="F164" s="9">
        <v>47</v>
      </c>
      <c r="G164" s="9" t="s">
        <v>60</v>
      </c>
      <c r="H164" s="9" t="s">
        <v>66</v>
      </c>
      <c r="I164" s="9">
        <v>180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132</v>
      </c>
      <c r="AA164" s="8">
        <v>13550.900000000001</v>
      </c>
      <c r="AB164" s="8">
        <v>0</v>
      </c>
      <c r="AC164" s="8">
        <v>13550.900000000001</v>
      </c>
      <c r="AD164" s="8">
        <v>0</v>
      </c>
      <c r="AE164" s="8">
        <v>13550.900000000001</v>
      </c>
      <c r="AF164" s="8">
        <v>0</v>
      </c>
      <c r="AG164" s="1">
        <v>0</v>
      </c>
      <c r="AH164" s="1" t="s">
        <v>77</v>
      </c>
      <c r="AI164" s="1">
        <v>1</v>
      </c>
      <c r="AJ164" s="3">
        <v>45838</v>
      </c>
      <c r="AK164" s="3">
        <v>0</v>
      </c>
      <c r="AL164" s="3">
        <v>0</v>
      </c>
      <c r="AM164" s="3">
        <v>0</v>
      </c>
      <c r="AN164" s="3">
        <v>0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 t="s">
        <v>404</v>
      </c>
      <c r="AZ164" s="2">
        <v>0</v>
      </c>
      <c r="BA164" s="2">
        <v>0</v>
      </c>
      <c r="BB164" s="2">
        <v>0</v>
      </c>
      <c r="BC164" s="1" t="s">
        <v>107</v>
      </c>
      <c r="BD164" s="56">
        <v>1522.9705944444447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28</v>
      </c>
      <c r="F165" s="9">
        <v>43</v>
      </c>
      <c r="G165" s="9">
        <v>0</v>
      </c>
      <c r="H165" s="9">
        <v>0</v>
      </c>
      <c r="I165" s="9">
        <v>130</v>
      </c>
      <c r="J165" s="9" t="s">
        <v>57</v>
      </c>
      <c r="K165" s="9">
        <v>3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132</v>
      </c>
      <c r="AA165" s="8">
        <v>51971.735337500002</v>
      </c>
      <c r="AB165" s="8">
        <v>6000</v>
      </c>
      <c r="AC165" s="8">
        <v>45971.735337500002</v>
      </c>
      <c r="AD165" s="8">
        <v>0</v>
      </c>
      <c r="AE165" s="8">
        <v>13550.900000000001</v>
      </c>
      <c r="AF165" s="8" t="s">
        <v>58</v>
      </c>
      <c r="AG165" s="1">
        <v>0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161</v>
      </c>
      <c r="BD165" s="56">
        <v>0</v>
      </c>
    </row>
  </sheetData>
  <autoFilter ref="A5:BD1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0416-3E2C-4358-8CBC-EB14D736D58E}">
  <sheetPr>
    <tabColor rgb="FFFFFF00"/>
  </sheetPr>
  <dimension ref="A1:BD170"/>
  <sheetViews>
    <sheetView topLeftCell="A5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45812</v>
      </c>
      <c r="E3" s="82" t="s">
        <v>52</v>
      </c>
      <c r="F3" s="82"/>
      <c r="G3" s="83">
        <v>11.05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413</v>
      </c>
      <c r="C6" s="9" t="s">
        <v>390</v>
      </c>
      <c r="D6" s="13" t="s">
        <v>391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393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45805</v>
      </c>
      <c r="B10" s="14" t="s">
        <v>434</v>
      </c>
      <c r="C10" s="9" t="s">
        <v>435</v>
      </c>
      <c r="D10" s="13" t="s">
        <v>436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8500</v>
      </c>
      <c r="W10" s="10">
        <v>1700</v>
      </c>
      <c r="X10" s="10">
        <v>11050</v>
      </c>
      <c r="Y10" s="10">
        <v>0</v>
      </c>
      <c r="Z10" s="9" t="s">
        <v>324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119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324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325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387</v>
      </c>
      <c r="C14" s="9" t="s">
        <v>184</v>
      </c>
      <c r="D14" s="13" t="s">
        <v>374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311</v>
      </c>
      <c r="AG14" s="1" t="s">
        <v>120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459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387</v>
      </c>
      <c r="C15" s="9" t="s">
        <v>184</v>
      </c>
      <c r="D15" s="13" t="s">
        <v>351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311</v>
      </c>
      <c r="AG15" s="1" t="s">
        <v>119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459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437</v>
      </c>
      <c r="C16" s="9" t="s">
        <v>339</v>
      </c>
      <c r="D16" s="13" t="s">
        <v>438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430</v>
      </c>
      <c r="AG16" s="1" t="s">
        <v>120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388</v>
      </c>
      <c r="C17" s="9" t="s">
        <v>184</v>
      </c>
      <c r="D17" s="13" t="s">
        <v>374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311</v>
      </c>
      <c r="AG17" s="1" t="s">
        <v>120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>
        <v>45797</v>
      </c>
      <c r="B19" s="14" t="s">
        <v>375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180</v>
      </c>
      <c r="AA19" s="8">
        <v>35204.400000000001</v>
      </c>
      <c r="AB19" s="8">
        <v>35204.400000000001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376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180</v>
      </c>
      <c r="AA20" s="8">
        <v>26403.3</v>
      </c>
      <c r="AB20" s="8">
        <v>26403.3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141</v>
      </c>
      <c r="B21" s="14" t="s">
        <v>141</v>
      </c>
      <c r="C21" s="9" t="s">
        <v>233</v>
      </c>
      <c r="D21" s="13" t="s">
        <v>234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172.69642879999998</v>
      </c>
      <c r="Q21" s="10">
        <v>0</v>
      </c>
      <c r="R21" s="10">
        <v>172.69642879999998</v>
      </c>
      <c r="S21" s="9" t="s">
        <v>67</v>
      </c>
      <c r="T21" s="12">
        <v>45838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180</v>
      </c>
      <c r="AA21" s="8">
        <v>9359.9000000000015</v>
      </c>
      <c r="AB21" s="8">
        <v>0</v>
      </c>
      <c r="AC21" s="8">
        <v>9359.9000000000015</v>
      </c>
      <c r="AD21" s="8">
        <v>0</v>
      </c>
      <c r="AE21" s="8">
        <v>0</v>
      </c>
      <c r="AF21" s="8">
        <v>0</v>
      </c>
      <c r="AG21" s="1" t="s">
        <v>121</v>
      </c>
      <c r="AH21" s="1" t="s">
        <v>72</v>
      </c>
      <c r="AI21" s="1">
        <v>3</v>
      </c>
      <c r="AJ21" s="3">
        <v>45838</v>
      </c>
      <c r="AK21" s="3">
        <v>0</v>
      </c>
      <c r="AL21" s="3">
        <v>45828</v>
      </c>
      <c r="AM21" s="3">
        <v>45835</v>
      </c>
      <c r="AN21" s="3">
        <v>45836</v>
      </c>
      <c r="AO21" s="3">
        <v>45836</v>
      </c>
      <c r="AP21" s="3">
        <v>45833</v>
      </c>
      <c r="AQ21" s="3">
        <v>45837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679.73673777777788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180</v>
      </c>
      <c r="AA22" s="8">
        <v>70967.600000000006</v>
      </c>
      <c r="AB22" s="8">
        <v>61607.7</v>
      </c>
      <c r="AC22" s="8">
        <v>9359.9000000000015</v>
      </c>
      <c r="AD22" s="8">
        <v>0</v>
      </c>
      <c r="AE22" s="8">
        <v>0</v>
      </c>
      <c r="AF22" s="8" t="s">
        <v>58</v>
      </c>
      <c r="AG22" s="1" t="s">
        <v>121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45808</v>
      </c>
      <c r="B23" s="14" t="s">
        <v>447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45814</v>
      </c>
      <c r="U23" s="11">
        <v>15000</v>
      </c>
      <c r="V23" s="10">
        <v>0</v>
      </c>
      <c r="W23" s="10">
        <v>15000</v>
      </c>
      <c r="X23" s="10">
        <v>9210</v>
      </c>
      <c r="Y23" s="10">
        <v>6079.5</v>
      </c>
      <c r="Z23" s="9" t="s">
        <v>186</v>
      </c>
      <c r="AA23" s="8">
        <v>5350.628745</v>
      </c>
      <c r="AB23" s="8">
        <v>5350.628745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45814</v>
      </c>
      <c r="AK23" s="3">
        <v>0</v>
      </c>
      <c r="AL23" s="3">
        <v>45805</v>
      </c>
      <c r="AM23" s="3">
        <v>45812</v>
      </c>
      <c r="AN23" s="3">
        <v>45813</v>
      </c>
      <c r="AO23" s="3">
        <v>45813</v>
      </c>
      <c r="AP23" s="3">
        <v>45809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447</v>
      </c>
      <c r="C24" s="9" t="s">
        <v>73</v>
      </c>
      <c r="D24" s="13">
        <v>997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45814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45814</v>
      </c>
      <c r="AK24" s="3">
        <v>0</v>
      </c>
      <c r="AL24" s="3">
        <v>45805</v>
      </c>
      <c r="AM24" s="3">
        <v>45812</v>
      </c>
      <c r="AN24" s="3">
        <v>45813</v>
      </c>
      <c r="AO24" s="3">
        <v>45813</v>
      </c>
      <c r="AP24" s="3">
        <v>45809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447</v>
      </c>
      <c r="C25" s="9" t="s">
        <v>73</v>
      </c>
      <c r="D25" s="13">
        <v>913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45814</v>
      </c>
      <c r="U25" s="11">
        <v>5000</v>
      </c>
      <c r="V25" s="10">
        <v>0</v>
      </c>
      <c r="W25" s="10">
        <v>5000</v>
      </c>
      <c r="X25" s="10">
        <v>5300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447</v>
      </c>
      <c r="C26" s="9" t="s">
        <v>73</v>
      </c>
      <c r="D26" s="13" t="s">
        <v>448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45815</v>
      </c>
      <c r="AK26" s="3">
        <v>0</v>
      </c>
      <c r="AL26" s="3">
        <v>45806</v>
      </c>
      <c r="AM26" s="3">
        <v>45813</v>
      </c>
      <c r="AN26" s="3">
        <v>45814</v>
      </c>
      <c r="AO26" s="3">
        <v>45814</v>
      </c>
      <c r="AP26" s="3">
        <v>45810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447</v>
      </c>
      <c r="C27" s="9" t="s">
        <v>73</v>
      </c>
      <c r="D27" s="13" t="s">
        <v>449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45815</v>
      </c>
      <c r="AK27" s="3">
        <v>0</v>
      </c>
      <c r="AL27" s="3">
        <v>45806</v>
      </c>
      <c r="AM27" s="3">
        <v>45813</v>
      </c>
      <c r="AN27" s="3">
        <v>45814</v>
      </c>
      <c r="AO27" s="3">
        <v>45814</v>
      </c>
      <c r="AP27" s="3">
        <v>45810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447</v>
      </c>
      <c r="C28" s="9" t="s">
        <v>73</v>
      </c>
      <c r="D28" s="13" t="s">
        <v>349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450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45815</v>
      </c>
      <c r="U29" s="11">
        <v>10000</v>
      </c>
      <c r="V29" s="10">
        <v>0</v>
      </c>
      <c r="W29" s="10">
        <v>10000</v>
      </c>
      <c r="X29" s="10">
        <v>0</v>
      </c>
      <c r="Y29" s="10">
        <v>0</v>
      </c>
      <c r="Z29" s="9" t="s">
        <v>186</v>
      </c>
      <c r="AA29" s="8">
        <v>10477.5</v>
      </c>
      <c r="AB29" s="8">
        <v>10477.5</v>
      </c>
      <c r="AC29" s="8">
        <v>0</v>
      </c>
      <c r="AD29" s="8">
        <v>0</v>
      </c>
      <c r="AE29" s="8">
        <v>0</v>
      </c>
      <c r="AF29" s="8">
        <v>0</v>
      </c>
      <c r="AG29" s="1" t="s">
        <v>119</v>
      </c>
      <c r="AH29" s="1" t="s">
        <v>77</v>
      </c>
      <c r="AI29" s="1">
        <v>2</v>
      </c>
      <c r="AJ29" s="3">
        <v>45815</v>
      </c>
      <c r="AK29" s="3">
        <v>0</v>
      </c>
      <c r="AL29" s="3">
        <v>0</v>
      </c>
      <c r="AM29" s="3">
        <v>0</v>
      </c>
      <c r="AN29" s="3">
        <v>0</v>
      </c>
      <c r="AO29" s="3">
        <v>45813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451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45818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45818</v>
      </c>
      <c r="AK30" s="3">
        <v>0</v>
      </c>
      <c r="AL30" s="3">
        <v>45809</v>
      </c>
      <c r="AM30" s="3">
        <v>45816</v>
      </c>
      <c r="AN30" s="3">
        <v>45817</v>
      </c>
      <c r="AO30" s="3">
        <v>45817</v>
      </c>
      <c r="AP30" s="3">
        <v>45813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451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45818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45818</v>
      </c>
      <c r="AK31" s="3">
        <v>0</v>
      </c>
      <c r="AL31" s="3">
        <v>45809</v>
      </c>
      <c r="AM31" s="3">
        <v>45816</v>
      </c>
      <c r="AN31" s="3">
        <v>45817</v>
      </c>
      <c r="AO31" s="3">
        <v>45817</v>
      </c>
      <c r="AP31" s="3">
        <v>45813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452</v>
      </c>
      <c r="C32" s="9" t="s">
        <v>73</v>
      </c>
      <c r="D32" s="13" t="s">
        <v>211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45818</v>
      </c>
      <c r="U32" s="11">
        <v>5000</v>
      </c>
      <c r="V32" s="10">
        <v>5502</v>
      </c>
      <c r="W32" s="10">
        <v>0</v>
      </c>
      <c r="X32" s="10">
        <v>5300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45808</v>
      </c>
      <c r="B33" s="14" t="s">
        <v>451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45820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45808</v>
      </c>
      <c r="B34" s="14" t="s">
        <v>452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453</v>
      </c>
      <c r="T34" s="12">
        <v>45820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186</v>
      </c>
      <c r="AA34" s="8">
        <v>18719.800000000003</v>
      </c>
      <c r="AB34" s="8">
        <v>3788</v>
      </c>
      <c r="AC34" s="8">
        <v>14931.800000000003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1124.7295395555557</v>
      </c>
    </row>
    <row r="35" spans="1:56" ht="27.75" customHeight="1" x14ac:dyDescent="0.45">
      <c r="A35" s="3">
        <v>45808</v>
      </c>
      <c r="B35" s="14" t="s">
        <v>451</v>
      </c>
      <c r="C35" s="9" t="s">
        <v>73</v>
      </c>
      <c r="D35" s="13" t="s">
        <v>222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45825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186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121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45">
      <c r="A36" s="3">
        <v>45808</v>
      </c>
      <c r="B36" s="14" t="s">
        <v>452</v>
      </c>
      <c r="C36" s="9" t="s">
        <v>73</v>
      </c>
      <c r="D36" s="13" t="s">
        <v>349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453</v>
      </c>
      <c r="T36" s="12">
        <v>45825</v>
      </c>
      <c r="U36" s="11">
        <v>15000</v>
      </c>
      <c r="V36" s="10">
        <v>0</v>
      </c>
      <c r="W36" s="10">
        <v>15000</v>
      </c>
      <c r="X36" s="10">
        <v>0</v>
      </c>
      <c r="Y36" s="10">
        <v>15750</v>
      </c>
      <c r="Z36" s="9" t="s">
        <v>186</v>
      </c>
      <c r="AA36" s="8">
        <v>14039.85</v>
      </c>
      <c r="AB36" s="8">
        <v>0</v>
      </c>
      <c r="AC36" s="8">
        <v>14039.85</v>
      </c>
      <c r="AD36" s="8">
        <v>0</v>
      </c>
      <c r="AE36" s="8">
        <v>0</v>
      </c>
      <c r="AF36" s="8">
        <v>0</v>
      </c>
      <c r="AG36" s="1" t="s">
        <v>119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1057.5439013333332</v>
      </c>
    </row>
    <row r="37" spans="1:56" ht="27.75" customHeight="1" x14ac:dyDescent="0.45">
      <c r="A37" s="3" t="s">
        <v>141</v>
      </c>
      <c r="B37" s="14" t="s">
        <v>141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45838</v>
      </c>
      <c r="U37" s="11">
        <v>275000</v>
      </c>
      <c r="V37" s="10">
        <v>0</v>
      </c>
      <c r="W37" s="10">
        <v>275000</v>
      </c>
      <c r="X37" s="10">
        <v>0</v>
      </c>
      <c r="Y37" s="10">
        <v>288750</v>
      </c>
      <c r="Z37" s="9" t="s">
        <v>186</v>
      </c>
      <c r="AA37" s="8">
        <v>242030.25</v>
      </c>
      <c r="AB37" s="8">
        <v>0</v>
      </c>
      <c r="AC37" s="8">
        <v>242030.25</v>
      </c>
      <c r="AD37" s="8">
        <v>0</v>
      </c>
      <c r="AE37" s="8">
        <v>0</v>
      </c>
      <c r="AF37" s="8">
        <v>0</v>
      </c>
      <c r="AG37" s="1" t="s">
        <v>120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18230.794120000006</v>
      </c>
    </row>
    <row r="38" spans="1:56" ht="27.75" customHeight="1" x14ac:dyDescent="0.45">
      <c r="A38" s="3">
        <v>0</v>
      </c>
      <c r="B38" s="14" t="s">
        <v>133</v>
      </c>
      <c r="C38" s="9" t="s">
        <v>73</v>
      </c>
      <c r="D38" s="13" t="s">
        <v>210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 t="s">
        <v>63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186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74</v>
      </c>
      <c r="AI38" s="1">
        <v>2</v>
      </c>
      <c r="AJ38" s="3" t="s">
        <v>63</v>
      </c>
      <c r="AK38" s="3">
        <v>0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186</v>
      </c>
      <c r="AA39" s="8">
        <v>334623.52874500002</v>
      </c>
      <c r="AB39" s="8">
        <v>63621.628745000002</v>
      </c>
      <c r="AC39" s="8">
        <v>271001.90000000002</v>
      </c>
      <c r="AD39" s="8">
        <v>0</v>
      </c>
      <c r="AE39" s="8">
        <v>0</v>
      </c>
      <c r="AF39" s="8" t="s">
        <v>58</v>
      </c>
      <c r="AG39" s="1" t="s">
        <v>119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188</v>
      </c>
      <c r="BD39" s="56">
        <v>0</v>
      </c>
    </row>
    <row r="40" spans="1:56" ht="27.75" customHeight="1" x14ac:dyDescent="0.45">
      <c r="A40" s="3">
        <v>45803</v>
      </c>
      <c r="B40" s="14" t="s">
        <v>414</v>
      </c>
      <c r="C40" s="9" t="s">
        <v>411</v>
      </c>
      <c r="D40" s="13" t="s">
        <v>415</v>
      </c>
      <c r="E40" s="9">
        <v>19</v>
      </c>
      <c r="F40" s="9">
        <v>34</v>
      </c>
      <c r="G40" s="9" t="s">
        <v>60</v>
      </c>
      <c r="H40" s="9" t="s">
        <v>76</v>
      </c>
      <c r="I40" s="9">
        <v>84</v>
      </c>
      <c r="J40" s="9" t="s">
        <v>57</v>
      </c>
      <c r="K40" s="9">
        <v>5</v>
      </c>
      <c r="L40" s="9" t="s">
        <v>91</v>
      </c>
      <c r="M40" s="10">
        <v>20</v>
      </c>
      <c r="N40" s="9">
        <v>37</v>
      </c>
      <c r="O40" s="9">
        <v>40</v>
      </c>
      <c r="P40" s="10">
        <v>182.56479615999996</v>
      </c>
      <c r="Q40" s="10">
        <v>0</v>
      </c>
      <c r="R40" s="10">
        <v>182.56479615999996</v>
      </c>
      <c r="S40" s="9" t="s">
        <v>67</v>
      </c>
      <c r="T40" s="12">
        <v>45817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249</v>
      </c>
      <c r="AA40" s="8">
        <v>9918.7000000000007</v>
      </c>
      <c r="AB40" s="8">
        <v>9918.7000000000007</v>
      </c>
      <c r="AC40" s="8">
        <v>0</v>
      </c>
      <c r="AD40" s="8">
        <v>0</v>
      </c>
      <c r="AE40" s="8">
        <v>9918.7000000000007</v>
      </c>
      <c r="AF40" s="8">
        <v>0</v>
      </c>
      <c r="AG40" s="1" t="s">
        <v>119</v>
      </c>
      <c r="AH40" s="1" t="s">
        <v>68</v>
      </c>
      <c r="AI40" s="1">
        <v>4</v>
      </c>
      <c r="AJ40" s="3">
        <v>45817</v>
      </c>
      <c r="AK40" s="3">
        <v>45813</v>
      </c>
      <c r="AL40" s="3">
        <v>45807</v>
      </c>
      <c r="AM40" s="3">
        <v>45814</v>
      </c>
      <c r="AN40" s="3">
        <v>45815</v>
      </c>
      <c r="AO40" s="3">
        <v>45815</v>
      </c>
      <c r="AP40" s="3">
        <v>45812</v>
      </c>
      <c r="AQ40" s="3">
        <v>45816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96</v>
      </c>
      <c r="W41" s="10">
        <v>0</v>
      </c>
      <c r="X41" s="10">
        <v>0</v>
      </c>
      <c r="Y41" s="10">
        <v>0</v>
      </c>
      <c r="Z41" s="9" t="s">
        <v>249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250</v>
      </c>
      <c r="BD41" s="56">
        <v>0</v>
      </c>
    </row>
    <row r="42" spans="1:56" ht="27.75" customHeight="1" x14ac:dyDescent="0.45">
      <c r="A42" s="3">
        <v>45796</v>
      </c>
      <c r="B42" s="14" t="s">
        <v>377</v>
      </c>
      <c r="C42" s="9" t="s">
        <v>147</v>
      </c>
      <c r="D42" s="13" t="s">
        <v>368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221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214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119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215</v>
      </c>
      <c r="BD43" s="56">
        <v>0</v>
      </c>
    </row>
    <row r="44" spans="1:56" ht="27.75" customHeight="1" x14ac:dyDescent="0.45">
      <c r="A44" s="3" t="s">
        <v>141</v>
      </c>
      <c r="B44" s="14" t="s">
        <v>141</v>
      </c>
      <c r="C44" s="9" t="s">
        <v>340</v>
      </c>
      <c r="D44" s="13" t="s">
        <v>341</v>
      </c>
      <c r="E44" s="9">
        <v>20</v>
      </c>
      <c r="F44" s="9">
        <v>32</v>
      </c>
      <c r="G44" s="9" t="s">
        <v>60</v>
      </c>
      <c r="H44" s="9">
        <v>0</v>
      </c>
      <c r="I44" s="9">
        <v>60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45838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146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119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1149.1877222222222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 t="s">
        <v>58</v>
      </c>
      <c r="AG45" s="1" t="s">
        <v>121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45">
      <c r="A46" s="3">
        <v>45796</v>
      </c>
      <c r="B46" s="14" t="s">
        <v>378</v>
      </c>
      <c r="C46" s="9" t="s">
        <v>147</v>
      </c>
      <c r="D46" s="13" t="s">
        <v>369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366</v>
      </c>
      <c r="V46" s="10">
        <v>0</v>
      </c>
      <c r="W46" s="10">
        <v>366</v>
      </c>
      <c r="X46" s="10">
        <v>5113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120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7.75" customHeight="1" x14ac:dyDescent="0.45">
      <c r="A47" s="3">
        <v>45796</v>
      </c>
      <c r="B47" s="14" t="s">
        <v>378</v>
      </c>
      <c r="C47" s="9" t="s">
        <v>147</v>
      </c>
      <c r="D47" s="13" t="s">
        <v>370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45813</v>
      </c>
      <c r="U47" s="11">
        <v>3280</v>
      </c>
      <c r="V47" s="10">
        <v>0</v>
      </c>
      <c r="W47" s="10">
        <v>3280</v>
      </c>
      <c r="X47" s="10">
        <v>5975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45813</v>
      </c>
      <c r="AK47" s="3">
        <v>45809</v>
      </c>
      <c r="AL47" s="3">
        <v>45802</v>
      </c>
      <c r="AM47" s="3">
        <v>45810</v>
      </c>
      <c r="AN47" s="3">
        <v>45811</v>
      </c>
      <c r="AO47" s="3">
        <v>45812</v>
      </c>
      <c r="AP47" s="3">
        <v>45808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379</v>
      </c>
      <c r="C48" s="9" t="s">
        <v>147</v>
      </c>
      <c r="D48" s="13" t="s">
        <v>262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45813</v>
      </c>
      <c r="U48" s="11">
        <v>3853</v>
      </c>
      <c r="V48" s="10">
        <v>0</v>
      </c>
      <c r="W48" s="10">
        <v>3853</v>
      </c>
      <c r="X48" s="10">
        <v>15401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45813</v>
      </c>
      <c r="AK48" s="3">
        <v>45809</v>
      </c>
      <c r="AL48" s="3">
        <v>45802</v>
      </c>
      <c r="AM48" s="3">
        <v>45810</v>
      </c>
      <c r="AN48" s="3">
        <v>45811</v>
      </c>
      <c r="AO48" s="3">
        <v>45812</v>
      </c>
      <c r="AP48" s="3">
        <v>45808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379</v>
      </c>
      <c r="C49" s="9" t="s">
        <v>147</v>
      </c>
      <c r="D49" s="13" t="s">
        <v>209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4349</v>
      </c>
      <c r="V49" s="10">
        <v>0</v>
      </c>
      <c r="W49" s="10">
        <v>4349</v>
      </c>
      <c r="X49" s="10">
        <v>0</v>
      </c>
      <c r="Y49" s="10">
        <v>4566.45</v>
      </c>
      <c r="Z49" s="9" t="s">
        <v>81</v>
      </c>
      <c r="AA49" s="8">
        <v>4556.6647499999999</v>
      </c>
      <c r="AB49" s="8">
        <v>4556.6647499999999</v>
      </c>
      <c r="AC49" s="8">
        <v>0</v>
      </c>
      <c r="AD49" s="8">
        <v>0</v>
      </c>
      <c r="AE49" s="8">
        <v>4556.6647499999999</v>
      </c>
      <c r="AF49" s="8">
        <v>0</v>
      </c>
      <c r="AG49" s="1" t="s">
        <v>121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380</v>
      </c>
      <c r="C50" s="9" t="s">
        <v>147</v>
      </c>
      <c r="D50" s="13" t="s">
        <v>295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380</v>
      </c>
      <c r="C51" s="9" t="s">
        <v>147</v>
      </c>
      <c r="D51" s="13" t="s">
        <v>371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120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381</v>
      </c>
      <c r="C52" s="9" t="s">
        <v>147</v>
      </c>
      <c r="D52" s="13" t="s">
        <v>136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382</v>
      </c>
      <c r="C53" s="9" t="s">
        <v>147</v>
      </c>
      <c r="D53" s="13" t="s">
        <v>154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45814</v>
      </c>
      <c r="U53" s="11">
        <v>40000</v>
      </c>
      <c r="V53" s="10">
        <v>0</v>
      </c>
      <c r="W53" s="10">
        <v>40000</v>
      </c>
      <c r="X53" s="10">
        <v>11000</v>
      </c>
      <c r="Y53" s="10">
        <v>30450</v>
      </c>
      <c r="Z53" s="9" t="s">
        <v>81</v>
      </c>
      <c r="AA53" s="8">
        <v>31903.987500000003</v>
      </c>
      <c r="AB53" s="8">
        <v>31903.987500000003</v>
      </c>
      <c r="AC53" s="8">
        <v>0</v>
      </c>
      <c r="AD53" s="8">
        <v>0</v>
      </c>
      <c r="AE53" s="8">
        <v>31903.987500000003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45814</v>
      </c>
      <c r="AK53" s="3">
        <v>45810</v>
      </c>
      <c r="AL53" s="3">
        <v>45803</v>
      </c>
      <c r="AM53" s="3">
        <v>45811</v>
      </c>
      <c r="AN53" s="3">
        <v>45812</v>
      </c>
      <c r="AO53" s="3">
        <v>45813</v>
      </c>
      <c r="AP53" s="3">
        <v>45809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373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45766</v>
      </c>
      <c r="B54" s="14" t="s">
        <v>330</v>
      </c>
      <c r="C54" s="9" t="s">
        <v>147</v>
      </c>
      <c r="D54" s="13" t="s">
        <v>154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45814</v>
      </c>
      <c r="U54" s="11">
        <v>1866</v>
      </c>
      <c r="V54" s="10">
        <v>608</v>
      </c>
      <c r="W54" s="10">
        <v>1258</v>
      </c>
      <c r="X54" s="10">
        <v>0</v>
      </c>
      <c r="Y54" s="10">
        <v>1320.9</v>
      </c>
      <c r="Z54" s="9" t="s">
        <v>81</v>
      </c>
      <c r="AA54" s="8">
        <v>1318.0695000000003</v>
      </c>
      <c r="AB54" s="8">
        <v>1318.0695000000003</v>
      </c>
      <c r="AC54" s="8">
        <v>0</v>
      </c>
      <c r="AD54" s="8">
        <v>0</v>
      </c>
      <c r="AE54" s="8">
        <v>1318.0695000000003</v>
      </c>
      <c r="AF54" s="8" t="s">
        <v>241</v>
      </c>
      <c r="AG54" s="1" t="s">
        <v>121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383</v>
      </c>
      <c r="C55" s="9" t="s">
        <v>147</v>
      </c>
      <c r="D55" s="13" t="s">
        <v>264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10000</v>
      </c>
      <c r="V55" s="10">
        <v>0</v>
      </c>
      <c r="W55" s="10">
        <v>10000</v>
      </c>
      <c r="X55" s="10">
        <v>12101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330</v>
      </c>
      <c r="C56" s="9" t="s">
        <v>147</v>
      </c>
      <c r="D56" s="13" t="s">
        <v>264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1120</v>
      </c>
      <c r="V56" s="10">
        <v>700</v>
      </c>
      <c r="W56" s="10">
        <v>420</v>
      </c>
      <c r="X56" s="10">
        <v>1200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241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45720</v>
      </c>
      <c r="B57" s="14" t="s">
        <v>297</v>
      </c>
      <c r="C57" s="9" t="s">
        <v>111</v>
      </c>
      <c r="D57" s="13" t="s">
        <v>326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45817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45817</v>
      </c>
      <c r="AK57" s="3">
        <v>45813</v>
      </c>
      <c r="AL57" s="3">
        <v>45806</v>
      </c>
      <c r="AM57" s="3">
        <v>45814</v>
      </c>
      <c r="AN57" s="3">
        <v>45815</v>
      </c>
      <c r="AO57" s="3">
        <v>45816</v>
      </c>
      <c r="AP57" s="3">
        <v>45812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45799</v>
      </c>
      <c r="B58" s="14" t="s">
        <v>416</v>
      </c>
      <c r="C58" s="9" t="s">
        <v>394</v>
      </c>
      <c r="D58" s="13" t="s">
        <v>395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45819</v>
      </c>
      <c r="U58" s="11">
        <v>12000</v>
      </c>
      <c r="V58" s="10">
        <v>0</v>
      </c>
      <c r="W58" s="10">
        <v>12000</v>
      </c>
      <c r="X58" s="10">
        <v>0</v>
      </c>
      <c r="Y58" s="10">
        <v>12600</v>
      </c>
      <c r="Z58" s="9" t="s">
        <v>81</v>
      </c>
      <c r="AA58" s="8">
        <v>11902.44</v>
      </c>
      <c r="AB58" s="8">
        <v>11902.44</v>
      </c>
      <c r="AC58" s="8">
        <v>0</v>
      </c>
      <c r="AD58" s="8">
        <v>0</v>
      </c>
      <c r="AE58" s="8">
        <v>11902.44</v>
      </c>
      <c r="AF58" s="8" t="s">
        <v>241</v>
      </c>
      <c r="AG58" s="1" t="s">
        <v>120</v>
      </c>
      <c r="AH58" s="1" t="s">
        <v>75</v>
      </c>
      <c r="AI58" s="1">
        <v>4</v>
      </c>
      <c r="AJ58" s="3">
        <v>45819</v>
      </c>
      <c r="AK58" s="3">
        <v>45815</v>
      </c>
      <c r="AL58" s="3">
        <v>45808</v>
      </c>
      <c r="AM58" s="3">
        <v>45816</v>
      </c>
      <c r="AN58" s="3">
        <v>45817</v>
      </c>
      <c r="AO58" s="3">
        <v>45818</v>
      </c>
      <c r="AP58" s="3">
        <v>45814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45810</v>
      </c>
      <c r="B59" s="14" t="s">
        <v>460</v>
      </c>
      <c r="C59" s="9" t="s">
        <v>461</v>
      </c>
      <c r="D59" s="13" t="s">
        <v>395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1500</v>
      </c>
      <c r="V59" s="10">
        <v>0</v>
      </c>
      <c r="W59" s="10">
        <v>1500</v>
      </c>
      <c r="X59" s="10">
        <v>0</v>
      </c>
      <c r="Y59" s="10">
        <v>1575</v>
      </c>
      <c r="Z59" s="9" t="s">
        <v>81</v>
      </c>
      <c r="AA59" s="8">
        <v>1487.8050000000001</v>
      </c>
      <c r="AB59" s="8">
        <v>0</v>
      </c>
      <c r="AC59" s="8">
        <v>1487.8050000000001</v>
      </c>
      <c r="AD59" s="8">
        <v>0</v>
      </c>
      <c r="AE59" s="8">
        <v>1487.8050000000001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112.41193333333335</v>
      </c>
    </row>
    <row r="60" spans="1:56" ht="27.75" customHeight="1" x14ac:dyDescent="0.45">
      <c r="A60" s="3">
        <v>45799</v>
      </c>
      <c r="B60" s="14" t="s">
        <v>416</v>
      </c>
      <c r="C60" s="9" t="s">
        <v>394</v>
      </c>
      <c r="D60" s="13" t="s">
        <v>396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8000</v>
      </c>
      <c r="V60" s="10">
        <v>0</v>
      </c>
      <c r="W60" s="10">
        <v>8000</v>
      </c>
      <c r="X60" s="10">
        <v>0</v>
      </c>
      <c r="Y60" s="10">
        <v>8400</v>
      </c>
      <c r="Z60" s="9" t="s">
        <v>81</v>
      </c>
      <c r="AA60" s="8">
        <v>7934.96</v>
      </c>
      <c r="AB60" s="8">
        <v>7934.96</v>
      </c>
      <c r="AC60" s="8">
        <v>0</v>
      </c>
      <c r="AD60" s="8">
        <v>0</v>
      </c>
      <c r="AE60" s="8">
        <v>7934.96</v>
      </c>
      <c r="AF60" s="8" t="s">
        <v>241</v>
      </c>
      <c r="AG60" s="1" t="s">
        <v>119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45810</v>
      </c>
      <c r="B61" s="14" t="s">
        <v>460</v>
      </c>
      <c r="C61" s="9" t="s">
        <v>461</v>
      </c>
      <c r="D61" s="13" t="s">
        <v>396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9918.7000000000007</v>
      </c>
      <c r="AB61" s="8">
        <v>0</v>
      </c>
      <c r="AC61" s="8">
        <v>9918.7000000000007</v>
      </c>
      <c r="AD61" s="8">
        <v>0</v>
      </c>
      <c r="AE61" s="8">
        <v>9918.7000000000007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749.41288888888903</v>
      </c>
    </row>
    <row r="62" spans="1:56" ht="27.75" customHeight="1" x14ac:dyDescent="0.45">
      <c r="A62" s="3">
        <v>45782</v>
      </c>
      <c r="B62" s="14" t="s">
        <v>367</v>
      </c>
      <c r="C62" s="9" t="s">
        <v>80</v>
      </c>
      <c r="D62" s="13" t="s">
        <v>318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5111</v>
      </c>
      <c r="AC62" s="8">
        <v>407.14999999999964</v>
      </c>
      <c r="AD62" s="8">
        <v>0</v>
      </c>
      <c r="AE62" s="8">
        <v>5518.15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30.762444444444419</v>
      </c>
    </row>
    <row r="63" spans="1:56" ht="27.75" customHeight="1" x14ac:dyDescent="0.45">
      <c r="A63" s="3">
        <v>45756</v>
      </c>
      <c r="B63" s="14" t="s">
        <v>321</v>
      </c>
      <c r="C63" s="9" t="s">
        <v>80</v>
      </c>
      <c r="D63" s="13" t="s">
        <v>322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306</v>
      </c>
      <c r="C64" s="9" t="s">
        <v>80</v>
      </c>
      <c r="D64" s="13" t="s">
        <v>258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454</v>
      </c>
      <c r="C65" s="9" t="s">
        <v>445</v>
      </c>
      <c r="D65" s="13" t="s">
        <v>446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220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417</v>
      </c>
      <c r="C66" s="9" t="s">
        <v>111</v>
      </c>
      <c r="D66" s="13" t="s">
        <v>418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419</v>
      </c>
      <c r="C67" s="9" t="s">
        <v>111</v>
      </c>
      <c r="D67" s="13" t="s">
        <v>420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141</v>
      </c>
      <c r="B68" s="14" t="s">
        <v>141</v>
      </c>
      <c r="C68" s="9" t="s">
        <v>147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421</v>
      </c>
      <c r="C69" s="9" t="s">
        <v>111</v>
      </c>
      <c r="D69" s="13" t="s">
        <v>422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405</v>
      </c>
      <c r="C70" s="9" t="s">
        <v>111</v>
      </c>
      <c r="D70" s="13" t="s">
        <v>397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367</v>
      </c>
      <c r="C71" s="9" t="s">
        <v>80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462</v>
      </c>
      <c r="C72" s="9" t="s">
        <v>147</v>
      </c>
      <c r="D72" s="13" t="s">
        <v>155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298</v>
      </c>
      <c r="C73" s="9" t="s">
        <v>147</v>
      </c>
      <c r="D73" s="13" t="s">
        <v>263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219</v>
      </c>
      <c r="C74" s="9" t="s">
        <v>147</v>
      </c>
      <c r="D74" s="13" t="s">
        <v>127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299</v>
      </c>
      <c r="C75" s="9" t="s">
        <v>147</v>
      </c>
      <c r="D75" s="13" t="s">
        <v>296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141</v>
      </c>
      <c r="B76" s="14" t="s">
        <v>141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141</v>
      </c>
      <c r="B77" s="14" t="s">
        <v>141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269</v>
      </c>
      <c r="C78" s="9" t="s">
        <v>80</v>
      </c>
      <c r="D78" s="13" t="s">
        <v>268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288</v>
      </c>
      <c r="C79" s="9" t="s">
        <v>147</v>
      </c>
      <c r="D79" s="13" t="s">
        <v>198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221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291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266</v>
      </c>
      <c r="C80" s="9" t="s">
        <v>147</v>
      </c>
      <c r="D80" s="13" t="s">
        <v>265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221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290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218</v>
      </c>
      <c r="C81" s="9" t="s">
        <v>147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195</v>
      </c>
      <c r="C82" s="9" t="s">
        <v>147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195</v>
      </c>
      <c r="C83" s="9" t="s">
        <v>147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314</v>
      </c>
      <c r="C84" s="9" t="s">
        <v>80</v>
      </c>
      <c r="D84" s="13" t="s">
        <v>315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137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320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307</v>
      </c>
      <c r="C85" s="9" t="s">
        <v>111</v>
      </c>
      <c r="D85" s="13" t="s">
        <v>305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137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137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320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133</v>
      </c>
      <c r="C86" s="9" t="s">
        <v>111</v>
      </c>
      <c r="D86" s="13" t="s">
        <v>239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137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137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133</v>
      </c>
      <c r="C87" s="9" t="s">
        <v>111</v>
      </c>
      <c r="D87" s="13" t="s">
        <v>257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199</v>
      </c>
      <c r="C88" s="9" t="s">
        <v>111</v>
      </c>
      <c r="D88" s="13" t="s">
        <v>200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203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260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202</v>
      </c>
      <c r="C89" s="9" t="s">
        <v>111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299499.68675000011</v>
      </c>
      <c r="AB91" s="8">
        <v>62727.121749999998</v>
      </c>
      <c r="AC91" s="8">
        <v>236772.56500000003</v>
      </c>
      <c r="AD91" s="8">
        <v>0</v>
      </c>
      <c r="AE91" s="8">
        <v>299499.68675000011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384</v>
      </c>
      <c r="C92" s="9" t="s">
        <v>147</v>
      </c>
      <c r="D92" s="13" t="s">
        <v>372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241</v>
      </c>
      <c r="AG92" s="1" t="s">
        <v>119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352</v>
      </c>
      <c r="C93" s="9" t="s">
        <v>86</v>
      </c>
      <c r="D93" s="13" t="s">
        <v>353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212</v>
      </c>
      <c r="T93" s="12">
        <v>45813</v>
      </c>
      <c r="U93" s="11">
        <v>13000</v>
      </c>
      <c r="V93" s="10">
        <v>13000</v>
      </c>
      <c r="W93" s="10">
        <v>0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247</v>
      </c>
      <c r="AG93" s="1" t="s">
        <v>119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423</v>
      </c>
      <c r="C94" s="9" t="s">
        <v>86</v>
      </c>
      <c r="D94" s="13" t="s">
        <v>353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212</v>
      </c>
      <c r="T94" s="12">
        <v>45813</v>
      </c>
      <c r="U94" s="11">
        <v>5000</v>
      </c>
      <c r="V94" s="10">
        <v>5092</v>
      </c>
      <c r="W94" s="10">
        <v>0</v>
      </c>
      <c r="X94" s="10">
        <v>4260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247</v>
      </c>
      <c r="AG94" s="1" t="s">
        <v>119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354</v>
      </c>
      <c r="C95" s="9" t="s">
        <v>86</v>
      </c>
      <c r="D95" s="13" t="s">
        <v>355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212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356</v>
      </c>
      <c r="AG95" s="1" t="s">
        <v>119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357</v>
      </c>
      <c r="C96" s="9" t="s">
        <v>86</v>
      </c>
      <c r="D96" s="13" t="s">
        <v>358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356</v>
      </c>
      <c r="AG96" s="1" t="s">
        <v>120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357</v>
      </c>
      <c r="C97" s="9" t="s">
        <v>86</v>
      </c>
      <c r="D97" s="13" t="s">
        <v>279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40000</v>
      </c>
      <c r="V97" s="10">
        <v>39929</v>
      </c>
      <c r="W97" s="10">
        <v>71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356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365</v>
      </c>
      <c r="C98" s="9" t="s">
        <v>86</v>
      </c>
      <c r="D98" s="13" t="s">
        <v>360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253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240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439</v>
      </c>
      <c r="C99" s="9" t="s">
        <v>86</v>
      </c>
      <c r="D99" s="13" t="s">
        <v>440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212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356</v>
      </c>
      <c r="AG99" s="1" t="s">
        <v>119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439</v>
      </c>
      <c r="C100" s="9" t="s">
        <v>86</v>
      </c>
      <c r="D100" s="13" t="s">
        <v>338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212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356</v>
      </c>
      <c r="AG100" s="1" t="s">
        <v>119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141</v>
      </c>
      <c r="B101" s="14" t="s">
        <v>141</v>
      </c>
      <c r="C101" s="9" t="s">
        <v>147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97126</v>
      </c>
      <c r="AC101" s="8">
        <v>7649.0000000000146</v>
      </c>
      <c r="AD101" s="8">
        <v>0</v>
      </c>
      <c r="AE101" s="8">
        <v>0</v>
      </c>
      <c r="AF101" s="8" t="s">
        <v>241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584.72355555555669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115531.90000000002</v>
      </c>
      <c r="AB102" s="8">
        <v>107882.9</v>
      </c>
      <c r="AC102" s="8">
        <v>7649.0000000000146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133</v>
      </c>
      <c r="C103" s="9" t="s">
        <v>342</v>
      </c>
      <c r="D103" s="13" t="s">
        <v>342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381895</v>
      </c>
      <c r="Y103" s="10">
        <v>1011260.25</v>
      </c>
      <c r="Z103" s="9" t="s">
        <v>343</v>
      </c>
      <c r="AA103" s="8">
        <v>920971.90109924995</v>
      </c>
      <c r="AB103" s="8">
        <v>316435</v>
      </c>
      <c r="AC103" s="8">
        <v>604536.90109924995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344</v>
      </c>
      <c r="BD103" s="56">
        <v>53098.49114655079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343</v>
      </c>
      <c r="AA104" s="8">
        <v>920971.90109924995</v>
      </c>
      <c r="AB104" s="8">
        <v>316435</v>
      </c>
      <c r="AC104" s="8">
        <v>604536.90109924995</v>
      </c>
      <c r="AD104" s="8">
        <v>0</v>
      </c>
      <c r="AE104" s="8">
        <v>0</v>
      </c>
      <c r="AF104" s="8" t="s">
        <v>58</v>
      </c>
      <c r="AG104" s="1" t="s">
        <v>120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345</v>
      </c>
      <c r="BD104" s="56">
        <v>0</v>
      </c>
    </row>
    <row r="105" spans="1:56" ht="27.75" customHeight="1" x14ac:dyDescent="0.45">
      <c r="A105" s="3">
        <v>45803</v>
      </c>
      <c r="B105" s="14" t="s">
        <v>424</v>
      </c>
      <c r="C105" s="9" t="s">
        <v>233</v>
      </c>
      <c r="D105" s="13" t="s">
        <v>412</v>
      </c>
      <c r="E105" s="9">
        <v>21</v>
      </c>
      <c r="F105" s="9">
        <v>34</v>
      </c>
      <c r="G105" s="9" t="s">
        <v>60</v>
      </c>
      <c r="H105" s="9">
        <v>0</v>
      </c>
      <c r="I105" s="9">
        <v>60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36</v>
      </c>
      <c r="O105" s="9">
        <v>40</v>
      </c>
      <c r="P105" s="10">
        <v>195.39367372799995</v>
      </c>
      <c r="Q105" s="10">
        <v>0</v>
      </c>
      <c r="R105" s="10">
        <v>195.39367372799995</v>
      </c>
      <c r="S105" s="9" t="s">
        <v>67</v>
      </c>
      <c r="T105" s="12">
        <v>45824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135</v>
      </c>
      <c r="AA105" s="8">
        <v>9918.7000000000007</v>
      </c>
      <c r="AB105" s="8">
        <v>0</v>
      </c>
      <c r="AC105" s="8">
        <v>9918.7000000000007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72</v>
      </c>
      <c r="AI105" s="1">
        <v>3</v>
      </c>
      <c r="AJ105" s="3">
        <v>45824</v>
      </c>
      <c r="AK105" s="3">
        <v>0</v>
      </c>
      <c r="AL105" s="3">
        <v>45814</v>
      </c>
      <c r="AM105" s="3">
        <v>45821</v>
      </c>
      <c r="AN105" s="3">
        <v>45822</v>
      </c>
      <c r="AO105" s="3">
        <v>45822</v>
      </c>
      <c r="AP105" s="3">
        <v>45819</v>
      </c>
      <c r="AQ105" s="3">
        <v>45823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676.95127500000001</v>
      </c>
    </row>
    <row r="106" spans="1:56" ht="27.75" customHeight="1" x14ac:dyDescent="0.45">
      <c r="A106" s="3" t="s">
        <v>141</v>
      </c>
      <c r="B106" s="14" t="s">
        <v>141</v>
      </c>
      <c r="C106" s="9" t="s">
        <v>185</v>
      </c>
      <c r="D106" s="13" t="s">
        <v>59</v>
      </c>
      <c r="E106" s="9">
        <v>21</v>
      </c>
      <c r="F106" s="9">
        <v>38</v>
      </c>
      <c r="G106" s="9" t="s">
        <v>60</v>
      </c>
      <c r="H106" s="9">
        <v>0</v>
      </c>
      <c r="I106" s="9">
        <v>69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45838</v>
      </c>
      <c r="U106" s="11">
        <v>5000</v>
      </c>
      <c r="V106" s="10">
        <v>0</v>
      </c>
      <c r="W106" s="10">
        <v>5000</v>
      </c>
      <c r="X106" s="10">
        <v>0</v>
      </c>
      <c r="Y106" s="10">
        <v>0</v>
      </c>
      <c r="Z106" s="9" t="s">
        <v>135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77</v>
      </c>
      <c r="AI106" s="1">
        <v>2</v>
      </c>
      <c r="AJ106" s="3">
        <v>45838</v>
      </c>
      <c r="AK106" s="3">
        <v>0</v>
      </c>
      <c r="AL106" s="3">
        <v>0</v>
      </c>
      <c r="AM106" s="3">
        <v>0</v>
      </c>
      <c r="AN106" s="3">
        <v>0</v>
      </c>
      <c r="AO106" s="3">
        <v>45836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376.6137374999999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 t="s">
        <v>60</v>
      </c>
      <c r="H107" s="9">
        <v>0</v>
      </c>
      <c r="I107" s="9">
        <v>67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135</v>
      </c>
      <c r="AA107" s="8">
        <v>15436.85</v>
      </c>
      <c r="AB107" s="8">
        <v>0</v>
      </c>
      <c r="AC107" s="8">
        <v>15436.85</v>
      </c>
      <c r="AD107" s="8">
        <v>0</v>
      </c>
      <c r="AE107" s="8">
        <v>0</v>
      </c>
      <c r="AF107" s="8" t="s">
        <v>58</v>
      </c>
      <c r="AG107" s="1" t="s">
        <v>119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45805</v>
      </c>
      <c r="B108" s="14" t="s">
        <v>434</v>
      </c>
      <c r="C108" s="9" t="s">
        <v>435</v>
      </c>
      <c r="D108" s="13" t="s">
        <v>441</v>
      </c>
      <c r="E108" s="9">
        <v>21</v>
      </c>
      <c r="F108" s="9">
        <v>32</v>
      </c>
      <c r="G108" s="9" t="s">
        <v>60</v>
      </c>
      <c r="H108" s="9">
        <v>0</v>
      </c>
      <c r="I108" s="9">
        <v>70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45813</v>
      </c>
      <c r="U108" s="11">
        <v>4150</v>
      </c>
      <c r="V108" s="10">
        <v>4150</v>
      </c>
      <c r="W108" s="10">
        <v>0</v>
      </c>
      <c r="X108" s="10">
        <v>4500</v>
      </c>
      <c r="Y108" s="10">
        <v>0</v>
      </c>
      <c r="Z108" s="9" t="s">
        <v>327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74</v>
      </c>
      <c r="AI108" s="1">
        <v>2</v>
      </c>
      <c r="AJ108" s="3">
        <v>45813</v>
      </c>
      <c r="AK108" s="3">
        <v>0</v>
      </c>
      <c r="AL108" s="3">
        <v>45804</v>
      </c>
      <c r="AM108" s="3">
        <v>45811</v>
      </c>
      <c r="AN108" s="3">
        <v>45812</v>
      </c>
      <c r="AO108" s="3">
        <v>45812</v>
      </c>
      <c r="AP108" s="3">
        <v>45808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83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327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120</v>
      </c>
      <c r="AH109" s="1">
        <v>0</v>
      </c>
      <c r="AI109" s="1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328</v>
      </c>
      <c r="BD109" s="56">
        <v>0</v>
      </c>
    </row>
    <row r="110" spans="1:56" ht="27.75" customHeight="1" x14ac:dyDescent="0.45">
      <c r="A110" s="3">
        <v>45799</v>
      </c>
      <c r="B110" s="14" t="s">
        <v>428</v>
      </c>
      <c r="C110" s="9" t="s">
        <v>115</v>
      </c>
      <c r="D110" s="13" t="s">
        <v>300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124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120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125</v>
      </c>
      <c r="BD110" s="56">
        <v>3867.8226766666667</v>
      </c>
    </row>
    <row r="111" spans="1:56" ht="27.75" customHeight="1" x14ac:dyDescent="0.45">
      <c r="A111" s="3">
        <v>45799</v>
      </c>
      <c r="B111" s="14" t="s">
        <v>428</v>
      </c>
      <c r="C111" s="9" t="s">
        <v>115</v>
      </c>
      <c r="D111" s="13" t="s">
        <v>333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9520</v>
      </c>
      <c r="Y111" s="10">
        <v>42504</v>
      </c>
      <c r="Z111" s="9" t="s">
        <v>124</v>
      </c>
      <c r="AA111" s="8">
        <v>45721.127760000003</v>
      </c>
      <c r="AB111" s="8">
        <v>45721.127760000003</v>
      </c>
      <c r="AC111" s="8">
        <v>0</v>
      </c>
      <c r="AD111" s="8">
        <v>0</v>
      </c>
      <c r="AE111" s="8">
        <v>45721.127760000003</v>
      </c>
      <c r="AF111" s="8">
        <v>0</v>
      </c>
      <c r="AG111" s="1" t="s">
        <v>120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45808</v>
      </c>
      <c r="B112" s="14" t="s">
        <v>456</v>
      </c>
      <c r="C112" s="9" t="s">
        <v>111</v>
      </c>
      <c r="D112" s="13" t="s">
        <v>403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124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120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793.65712066666651</v>
      </c>
    </row>
    <row r="113" spans="1:56" ht="27.75" customHeight="1" x14ac:dyDescent="0.45">
      <c r="A113" s="3">
        <v>45798</v>
      </c>
      <c r="B113" s="14" t="s">
        <v>409</v>
      </c>
      <c r="C113" s="9" t="s">
        <v>111</v>
      </c>
      <c r="D113" s="13" t="s">
        <v>402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124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427</v>
      </c>
      <c r="C114" s="9" t="s">
        <v>115</v>
      </c>
      <c r="D114" s="13" t="s">
        <v>399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124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427</v>
      </c>
      <c r="C115" s="9" t="s">
        <v>115</v>
      </c>
      <c r="D115" s="13" t="s">
        <v>350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124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427</v>
      </c>
      <c r="C116" s="9" t="s">
        <v>115</v>
      </c>
      <c r="D116" s="13" t="s">
        <v>400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124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425</v>
      </c>
      <c r="C117" s="9" t="s">
        <v>111</v>
      </c>
      <c r="D117" s="13" t="s">
        <v>426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124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416.92114566666663</v>
      </c>
    </row>
    <row r="118" spans="1:56" ht="27.75" customHeight="1" x14ac:dyDescent="0.45">
      <c r="A118" s="3" t="s">
        <v>141</v>
      </c>
      <c r="B118" s="14" t="s">
        <v>141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124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226</v>
      </c>
      <c r="C119" s="9" t="s">
        <v>113</v>
      </c>
      <c r="D119" s="13" t="s">
        <v>153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124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254</v>
      </c>
      <c r="AZ119" s="2">
        <v>0</v>
      </c>
      <c r="BA119" s="2">
        <v>0</v>
      </c>
      <c r="BB119" s="2">
        <v>0</v>
      </c>
      <c r="BC119" s="1" t="s">
        <v>125</v>
      </c>
      <c r="BD119" s="56">
        <v>618.85162826666658</v>
      </c>
    </row>
    <row r="120" spans="1:56" ht="27.75" customHeight="1" x14ac:dyDescent="0.45">
      <c r="A120" s="3">
        <v>45800</v>
      </c>
      <c r="B120" s="14" t="s">
        <v>406</v>
      </c>
      <c r="C120" s="9" t="s">
        <v>80</v>
      </c>
      <c r="D120" s="13" t="s">
        <v>407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45800</v>
      </c>
      <c r="B121" s="14" t="s">
        <v>406</v>
      </c>
      <c r="C121" s="9" t="s">
        <v>80</v>
      </c>
      <c r="D121" s="13" t="s">
        <v>407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124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120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45798</v>
      </c>
      <c r="B122" s="14" t="s">
        <v>408</v>
      </c>
      <c r="C122" s="9" t="s">
        <v>111</v>
      </c>
      <c r="D122" s="13" t="s">
        <v>401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45631</v>
      </c>
      <c r="B123" s="14" t="s">
        <v>230</v>
      </c>
      <c r="C123" s="9" t="s">
        <v>113</v>
      </c>
      <c r="D123" s="13" t="s">
        <v>153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124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255</v>
      </c>
      <c r="AZ123" s="2">
        <v>0</v>
      </c>
      <c r="BA123" s="2">
        <v>0</v>
      </c>
      <c r="BB123" s="2">
        <v>0</v>
      </c>
      <c r="BC123" s="1" t="s">
        <v>125</v>
      </c>
      <c r="BD123" s="56">
        <v>1237.7032565333332</v>
      </c>
    </row>
    <row r="124" spans="1:56" ht="27.75" customHeight="1" x14ac:dyDescent="0.45">
      <c r="A124" s="3">
        <v>45631</v>
      </c>
      <c r="B124" s="14" t="s">
        <v>231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120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256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 t="s">
        <v>141</v>
      </c>
      <c r="B125" s="14" t="s">
        <v>141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124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119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773.56453533333331</v>
      </c>
    </row>
    <row r="126" spans="1:56" ht="27.75" customHeight="1" x14ac:dyDescent="0.45">
      <c r="A126" s="3" t="s">
        <v>141</v>
      </c>
      <c r="B126" s="14" t="s">
        <v>141</v>
      </c>
      <c r="C126" s="9" t="s">
        <v>111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833.84229133333326</v>
      </c>
    </row>
    <row r="127" spans="1:56" ht="27.75" customHeight="1" x14ac:dyDescent="0.45">
      <c r="A127" s="3">
        <v>45066</v>
      </c>
      <c r="B127" s="14" t="s">
        <v>131</v>
      </c>
      <c r="C127" s="9" t="s">
        <v>80</v>
      </c>
      <c r="D127" s="13" t="s">
        <v>130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119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396.82856033333326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83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124</v>
      </c>
      <c r="AA128" s="8">
        <v>425551.45776000002</v>
      </c>
      <c r="AB128" s="8">
        <v>51518.677760000006</v>
      </c>
      <c r="AC128" s="8">
        <v>374032.78</v>
      </c>
      <c r="AD128" s="8">
        <v>5797.55</v>
      </c>
      <c r="AE128" s="8">
        <v>419753.90776000003</v>
      </c>
      <c r="AF128" s="8" t="s">
        <v>58</v>
      </c>
      <c r="AG128" s="1" t="s">
        <v>121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126</v>
      </c>
      <c r="BD128" s="56">
        <v>0</v>
      </c>
    </row>
    <row r="129" spans="1:56" ht="27.75" customHeight="1" x14ac:dyDescent="0.45">
      <c r="A129" s="3">
        <v>9</v>
      </c>
      <c r="B129" s="14" t="s">
        <v>366</v>
      </c>
      <c r="C129" s="9" t="s">
        <v>361</v>
      </c>
      <c r="D129" s="13" t="s">
        <v>362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363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280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364</v>
      </c>
      <c r="AG129" s="1" t="s">
        <v>121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282</v>
      </c>
      <c r="BD129" s="56">
        <v>10239.893776841667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280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0</v>
      </c>
    </row>
    <row r="131" spans="1:56" ht="27.75" customHeight="1" x14ac:dyDescent="0.45">
      <c r="A131" s="3">
        <v>45797</v>
      </c>
      <c r="B131" s="14" t="s">
        <v>389</v>
      </c>
      <c r="C131" s="9" t="s">
        <v>235</v>
      </c>
      <c r="D131" s="13" t="s">
        <v>385</v>
      </c>
      <c r="E131" s="9">
        <v>23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45813</v>
      </c>
      <c r="U131" s="11">
        <v>5000</v>
      </c>
      <c r="V131" s="10">
        <v>0</v>
      </c>
      <c r="W131" s="10">
        <v>5000</v>
      </c>
      <c r="X131" s="10">
        <v>5000</v>
      </c>
      <c r="Y131" s="10">
        <v>0</v>
      </c>
      <c r="Z131" s="9" t="s">
        <v>84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311</v>
      </c>
      <c r="AG131" s="1" t="s">
        <v>121</v>
      </c>
      <c r="AH131" s="1" t="s">
        <v>68</v>
      </c>
      <c r="AI131" s="1">
        <v>4</v>
      </c>
      <c r="AJ131" s="3">
        <v>45813</v>
      </c>
      <c r="AK131" s="3">
        <v>45809</v>
      </c>
      <c r="AL131" s="3">
        <v>45803</v>
      </c>
      <c r="AM131" s="3">
        <v>45810</v>
      </c>
      <c r="AN131" s="3">
        <v>45811</v>
      </c>
      <c r="AO131" s="3">
        <v>45811</v>
      </c>
      <c r="AP131" s="3">
        <v>45808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>
        <v>45797</v>
      </c>
      <c r="B132" s="14" t="s">
        <v>389</v>
      </c>
      <c r="C132" s="9" t="s">
        <v>235</v>
      </c>
      <c r="D132" s="13" t="s">
        <v>319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5000</v>
      </c>
      <c r="Y132" s="10">
        <v>0</v>
      </c>
      <c r="Z132" s="9" t="s">
        <v>84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311</v>
      </c>
      <c r="AG132" s="1" t="s">
        <v>61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388</v>
      </c>
      <c r="C133" s="9" t="s">
        <v>235</v>
      </c>
      <c r="D133" s="13" t="s">
        <v>232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5000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311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388</v>
      </c>
      <c r="C134" s="9" t="s">
        <v>235</v>
      </c>
      <c r="D134" s="13" t="s">
        <v>310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311</v>
      </c>
      <c r="AG134" s="1" t="s">
        <v>119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 t="s">
        <v>141</v>
      </c>
      <c r="B135" s="14" t="s">
        <v>141</v>
      </c>
      <c r="C135" s="9" t="s">
        <v>259</v>
      </c>
      <c r="D135" s="13" t="s">
        <v>61</v>
      </c>
      <c r="E135" s="9">
        <v>23</v>
      </c>
      <c r="F135" s="9">
        <v>34</v>
      </c>
      <c r="G135" s="9" t="s">
        <v>60</v>
      </c>
      <c r="H135" s="9" t="s">
        <v>66</v>
      </c>
      <c r="I135" s="9">
        <v>92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128</v>
      </c>
      <c r="T135" s="12">
        <v>45838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84</v>
      </c>
      <c r="AA135" s="8">
        <v>9918.7000000000007</v>
      </c>
      <c r="AB135" s="8">
        <v>9918.7000000000007</v>
      </c>
      <c r="AC135" s="8">
        <v>0</v>
      </c>
      <c r="AD135" s="8">
        <v>0</v>
      </c>
      <c r="AE135" s="8">
        <v>9918.7000000000007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141</v>
      </c>
      <c r="B136" s="14" t="s">
        <v>141</v>
      </c>
      <c r="C136" s="9" t="s">
        <v>259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93</v>
      </c>
      <c r="M136" s="10">
        <v>24</v>
      </c>
      <c r="N136" s="9">
        <v>37</v>
      </c>
      <c r="O136" s="9">
        <v>50</v>
      </c>
      <c r="P136" s="10">
        <v>273.84719423999996</v>
      </c>
      <c r="Q136" s="10">
        <v>0</v>
      </c>
      <c r="R136" s="10">
        <v>273.84719423999996</v>
      </c>
      <c r="S136" s="9" t="s">
        <v>128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45838</v>
      </c>
      <c r="AK136" s="3">
        <v>0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45837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19837.400000000001</v>
      </c>
      <c r="AB137" s="8">
        <v>19837.400000000001</v>
      </c>
      <c r="AC137" s="8">
        <v>0</v>
      </c>
      <c r="AD137" s="8">
        <v>0</v>
      </c>
      <c r="AE137" s="8">
        <v>9918.7000000000007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 t="s">
        <v>141</v>
      </c>
      <c r="B138" s="14" t="s">
        <v>141</v>
      </c>
      <c r="C138" s="9" t="s">
        <v>251</v>
      </c>
      <c r="D138" s="13" t="s">
        <v>61</v>
      </c>
      <c r="E138" s="9">
        <v>23</v>
      </c>
      <c r="F138" s="9">
        <v>34</v>
      </c>
      <c r="G138" s="9" t="s">
        <v>189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45838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191</v>
      </c>
      <c r="AA138" s="8">
        <v>9918.7000000000007</v>
      </c>
      <c r="AB138" s="8">
        <v>0</v>
      </c>
      <c r="AC138" s="8">
        <v>9918.7000000000007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800.41704844444439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23</v>
      </c>
      <c r="F139" s="9">
        <v>34</v>
      </c>
      <c r="G139" s="9" t="s">
        <v>189</v>
      </c>
      <c r="H139" s="9">
        <v>0</v>
      </c>
      <c r="I139" s="9">
        <v>68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191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120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45">
      <c r="A140" s="3">
        <v>45810</v>
      </c>
      <c r="B140" s="14" t="s">
        <v>133</v>
      </c>
      <c r="C140" s="9" t="s">
        <v>457</v>
      </c>
      <c r="D140" s="13" t="s">
        <v>334</v>
      </c>
      <c r="E140" s="9">
        <v>23</v>
      </c>
      <c r="F140" s="9">
        <v>37</v>
      </c>
      <c r="G140" s="9" t="s">
        <v>60</v>
      </c>
      <c r="H140" s="9">
        <v>0</v>
      </c>
      <c r="I140" s="9">
        <v>85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45817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245</v>
      </c>
      <c r="AA140" s="8">
        <v>10756.900000000001</v>
      </c>
      <c r="AB140" s="8">
        <v>6000</v>
      </c>
      <c r="AC140" s="8">
        <v>4756.9000000000015</v>
      </c>
      <c r="AD140" s="8">
        <v>0</v>
      </c>
      <c r="AE140" s="8">
        <v>0</v>
      </c>
      <c r="AF140" s="8" t="s">
        <v>430</v>
      </c>
      <c r="AG140" s="1" t="s">
        <v>119</v>
      </c>
      <c r="AH140" s="1" t="s">
        <v>74</v>
      </c>
      <c r="AI140" s="1">
        <v>2</v>
      </c>
      <c r="AJ140" s="3">
        <v>45817</v>
      </c>
      <c r="AK140" s="3">
        <v>0</v>
      </c>
      <c r="AL140" s="3">
        <v>45808</v>
      </c>
      <c r="AM140" s="3">
        <v>45815</v>
      </c>
      <c r="AN140" s="3">
        <v>45816</v>
      </c>
      <c r="AO140" s="3">
        <v>45816</v>
      </c>
      <c r="AP140" s="3">
        <v>45812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419.40001666666666</v>
      </c>
    </row>
    <row r="141" spans="1:56" ht="27.75" customHeight="1" x14ac:dyDescent="0.45">
      <c r="A141" s="3">
        <v>45727</v>
      </c>
      <c r="B141" s="14" t="s">
        <v>303</v>
      </c>
      <c r="C141" s="9" t="s">
        <v>115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221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245</v>
      </c>
      <c r="AA141" s="8">
        <v>1159.5100000000002</v>
      </c>
      <c r="AB141" s="8">
        <v>0</v>
      </c>
      <c r="AC141" s="8">
        <v>1159.5100000000002</v>
      </c>
      <c r="AD141" s="8">
        <v>0</v>
      </c>
      <c r="AE141" s="8">
        <v>1159.5100000000002</v>
      </c>
      <c r="AF141" s="8" t="s">
        <v>248</v>
      </c>
      <c r="AG141" s="1" t="s">
        <v>119</v>
      </c>
      <c r="AH141" s="1" t="s">
        <v>156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152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102.23013166666668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245</v>
      </c>
      <c r="AA142" s="8">
        <v>11916.410000000002</v>
      </c>
      <c r="AB142" s="8">
        <v>6000</v>
      </c>
      <c r="AC142" s="8">
        <v>5916.4100000000017</v>
      </c>
      <c r="AD142" s="8">
        <v>0</v>
      </c>
      <c r="AE142" s="8">
        <v>1159.5100000000002</v>
      </c>
      <c r="AF142" s="8" t="s">
        <v>58</v>
      </c>
      <c r="AG142" s="1" t="s">
        <v>119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246</v>
      </c>
      <c r="BD142" s="56">
        <v>0</v>
      </c>
    </row>
    <row r="143" spans="1:56" ht="27.75" customHeight="1" x14ac:dyDescent="0.45">
      <c r="A143" s="3">
        <v>45601</v>
      </c>
      <c r="B143" s="14" t="s">
        <v>216</v>
      </c>
      <c r="C143" s="9" t="s">
        <v>94</v>
      </c>
      <c r="D143" s="13" t="s">
        <v>110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4884.8418431999999</v>
      </c>
      <c r="Q143" s="10">
        <v>0</v>
      </c>
      <c r="R143" s="10">
        <v>4884.8418431999999</v>
      </c>
      <c r="S143" s="9" t="s">
        <v>100</v>
      </c>
      <c r="T143" s="12">
        <v>45838</v>
      </c>
      <c r="U143" s="11">
        <v>150000</v>
      </c>
      <c r="V143" s="10">
        <v>0</v>
      </c>
      <c r="W143" s="10">
        <v>150000</v>
      </c>
      <c r="X143" s="10">
        <v>0</v>
      </c>
      <c r="Y143" s="10">
        <v>157500</v>
      </c>
      <c r="Z143" s="9" t="s">
        <v>101</v>
      </c>
      <c r="AA143" s="8">
        <v>161353.5</v>
      </c>
      <c r="AB143" s="8">
        <v>37959</v>
      </c>
      <c r="AC143" s="8">
        <v>123394.5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72</v>
      </c>
      <c r="AI143" s="1">
        <v>3</v>
      </c>
      <c r="AJ143" s="3">
        <v>45838</v>
      </c>
      <c r="AK143" s="3">
        <v>0</v>
      </c>
      <c r="AL143" s="3">
        <v>45828</v>
      </c>
      <c r="AM143" s="3">
        <v>45835</v>
      </c>
      <c r="AN143" s="3">
        <v>45836</v>
      </c>
      <c r="AO143" s="3">
        <v>45836</v>
      </c>
      <c r="AP143" s="3">
        <v>45833</v>
      </c>
      <c r="AQ143" s="3">
        <v>45837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117</v>
      </c>
      <c r="BD143" s="56">
        <v>15807.28104125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151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0</v>
      </c>
      <c r="Q144" s="10">
        <v>0</v>
      </c>
      <c r="R144" s="10">
        <v>0</v>
      </c>
      <c r="S144" s="9" t="s">
        <v>100</v>
      </c>
      <c r="T144" s="12" t="s">
        <v>63</v>
      </c>
      <c r="U144" s="11">
        <v>60000</v>
      </c>
      <c r="V144" s="10">
        <v>60000</v>
      </c>
      <c r="W144" s="10">
        <v>0</v>
      </c>
      <c r="X144" s="10">
        <v>0</v>
      </c>
      <c r="Y144" s="10">
        <v>0</v>
      </c>
      <c r="Z144" s="9" t="s">
        <v>277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278</v>
      </c>
      <c r="AG144" s="1" t="s">
        <v>120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 t="s">
        <v>294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4722.0137817599998</v>
      </c>
      <c r="Q145" s="10">
        <v>264</v>
      </c>
      <c r="R145" s="10">
        <v>4458.0137817599998</v>
      </c>
      <c r="S145" s="9" t="s">
        <v>100</v>
      </c>
      <c r="T145" s="12" t="s">
        <v>63</v>
      </c>
      <c r="U145" s="11">
        <v>200000</v>
      </c>
      <c r="V145" s="10">
        <v>55000</v>
      </c>
      <c r="W145" s="10">
        <v>145000</v>
      </c>
      <c r="X145" s="10">
        <v>0</v>
      </c>
      <c r="Y145" s="10">
        <v>152250</v>
      </c>
      <c r="Z145" s="9" t="s">
        <v>277</v>
      </c>
      <c r="AA145" s="8">
        <v>155975.05000000002</v>
      </c>
      <c r="AB145" s="8">
        <v>0</v>
      </c>
      <c r="AC145" s="8">
        <v>155975.05000000002</v>
      </c>
      <c r="AD145" s="8">
        <v>0</v>
      </c>
      <c r="AE145" s="8">
        <v>0</v>
      </c>
      <c r="AF145" s="8" t="s">
        <v>278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386</v>
      </c>
      <c r="AZ145" s="2">
        <v>0</v>
      </c>
      <c r="BA145" s="2">
        <v>0</v>
      </c>
      <c r="BB145" s="2">
        <v>0</v>
      </c>
      <c r="BC145" s="1" t="s">
        <v>117</v>
      </c>
      <c r="BD145" s="56">
        <v>19980.967148236115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6513.1224575999995</v>
      </c>
      <c r="Q146" s="10">
        <v>0</v>
      </c>
      <c r="R146" s="10">
        <v>6513.1224575999995</v>
      </c>
      <c r="S146" s="9" t="s">
        <v>100</v>
      </c>
      <c r="T146" s="12" t="s">
        <v>63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277</v>
      </c>
      <c r="AA146" s="8">
        <v>215138.00000000003</v>
      </c>
      <c r="AB146" s="8">
        <v>0</v>
      </c>
      <c r="AC146" s="8">
        <v>215138.00000000003</v>
      </c>
      <c r="AD146" s="8">
        <v>0</v>
      </c>
      <c r="AE146" s="8">
        <v>0</v>
      </c>
      <c r="AF146" s="8" t="s">
        <v>278</v>
      </c>
      <c r="AG146" s="1" t="s">
        <v>119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45858</v>
      </c>
      <c r="AZ146" s="2">
        <v>0</v>
      </c>
      <c r="BA146" s="2">
        <v>0</v>
      </c>
      <c r="BB146" s="2">
        <v>0</v>
      </c>
      <c r="BC146" s="1" t="s">
        <v>117</v>
      </c>
      <c r="BD146" s="56">
        <v>27559.954687222227</v>
      </c>
    </row>
    <row r="147" spans="1:56" ht="27.75" customHeight="1" x14ac:dyDescent="0.45">
      <c r="A147" s="3">
        <v>45601</v>
      </c>
      <c r="B147" s="14" t="s">
        <v>216</v>
      </c>
      <c r="C147" s="9" t="s">
        <v>94</v>
      </c>
      <c r="D147" s="13" t="s">
        <v>151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101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278</v>
      </c>
      <c r="AG147" s="1" t="s">
        <v>119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45889</v>
      </c>
      <c r="AZ147" s="2">
        <v>0</v>
      </c>
      <c r="BA147" s="2">
        <v>0</v>
      </c>
      <c r="BB147" s="2">
        <v>0</v>
      </c>
      <c r="BC147" s="1" t="s">
        <v>117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216</v>
      </c>
      <c r="C148" s="9" t="s">
        <v>94</v>
      </c>
      <c r="D148" s="13" t="s">
        <v>151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3461.0081427440637</v>
      </c>
      <c r="Q148" s="10">
        <v>0</v>
      </c>
      <c r="R148" s="10">
        <v>3461.0081427440637</v>
      </c>
      <c r="S148" s="9" t="s">
        <v>100</v>
      </c>
      <c r="T148" s="12" t="s">
        <v>63</v>
      </c>
      <c r="U148" s="11">
        <v>106278</v>
      </c>
      <c r="V148" s="10">
        <v>0</v>
      </c>
      <c r="W148" s="10">
        <v>106278</v>
      </c>
      <c r="X148" s="10">
        <v>0</v>
      </c>
      <c r="Y148" s="10">
        <v>111591.90000000001</v>
      </c>
      <c r="Z148" s="9" t="s">
        <v>101</v>
      </c>
      <c r="AA148" s="8">
        <v>114322.18182000001</v>
      </c>
      <c r="AB148" s="8">
        <v>0</v>
      </c>
      <c r="AC148" s="8">
        <v>114322.18182000001</v>
      </c>
      <c r="AD148" s="8">
        <v>0</v>
      </c>
      <c r="AE148" s="8">
        <v>0</v>
      </c>
      <c r="AF148" s="8" t="s">
        <v>278</v>
      </c>
      <c r="AG148" s="1" t="s">
        <v>119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117</v>
      </c>
      <c r="BD148" s="56">
        <v>14645.084321243019</v>
      </c>
    </row>
    <row r="149" spans="1:56" ht="27.75" customHeight="1" x14ac:dyDescent="0.45">
      <c r="A149" s="3">
        <v>45601</v>
      </c>
      <c r="B149" s="14" t="s">
        <v>216</v>
      </c>
      <c r="C149" s="9" t="s">
        <v>94</v>
      </c>
      <c r="D149" s="13" t="s">
        <v>151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0</v>
      </c>
      <c r="Q149" s="10">
        <v>0</v>
      </c>
      <c r="R149" s="10">
        <v>0</v>
      </c>
      <c r="S149" s="9" t="s">
        <v>100</v>
      </c>
      <c r="T149" s="12" t="s">
        <v>137</v>
      </c>
      <c r="U149" s="11">
        <v>10000</v>
      </c>
      <c r="V149" s="10">
        <v>12607</v>
      </c>
      <c r="W149" s="10">
        <v>0</v>
      </c>
      <c r="X149" s="10">
        <v>56730</v>
      </c>
      <c r="Y149" s="10">
        <v>0</v>
      </c>
      <c r="Z149" s="9" t="s">
        <v>277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72</v>
      </c>
      <c r="AI149" s="1">
        <v>3</v>
      </c>
      <c r="AJ149" s="3" t="s">
        <v>137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281</v>
      </c>
      <c r="AZ149" s="2">
        <v>0</v>
      </c>
      <c r="BA149" s="2">
        <v>0</v>
      </c>
      <c r="BB149" s="2">
        <v>0</v>
      </c>
      <c r="BC149" s="1" t="s">
        <v>117</v>
      </c>
      <c r="BD149" s="56">
        <v>0</v>
      </c>
    </row>
    <row r="150" spans="1:56" ht="27.75" customHeight="1" x14ac:dyDescent="0.45">
      <c r="A150" s="3">
        <v>45601</v>
      </c>
      <c r="B150" s="14" t="s">
        <v>216</v>
      </c>
      <c r="C150" s="9" t="s">
        <v>94</v>
      </c>
      <c r="D150" s="13" t="s">
        <v>110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137</v>
      </c>
      <c r="U150" s="11">
        <v>7920</v>
      </c>
      <c r="V150" s="10">
        <v>7920</v>
      </c>
      <c r="W150" s="10">
        <v>0</v>
      </c>
      <c r="X150" s="10">
        <v>12600</v>
      </c>
      <c r="Y150" s="10">
        <v>0</v>
      </c>
      <c r="Z150" s="9" t="s">
        <v>277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 t="s">
        <v>137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101</v>
      </c>
      <c r="AA151" s="8">
        <v>861926.7318200001</v>
      </c>
      <c r="AB151" s="8">
        <v>37959</v>
      </c>
      <c r="AC151" s="8">
        <v>823967.7318200001</v>
      </c>
      <c r="AD151" s="8">
        <v>0</v>
      </c>
      <c r="AE151" s="8">
        <v>0</v>
      </c>
      <c r="AF151" s="8" t="s">
        <v>58</v>
      </c>
      <c r="AG151" s="1" t="s">
        <v>119</v>
      </c>
      <c r="AH151" s="1">
        <v>0</v>
      </c>
      <c r="AI151" s="1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7.75" customHeight="1" x14ac:dyDescent="0.45">
      <c r="A152" s="3">
        <v>45782</v>
      </c>
      <c r="B152" s="14" t="s">
        <v>359</v>
      </c>
      <c r="C152" s="9" t="s">
        <v>145</v>
      </c>
      <c r="D152" s="13" t="s">
        <v>59</v>
      </c>
      <c r="E152" s="9">
        <v>26</v>
      </c>
      <c r="F152" s="9">
        <v>39</v>
      </c>
      <c r="G152" s="9" t="s">
        <v>60</v>
      </c>
      <c r="H152" s="9">
        <v>0</v>
      </c>
      <c r="I152" s="9">
        <v>93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128</v>
      </c>
      <c r="T152" s="12">
        <v>45814</v>
      </c>
      <c r="U152" s="11">
        <v>5000</v>
      </c>
      <c r="V152" s="10">
        <v>5069</v>
      </c>
      <c r="W152" s="10">
        <v>0</v>
      </c>
      <c r="X152" s="10">
        <v>0</v>
      </c>
      <c r="Y152" s="10">
        <v>0</v>
      </c>
      <c r="Z152" s="9" t="s">
        <v>157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77</v>
      </c>
      <c r="AI152" s="1">
        <v>1</v>
      </c>
      <c r="AJ152" s="3">
        <v>45814</v>
      </c>
      <c r="AK152" s="3">
        <v>0</v>
      </c>
      <c r="AL152" s="3">
        <v>0</v>
      </c>
      <c r="AM152" s="3">
        <v>0</v>
      </c>
      <c r="AN152" s="3">
        <v>0</v>
      </c>
      <c r="AO152" s="3">
        <v>45813</v>
      </c>
      <c r="AP152" s="3">
        <v>45809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45804</v>
      </c>
      <c r="B153" s="14" t="s">
        <v>133</v>
      </c>
      <c r="C153" s="9" t="s">
        <v>145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128</v>
      </c>
      <c r="T153" s="12">
        <v>45818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85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61</v>
      </c>
      <c r="AH153" s="1" t="s">
        <v>77</v>
      </c>
      <c r="AI153" s="1">
        <v>1</v>
      </c>
      <c r="AJ153" s="3">
        <v>45818</v>
      </c>
      <c r="AK153" s="3">
        <v>0</v>
      </c>
      <c r="AL153" s="3">
        <v>0</v>
      </c>
      <c r="AM153" s="3">
        <v>0</v>
      </c>
      <c r="AN153" s="3">
        <v>0</v>
      </c>
      <c r="AO153" s="3">
        <v>45817</v>
      </c>
      <c r="AP153" s="3">
        <v>45813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913.67990999999995</v>
      </c>
    </row>
    <row r="154" spans="1:56" ht="27.75" customHeight="1" x14ac:dyDescent="0.45">
      <c r="A154" s="3">
        <v>45808</v>
      </c>
      <c r="B154" s="14" t="s">
        <v>458</v>
      </c>
      <c r="C154" s="9" t="s">
        <v>252</v>
      </c>
      <c r="D154" s="13" t="s">
        <v>59</v>
      </c>
      <c r="E154" s="9">
        <v>26</v>
      </c>
      <c r="F154" s="9">
        <v>40</v>
      </c>
      <c r="G154" s="9" t="s">
        <v>60</v>
      </c>
      <c r="H154" s="9">
        <v>0</v>
      </c>
      <c r="I154" s="9">
        <v>95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128</v>
      </c>
      <c r="T154" s="12">
        <v>45812</v>
      </c>
      <c r="U154" s="11">
        <v>5000</v>
      </c>
      <c r="V154" s="10">
        <v>0</v>
      </c>
      <c r="W154" s="10">
        <v>5000</v>
      </c>
      <c r="X154" s="10">
        <v>0</v>
      </c>
      <c r="Y154" s="10">
        <v>0</v>
      </c>
      <c r="Z154" s="9" t="s">
        <v>85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77</v>
      </c>
      <c r="AI154" s="1">
        <v>1</v>
      </c>
      <c r="AJ154" s="3">
        <v>45812</v>
      </c>
      <c r="AK154" s="3">
        <v>0</v>
      </c>
      <c r="AL154" s="3">
        <v>0</v>
      </c>
      <c r="AM154" s="3">
        <v>0</v>
      </c>
      <c r="AN154" s="3">
        <v>0</v>
      </c>
      <c r="AO154" s="3">
        <v>45811</v>
      </c>
      <c r="AP154" s="3">
        <v>45807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468.1199538888888</v>
      </c>
    </row>
    <row r="155" spans="1:56" ht="27.75" customHeight="1" x14ac:dyDescent="0.45">
      <c r="A155" s="3" t="s">
        <v>141</v>
      </c>
      <c r="B155" s="14" t="s">
        <v>141</v>
      </c>
      <c r="C155" s="9" t="s">
        <v>148</v>
      </c>
      <c r="D155" s="13" t="s">
        <v>59</v>
      </c>
      <c r="E155" s="9">
        <v>26</v>
      </c>
      <c r="F155" s="9">
        <v>42</v>
      </c>
      <c r="G155" s="9" t="s">
        <v>60</v>
      </c>
      <c r="H155" s="9">
        <v>0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40000</v>
      </c>
      <c r="V155" s="10">
        <v>0</v>
      </c>
      <c r="W155" s="10">
        <v>40000</v>
      </c>
      <c r="X155" s="10">
        <v>0</v>
      </c>
      <c r="Y155" s="10">
        <v>0</v>
      </c>
      <c r="Z155" s="9" t="s">
        <v>85</v>
      </c>
      <c r="AA155" s="8">
        <v>48615.600000000006</v>
      </c>
      <c r="AB155" s="8">
        <v>0</v>
      </c>
      <c r="AC155" s="8">
        <v>48615.600000000006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77</v>
      </c>
      <c r="AI155" s="1">
        <v>1</v>
      </c>
      <c r="AJ155" s="3">
        <v>45838</v>
      </c>
      <c r="AK155" s="3">
        <v>0</v>
      </c>
      <c r="AL155" s="3">
        <v>0</v>
      </c>
      <c r="AM155" s="3">
        <v>0</v>
      </c>
      <c r="AN155" s="3">
        <v>0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3925.4396133333335</v>
      </c>
    </row>
    <row r="156" spans="1:56" ht="27.75" customHeight="1" x14ac:dyDescent="0.45">
      <c r="A156" s="3" t="s">
        <v>141</v>
      </c>
      <c r="B156" s="14" t="s">
        <v>141</v>
      </c>
      <c r="C156" s="9" t="s">
        <v>196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92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 t="s">
        <v>204</v>
      </c>
      <c r="T156" s="12">
        <v>45838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85</v>
      </c>
      <c r="AA156" s="8">
        <v>11874.499999999998</v>
      </c>
      <c r="AB156" s="8">
        <v>0</v>
      </c>
      <c r="AC156" s="8">
        <v>11874.499999999998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45838</v>
      </c>
      <c r="AK156" s="3">
        <v>0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45837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958.79990555555537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442</v>
      </c>
      <c r="C158" s="9" t="s">
        <v>196</v>
      </c>
      <c r="D158" s="13" t="s">
        <v>443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204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157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442</v>
      </c>
      <c r="C159" s="9" t="s">
        <v>196</v>
      </c>
      <c r="D159" s="13" t="s">
        <v>444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204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157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157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>
        <v>0</v>
      </c>
      <c r="B161" s="14" t="s">
        <v>133</v>
      </c>
      <c r="C161" s="9">
        <v>0</v>
      </c>
      <c r="D161" s="13" t="s">
        <v>463</v>
      </c>
      <c r="E161" s="9">
        <v>26</v>
      </c>
      <c r="F161" s="9">
        <v>40</v>
      </c>
      <c r="G161" s="9" t="s">
        <v>60</v>
      </c>
      <c r="H161" s="9">
        <v>0</v>
      </c>
      <c r="I161" s="9">
        <v>108</v>
      </c>
      <c r="J161" s="9" t="s">
        <v>57</v>
      </c>
      <c r="K161" s="9">
        <v>5</v>
      </c>
      <c r="L161" s="9" t="s">
        <v>93</v>
      </c>
      <c r="M161" s="10">
        <v>27</v>
      </c>
      <c r="N161" s="9">
        <v>43</v>
      </c>
      <c r="O161" s="9">
        <v>40</v>
      </c>
      <c r="P161" s="10">
        <v>286.42936262399996</v>
      </c>
      <c r="Q161" s="10">
        <v>0</v>
      </c>
      <c r="R161" s="10">
        <v>286.42936262399996</v>
      </c>
      <c r="S161" s="9">
        <v>0</v>
      </c>
      <c r="T161" s="12">
        <v>45825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223</v>
      </c>
      <c r="AA161" s="8">
        <v>11595.1</v>
      </c>
      <c r="AB161" s="8">
        <v>8978</v>
      </c>
      <c r="AC161" s="8">
        <v>2617.1000000000004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72</v>
      </c>
      <c r="AI161" s="1">
        <v>3</v>
      </c>
      <c r="AJ161" s="3">
        <v>45825</v>
      </c>
      <c r="AK161" s="3">
        <v>0</v>
      </c>
      <c r="AL161" s="3">
        <v>45815</v>
      </c>
      <c r="AM161" s="3">
        <v>45822</v>
      </c>
      <c r="AN161" s="3">
        <v>45823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260.08158222222227</v>
      </c>
    </row>
    <row r="162" spans="1:56" ht="27.75" customHeight="1" x14ac:dyDescent="0.45">
      <c r="A162" s="3" t="s">
        <v>141</v>
      </c>
      <c r="B162" s="14" t="s">
        <v>141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223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223</v>
      </c>
      <c r="AA163" s="8">
        <v>36461.699999999997</v>
      </c>
      <c r="AB163" s="8">
        <v>8978</v>
      </c>
      <c r="AC163" s="8">
        <v>27483.699999999997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224</v>
      </c>
      <c r="BD163" s="56">
        <v>0</v>
      </c>
    </row>
    <row r="164" spans="1:56" ht="27.75" customHeight="1" x14ac:dyDescent="0.45">
      <c r="A164" s="3">
        <v>45723</v>
      </c>
      <c r="B164" s="14" t="s">
        <v>301</v>
      </c>
      <c r="C164" s="9" t="s">
        <v>113</v>
      </c>
      <c r="D164" s="13" t="s">
        <v>153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248</v>
      </c>
      <c r="AG164" s="1" t="s">
        <v>119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431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432</v>
      </c>
      <c r="C165" s="9" t="s">
        <v>113</v>
      </c>
      <c r="D165" s="13" t="s">
        <v>59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45814</v>
      </c>
      <c r="U165" s="11">
        <v>15000</v>
      </c>
      <c r="V165" s="10">
        <v>0</v>
      </c>
      <c r="W165" s="10">
        <v>15000</v>
      </c>
      <c r="X165" s="10">
        <v>0</v>
      </c>
      <c r="Y165" s="10">
        <v>0</v>
      </c>
      <c r="Z165" s="9" t="s">
        <v>89</v>
      </c>
      <c r="AA165" s="8">
        <v>18649.949999999997</v>
      </c>
      <c r="AB165" s="8">
        <v>18649.949999999997</v>
      </c>
      <c r="AC165" s="8">
        <v>0</v>
      </c>
      <c r="AD165" s="8">
        <v>0</v>
      </c>
      <c r="AE165" s="8">
        <v>18649.949999999997</v>
      </c>
      <c r="AF165" s="8" t="s">
        <v>248</v>
      </c>
      <c r="AG165" s="1" t="s">
        <v>119</v>
      </c>
      <c r="AH165" s="1" t="s">
        <v>398</v>
      </c>
      <c r="AI165" s="1">
        <v>2</v>
      </c>
      <c r="AJ165" s="3">
        <v>45814</v>
      </c>
      <c r="AK165" s="3">
        <v>0</v>
      </c>
      <c r="AL165" s="3">
        <v>0</v>
      </c>
      <c r="AM165" s="3">
        <v>0</v>
      </c>
      <c r="AN165" s="3">
        <v>0</v>
      </c>
      <c r="AO165" s="3">
        <v>45812</v>
      </c>
      <c r="AP165" s="3">
        <v>45809</v>
      </c>
      <c r="AQ165" s="3">
        <v>45813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152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433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45825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248</v>
      </c>
      <c r="AG166" s="1" t="s">
        <v>120</v>
      </c>
      <c r="AH166" s="1" t="s">
        <v>398</v>
      </c>
      <c r="AI166" s="1">
        <v>2</v>
      </c>
      <c r="AJ166" s="3">
        <v>45825</v>
      </c>
      <c r="AK166" s="3">
        <v>0</v>
      </c>
      <c r="AL166" s="3">
        <v>0</v>
      </c>
      <c r="AM166" s="3">
        <v>0</v>
      </c>
      <c r="AN166" s="3">
        <v>0</v>
      </c>
      <c r="AO166" s="3">
        <v>45823</v>
      </c>
      <c r="AP166" s="3">
        <v>45820</v>
      </c>
      <c r="AQ166" s="3">
        <v>45824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120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89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109</v>
      </c>
      <c r="BD167" s="56">
        <v>0</v>
      </c>
    </row>
    <row r="168" spans="1:56" ht="27.75" customHeight="1" x14ac:dyDescent="0.45">
      <c r="A168" s="3">
        <v>45800</v>
      </c>
      <c r="B168" s="14" t="s">
        <v>429</v>
      </c>
      <c r="C168" s="9" t="s">
        <v>158</v>
      </c>
      <c r="D168" s="13" t="s">
        <v>159</v>
      </c>
      <c r="E168" s="9">
        <v>28</v>
      </c>
      <c r="F168" s="9">
        <v>41</v>
      </c>
      <c r="G168" s="9" t="s">
        <v>60</v>
      </c>
      <c r="H168" s="9">
        <v>0</v>
      </c>
      <c r="I168" s="9">
        <v>120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45824</v>
      </c>
      <c r="U168" s="11">
        <v>50000</v>
      </c>
      <c r="V168" s="10">
        <v>0</v>
      </c>
      <c r="W168" s="10">
        <v>50000</v>
      </c>
      <c r="X168" s="10">
        <v>0</v>
      </c>
      <c r="Y168" s="10">
        <v>52500</v>
      </c>
      <c r="Z168" s="9" t="s">
        <v>132</v>
      </c>
      <c r="AA168" s="8">
        <v>59372.5</v>
      </c>
      <c r="AB168" s="8">
        <v>23982</v>
      </c>
      <c r="AC168" s="8">
        <v>35390.5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160</v>
      </c>
      <c r="AI168" s="1">
        <v>2</v>
      </c>
      <c r="AJ168" s="3">
        <v>45824</v>
      </c>
      <c r="AK168" s="3">
        <v>0</v>
      </c>
      <c r="AL168" s="3">
        <v>45815</v>
      </c>
      <c r="AM168" s="3">
        <v>45822</v>
      </c>
      <c r="AN168" s="3">
        <v>0</v>
      </c>
      <c r="AO168" s="3">
        <v>45823</v>
      </c>
      <c r="AP168" s="3">
        <v>45819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3977.4989722222226</v>
      </c>
    </row>
    <row r="169" spans="1:56" ht="27.75" customHeight="1" x14ac:dyDescent="0.45">
      <c r="A169" s="3" t="s">
        <v>141</v>
      </c>
      <c r="B169" s="14" t="s">
        <v>141</v>
      </c>
      <c r="C169" s="9" t="s">
        <v>113</v>
      </c>
      <c r="D169" s="13" t="s">
        <v>59</v>
      </c>
      <c r="E169" s="9">
        <v>28</v>
      </c>
      <c r="F169" s="9">
        <v>47</v>
      </c>
      <c r="G169" s="9" t="s">
        <v>60</v>
      </c>
      <c r="H169" s="9" t="s">
        <v>66</v>
      </c>
      <c r="I169" s="9">
        <v>180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45838</v>
      </c>
      <c r="U169" s="11">
        <v>10000</v>
      </c>
      <c r="V169" s="10">
        <v>0</v>
      </c>
      <c r="W169" s="10">
        <v>10000</v>
      </c>
      <c r="X169" s="10">
        <v>0</v>
      </c>
      <c r="Y169" s="10">
        <v>0</v>
      </c>
      <c r="Z169" s="9" t="s">
        <v>132</v>
      </c>
      <c r="AA169" s="8">
        <v>13550.900000000001</v>
      </c>
      <c r="AB169" s="8">
        <v>0</v>
      </c>
      <c r="AC169" s="8">
        <v>13550.900000000001</v>
      </c>
      <c r="AD169" s="8">
        <v>0</v>
      </c>
      <c r="AE169" s="8">
        <v>13550.900000000001</v>
      </c>
      <c r="AF169" s="8">
        <v>0</v>
      </c>
      <c r="AG169" s="1">
        <v>0</v>
      </c>
      <c r="AH169" s="1" t="s">
        <v>77</v>
      </c>
      <c r="AI169" s="1">
        <v>1</v>
      </c>
      <c r="AJ169" s="3">
        <v>45838</v>
      </c>
      <c r="AK169" s="3">
        <v>0</v>
      </c>
      <c r="AL169" s="3">
        <v>0</v>
      </c>
      <c r="AM169" s="3">
        <v>0</v>
      </c>
      <c r="AN169" s="3">
        <v>0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 t="s">
        <v>404</v>
      </c>
      <c r="AZ169" s="2">
        <v>0</v>
      </c>
      <c r="BA169" s="2">
        <v>0</v>
      </c>
      <c r="BB169" s="2">
        <v>0</v>
      </c>
      <c r="BC169" s="1" t="s">
        <v>107</v>
      </c>
      <c r="BD169" s="56">
        <v>1522.9705944444447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28</v>
      </c>
      <c r="F170" s="9">
        <v>43</v>
      </c>
      <c r="G170" s="9">
        <v>0</v>
      </c>
      <c r="H170" s="9">
        <v>0</v>
      </c>
      <c r="I170" s="9">
        <v>130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132</v>
      </c>
      <c r="AA170" s="8">
        <v>72923.399999999994</v>
      </c>
      <c r="AB170" s="8">
        <v>23982</v>
      </c>
      <c r="AC170" s="8">
        <v>48941.4</v>
      </c>
      <c r="AD170" s="8">
        <v>0</v>
      </c>
      <c r="AE170" s="8">
        <v>13550.900000000001</v>
      </c>
      <c r="AF170" s="8" t="s">
        <v>58</v>
      </c>
      <c r="AG170" s="1">
        <v>0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161</v>
      </c>
      <c r="BD170" s="56">
        <v>0</v>
      </c>
    </row>
  </sheetData>
  <autoFilter ref="A5:BD17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0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73F2-5870-4645-9CD1-63C51FA30CA9}">
  <sheetPr>
    <tabColor rgb="FFFFFF00"/>
  </sheetPr>
  <dimension ref="A1:BD171"/>
  <sheetViews>
    <sheetView zoomScale="80" zoomScaleNormal="80" workbookViewId="0">
      <selection activeCell="D18" sqref="D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45811</v>
      </c>
      <c r="E3" s="82" t="s">
        <v>52</v>
      </c>
      <c r="F3" s="82"/>
      <c r="G3" s="83">
        <v>11.03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413</v>
      </c>
      <c r="C6" s="9" t="s">
        <v>390</v>
      </c>
      <c r="D6" s="13" t="s">
        <v>391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393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45805</v>
      </c>
      <c r="B10" s="14" t="s">
        <v>434</v>
      </c>
      <c r="C10" s="9" t="s">
        <v>435</v>
      </c>
      <c r="D10" s="13" t="s">
        <v>436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9000</v>
      </c>
      <c r="Y10" s="10">
        <v>1260</v>
      </c>
      <c r="Z10" s="9" t="s">
        <v>324</v>
      </c>
      <c r="AA10" s="8">
        <v>968.12100000000009</v>
      </c>
      <c r="AB10" s="8">
        <v>968.12100000000009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119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324</v>
      </c>
      <c r="AA11" s="8">
        <v>968.12100000000009</v>
      </c>
      <c r="AB11" s="8">
        <v>968.12100000000009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325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387</v>
      </c>
      <c r="C14" s="9" t="s">
        <v>184</v>
      </c>
      <c r="D14" s="13" t="s">
        <v>374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311</v>
      </c>
      <c r="AG14" s="1" t="s">
        <v>120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387</v>
      </c>
      <c r="C15" s="9" t="s">
        <v>184</v>
      </c>
      <c r="D15" s="13" t="s">
        <v>351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311</v>
      </c>
      <c r="AG15" s="1" t="s">
        <v>119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437</v>
      </c>
      <c r="C16" s="9" t="s">
        <v>339</v>
      </c>
      <c r="D16" s="13" t="s">
        <v>438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430</v>
      </c>
      <c r="AG16" s="1" t="s">
        <v>120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388</v>
      </c>
      <c r="C17" s="9" t="s">
        <v>184</v>
      </c>
      <c r="D17" s="13" t="s">
        <v>374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311</v>
      </c>
      <c r="AG17" s="1" t="s">
        <v>121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233</v>
      </c>
      <c r="D19" s="13" t="s">
        <v>234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180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375</v>
      </c>
      <c r="C20" s="9" t="s">
        <v>142</v>
      </c>
      <c r="D20" s="13" t="s">
        <v>129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376</v>
      </c>
      <c r="C21" s="9" t="s">
        <v>142</v>
      </c>
      <c r="D21" s="13" t="s">
        <v>225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375</v>
      </c>
      <c r="C22" s="9" t="s">
        <v>142</v>
      </c>
      <c r="D22" s="13" t="s">
        <v>129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180</v>
      </c>
      <c r="AA22" s="8">
        <v>35204.400000000001</v>
      </c>
      <c r="AB22" s="8">
        <v>35204.400000000001</v>
      </c>
      <c r="AC22" s="8">
        <v>0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45797</v>
      </c>
      <c r="B23" s="14" t="s">
        <v>376</v>
      </c>
      <c r="C23" s="9" t="s">
        <v>142</v>
      </c>
      <c r="D23" s="13" t="s">
        <v>225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180</v>
      </c>
      <c r="AA23" s="8">
        <v>26403.3</v>
      </c>
      <c r="AB23" s="8">
        <v>12156</v>
      </c>
      <c r="AC23" s="8">
        <v>14247.3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1034.6705866666668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70967.600000000006</v>
      </c>
      <c r="AB24" s="8">
        <v>56720.3</v>
      </c>
      <c r="AC24" s="8">
        <v>14247.3</v>
      </c>
      <c r="AD24" s="8">
        <v>0</v>
      </c>
      <c r="AE24" s="8">
        <v>0</v>
      </c>
      <c r="AF24" s="8" t="s">
        <v>58</v>
      </c>
      <c r="AG24" s="1" t="s">
        <v>120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45808</v>
      </c>
      <c r="B25" s="14" t="s">
        <v>447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45814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186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994.40695200000005</v>
      </c>
    </row>
    <row r="26" spans="1:56" ht="27.75" customHeight="1" x14ac:dyDescent="0.45">
      <c r="A26" s="3">
        <v>45808</v>
      </c>
      <c r="B26" s="14" t="s">
        <v>447</v>
      </c>
      <c r="C26" s="9" t="s">
        <v>73</v>
      </c>
      <c r="D26" s="13">
        <v>997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120</v>
      </c>
      <c r="AH26" s="1" t="s">
        <v>74</v>
      </c>
      <c r="AI26" s="1">
        <v>2</v>
      </c>
      <c r="AJ26" s="3">
        <v>45814</v>
      </c>
      <c r="AK26" s="3">
        <v>0</v>
      </c>
      <c r="AL26" s="3">
        <v>45805</v>
      </c>
      <c r="AM26" s="3">
        <v>45812</v>
      </c>
      <c r="AN26" s="3">
        <v>45813</v>
      </c>
      <c r="AO26" s="3">
        <v>45813</v>
      </c>
      <c r="AP26" s="3">
        <v>45809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331.46898400000003</v>
      </c>
    </row>
    <row r="27" spans="1:56" ht="27.75" customHeight="1" x14ac:dyDescent="0.45">
      <c r="A27" s="3">
        <v>45808</v>
      </c>
      <c r="B27" s="14" t="s">
        <v>447</v>
      </c>
      <c r="C27" s="9" t="s">
        <v>73</v>
      </c>
      <c r="D27" s="13">
        <v>913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45814</v>
      </c>
      <c r="AK27" s="3">
        <v>0</v>
      </c>
      <c r="AL27" s="3">
        <v>45805</v>
      </c>
      <c r="AM27" s="3">
        <v>45812</v>
      </c>
      <c r="AN27" s="3">
        <v>45813</v>
      </c>
      <c r="AO27" s="3">
        <v>45813</v>
      </c>
      <c r="AP27" s="3">
        <v>45809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331.46898400000003</v>
      </c>
    </row>
    <row r="28" spans="1:56" ht="27.75" customHeight="1" x14ac:dyDescent="0.45">
      <c r="A28" s="3">
        <v>45808</v>
      </c>
      <c r="B28" s="14" t="s">
        <v>447</v>
      </c>
      <c r="C28" s="9" t="s">
        <v>73</v>
      </c>
      <c r="D28" s="13" t="s">
        <v>448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122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331.46898400000003</v>
      </c>
    </row>
    <row r="29" spans="1:56" ht="27.75" customHeight="1" x14ac:dyDescent="0.45">
      <c r="A29" s="3">
        <v>45808</v>
      </c>
      <c r="B29" s="14" t="s">
        <v>447</v>
      </c>
      <c r="C29" s="9" t="s">
        <v>73</v>
      </c>
      <c r="D29" s="13" t="s">
        <v>449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45815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45815</v>
      </c>
      <c r="AK29" s="3">
        <v>0</v>
      </c>
      <c r="AL29" s="3">
        <v>45806</v>
      </c>
      <c r="AM29" s="3">
        <v>45813</v>
      </c>
      <c r="AN29" s="3">
        <v>45814</v>
      </c>
      <c r="AO29" s="3">
        <v>45814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331.46898400000003</v>
      </c>
    </row>
    <row r="30" spans="1:56" ht="27.75" customHeight="1" x14ac:dyDescent="0.45">
      <c r="A30" s="3">
        <v>45808</v>
      </c>
      <c r="B30" s="14" t="s">
        <v>447</v>
      </c>
      <c r="C30" s="9" t="s">
        <v>73</v>
      </c>
      <c r="D30" s="13" t="s">
        <v>349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45815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45815</v>
      </c>
      <c r="AK30" s="3">
        <v>0</v>
      </c>
      <c r="AL30" s="3">
        <v>45806</v>
      </c>
      <c r="AM30" s="3">
        <v>45813</v>
      </c>
      <c r="AN30" s="3">
        <v>45814</v>
      </c>
      <c r="AO30" s="3">
        <v>45814</v>
      </c>
      <c r="AP30" s="3">
        <v>45810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45808</v>
      </c>
      <c r="B31" s="14" t="s">
        <v>450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45815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>
        <v>0</v>
      </c>
      <c r="AG31" s="1" t="s">
        <v>119</v>
      </c>
      <c r="AH31" s="1" t="s">
        <v>77</v>
      </c>
      <c r="AI31" s="1">
        <v>2</v>
      </c>
      <c r="AJ31" s="3">
        <v>45815</v>
      </c>
      <c r="AK31" s="3">
        <v>0</v>
      </c>
      <c r="AL31" s="3">
        <v>0</v>
      </c>
      <c r="AM31" s="3">
        <v>0</v>
      </c>
      <c r="AN31" s="3">
        <v>0</v>
      </c>
      <c r="AO31" s="3">
        <v>45813</v>
      </c>
      <c r="AP31" s="3">
        <v>45810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45808</v>
      </c>
      <c r="B32" s="14" t="s">
        <v>451</v>
      </c>
      <c r="C32" s="9" t="s">
        <v>73</v>
      </c>
      <c r="D32" s="13" t="s">
        <v>183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45818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186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662.93796800000007</v>
      </c>
    </row>
    <row r="33" spans="1:56" ht="27.75" customHeight="1" x14ac:dyDescent="0.45">
      <c r="A33" s="3">
        <v>45808</v>
      </c>
      <c r="B33" s="14" t="s">
        <v>451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45818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45818</v>
      </c>
      <c r="AK33" s="3">
        <v>0</v>
      </c>
      <c r="AL33" s="3">
        <v>45809</v>
      </c>
      <c r="AM33" s="3">
        <v>45816</v>
      </c>
      <c r="AN33" s="3">
        <v>45817</v>
      </c>
      <c r="AO33" s="3">
        <v>45817</v>
      </c>
      <c r="AP33" s="3">
        <v>45813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662.93796800000007</v>
      </c>
    </row>
    <row r="34" spans="1:56" ht="27.75" customHeight="1" x14ac:dyDescent="0.45">
      <c r="A34" s="3">
        <v>45808</v>
      </c>
      <c r="B34" s="14" t="s">
        <v>452</v>
      </c>
      <c r="C34" s="9" t="s">
        <v>73</v>
      </c>
      <c r="D34" s="13" t="s">
        <v>211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150</v>
      </c>
      <c r="T34" s="12">
        <v>45818</v>
      </c>
      <c r="U34" s="11">
        <v>5000</v>
      </c>
      <c r="V34" s="10">
        <v>5502</v>
      </c>
      <c r="W34" s="10">
        <v>0</v>
      </c>
      <c r="X34" s="10">
        <v>5300</v>
      </c>
      <c r="Y34" s="10">
        <v>0</v>
      </c>
      <c r="Z34" s="9" t="s">
        <v>186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74</v>
      </c>
      <c r="AI34" s="1">
        <v>2</v>
      </c>
      <c r="AJ34" s="3">
        <v>45818</v>
      </c>
      <c r="AK34" s="3">
        <v>0</v>
      </c>
      <c r="AL34" s="3">
        <v>45809</v>
      </c>
      <c r="AM34" s="3">
        <v>45816</v>
      </c>
      <c r="AN34" s="3">
        <v>45817</v>
      </c>
      <c r="AO34" s="3">
        <v>45817</v>
      </c>
      <c r="AP34" s="3">
        <v>45813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45808</v>
      </c>
      <c r="B35" s="14" t="s">
        <v>451</v>
      </c>
      <c r="C35" s="9" t="s">
        <v>73</v>
      </c>
      <c r="D35" s="13" t="s">
        <v>222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120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45808</v>
      </c>
      <c r="B36" s="14" t="s">
        <v>452</v>
      </c>
      <c r="C36" s="9" t="s">
        <v>73</v>
      </c>
      <c r="D36" s="13" t="s">
        <v>349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453</v>
      </c>
      <c r="T36" s="12">
        <v>45820</v>
      </c>
      <c r="U36" s="11">
        <v>20000</v>
      </c>
      <c r="V36" s="10">
        <v>0</v>
      </c>
      <c r="W36" s="10">
        <v>20000</v>
      </c>
      <c r="X36" s="10">
        <v>0</v>
      </c>
      <c r="Y36" s="10">
        <v>21000</v>
      </c>
      <c r="Z36" s="9" t="s">
        <v>186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>
        <v>0</v>
      </c>
      <c r="AG36" s="1" t="s">
        <v>61</v>
      </c>
      <c r="AH36" s="1" t="s">
        <v>74</v>
      </c>
      <c r="AI36" s="1">
        <v>2</v>
      </c>
      <c r="AJ36" s="3">
        <v>45820</v>
      </c>
      <c r="AK36" s="3">
        <v>0</v>
      </c>
      <c r="AL36" s="3">
        <v>45811</v>
      </c>
      <c r="AM36" s="3">
        <v>45818</v>
      </c>
      <c r="AN36" s="3">
        <v>45819</v>
      </c>
      <c r="AO36" s="3">
        <v>45819</v>
      </c>
      <c r="AP36" s="3">
        <v>45815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1410.0585351111113</v>
      </c>
    </row>
    <row r="37" spans="1:56" ht="27.75" customHeight="1" x14ac:dyDescent="0.45">
      <c r="A37" s="3">
        <v>45808</v>
      </c>
      <c r="B37" s="14" t="s">
        <v>451</v>
      </c>
      <c r="C37" s="9" t="s">
        <v>73</v>
      </c>
      <c r="D37" s="13" t="s">
        <v>222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121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45808</v>
      </c>
      <c r="B38" s="14" t="s">
        <v>452</v>
      </c>
      <c r="C38" s="9" t="s">
        <v>73</v>
      </c>
      <c r="D38" s="13" t="s">
        <v>349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453</v>
      </c>
      <c r="T38" s="12">
        <v>45825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186</v>
      </c>
      <c r="AA38" s="8">
        <v>14039.85</v>
      </c>
      <c r="AB38" s="8">
        <v>0</v>
      </c>
      <c r="AC38" s="8">
        <v>14039.85</v>
      </c>
      <c r="AD38" s="8">
        <v>0</v>
      </c>
      <c r="AE38" s="8">
        <v>0</v>
      </c>
      <c r="AF38" s="8">
        <v>0</v>
      </c>
      <c r="AG38" s="1" t="s">
        <v>119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1057.5439013333332</v>
      </c>
    </row>
    <row r="39" spans="1:56" ht="27.75" customHeight="1" x14ac:dyDescent="0.45">
      <c r="A39" s="3" t="s">
        <v>141</v>
      </c>
      <c r="B39" s="14" t="s">
        <v>141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>
        <v>45838</v>
      </c>
      <c r="U39" s="11">
        <v>275000</v>
      </c>
      <c r="V39" s="10">
        <v>0</v>
      </c>
      <c r="W39" s="10">
        <v>275000</v>
      </c>
      <c r="X39" s="10">
        <v>0</v>
      </c>
      <c r="Y39" s="10">
        <v>288750</v>
      </c>
      <c r="Z39" s="9" t="s">
        <v>186</v>
      </c>
      <c r="AA39" s="8">
        <v>242030.25</v>
      </c>
      <c r="AB39" s="8">
        <v>63948</v>
      </c>
      <c r="AC39" s="8">
        <v>178082.25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45838</v>
      </c>
      <c r="AK39" s="3">
        <v>0</v>
      </c>
      <c r="AL39" s="3">
        <v>45829</v>
      </c>
      <c r="AM39" s="3">
        <v>45836</v>
      </c>
      <c r="AN39" s="3">
        <v>45837</v>
      </c>
      <c r="AO39" s="3">
        <v>45837</v>
      </c>
      <c r="AP39" s="3">
        <v>45833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13413.946546666668</v>
      </c>
    </row>
    <row r="40" spans="1:56" ht="27.75" customHeight="1" x14ac:dyDescent="0.45">
      <c r="A40" s="3">
        <v>0</v>
      </c>
      <c r="B40" s="14" t="s">
        <v>133</v>
      </c>
      <c r="C40" s="9" t="s">
        <v>73</v>
      </c>
      <c r="D40" s="13" t="s">
        <v>210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150</v>
      </c>
      <c r="T40" s="12" t="s">
        <v>63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186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74</v>
      </c>
      <c r="AI40" s="1">
        <v>2</v>
      </c>
      <c r="AJ40" s="3" t="s">
        <v>63</v>
      </c>
      <c r="AK40" s="3">
        <v>0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186</v>
      </c>
      <c r="AA41" s="8">
        <v>351275.65</v>
      </c>
      <c r="AB41" s="8">
        <v>63948</v>
      </c>
      <c r="AC41" s="8">
        <v>287327.65000000002</v>
      </c>
      <c r="AD41" s="8">
        <v>0</v>
      </c>
      <c r="AE41" s="8">
        <v>0</v>
      </c>
      <c r="AF41" s="8" t="s">
        <v>58</v>
      </c>
      <c r="AG41" s="1" t="s">
        <v>119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188</v>
      </c>
      <c r="BD41" s="56">
        <v>0</v>
      </c>
    </row>
    <row r="42" spans="1:56" ht="27.75" customHeight="1" x14ac:dyDescent="0.45">
      <c r="A42" s="3">
        <v>45803</v>
      </c>
      <c r="B42" s="14" t="s">
        <v>414</v>
      </c>
      <c r="C42" s="9" t="s">
        <v>411</v>
      </c>
      <c r="D42" s="13" t="s">
        <v>415</v>
      </c>
      <c r="E42" s="9">
        <v>19</v>
      </c>
      <c r="F42" s="9">
        <v>34</v>
      </c>
      <c r="G42" s="9" t="s">
        <v>60</v>
      </c>
      <c r="H42" s="9" t="s">
        <v>76</v>
      </c>
      <c r="I42" s="9">
        <v>84</v>
      </c>
      <c r="J42" s="9" t="s">
        <v>57</v>
      </c>
      <c r="K42" s="9">
        <v>5</v>
      </c>
      <c r="L42" s="9" t="s">
        <v>91</v>
      </c>
      <c r="M42" s="10">
        <v>20</v>
      </c>
      <c r="N42" s="9">
        <v>37</v>
      </c>
      <c r="O42" s="9">
        <v>40</v>
      </c>
      <c r="P42" s="10">
        <v>182.56479615999996</v>
      </c>
      <c r="Q42" s="10">
        <v>0</v>
      </c>
      <c r="R42" s="10">
        <v>182.56479615999996</v>
      </c>
      <c r="S42" s="9" t="s">
        <v>67</v>
      </c>
      <c r="T42" s="12">
        <v>45814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249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>
        <v>0</v>
      </c>
      <c r="AG42" s="1" t="s">
        <v>119</v>
      </c>
      <c r="AH42" s="1" t="s">
        <v>68</v>
      </c>
      <c r="AI42" s="1">
        <v>4</v>
      </c>
      <c r="AJ42" s="3">
        <v>45814</v>
      </c>
      <c r="AK42" s="3">
        <v>45810</v>
      </c>
      <c r="AL42" s="3">
        <v>45804</v>
      </c>
      <c r="AM42" s="3">
        <v>45811</v>
      </c>
      <c r="AN42" s="3">
        <v>45812</v>
      </c>
      <c r="AO42" s="3">
        <v>45812</v>
      </c>
      <c r="AP42" s="3">
        <v>45809</v>
      </c>
      <c r="AQ42" s="3">
        <v>45813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249</v>
      </c>
      <c r="AA43" s="8">
        <v>9918.7000000000007</v>
      </c>
      <c r="AB43" s="8">
        <v>9918.7000000000007</v>
      </c>
      <c r="AC43" s="8">
        <v>0</v>
      </c>
      <c r="AD43" s="8">
        <v>0</v>
      </c>
      <c r="AE43" s="8">
        <v>9918.7000000000007</v>
      </c>
      <c r="AF43" s="8" t="s">
        <v>58</v>
      </c>
      <c r="AG43" s="1" t="s">
        <v>120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250</v>
      </c>
      <c r="BD43" s="56">
        <v>0</v>
      </c>
    </row>
    <row r="44" spans="1:56" ht="27.75" customHeight="1" x14ac:dyDescent="0.45">
      <c r="A44" s="3">
        <v>45796</v>
      </c>
      <c r="B44" s="14" t="s">
        <v>377</v>
      </c>
      <c r="C44" s="9" t="s">
        <v>147</v>
      </c>
      <c r="D44" s="13" t="s">
        <v>368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221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503</v>
      </c>
      <c r="V44" s="10">
        <v>0</v>
      </c>
      <c r="W44" s="10">
        <v>503</v>
      </c>
      <c r="X44" s="10">
        <v>5250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214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119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215</v>
      </c>
      <c r="BD45" s="56">
        <v>0</v>
      </c>
    </row>
    <row r="46" spans="1:56" ht="27.75" customHeight="1" x14ac:dyDescent="0.45">
      <c r="A46" s="3" t="s">
        <v>141</v>
      </c>
      <c r="B46" s="14" t="s">
        <v>141</v>
      </c>
      <c r="C46" s="9" t="s">
        <v>340</v>
      </c>
      <c r="D46" s="13" t="s">
        <v>341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45838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146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119</v>
      </c>
      <c r="AH46" s="1" t="s">
        <v>74</v>
      </c>
      <c r="AI46" s="1">
        <v>2</v>
      </c>
      <c r="AJ46" s="3">
        <v>45838</v>
      </c>
      <c r="AK46" s="3">
        <v>0</v>
      </c>
      <c r="AL46" s="3">
        <v>45829</v>
      </c>
      <c r="AM46" s="3">
        <v>45836</v>
      </c>
      <c r="AN46" s="3">
        <v>45837</v>
      </c>
      <c r="AO46" s="3">
        <v>45837</v>
      </c>
      <c r="AP46" s="3">
        <v>45833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146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45796</v>
      </c>
      <c r="B48" s="14" t="s">
        <v>378</v>
      </c>
      <c r="C48" s="9" t="s">
        <v>147</v>
      </c>
      <c r="D48" s="13" t="s">
        <v>369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366</v>
      </c>
      <c r="V48" s="10">
        <v>0</v>
      </c>
      <c r="W48" s="10">
        <v>366</v>
      </c>
      <c r="X48" s="10">
        <v>5113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378</v>
      </c>
      <c r="C49" s="9" t="s">
        <v>147</v>
      </c>
      <c r="D49" s="13" t="s">
        <v>370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3280</v>
      </c>
      <c r="V49" s="10">
        <v>0</v>
      </c>
      <c r="W49" s="10">
        <v>3280</v>
      </c>
      <c r="X49" s="10">
        <v>5975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379</v>
      </c>
      <c r="C50" s="9" t="s">
        <v>147</v>
      </c>
      <c r="D50" s="13" t="s">
        <v>262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45813</v>
      </c>
      <c r="AK50" s="3">
        <v>45809</v>
      </c>
      <c r="AL50" s="3">
        <v>45802</v>
      </c>
      <c r="AM50" s="3">
        <v>45810</v>
      </c>
      <c r="AN50" s="3">
        <v>45811</v>
      </c>
      <c r="AO50" s="3">
        <v>45812</v>
      </c>
      <c r="AP50" s="3">
        <v>45808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379</v>
      </c>
      <c r="C51" s="9" t="s">
        <v>147</v>
      </c>
      <c r="D51" s="13" t="s">
        <v>209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45813</v>
      </c>
      <c r="U51" s="11">
        <v>4349</v>
      </c>
      <c r="V51" s="10">
        <v>0</v>
      </c>
      <c r="W51" s="10">
        <v>4349</v>
      </c>
      <c r="X51" s="10">
        <v>0</v>
      </c>
      <c r="Y51" s="10">
        <v>4566.45</v>
      </c>
      <c r="Z51" s="9" t="s">
        <v>81</v>
      </c>
      <c r="AA51" s="8">
        <v>4556.6647499999999</v>
      </c>
      <c r="AB51" s="8">
        <v>4556.6647499999999</v>
      </c>
      <c r="AC51" s="8">
        <v>0</v>
      </c>
      <c r="AD51" s="8">
        <v>0</v>
      </c>
      <c r="AE51" s="8">
        <v>4556.6647499999999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45813</v>
      </c>
      <c r="AK51" s="3">
        <v>45809</v>
      </c>
      <c r="AL51" s="3">
        <v>45802</v>
      </c>
      <c r="AM51" s="3">
        <v>45810</v>
      </c>
      <c r="AN51" s="3">
        <v>45811</v>
      </c>
      <c r="AO51" s="3">
        <v>45812</v>
      </c>
      <c r="AP51" s="3">
        <v>45808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380</v>
      </c>
      <c r="C52" s="9" t="s">
        <v>147</v>
      </c>
      <c r="D52" s="13" t="s">
        <v>295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179</v>
      </c>
      <c r="V52" s="10">
        <v>0</v>
      </c>
      <c r="W52" s="10">
        <v>179</v>
      </c>
      <c r="X52" s="10">
        <v>11000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380</v>
      </c>
      <c r="C53" s="9" t="s">
        <v>147</v>
      </c>
      <c r="D53" s="13" t="s">
        <v>371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302</v>
      </c>
      <c r="V53" s="10">
        <v>0</v>
      </c>
      <c r="W53" s="10">
        <v>302</v>
      </c>
      <c r="X53" s="10">
        <v>5300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381</v>
      </c>
      <c r="C54" s="9" t="s">
        <v>147</v>
      </c>
      <c r="D54" s="13" t="s">
        <v>136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1200</v>
      </c>
      <c r="V54" s="10">
        <v>0</v>
      </c>
      <c r="W54" s="10">
        <v>1200</v>
      </c>
      <c r="X54" s="10">
        <v>10700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382</v>
      </c>
      <c r="C55" s="9" t="s">
        <v>147</v>
      </c>
      <c r="D55" s="13" t="s">
        <v>154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40000</v>
      </c>
      <c r="V55" s="10">
        <v>0</v>
      </c>
      <c r="W55" s="10">
        <v>40000</v>
      </c>
      <c r="X55" s="10">
        <v>11000</v>
      </c>
      <c r="Y55" s="10">
        <v>30450</v>
      </c>
      <c r="Z55" s="9" t="s">
        <v>81</v>
      </c>
      <c r="AA55" s="8">
        <v>31903.987500000003</v>
      </c>
      <c r="AB55" s="8">
        <v>31903.987500000003</v>
      </c>
      <c r="AC55" s="8">
        <v>0</v>
      </c>
      <c r="AD55" s="8">
        <v>0</v>
      </c>
      <c r="AE55" s="8">
        <v>31903.987500000003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373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330</v>
      </c>
      <c r="C56" s="9" t="s">
        <v>147</v>
      </c>
      <c r="D56" s="13" t="s">
        <v>154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1866</v>
      </c>
      <c r="V56" s="10">
        <v>608</v>
      </c>
      <c r="W56" s="10">
        <v>1258</v>
      </c>
      <c r="X56" s="10">
        <v>0</v>
      </c>
      <c r="Y56" s="10">
        <v>1320.9</v>
      </c>
      <c r="Z56" s="9" t="s">
        <v>81</v>
      </c>
      <c r="AA56" s="8">
        <v>1318.0695000000003</v>
      </c>
      <c r="AB56" s="8">
        <v>1318.0695000000003</v>
      </c>
      <c r="AC56" s="8">
        <v>0</v>
      </c>
      <c r="AD56" s="8">
        <v>0</v>
      </c>
      <c r="AE56" s="8">
        <v>1318.0695000000003</v>
      </c>
      <c r="AF56" s="8" t="s">
        <v>241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383</v>
      </c>
      <c r="C57" s="9" t="s">
        <v>147</v>
      </c>
      <c r="D57" s="13" t="s">
        <v>264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10000</v>
      </c>
      <c r="V57" s="10">
        <v>0</v>
      </c>
      <c r="W57" s="10">
        <v>10000</v>
      </c>
      <c r="X57" s="10">
        <v>7741</v>
      </c>
      <c r="Y57" s="10">
        <v>2371.9500000000003</v>
      </c>
      <c r="Z57" s="9" t="s">
        <v>81</v>
      </c>
      <c r="AA57" s="8">
        <v>2485.2106125000005</v>
      </c>
      <c r="AB57" s="8">
        <v>2485.2106125000005</v>
      </c>
      <c r="AC57" s="8">
        <v>0</v>
      </c>
      <c r="AD57" s="8">
        <v>0</v>
      </c>
      <c r="AE57" s="8">
        <v>2485.2106125000005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45766</v>
      </c>
      <c r="B58" s="14" t="s">
        <v>330</v>
      </c>
      <c r="C58" s="9" t="s">
        <v>147</v>
      </c>
      <c r="D58" s="13" t="s">
        <v>264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45814</v>
      </c>
      <c r="U58" s="11">
        <v>1120</v>
      </c>
      <c r="V58" s="10">
        <v>700</v>
      </c>
      <c r="W58" s="10">
        <v>420</v>
      </c>
      <c r="X58" s="10">
        <v>0</v>
      </c>
      <c r="Y58" s="10">
        <v>441</v>
      </c>
      <c r="Z58" s="9" t="s">
        <v>81</v>
      </c>
      <c r="AA58" s="8">
        <v>440.05500000000006</v>
      </c>
      <c r="AB58" s="8">
        <v>440.05500000000006</v>
      </c>
      <c r="AC58" s="8">
        <v>0</v>
      </c>
      <c r="AD58" s="8">
        <v>0</v>
      </c>
      <c r="AE58" s="8">
        <v>440.05500000000006</v>
      </c>
      <c r="AF58" s="8" t="s">
        <v>241</v>
      </c>
      <c r="AG58" s="1" t="s">
        <v>120</v>
      </c>
      <c r="AH58" s="1" t="s">
        <v>75</v>
      </c>
      <c r="AI58" s="1">
        <v>4</v>
      </c>
      <c r="AJ58" s="3">
        <v>45814</v>
      </c>
      <c r="AK58" s="3">
        <v>45810</v>
      </c>
      <c r="AL58" s="3">
        <v>45803</v>
      </c>
      <c r="AM58" s="3">
        <v>45811</v>
      </c>
      <c r="AN58" s="3">
        <v>45812</v>
      </c>
      <c r="AO58" s="3">
        <v>45813</v>
      </c>
      <c r="AP58" s="3">
        <v>45809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45720</v>
      </c>
      <c r="B59" s="14" t="s">
        <v>297</v>
      </c>
      <c r="C59" s="9" t="s">
        <v>111</v>
      </c>
      <c r="D59" s="13" t="s">
        <v>326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45817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45817</v>
      </c>
      <c r="AK59" s="3">
        <v>45813</v>
      </c>
      <c r="AL59" s="3">
        <v>45806</v>
      </c>
      <c r="AM59" s="3">
        <v>45814</v>
      </c>
      <c r="AN59" s="3">
        <v>45815</v>
      </c>
      <c r="AO59" s="3">
        <v>45816</v>
      </c>
      <c r="AP59" s="3">
        <v>45812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45799</v>
      </c>
      <c r="B60" s="14" t="s">
        <v>416</v>
      </c>
      <c r="C60" s="9" t="s">
        <v>394</v>
      </c>
      <c r="D60" s="13" t="s">
        <v>395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12000</v>
      </c>
      <c r="V60" s="10">
        <v>0</v>
      </c>
      <c r="W60" s="10">
        <v>12000</v>
      </c>
      <c r="X60" s="10">
        <v>0</v>
      </c>
      <c r="Y60" s="10">
        <v>12600</v>
      </c>
      <c r="Z60" s="9" t="s">
        <v>81</v>
      </c>
      <c r="AA60" s="8">
        <v>11902.44</v>
      </c>
      <c r="AB60" s="8">
        <v>11902.44</v>
      </c>
      <c r="AC60" s="8">
        <v>0</v>
      </c>
      <c r="AD60" s="8">
        <v>0</v>
      </c>
      <c r="AE60" s="8">
        <v>11902.44</v>
      </c>
      <c r="AF60" s="8" t="s">
        <v>241</v>
      </c>
      <c r="AG60" s="1" t="s">
        <v>119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416</v>
      </c>
      <c r="C61" s="9" t="s">
        <v>394</v>
      </c>
      <c r="D61" s="13" t="s">
        <v>396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3046</v>
      </c>
      <c r="AC61" s="8">
        <v>4888.96</v>
      </c>
      <c r="AD61" s="8">
        <v>0</v>
      </c>
      <c r="AE61" s="8">
        <v>7934.96</v>
      </c>
      <c r="AF61" s="8" t="s">
        <v>241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369.38808888888889</v>
      </c>
    </row>
    <row r="62" spans="1:56" ht="27.75" customHeight="1" x14ac:dyDescent="0.45">
      <c r="A62" s="3">
        <v>45782</v>
      </c>
      <c r="B62" s="14" t="s">
        <v>367</v>
      </c>
      <c r="C62" s="9" t="s">
        <v>80</v>
      </c>
      <c r="D62" s="13" t="s">
        <v>318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416.92688888888887</v>
      </c>
    </row>
    <row r="63" spans="1:56" ht="27.75" customHeight="1" x14ac:dyDescent="0.45">
      <c r="A63" s="3">
        <v>45756</v>
      </c>
      <c r="B63" s="14" t="s">
        <v>321</v>
      </c>
      <c r="C63" s="9" t="s">
        <v>80</v>
      </c>
      <c r="D63" s="13" t="s">
        <v>322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306</v>
      </c>
      <c r="C64" s="9" t="s">
        <v>80</v>
      </c>
      <c r="D64" s="13" t="s">
        <v>258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454</v>
      </c>
      <c r="C65" s="9" t="s">
        <v>445</v>
      </c>
      <c r="D65" s="13" t="s">
        <v>446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220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417</v>
      </c>
      <c r="C66" s="9" t="s">
        <v>111</v>
      </c>
      <c r="D66" s="13" t="s">
        <v>418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419</v>
      </c>
      <c r="C67" s="9" t="s">
        <v>111</v>
      </c>
      <c r="D67" s="13" t="s">
        <v>420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141</v>
      </c>
      <c r="B68" s="14" t="s">
        <v>141</v>
      </c>
      <c r="C68" s="9" t="s">
        <v>147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421</v>
      </c>
      <c r="C69" s="9" t="s">
        <v>111</v>
      </c>
      <c r="D69" s="13" t="s">
        <v>422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405</v>
      </c>
      <c r="C70" s="9" t="s">
        <v>111</v>
      </c>
      <c r="D70" s="13" t="s">
        <v>397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367</v>
      </c>
      <c r="C71" s="9" t="s">
        <v>80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133</v>
      </c>
      <c r="C72" s="9" t="s">
        <v>147</v>
      </c>
      <c r="D72" s="13" t="s">
        <v>155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298</v>
      </c>
      <c r="C73" s="9" t="s">
        <v>147</v>
      </c>
      <c r="D73" s="13" t="s">
        <v>263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219</v>
      </c>
      <c r="C74" s="9" t="s">
        <v>147</v>
      </c>
      <c r="D74" s="13" t="s">
        <v>127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299</v>
      </c>
      <c r="C75" s="9" t="s">
        <v>147</v>
      </c>
      <c r="D75" s="13" t="s">
        <v>296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141</v>
      </c>
      <c r="B76" s="14" t="s">
        <v>141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141</v>
      </c>
      <c r="B77" s="14" t="s">
        <v>141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269</v>
      </c>
      <c r="C78" s="9" t="s">
        <v>80</v>
      </c>
      <c r="D78" s="13" t="s">
        <v>268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288</v>
      </c>
      <c r="C79" s="9" t="s">
        <v>147</v>
      </c>
      <c r="D79" s="13" t="s">
        <v>198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221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291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266</v>
      </c>
      <c r="C80" s="9" t="s">
        <v>147</v>
      </c>
      <c r="D80" s="13" t="s">
        <v>265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221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290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218</v>
      </c>
      <c r="C81" s="9" t="s">
        <v>147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195</v>
      </c>
      <c r="C82" s="9" t="s">
        <v>147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195</v>
      </c>
      <c r="C83" s="9" t="s">
        <v>147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314</v>
      </c>
      <c r="C84" s="9" t="s">
        <v>80</v>
      </c>
      <c r="D84" s="13" t="s">
        <v>315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137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320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307</v>
      </c>
      <c r="C85" s="9" t="s">
        <v>111</v>
      </c>
      <c r="D85" s="13" t="s">
        <v>305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137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137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320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133</v>
      </c>
      <c r="C86" s="9" t="s">
        <v>111</v>
      </c>
      <c r="D86" s="13" t="s">
        <v>239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137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137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133</v>
      </c>
      <c r="C87" s="9" t="s">
        <v>111</v>
      </c>
      <c r="D87" s="13" t="s">
        <v>257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199</v>
      </c>
      <c r="C88" s="9" t="s">
        <v>111</v>
      </c>
      <c r="D88" s="13" t="s">
        <v>200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203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260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202</v>
      </c>
      <c r="C89" s="9" t="s">
        <v>111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294329.33736250002</v>
      </c>
      <c r="AB91" s="8">
        <v>58963.317362499998</v>
      </c>
      <c r="AC91" s="8">
        <v>235366.02000000005</v>
      </c>
      <c r="AD91" s="8">
        <v>3310.89</v>
      </c>
      <c r="AE91" s="8">
        <v>291018.44736250007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384</v>
      </c>
      <c r="C92" s="9" t="s">
        <v>147</v>
      </c>
      <c r="D92" s="13" t="s">
        <v>372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241</v>
      </c>
      <c r="AG92" s="1" t="s">
        <v>119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352</v>
      </c>
      <c r="C93" s="9" t="s">
        <v>86</v>
      </c>
      <c r="D93" s="13" t="s">
        <v>353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212</v>
      </c>
      <c r="T93" s="12">
        <v>45813</v>
      </c>
      <c r="U93" s="11">
        <v>13000</v>
      </c>
      <c r="V93" s="10">
        <v>12948</v>
      </c>
      <c r="W93" s="10">
        <v>52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247</v>
      </c>
      <c r="AG93" s="1" t="s">
        <v>119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423</v>
      </c>
      <c r="C94" s="9" t="s">
        <v>86</v>
      </c>
      <c r="D94" s="13" t="s">
        <v>353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212</v>
      </c>
      <c r="T94" s="12">
        <v>45813</v>
      </c>
      <c r="U94" s="11">
        <v>5000</v>
      </c>
      <c r="V94" s="10">
        <v>0</v>
      </c>
      <c r="W94" s="10">
        <v>5000</v>
      </c>
      <c r="X94" s="10">
        <v>4260</v>
      </c>
      <c r="Y94" s="10">
        <v>777</v>
      </c>
      <c r="Z94" s="9" t="s">
        <v>82</v>
      </c>
      <c r="AA94" s="8">
        <v>835.81113000000005</v>
      </c>
      <c r="AB94" s="8">
        <v>835.81113000000005</v>
      </c>
      <c r="AC94" s="8">
        <v>0</v>
      </c>
      <c r="AD94" s="8">
        <v>0</v>
      </c>
      <c r="AE94" s="8">
        <v>0</v>
      </c>
      <c r="AF94" s="8" t="s">
        <v>247</v>
      </c>
      <c r="AG94" s="1" t="s">
        <v>121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354</v>
      </c>
      <c r="C95" s="9" t="s">
        <v>86</v>
      </c>
      <c r="D95" s="13" t="s">
        <v>355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212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356</v>
      </c>
      <c r="AG95" s="1" t="s">
        <v>119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357</v>
      </c>
      <c r="C96" s="9" t="s">
        <v>86</v>
      </c>
      <c r="D96" s="13" t="s">
        <v>358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356</v>
      </c>
      <c r="AG96" s="1" t="s">
        <v>120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357</v>
      </c>
      <c r="C97" s="9" t="s">
        <v>86</v>
      </c>
      <c r="D97" s="13" t="s">
        <v>279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40000</v>
      </c>
      <c r="V97" s="10">
        <v>30000</v>
      </c>
      <c r="W97" s="10">
        <v>10000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356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365</v>
      </c>
      <c r="C98" s="9" t="s">
        <v>86</v>
      </c>
      <c r="D98" s="13" t="s">
        <v>360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253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240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439</v>
      </c>
      <c r="C99" s="9" t="s">
        <v>86</v>
      </c>
      <c r="D99" s="13" t="s">
        <v>440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212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356</v>
      </c>
      <c r="AG99" s="1" t="s">
        <v>119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439</v>
      </c>
      <c r="C100" s="9" t="s">
        <v>86</v>
      </c>
      <c r="D100" s="13" t="s">
        <v>338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212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356</v>
      </c>
      <c r="AG100" s="1" t="s">
        <v>119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141</v>
      </c>
      <c r="B101" s="14" t="s">
        <v>141</v>
      </c>
      <c r="C101" s="9" t="s">
        <v>147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77795</v>
      </c>
      <c r="AC101" s="8">
        <v>26980.000000000015</v>
      </c>
      <c r="AD101" s="8">
        <v>0</v>
      </c>
      <c r="AE101" s="8">
        <v>0</v>
      </c>
      <c r="AF101" s="8" t="s">
        <v>241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2062.4711111111124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116367.71113000001</v>
      </c>
      <c r="AB102" s="8">
        <v>89387.711129999996</v>
      </c>
      <c r="AC102" s="8">
        <v>26980.000000000015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133</v>
      </c>
      <c r="C103" s="9" t="s">
        <v>342</v>
      </c>
      <c r="D103" s="13" t="s">
        <v>342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242605</v>
      </c>
      <c r="Y103" s="10">
        <v>1157514.75</v>
      </c>
      <c r="Z103" s="9" t="s">
        <v>343</v>
      </c>
      <c r="AA103" s="8">
        <v>1054168.36057575</v>
      </c>
      <c r="AB103" s="8">
        <v>431970</v>
      </c>
      <c r="AC103" s="8">
        <v>622198.36057575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344</v>
      </c>
      <c r="BD103" s="56">
        <v>54649.756003903371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343</v>
      </c>
      <c r="AA104" s="8">
        <v>1054168.36057575</v>
      </c>
      <c r="AB104" s="8">
        <v>431970</v>
      </c>
      <c r="AC104" s="8">
        <v>622198.36057575</v>
      </c>
      <c r="AD104" s="8">
        <v>0</v>
      </c>
      <c r="AE104" s="8">
        <v>0</v>
      </c>
      <c r="AF104" s="8" t="s">
        <v>58</v>
      </c>
      <c r="AG104" s="1" t="s">
        <v>122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345</v>
      </c>
      <c r="BD104" s="56">
        <v>0</v>
      </c>
    </row>
    <row r="105" spans="1:56" ht="27.75" customHeight="1" x14ac:dyDescent="0.45">
      <c r="A105" s="3">
        <v>45808</v>
      </c>
      <c r="B105" s="14" t="s">
        <v>455</v>
      </c>
      <c r="C105" s="9" t="s">
        <v>185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41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45812</v>
      </c>
      <c r="U105" s="11">
        <v>8500</v>
      </c>
      <c r="V105" s="10">
        <v>8500</v>
      </c>
      <c r="W105" s="10">
        <v>0</v>
      </c>
      <c r="X105" s="10">
        <v>0</v>
      </c>
      <c r="Y105" s="10">
        <v>0</v>
      </c>
      <c r="Z105" s="9" t="s">
        <v>135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398</v>
      </c>
      <c r="AI105" s="1">
        <v>2</v>
      </c>
      <c r="AJ105" s="3">
        <v>45812</v>
      </c>
      <c r="AK105" s="3">
        <v>0</v>
      </c>
      <c r="AL105" s="3">
        <v>0</v>
      </c>
      <c r="AM105" s="3">
        <v>0</v>
      </c>
      <c r="AN105" s="3">
        <v>0</v>
      </c>
      <c r="AO105" s="3">
        <v>45810</v>
      </c>
      <c r="AP105" s="3">
        <v>45807</v>
      </c>
      <c r="AQ105" s="3">
        <v>45811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45803</v>
      </c>
      <c r="B106" s="14" t="s">
        <v>424</v>
      </c>
      <c r="C106" s="9" t="s">
        <v>233</v>
      </c>
      <c r="D106" s="13" t="s">
        <v>412</v>
      </c>
      <c r="E106" s="9">
        <v>21</v>
      </c>
      <c r="F106" s="9">
        <v>34</v>
      </c>
      <c r="G106" s="9" t="s">
        <v>60</v>
      </c>
      <c r="H106" s="9">
        <v>0</v>
      </c>
      <c r="I106" s="9">
        <v>60</v>
      </c>
      <c r="J106" s="9" t="s">
        <v>57</v>
      </c>
      <c r="K106" s="9">
        <v>5</v>
      </c>
      <c r="L106" s="9" t="s">
        <v>93</v>
      </c>
      <c r="M106" s="10">
        <v>22</v>
      </c>
      <c r="N106" s="9">
        <v>36</v>
      </c>
      <c r="O106" s="9">
        <v>40</v>
      </c>
      <c r="P106" s="10">
        <v>195.39367372799995</v>
      </c>
      <c r="Q106" s="10">
        <v>0</v>
      </c>
      <c r="R106" s="10">
        <v>195.39367372799995</v>
      </c>
      <c r="S106" s="9" t="s">
        <v>67</v>
      </c>
      <c r="T106" s="12">
        <v>45814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135</v>
      </c>
      <c r="AA106" s="8">
        <v>9918.7000000000007</v>
      </c>
      <c r="AB106" s="8">
        <v>0</v>
      </c>
      <c r="AC106" s="8">
        <v>9918.7000000000007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72</v>
      </c>
      <c r="AI106" s="1">
        <v>3</v>
      </c>
      <c r="AJ106" s="3">
        <v>45814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45809</v>
      </c>
      <c r="AQ106" s="3">
        <v>45813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676.95127500000001</v>
      </c>
    </row>
    <row r="107" spans="1:56" ht="27.75" customHeight="1" x14ac:dyDescent="0.45">
      <c r="A107" s="3" t="s">
        <v>141</v>
      </c>
      <c r="B107" s="14" t="s">
        <v>141</v>
      </c>
      <c r="C107" s="9" t="s">
        <v>185</v>
      </c>
      <c r="D107" s="13" t="s">
        <v>59</v>
      </c>
      <c r="E107" s="9">
        <v>21</v>
      </c>
      <c r="F107" s="9">
        <v>38</v>
      </c>
      <c r="G107" s="9" t="s">
        <v>60</v>
      </c>
      <c r="H107" s="9">
        <v>0</v>
      </c>
      <c r="I107" s="9">
        <v>69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45838</v>
      </c>
      <c r="U107" s="11">
        <v>5000</v>
      </c>
      <c r="V107" s="10">
        <v>0</v>
      </c>
      <c r="W107" s="10">
        <v>5000</v>
      </c>
      <c r="X107" s="10">
        <v>0</v>
      </c>
      <c r="Y107" s="10">
        <v>0</v>
      </c>
      <c r="Z107" s="9" t="s">
        <v>135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77</v>
      </c>
      <c r="AI107" s="1">
        <v>2</v>
      </c>
      <c r="AJ107" s="3">
        <v>45838</v>
      </c>
      <c r="AK107" s="3">
        <v>0</v>
      </c>
      <c r="AL107" s="3">
        <v>0</v>
      </c>
      <c r="AM107" s="3">
        <v>0</v>
      </c>
      <c r="AN107" s="3">
        <v>0</v>
      </c>
      <c r="AO107" s="3">
        <v>45836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376.6137374999999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</v>
      </c>
      <c r="F108" s="9">
        <v>37</v>
      </c>
      <c r="G108" s="9" t="s">
        <v>60</v>
      </c>
      <c r="H108" s="9">
        <v>0</v>
      </c>
      <c r="I108" s="9">
        <v>67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135</v>
      </c>
      <c r="AA108" s="8">
        <v>15436.85</v>
      </c>
      <c r="AB108" s="8">
        <v>0</v>
      </c>
      <c r="AC108" s="8">
        <v>15436.85</v>
      </c>
      <c r="AD108" s="8">
        <v>0</v>
      </c>
      <c r="AE108" s="8">
        <v>0</v>
      </c>
      <c r="AF108" s="8" t="s">
        <v>58</v>
      </c>
      <c r="AG108" s="1" t="s">
        <v>119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45805</v>
      </c>
      <c r="B109" s="14" t="s">
        <v>434</v>
      </c>
      <c r="C109" s="9" t="s">
        <v>435</v>
      </c>
      <c r="D109" s="13" t="s">
        <v>441</v>
      </c>
      <c r="E109" s="9">
        <v>21</v>
      </c>
      <c r="F109" s="9">
        <v>32</v>
      </c>
      <c r="G109" s="9" t="s">
        <v>60</v>
      </c>
      <c r="H109" s="9">
        <v>0</v>
      </c>
      <c r="I109" s="9">
        <v>70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45813</v>
      </c>
      <c r="U109" s="11">
        <v>4150</v>
      </c>
      <c r="V109" s="10">
        <v>0</v>
      </c>
      <c r="W109" s="10">
        <v>4150</v>
      </c>
      <c r="X109" s="10">
        <v>4500</v>
      </c>
      <c r="Y109" s="10">
        <v>0</v>
      </c>
      <c r="Z109" s="9" t="s">
        <v>327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74</v>
      </c>
      <c r="AI109" s="1">
        <v>2</v>
      </c>
      <c r="AJ109" s="3">
        <v>45813</v>
      </c>
      <c r="AK109" s="3">
        <v>0</v>
      </c>
      <c r="AL109" s="3">
        <v>45804</v>
      </c>
      <c r="AM109" s="3">
        <v>45811</v>
      </c>
      <c r="AN109" s="3">
        <v>45812</v>
      </c>
      <c r="AO109" s="3">
        <v>45812</v>
      </c>
      <c r="AP109" s="3">
        <v>45808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21</v>
      </c>
      <c r="F110" s="9">
        <v>37</v>
      </c>
      <c r="G110" s="9" t="s">
        <v>60</v>
      </c>
      <c r="H110" s="9">
        <v>0</v>
      </c>
      <c r="I110" s="9">
        <v>83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327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58</v>
      </c>
      <c r="AG110" s="1" t="s">
        <v>120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328</v>
      </c>
      <c r="BD110" s="56">
        <v>0</v>
      </c>
    </row>
    <row r="111" spans="1:56" ht="27.75" customHeight="1" x14ac:dyDescent="0.45">
      <c r="A111" s="3">
        <v>45800</v>
      </c>
      <c r="B111" s="14" t="s">
        <v>406</v>
      </c>
      <c r="C111" s="9" t="s">
        <v>80</v>
      </c>
      <c r="D111" s="13" t="s">
        <v>407</v>
      </c>
      <c r="E111" s="9">
        <v>21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42</v>
      </c>
      <c r="O111" s="9">
        <v>40</v>
      </c>
      <c r="P111" s="10">
        <v>113.97964300799998</v>
      </c>
      <c r="Q111" s="10">
        <v>0</v>
      </c>
      <c r="R111" s="10">
        <v>113.97964300799998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10420</v>
      </c>
      <c r="Y111" s="10">
        <v>0</v>
      </c>
      <c r="Z111" s="9" t="s">
        <v>124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45800</v>
      </c>
      <c r="B112" s="14" t="s">
        <v>406</v>
      </c>
      <c r="C112" s="9" t="s">
        <v>80</v>
      </c>
      <c r="D112" s="13" t="s">
        <v>407</v>
      </c>
      <c r="E112" s="9">
        <v>21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42</v>
      </c>
      <c r="O112" s="9">
        <v>40</v>
      </c>
      <c r="P112" s="10">
        <v>113.97964300799998</v>
      </c>
      <c r="Q112" s="10">
        <v>0</v>
      </c>
      <c r="R112" s="10">
        <v>113.97964300799998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124</v>
      </c>
      <c r="AA112" s="8">
        <v>5797.55</v>
      </c>
      <c r="AB112" s="8">
        <v>5797.55</v>
      </c>
      <c r="AC112" s="8">
        <v>0</v>
      </c>
      <c r="AD112" s="8">
        <v>5797.55</v>
      </c>
      <c r="AE112" s="8">
        <v>0</v>
      </c>
      <c r="AF112" s="8">
        <v>0</v>
      </c>
      <c r="AG112" s="1" t="s">
        <v>120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0</v>
      </c>
    </row>
    <row r="113" spans="1:56" ht="27.75" customHeight="1" x14ac:dyDescent="0.45">
      <c r="A113" s="3">
        <v>45799</v>
      </c>
      <c r="B113" s="14" t="s">
        <v>428</v>
      </c>
      <c r="C113" s="9" t="s">
        <v>115</v>
      </c>
      <c r="D113" s="13" t="s">
        <v>300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45814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124</v>
      </c>
      <c r="AA113" s="8">
        <v>53784.500000000007</v>
      </c>
      <c r="AB113" s="8">
        <v>41030</v>
      </c>
      <c r="AC113" s="8">
        <v>12754.500000000007</v>
      </c>
      <c r="AD113" s="8">
        <v>0</v>
      </c>
      <c r="AE113" s="8">
        <v>53784.500000000007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45814</v>
      </c>
      <c r="AK113" s="3">
        <v>45810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917.21861000000035</v>
      </c>
    </row>
    <row r="114" spans="1:56" ht="27.75" customHeight="1" x14ac:dyDescent="0.45">
      <c r="A114" s="3">
        <v>45799</v>
      </c>
      <c r="B114" s="14" t="s">
        <v>428</v>
      </c>
      <c r="C114" s="9" t="s">
        <v>115</v>
      </c>
      <c r="D114" s="13" t="s">
        <v>333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45814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124</v>
      </c>
      <c r="AA114" s="8">
        <v>53784.500000000007</v>
      </c>
      <c r="AB114" s="8">
        <v>0</v>
      </c>
      <c r="AC114" s="8">
        <v>53784.500000000007</v>
      </c>
      <c r="AD114" s="8">
        <v>0</v>
      </c>
      <c r="AE114" s="8">
        <v>53784.500000000007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45814</v>
      </c>
      <c r="AK114" s="3">
        <v>45810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3867.8226766666667</v>
      </c>
    </row>
    <row r="115" spans="1:56" ht="27.75" customHeight="1" x14ac:dyDescent="0.45">
      <c r="A115" s="3">
        <v>45798</v>
      </c>
      <c r="B115" s="14" t="s">
        <v>409</v>
      </c>
      <c r="C115" s="9" t="s">
        <v>111</v>
      </c>
      <c r="D115" s="13" t="s">
        <v>402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>
        <v>45817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124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120</v>
      </c>
      <c r="AH115" s="1" t="s">
        <v>68</v>
      </c>
      <c r="AI115" s="1">
        <v>4</v>
      </c>
      <c r="AJ115" s="3">
        <v>45817</v>
      </c>
      <c r="AK115" s="3">
        <v>45813</v>
      </c>
      <c r="AL115" s="3">
        <v>45807</v>
      </c>
      <c r="AM115" s="3">
        <v>45814</v>
      </c>
      <c r="AN115" s="3">
        <v>45815</v>
      </c>
      <c r="AO115" s="3">
        <v>45815</v>
      </c>
      <c r="AP115" s="3">
        <v>45812</v>
      </c>
      <c r="AQ115" s="3">
        <v>45816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238.09713619999999</v>
      </c>
    </row>
    <row r="116" spans="1:56" ht="27.75" customHeight="1" x14ac:dyDescent="0.45">
      <c r="A116" s="3">
        <v>45799</v>
      </c>
      <c r="B116" s="14" t="s">
        <v>427</v>
      </c>
      <c r="C116" s="9" t="s">
        <v>115</v>
      </c>
      <c r="D116" s="13" t="s">
        <v>399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124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32270.700000000004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2320.6936060000003</v>
      </c>
    </row>
    <row r="117" spans="1:56" ht="27.75" customHeight="1" x14ac:dyDescent="0.45">
      <c r="A117" s="3">
        <v>45799</v>
      </c>
      <c r="B117" s="14" t="s">
        <v>427</v>
      </c>
      <c r="C117" s="9" t="s">
        <v>115</v>
      </c>
      <c r="D117" s="13" t="s">
        <v>350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45821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124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45821</v>
      </c>
      <c r="AK117" s="3">
        <v>45817</v>
      </c>
      <c r="AL117" s="3">
        <v>45811</v>
      </c>
      <c r="AM117" s="3">
        <v>45818</v>
      </c>
      <c r="AN117" s="3">
        <v>45819</v>
      </c>
      <c r="AO117" s="3">
        <v>45819</v>
      </c>
      <c r="AP117" s="3">
        <v>45816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2320.6936060000003</v>
      </c>
    </row>
    <row r="118" spans="1:56" ht="27.75" customHeight="1" x14ac:dyDescent="0.45">
      <c r="A118" s="3">
        <v>45799</v>
      </c>
      <c r="B118" s="14" t="s">
        <v>427</v>
      </c>
      <c r="C118" s="9" t="s">
        <v>115</v>
      </c>
      <c r="D118" s="13" t="s">
        <v>400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45821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124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21513.800000000003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45821</v>
      </c>
      <c r="AK118" s="3">
        <v>45817</v>
      </c>
      <c r="AL118" s="3">
        <v>45811</v>
      </c>
      <c r="AM118" s="3">
        <v>45818</v>
      </c>
      <c r="AN118" s="3">
        <v>45819</v>
      </c>
      <c r="AO118" s="3">
        <v>45819</v>
      </c>
      <c r="AP118" s="3">
        <v>45816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1547.1290706666666</v>
      </c>
    </row>
    <row r="119" spans="1:56" ht="27.75" customHeight="1" x14ac:dyDescent="0.45">
      <c r="A119" s="3">
        <v>45803</v>
      </c>
      <c r="B119" s="14" t="s">
        <v>425</v>
      </c>
      <c r="C119" s="9" t="s">
        <v>111</v>
      </c>
      <c r="D119" s="13" t="s">
        <v>426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>
        <v>45831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124</v>
      </c>
      <c r="AA119" s="8">
        <v>5797.55</v>
      </c>
      <c r="AB119" s="8">
        <v>0</v>
      </c>
      <c r="AC119" s="8">
        <v>5797.55</v>
      </c>
      <c r="AD119" s="8">
        <v>0</v>
      </c>
      <c r="AE119" s="8">
        <v>5797.55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45831</v>
      </c>
      <c r="AK119" s="3">
        <v>45827</v>
      </c>
      <c r="AL119" s="3">
        <v>45821</v>
      </c>
      <c r="AM119" s="3">
        <v>45828</v>
      </c>
      <c r="AN119" s="3">
        <v>45829</v>
      </c>
      <c r="AO119" s="3">
        <v>45829</v>
      </c>
      <c r="AP119" s="3">
        <v>45826</v>
      </c>
      <c r="AQ119" s="3">
        <v>45830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125</v>
      </c>
      <c r="BD119" s="56">
        <v>416.92114566666663</v>
      </c>
    </row>
    <row r="120" spans="1:56" ht="27.75" customHeight="1" x14ac:dyDescent="0.45">
      <c r="A120" s="3" t="s">
        <v>141</v>
      </c>
      <c r="B120" s="14" t="s">
        <v>141</v>
      </c>
      <c r="C120" s="9" t="s">
        <v>115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114</v>
      </c>
      <c r="T120" s="12">
        <v>45838</v>
      </c>
      <c r="U120" s="11">
        <v>130000</v>
      </c>
      <c r="V120" s="10">
        <v>0</v>
      </c>
      <c r="W120" s="10">
        <v>130000</v>
      </c>
      <c r="X120" s="10">
        <v>0</v>
      </c>
      <c r="Y120" s="10">
        <v>136500</v>
      </c>
      <c r="Z120" s="9" t="s">
        <v>124</v>
      </c>
      <c r="AA120" s="8">
        <v>139839.70000000001</v>
      </c>
      <c r="AB120" s="8">
        <v>0</v>
      </c>
      <c r="AC120" s="8">
        <v>139839.70000000001</v>
      </c>
      <c r="AD120" s="8">
        <v>0</v>
      </c>
      <c r="AE120" s="8">
        <v>139839.70000000001</v>
      </c>
      <c r="AF120" s="8">
        <v>0</v>
      </c>
      <c r="AG120" s="1" t="s">
        <v>120</v>
      </c>
      <c r="AH120" s="1" t="s">
        <v>68</v>
      </c>
      <c r="AI120" s="1">
        <v>4</v>
      </c>
      <c r="AJ120" s="3">
        <v>45838</v>
      </c>
      <c r="AK120" s="3">
        <v>45834</v>
      </c>
      <c r="AL120" s="3">
        <v>45828</v>
      </c>
      <c r="AM120" s="3">
        <v>45835</v>
      </c>
      <c r="AN120" s="3">
        <v>45836</v>
      </c>
      <c r="AO120" s="3">
        <v>45836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10056.338959333332</v>
      </c>
    </row>
    <row r="121" spans="1:56" ht="27.75" customHeight="1" x14ac:dyDescent="0.45">
      <c r="A121" s="3">
        <v>45628</v>
      </c>
      <c r="B121" s="14" t="s">
        <v>226</v>
      </c>
      <c r="C121" s="9" t="s">
        <v>113</v>
      </c>
      <c r="D121" s="13" t="s">
        <v>153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114</v>
      </c>
      <c r="T121" s="12">
        <v>45838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124</v>
      </c>
      <c r="AA121" s="8">
        <v>8605.52</v>
      </c>
      <c r="AB121" s="8">
        <v>0</v>
      </c>
      <c r="AC121" s="8">
        <v>8605.52</v>
      </c>
      <c r="AD121" s="8">
        <v>0</v>
      </c>
      <c r="AE121" s="8">
        <v>8605.52</v>
      </c>
      <c r="AF121" s="8">
        <v>0</v>
      </c>
      <c r="AG121" s="1" t="s">
        <v>120</v>
      </c>
      <c r="AH121" s="1" t="s">
        <v>68</v>
      </c>
      <c r="AI121" s="1">
        <v>4</v>
      </c>
      <c r="AJ121" s="3">
        <v>45838</v>
      </c>
      <c r="AK121" s="3">
        <v>45834</v>
      </c>
      <c r="AL121" s="3">
        <v>45828</v>
      </c>
      <c r="AM121" s="3">
        <v>45835</v>
      </c>
      <c r="AN121" s="3">
        <v>45836</v>
      </c>
      <c r="AO121" s="3">
        <v>45836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254</v>
      </c>
      <c r="AZ121" s="2">
        <v>0</v>
      </c>
      <c r="BA121" s="2">
        <v>0</v>
      </c>
      <c r="BB121" s="2">
        <v>0</v>
      </c>
      <c r="BC121" s="1" t="s">
        <v>125</v>
      </c>
      <c r="BD121" s="56">
        <v>618.85162826666658</v>
      </c>
    </row>
    <row r="122" spans="1:56" ht="27.75" customHeight="1" x14ac:dyDescent="0.45">
      <c r="A122" s="3">
        <v>45798</v>
      </c>
      <c r="B122" s="14" t="s">
        <v>408</v>
      </c>
      <c r="C122" s="9" t="s">
        <v>111</v>
      </c>
      <c r="D122" s="13" t="s">
        <v>401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45808</v>
      </c>
      <c r="B123" s="14" t="s">
        <v>456</v>
      </c>
      <c r="C123" s="9" t="s">
        <v>111</v>
      </c>
      <c r="D123" s="13" t="s">
        <v>403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45814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124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120</v>
      </c>
      <c r="AH123" s="1" t="s">
        <v>68</v>
      </c>
      <c r="AI123" s="1">
        <v>4</v>
      </c>
      <c r="AJ123" s="3">
        <v>45814</v>
      </c>
      <c r="AK123" s="3">
        <v>45810</v>
      </c>
      <c r="AL123" s="3">
        <v>45804</v>
      </c>
      <c r="AM123" s="3">
        <v>45811</v>
      </c>
      <c r="AN123" s="3">
        <v>45812</v>
      </c>
      <c r="AO123" s="3">
        <v>45812</v>
      </c>
      <c r="AP123" s="3">
        <v>45809</v>
      </c>
      <c r="AQ123" s="3">
        <v>45813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125</v>
      </c>
      <c r="BD123" s="56">
        <v>793.65712066666651</v>
      </c>
    </row>
    <row r="124" spans="1:56" ht="27.75" customHeight="1" x14ac:dyDescent="0.45">
      <c r="A124" s="3">
        <v>45631</v>
      </c>
      <c r="B124" s="14" t="s">
        <v>230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45838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>
        <v>45631</v>
      </c>
      <c r="B125" s="14" t="s">
        <v>231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124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120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256</v>
      </c>
      <c r="AZ125" s="2">
        <v>0</v>
      </c>
      <c r="BA125" s="2">
        <v>0</v>
      </c>
      <c r="BB125" s="2">
        <v>0</v>
      </c>
      <c r="BC125" s="1" t="s">
        <v>125</v>
      </c>
      <c r="BD125" s="56">
        <v>1237.7032565333332</v>
      </c>
    </row>
    <row r="126" spans="1:56" ht="27.75" customHeight="1" x14ac:dyDescent="0.45">
      <c r="A126" s="3" t="s">
        <v>141</v>
      </c>
      <c r="B126" s="14" t="s">
        <v>141</v>
      </c>
      <c r="C126" s="9" t="s">
        <v>113</v>
      </c>
      <c r="D126" s="13" t="s">
        <v>153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119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773.56453533333331</v>
      </c>
    </row>
    <row r="127" spans="1:56" ht="27.75" customHeight="1" x14ac:dyDescent="0.45">
      <c r="A127" s="3" t="s">
        <v>141</v>
      </c>
      <c r="B127" s="14" t="s">
        <v>141</v>
      </c>
      <c r="C127" s="9" t="s">
        <v>111</v>
      </c>
      <c r="D127" s="13" t="s">
        <v>61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227.95928601599996</v>
      </c>
      <c r="Q127" s="10">
        <v>0</v>
      </c>
      <c r="R127" s="10">
        <v>227.95928601599996</v>
      </c>
      <c r="S127" s="9" t="s">
        <v>67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124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45837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833.84229133333326</v>
      </c>
    </row>
    <row r="128" spans="1:56" ht="27.75" customHeight="1" x14ac:dyDescent="0.45">
      <c r="A128" s="3">
        <v>45066</v>
      </c>
      <c r="B128" s="14" t="s">
        <v>131</v>
      </c>
      <c r="C128" s="9" t="s">
        <v>80</v>
      </c>
      <c r="D128" s="13" t="s">
        <v>130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124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119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396.82856033333326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>
        <v>0</v>
      </c>
      <c r="H129" s="9">
        <v>0</v>
      </c>
      <c r="I129" s="9">
        <v>74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 t="s">
        <v>83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124</v>
      </c>
      <c r="AA129" s="8">
        <v>433614.83</v>
      </c>
      <c r="AB129" s="8">
        <v>46827.55</v>
      </c>
      <c r="AC129" s="8">
        <v>386787.28</v>
      </c>
      <c r="AD129" s="8">
        <v>5797.55</v>
      </c>
      <c r="AE129" s="8">
        <v>427817.28</v>
      </c>
      <c r="AF129" s="8" t="s">
        <v>58</v>
      </c>
      <c r="AG129" s="1" t="s">
        <v>123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126</v>
      </c>
      <c r="BD129" s="56">
        <v>0</v>
      </c>
    </row>
    <row r="130" spans="1:56" ht="27.75" customHeight="1" x14ac:dyDescent="0.45">
      <c r="A130" s="3">
        <v>9</v>
      </c>
      <c r="B130" s="14" t="s">
        <v>366</v>
      </c>
      <c r="C130" s="9" t="s">
        <v>361</v>
      </c>
      <c r="D130" s="13" t="s">
        <v>362</v>
      </c>
      <c r="E130" s="9">
        <v>22</v>
      </c>
      <c r="F130" s="9">
        <v>34</v>
      </c>
      <c r="G130" s="9" t="s">
        <v>60</v>
      </c>
      <c r="H130" s="9" t="s">
        <v>66</v>
      </c>
      <c r="I130" s="9">
        <v>115</v>
      </c>
      <c r="J130" s="9" t="s">
        <v>78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363</v>
      </c>
      <c r="T130" s="12">
        <v>45833</v>
      </c>
      <c r="U130" s="11">
        <v>239700</v>
      </c>
      <c r="V130" s="10">
        <v>0</v>
      </c>
      <c r="W130" s="10">
        <v>239700</v>
      </c>
      <c r="X130" s="10">
        <v>89770</v>
      </c>
      <c r="Y130" s="10">
        <v>157426.5</v>
      </c>
      <c r="Z130" s="9" t="s">
        <v>280</v>
      </c>
      <c r="AA130" s="8">
        <v>156146.62255499998</v>
      </c>
      <c r="AB130" s="8">
        <v>60310</v>
      </c>
      <c r="AC130" s="8">
        <v>95836.62255499998</v>
      </c>
      <c r="AD130" s="8">
        <v>10000</v>
      </c>
      <c r="AE130" s="8">
        <v>146146.62255499998</v>
      </c>
      <c r="AF130" s="8" t="s">
        <v>364</v>
      </c>
      <c r="AG130" s="1" t="s">
        <v>120</v>
      </c>
      <c r="AH130" s="1" t="s">
        <v>68</v>
      </c>
      <c r="AI130" s="1">
        <v>4</v>
      </c>
      <c r="AJ130" s="3">
        <v>45833</v>
      </c>
      <c r="AK130" s="3">
        <v>45829</v>
      </c>
      <c r="AL130" s="3">
        <v>45823</v>
      </c>
      <c r="AM130" s="3">
        <v>45830</v>
      </c>
      <c r="AN130" s="3">
        <v>45831</v>
      </c>
      <c r="AO130" s="3">
        <v>45831</v>
      </c>
      <c r="AP130" s="3">
        <v>45828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10239.823664593232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21.6</v>
      </c>
      <c r="F131" s="9">
        <v>34</v>
      </c>
      <c r="G131" s="9">
        <v>0</v>
      </c>
      <c r="H131" s="9">
        <v>0</v>
      </c>
      <c r="I131" s="9">
        <v>97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280</v>
      </c>
      <c r="AA131" s="8">
        <v>156146.62255499998</v>
      </c>
      <c r="AB131" s="8">
        <v>60310</v>
      </c>
      <c r="AC131" s="8">
        <v>95836.62255499998</v>
      </c>
      <c r="AD131" s="8">
        <v>10000</v>
      </c>
      <c r="AE131" s="8">
        <v>146146.62255499998</v>
      </c>
      <c r="AF131" s="8" t="s">
        <v>58</v>
      </c>
      <c r="AG131" s="1" t="s">
        <v>121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282</v>
      </c>
      <c r="BD131" s="56">
        <v>0</v>
      </c>
    </row>
    <row r="132" spans="1:56" ht="27.75" customHeight="1" x14ac:dyDescent="0.45">
      <c r="A132" s="3">
        <v>45797</v>
      </c>
      <c r="B132" s="14" t="s">
        <v>389</v>
      </c>
      <c r="C132" s="9" t="s">
        <v>235</v>
      </c>
      <c r="D132" s="13" t="s">
        <v>385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1685</v>
      </c>
      <c r="Y132" s="10">
        <v>3480.75</v>
      </c>
      <c r="Z132" s="9" t="s">
        <v>84</v>
      </c>
      <c r="AA132" s="8">
        <v>3841.4601225000001</v>
      </c>
      <c r="AB132" s="8">
        <v>3841.4601225000001</v>
      </c>
      <c r="AC132" s="8">
        <v>0</v>
      </c>
      <c r="AD132" s="8">
        <v>3841.4601225000001</v>
      </c>
      <c r="AE132" s="8">
        <v>0</v>
      </c>
      <c r="AF132" s="8" t="s">
        <v>311</v>
      </c>
      <c r="AG132" s="1" t="s">
        <v>120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389</v>
      </c>
      <c r="C133" s="9" t="s">
        <v>235</v>
      </c>
      <c r="D133" s="13" t="s">
        <v>319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84</v>
      </c>
      <c r="AA133" s="8">
        <v>5518.15</v>
      </c>
      <c r="AB133" s="8">
        <v>5518.15</v>
      </c>
      <c r="AC133" s="8">
        <v>0</v>
      </c>
      <c r="AD133" s="8">
        <v>5518.15</v>
      </c>
      <c r="AE133" s="8">
        <v>0</v>
      </c>
      <c r="AF133" s="8" t="s">
        <v>311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388</v>
      </c>
      <c r="C134" s="9" t="s">
        <v>235</v>
      </c>
      <c r="D134" s="13" t="s">
        <v>232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311</v>
      </c>
      <c r="AG134" s="1" t="s">
        <v>61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>
        <v>45797</v>
      </c>
      <c r="B135" s="14" t="s">
        <v>388</v>
      </c>
      <c r="C135" s="9" t="s">
        <v>235</v>
      </c>
      <c r="D135" s="13" t="s">
        <v>310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45813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84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 t="s">
        <v>311</v>
      </c>
      <c r="AG135" s="1" t="s">
        <v>119</v>
      </c>
      <c r="AH135" s="1" t="s">
        <v>68</v>
      </c>
      <c r="AI135" s="1">
        <v>4</v>
      </c>
      <c r="AJ135" s="3">
        <v>45813</v>
      </c>
      <c r="AK135" s="3">
        <v>45809</v>
      </c>
      <c r="AL135" s="3">
        <v>45803</v>
      </c>
      <c r="AM135" s="3">
        <v>45810</v>
      </c>
      <c r="AN135" s="3">
        <v>45811</v>
      </c>
      <c r="AO135" s="3">
        <v>45811</v>
      </c>
      <c r="AP135" s="3">
        <v>45808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141</v>
      </c>
      <c r="B136" s="14" t="s">
        <v>141</v>
      </c>
      <c r="C136" s="9" t="s">
        <v>259</v>
      </c>
      <c r="D136" s="13" t="s">
        <v>61</v>
      </c>
      <c r="E136" s="9">
        <v>23</v>
      </c>
      <c r="F136" s="9">
        <v>34</v>
      </c>
      <c r="G136" s="9" t="s">
        <v>60</v>
      </c>
      <c r="H136" s="9" t="s">
        <v>66</v>
      </c>
      <c r="I136" s="9">
        <v>92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128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9918.7000000000007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141</v>
      </c>
      <c r="B137" s="14" t="s">
        <v>141</v>
      </c>
      <c r="C137" s="9" t="s">
        <v>259</v>
      </c>
      <c r="D137" s="13" t="s">
        <v>61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93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128</v>
      </c>
      <c r="T137" s="12">
        <v>45838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84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119</v>
      </c>
      <c r="AH137" s="1" t="s">
        <v>72</v>
      </c>
      <c r="AI137" s="1">
        <v>3</v>
      </c>
      <c r="AJ137" s="3">
        <v>45838</v>
      </c>
      <c r="AK137" s="3">
        <v>0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45837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34715.160122500005</v>
      </c>
      <c r="AB138" s="8">
        <v>34715.160122500005</v>
      </c>
      <c r="AC138" s="8">
        <v>0</v>
      </c>
      <c r="AD138" s="8">
        <v>14877.7601225</v>
      </c>
      <c r="AE138" s="8">
        <v>9918.7000000000007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7.75" customHeight="1" x14ac:dyDescent="0.45">
      <c r="A139" s="3" t="s">
        <v>141</v>
      </c>
      <c r="B139" s="14" t="s">
        <v>141</v>
      </c>
      <c r="C139" s="9" t="s">
        <v>251</v>
      </c>
      <c r="D139" s="13" t="s">
        <v>61</v>
      </c>
      <c r="E139" s="9">
        <v>23</v>
      </c>
      <c r="F139" s="9">
        <v>34</v>
      </c>
      <c r="G139" s="9" t="s">
        <v>189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45838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191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74</v>
      </c>
      <c r="AI139" s="1">
        <v>2</v>
      </c>
      <c r="AJ139" s="3">
        <v>45838</v>
      </c>
      <c r="AK139" s="3">
        <v>0</v>
      </c>
      <c r="AL139" s="3">
        <v>45829</v>
      </c>
      <c r="AM139" s="3">
        <v>45836</v>
      </c>
      <c r="AN139" s="3">
        <v>45837</v>
      </c>
      <c r="AO139" s="3">
        <v>45837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800.41704844444439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189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191</v>
      </c>
      <c r="AA140" s="8">
        <v>9918.7000000000007</v>
      </c>
      <c r="AB140" s="8">
        <v>0</v>
      </c>
      <c r="AC140" s="8">
        <v>9918.7000000000007</v>
      </c>
      <c r="AD140" s="8">
        <v>0</v>
      </c>
      <c r="AE140" s="8">
        <v>0</v>
      </c>
      <c r="AF140" s="8">
        <v>0</v>
      </c>
      <c r="AG140" s="1" t="s">
        <v>120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45">
      <c r="A141" s="3">
        <v>45810</v>
      </c>
      <c r="B141" s="14" t="s">
        <v>133</v>
      </c>
      <c r="C141" s="9" t="s">
        <v>457</v>
      </c>
      <c r="D141" s="13" t="s">
        <v>334</v>
      </c>
      <c r="E141" s="9">
        <v>23</v>
      </c>
      <c r="F141" s="9">
        <v>37</v>
      </c>
      <c r="G141" s="9" t="s">
        <v>60</v>
      </c>
      <c r="H141" s="9">
        <v>0</v>
      </c>
      <c r="I141" s="9">
        <v>85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45817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245</v>
      </c>
      <c r="AA141" s="8">
        <v>10756.900000000001</v>
      </c>
      <c r="AB141" s="8">
        <v>6000</v>
      </c>
      <c r="AC141" s="8">
        <v>4756.9000000000015</v>
      </c>
      <c r="AD141" s="8">
        <v>0</v>
      </c>
      <c r="AE141" s="8">
        <v>0</v>
      </c>
      <c r="AF141" s="8" t="s">
        <v>430</v>
      </c>
      <c r="AG141" s="1" t="s">
        <v>119</v>
      </c>
      <c r="AH141" s="1" t="s">
        <v>74</v>
      </c>
      <c r="AI141" s="1">
        <v>2</v>
      </c>
      <c r="AJ141" s="3">
        <v>45817</v>
      </c>
      <c r="AK141" s="3">
        <v>0</v>
      </c>
      <c r="AL141" s="3">
        <v>45808</v>
      </c>
      <c r="AM141" s="3">
        <v>45815</v>
      </c>
      <c r="AN141" s="3">
        <v>45816</v>
      </c>
      <c r="AO141" s="3">
        <v>45816</v>
      </c>
      <c r="AP141" s="3">
        <v>45812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419.40001666666666</v>
      </c>
    </row>
    <row r="142" spans="1:56" ht="27.75" customHeight="1" x14ac:dyDescent="0.45">
      <c r="A142" s="3">
        <v>45727</v>
      </c>
      <c r="B142" s="14" t="s">
        <v>303</v>
      </c>
      <c r="C142" s="9" t="s">
        <v>115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221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</v>
      </c>
      <c r="V142" s="10">
        <v>0</v>
      </c>
      <c r="W142" s="10">
        <v>1000</v>
      </c>
      <c r="X142" s="10">
        <v>0</v>
      </c>
      <c r="Y142" s="10">
        <v>0</v>
      </c>
      <c r="Z142" s="9" t="s">
        <v>245</v>
      </c>
      <c r="AA142" s="8">
        <v>1159.5100000000002</v>
      </c>
      <c r="AB142" s="8">
        <v>0</v>
      </c>
      <c r="AC142" s="8">
        <v>1159.5100000000002</v>
      </c>
      <c r="AD142" s="8">
        <v>0</v>
      </c>
      <c r="AE142" s="8">
        <v>1159.5100000000002</v>
      </c>
      <c r="AF142" s="8" t="s">
        <v>248</v>
      </c>
      <c r="AG142" s="1" t="s">
        <v>119</v>
      </c>
      <c r="AH142" s="1" t="s">
        <v>156</v>
      </c>
      <c r="AI142" s="1">
        <v>2</v>
      </c>
      <c r="AJ142" s="3" t="s">
        <v>63</v>
      </c>
      <c r="AK142" s="3" t="e">
        <v>#VALUE!</v>
      </c>
      <c r="AL142" s="3">
        <v>0</v>
      </c>
      <c r="AM142" s="3">
        <v>0</v>
      </c>
      <c r="AN142" s="3">
        <v>0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152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102.23013166666668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245</v>
      </c>
      <c r="AA143" s="8">
        <v>11916.410000000002</v>
      </c>
      <c r="AB143" s="8">
        <v>6000</v>
      </c>
      <c r="AC143" s="8">
        <v>5916.4100000000017</v>
      </c>
      <c r="AD143" s="8">
        <v>0</v>
      </c>
      <c r="AE143" s="8">
        <v>1159.5100000000002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246</v>
      </c>
      <c r="BD143" s="56">
        <v>0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110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4884.8418431999999</v>
      </c>
      <c r="Q144" s="10">
        <v>0</v>
      </c>
      <c r="R144" s="10">
        <v>4884.8418431999999</v>
      </c>
      <c r="S144" s="9" t="s">
        <v>100</v>
      </c>
      <c r="T144" s="12">
        <v>45838</v>
      </c>
      <c r="U144" s="11">
        <v>150000</v>
      </c>
      <c r="V144" s="10">
        <v>0</v>
      </c>
      <c r="W144" s="10">
        <v>150000</v>
      </c>
      <c r="X144" s="10">
        <v>0</v>
      </c>
      <c r="Y144" s="10">
        <v>157500</v>
      </c>
      <c r="Z144" s="9" t="s">
        <v>101</v>
      </c>
      <c r="AA144" s="8">
        <v>161353.5</v>
      </c>
      <c r="AB144" s="8">
        <v>28504</v>
      </c>
      <c r="AC144" s="8">
        <v>132849.5</v>
      </c>
      <c r="AD144" s="8">
        <v>0</v>
      </c>
      <c r="AE144" s="8">
        <v>0</v>
      </c>
      <c r="AF144" s="8">
        <v>0</v>
      </c>
      <c r="AG144" s="1" t="s">
        <v>120</v>
      </c>
      <c r="AH144" s="1" t="s">
        <v>72</v>
      </c>
      <c r="AI144" s="1">
        <v>3</v>
      </c>
      <c r="AJ144" s="3">
        <v>45838</v>
      </c>
      <c r="AK144" s="3">
        <v>0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17018.500684305556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0</v>
      </c>
      <c r="Q145" s="10">
        <v>0</v>
      </c>
      <c r="R145" s="10">
        <v>0</v>
      </c>
      <c r="S145" s="9" t="s">
        <v>100</v>
      </c>
      <c r="T145" s="12" t="s">
        <v>63</v>
      </c>
      <c r="U145" s="11">
        <v>60000</v>
      </c>
      <c r="V145" s="10">
        <v>60000</v>
      </c>
      <c r="W145" s="10">
        <v>0</v>
      </c>
      <c r="X145" s="10">
        <v>0</v>
      </c>
      <c r="Y145" s="10">
        <v>0</v>
      </c>
      <c r="Z145" s="9" t="s">
        <v>277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278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294</v>
      </c>
      <c r="AZ145" s="2">
        <v>0</v>
      </c>
      <c r="BA145" s="2">
        <v>0</v>
      </c>
      <c r="BB145" s="2">
        <v>0</v>
      </c>
      <c r="BC145" s="1" t="s">
        <v>117</v>
      </c>
      <c r="BD145" s="56">
        <v>0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4722.0137817599998</v>
      </c>
      <c r="Q146" s="10">
        <v>264</v>
      </c>
      <c r="R146" s="10">
        <v>4458.0137817599998</v>
      </c>
      <c r="S146" s="9" t="s">
        <v>100</v>
      </c>
      <c r="T146" s="12" t="s">
        <v>63</v>
      </c>
      <c r="U146" s="11">
        <v>200000</v>
      </c>
      <c r="V146" s="10">
        <v>55000</v>
      </c>
      <c r="W146" s="10">
        <v>145000</v>
      </c>
      <c r="X146" s="10">
        <v>0</v>
      </c>
      <c r="Y146" s="10">
        <v>152250</v>
      </c>
      <c r="Z146" s="9" t="s">
        <v>277</v>
      </c>
      <c r="AA146" s="8">
        <v>155975.05000000002</v>
      </c>
      <c r="AB146" s="8">
        <v>0</v>
      </c>
      <c r="AC146" s="8">
        <v>155975.05000000002</v>
      </c>
      <c r="AD146" s="8">
        <v>0</v>
      </c>
      <c r="AE146" s="8">
        <v>0</v>
      </c>
      <c r="AF146" s="8" t="s">
        <v>278</v>
      </c>
      <c r="AG146" s="1" t="s">
        <v>120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386</v>
      </c>
      <c r="AZ146" s="2">
        <v>0</v>
      </c>
      <c r="BA146" s="2">
        <v>0</v>
      </c>
      <c r="BB146" s="2">
        <v>0</v>
      </c>
      <c r="BC146" s="1" t="s">
        <v>117</v>
      </c>
      <c r="BD146" s="56">
        <v>19980.967148236115</v>
      </c>
    </row>
    <row r="147" spans="1:56" ht="27.75" customHeight="1" x14ac:dyDescent="0.45">
      <c r="A147" s="3">
        <v>45601</v>
      </c>
      <c r="B147" s="14" t="s">
        <v>216</v>
      </c>
      <c r="C147" s="9" t="s">
        <v>94</v>
      </c>
      <c r="D147" s="13" t="s">
        <v>151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277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278</v>
      </c>
      <c r="AG147" s="1" t="s">
        <v>119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45858</v>
      </c>
      <c r="AZ147" s="2">
        <v>0</v>
      </c>
      <c r="BA147" s="2">
        <v>0</v>
      </c>
      <c r="BB147" s="2">
        <v>0</v>
      </c>
      <c r="BC147" s="1" t="s">
        <v>117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216</v>
      </c>
      <c r="C148" s="9" t="s">
        <v>94</v>
      </c>
      <c r="D148" s="13" t="s">
        <v>151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6513.1224575999995</v>
      </c>
      <c r="Q148" s="10">
        <v>0</v>
      </c>
      <c r="R148" s="10">
        <v>6513.1224575999995</v>
      </c>
      <c r="S148" s="9" t="s">
        <v>100</v>
      </c>
      <c r="T148" s="12" t="s">
        <v>63</v>
      </c>
      <c r="U148" s="11">
        <v>200000</v>
      </c>
      <c r="V148" s="10">
        <v>0</v>
      </c>
      <c r="W148" s="10">
        <v>200000</v>
      </c>
      <c r="X148" s="10">
        <v>0</v>
      </c>
      <c r="Y148" s="10">
        <v>210000</v>
      </c>
      <c r="Z148" s="9" t="s">
        <v>101</v>
      </c>
      <c r="AA148" s="8">
        <v>215138.00000000003</v>
      </c>
      <c r="AB148" s="8">
        <v>0</v>
      </c>
      <c r="AC148" s="8">
        <v>215138.00000000003</v>
      </c>
      <c r="AD148" s="8">
        <v>0</v>
      </c>
      <c r="AE148" s="8">
        <v>0</v>
      </c>
      <c r="AF148" s="8" t="s">
        <v>278</v>
      </c>
      <c r="AG148" s="1" t="s">
        <v>119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45889</v>
      </c>
      <c r="AZ148" s="2">
        <v>0</v>
      </c>
      <c r="BA148" s="2">
        <v>0</v>
      </c>
      <c r="BB148" s="2">
        <v>0</v>
      </c>
      <c r="BC148" s="1" t="s">
        <v>117</v>
      </c>
      <c r="BD148" s="56">
        <v>27559.954687222227</v>
      </c>
    </row>
    <row r="149" spans="1:56" ht="27.75" customHeight="1" x14ac:dyDescent="0.45">
      <c r="A149" s="3">
        <v>45601</v>
      </c>
      <c r="B149" s="14" t="s">
        <v>216</v>
      </c>
      <c r="C149" s="9" t="s">
        <v>94</v>
      </c>
      <c r="D149" s="13" t="s">
        <v>151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3461.0081427440637</v>
      </c>
      <c r="Q149" s="10">
        <v>0</v>
      </c>
      <c r="R149" s="10">
        <v>3461.0081427440637</v>
      </c>
      <c r="S149" s="9" t="s">
        <v>100</v>
      </c>
      <c r="T149" s="12" t="s">
        <v>63</v>
      </c>
      <c r="U149" s="11">
        <v>106278</v>
      </c>
      <c r="V149" s="10">
        <v>0</v>
      </c>
      <c r="W149" s="10">
        <v>106278</v>
      </c>
      <c r="X149" s="10">
        <v>0</v>
      </c>
      <c r="Y149" s="10">
        <v>111591.90000000001</v>
      </c>
      <c r="Z149" s="9" t="s">
        <v>101</v>
      </c>
      <c r="AA149" s="8">
        <v>114322.18182000001</v>
      </c>
      <c r="AB149" s="8">
        <v>0</v>
      </c>
      <c r="AC149" s="8">
        <v>114322.18182000001</v>
      </c>
      <c r="AD149" s="8">
        <v>0</v>
      </c>
      <c r="AE149" s="8">
        <v>0</v>
      </c>
      <c r="AF149" s="8" t="s">
        <v>278</v>
      </c>
      <c r="AG149" s="1" t="s">
        <v>119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117</v>
      </c>
      <c r="BD149" s="56">
        <v>14645.084321243019</v>
      </c>
    </row>
    <row r="150" spans="1:56" ht="27.75" customHeight="1" x14ac:dyDescent="0.45">
      <c r="A150" s="3">
        <v>45601</v>
      </c>
      <c r="B150" s="14" t="s">
        <v>216</v>
      </c>
      <c r="C150" s="9" t="s">
        <v>94</v>
      </c>
      <c r="D150" s="13" t="s">
        <v>151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137</v>
      </c>
      <c r="U150" s="11">
        <v>10000</v>
      </c>
      <c r="V150" s="10">
        <v>12607</v>
      </c>
      <c r="W150" s="10">
        <v>0</v>
      </c>
      <c r="X150" s="10">
        <v>56730</v>
      </c>
      <c r="Y150" s="10">
        <v>0</v>
      </c>
      <c r="Z150" s="9" t="s">
        <v>277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 t="s">
        <v>137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281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7.75" customHeight="1" x14ac:dyDescent="0.45">
      <c r="A151" s="3">
        <v>45601</v>
      </c>
      <c r="B151" s="14" t="s">
        <v>216</v>
      </c>
      <c r="C151" s="9" t="s">
        <v>94</v>
      </c>
      <c r="D151" s="13" t="s">
        <v>110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0</v>
      </c>
      <c r="Q151" s="10">
        <v>0</v>
      </c>
      <c r="R151" s="10">
        <v>0</v>
      </c>
      <c r="S151" s="9" t="s">
        <v>100</v>
      </c>
      <c r="T151" s="12" t="s">
        <v>137</v>
      </c>
      <c r="U151" s="11">
        <v>7920</v>
      </c>
      <c r="V151" s="10">
        <v>7920</v>
      </c>
      <c r="W151" s="10">
        <v>0</v>
      </c>
      <c r="X151" s="10">
        <v>12600</v>
      </c>
      <c r="Y151" s="10">
        <v>0</v>
      </c>
      <c r="Z151" s="9" t="s">
        <v>277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72</v>
      </c>
      <c r="AI151" s="1">
        <v>3</v>
      </c>
      <c r="AJ151" s="3" t="s">
        <v>137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117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128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101</v>
      </c>
      <c r="AA152" s="8">
        <v>861926.7318200001</v>
      </c>
      <c r="AB152" s="8">
        <v>28504</v>
      </c>
      <c r="AC152" s="8">
        <v>833422.7318200001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7.75" customHeight="1" x14ac:dyDescent="0.45">
      <c r="A153" s="3">
        <v>45782</v>
      </c>
      <c r="B153" s="14" t="s">
        <v>359</v>
      </c>
      <c r="C153" s="9" t="s">
        <v>145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128</v>
      </c>
      <c r="T153" s="12">
        <v>45814</v>
      </c>
      <c r="U153" s="11">
        <v>5000</v>
      </c>
      <c r="V153" s="10">
        <v>5069</v>
      </c>
      <c r="W153" s="10">
        <v>0</v>
      </c>
      <c r="X153" s="10">
        <v>0</v>
      </c>
      <c r="Y153" s="10">
        <v>0</v>
      </c>
      <c r="Z153" s="9" t="s">
        <v>157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77</v>
      </c>
      <c r="AI153" s="1">
        <v>1</v>
      </c>
      <c r="AJ153" s="3">
        <v>45814</v>
      </c>
      <c r="AK153" s="3">
        <v>0</v>
      </c>
      <c r="AL153" s="3">
        <v>0</v>
      </c>
      <c r="AM153" s="3">
        <v>0</v>
      </c>
      <c r="AN153" s="3">
        <v>0</v>
      </c>
      <c r="AO153" s="3">
        <v>45813</v>
      </c>
      <c r="AP153" s="3">
        <v>45809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45804</v>
      </c>
      <c r="B154" s="14" t="s">
        <v>133</v>
      </c>
      <c r="C154" s="9" t="s">
        <v>145</v>
      </c>
      <c r="D154" s="13" t="s">
        <v>59</v>
      </c>
      <c r="E154" s="9">
        <v>26</v>
      </c>
      <c r="F154" s="9">
        <v>39</v>
      </c>
      <c r="G154" s="9" t="s">
        <v>60</v>
      </c>
      <c r="H154" s="9">
        <v>0</v>
      </c>
      <c r="I154" s="9">
        <v>93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128</v>
      </c>
      <c r="T154" s="12">
        <v>45818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85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77</v>
      </c>
      <c r="AI154" s="1">
        <v>1</v>
      </c>
      <c r="AJ154" s="3">
        <v>45818</v>
      </c>
      <c r="AK154" s="3">
        <v>0</v>
      </c>
      <c r="AL154" s="3">
        <v>0</v>
      </c>
      <c r="AM154" s="3">
        <v>0</v>
      </c>
      <c r="AN154" s="3">
        <v>0</v>
      </c>
      <c r="AO154" s="3">
        <v>45817</v>
      </c>
      <c r="AP154" s="3">
        <v>45813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913.67990999999995</v>
      </c>
    </row>
    <row r="155" spans="1:56" ht="27.75" customHeight="1" x14ac:dyDescent="0.45">
      <c r="A155" s="3">
        <v>45808</v>
      </c>
      <c r="B155" s="14" t="s">
        <v>458</v>
      </c>
      <c r="C155" s="9" t="s">
        <v>252</v>
      </c>
      <c r="D155" s="13" t="s">
        <v>59</v>
      </c>
      <c r="E155" s="9">
        <v>26</v>
      </c>
      <c r="F155" s="9">
        <v>40</v>
      </c>
      <c r="G155" s="9" t="s">
        <v>60</v>
      </c>
      <c r="H155" s="9">
        <v>0</v>
      </c>
      <c r="I155" s="9">
        <v>95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128</v>
      </c>
      <c r="T155" s="12">
        <v>45812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85</v>
      </c>
      <c r="AA155" s="8">
        <v>5797.55</v>
      </c>
      <c r="AB155" s="8">
        <v>0</v>
      </c>
      <c r="AC155" s="8">
        <v>5797.55</v>
      </c>
      <c r="AD155" s="8">
        <v>0</v>
      </c>
      <c r="AE155" s="8">
        <v>0</v>
      </c>
      <c r="AF155" s="8">
        <v>0</v>
      </c>
      <c r="AG155" s="1" t="s">
        <v>119</v>
      </c>
      <c r="AH155" s="1" t="s">
        <v>77</v>
      </c>
      <c r="AI155" s="1">
        <v>1</v>
      </c>
      <c r="AJ155" s="3">
        <v>45812</v>
      </c>
      <c r="AK155" s="3">
        <v>0</v>
      </c>
      <c r="AL155" s="3">
        <v>0</v>
      </c>
      <c r="AM155" s="3">
        <v>0</v>
      </c>
      <c r="AN155" s="3">
        <v>0</v>
      </c>
      <c r="AO155" s="3">
        <v>45811</v>
      </c>
      <c r="AP155" s="3">
        <v>45807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468.1199538888888</v>
      </c>
    </row>
    <row r="156" spans="1:56" ht="27.75" customHeight="1" x14ac:dyDescent="0.45">
      <c r="A156" s="3" t="s">
        <v>141</v>
      </c>
      <c r="B156" s="14" t="s">
        <v>141</v>
      </c>
      <c r="C156" s="9" t="s">
        <v>148</v>
      </c>
      <c r="D156" s="13" t="s">
        <v>59</v>
      </c>
      <c r="E156" s="9">
        <v>26</v>
      </c>
      <c r="F156" s="9">
        <v>42</v>
      </c>
      <c r="G156" s="9" t="s">
        <v>60</v>
      </c>
      <c r="H156" s="9">
        <v>0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45838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85</v>
      </c>
      <c r="AA156" s="8">
        <v>48615.600000000006</v>
      </c>
      <c r="AB156" s="8">
        <v>0</v>
      </c>
      <c r="AC156" s="8">
        <v>48615.600000000006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77</v>
      </c>
      <c r="AI156" s="1">
        <v>1</v>
      </c>
      <c r="AJ156" s="3">
        <v>45838</v>
      </c>
      <c r="AK156" s="3">
        <v>0</v>
      </c>
      <c r="AL156" s="3">
        <v>0</v>
      </c>
      <c r="AM156" s="3">
        <v>0</v>
      </c>
      <c r="AN156" s="3">
        <v>0</v>
      </c>
      <c r="AO156" s="3">
        <v>45837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3925.4396133333335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442</v>
      </c>
      <c r="C158" s="9" t="s">
        <v>196</v>
      </c>
      <c r="D158" s="13" t="s">
        <v>443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204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157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442</v>
      </c>
      <c r="C159" s="9" t="s">
        <v>196</v>
      </c>
      <c r="D159" s="13" t="s">
        <v>444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204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157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157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141</v>
      </c>
      <c r="B161" s="14" t="s">
        <v>141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223</v>
      </c>
      <c r="AA161" s="8">
        <v>12433.3</v>
      </c>
      <c r="AB161" s="8">
        <v>8978</v>
      </c>
      <c r="AC161" s="8">
        <v>3455.2999999999993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343.38003555555554</v>
      </c>
    </row>
    <row r="162" spans="1:56" ht="27.75" customHeight="1" x14ac:dyDescent="0.45">
      <c r="A162" s="3" t="s">
        <v>141</v>
      </c>
      <c r="B162" s="14" t="s">
        <v>141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223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223</v>
      </c>
      <c r="AA163" s="8">
        <v>37299.899999999994</v>
      </c>
      <c r="AB163" s="8">
        <v>8978</v>
      </c>
      <c r="AC163" s="8">
        <v>28321.899999999998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224</v>
      </c>
      <c r="BD163" s="56">
        <v>0</v>
      </c>
    </row>
    <row r="164" spans="1:56" ht="27.75" customHeight="1" x14ac:dyDescent="0.45">
      <c r="A164" s="3">
        <v>45723</v>
      </c>
      <c r="B164" s="14" t="s">
        <v>301</v>
      </c>
      <c r="C164" s="9" t="s">
        <v>113</v>
      </c>
      <c r="D164" s="13" t="s">
        <v>153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248</v>
      </c>
      <c r="AG164" s="1" t="s">
        <v>122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431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410</v>
      </c>
      <c r="C165" s="9" t="s">
        <v>113</v>
      </c>
      <c r="D165" s="13" t="s">
        <v>242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45812</v>
      </c>
      <c r="U165" s="11">
        <v>10000</v>
      </c>
      <c r="V165" s="10">
        <v>997</v>
      </c>
      <c r="W165" s="10">
        <v>9003</v>
      </c>
      <c r="X165" s="10">
        <v>10400</v>
      </c>
      <c r="Y165" s="10">
        <v>0</v>
      </c>
      <c r="Z165" s="9" t="s">
        <v>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248</v>
      </c>
      <c r="AG165" s="1" t="s">
        <v>119</v>
      </c>
      <c r="AH165" s="1" t="s">
        <v>68</v>
      </c>
      <c r="AI165" s="1">
        <v>4</v>
      </c>
      <c r="AJ165" s="3">
        <v>45812</v>
      </c>
      <c r="AK165" s="3">
        <v>45808</v>
      </c>
      <c r="AL165" s="3">
        <v>45802</v>
      </c>
      <c r="AM165" s="3">
        <v>45809</v>
      </c>
      <c r="AN165" s="3">
        <v>45810</v>
      </c>
      <c r="AO165" s="3">
        <v>45810</v>
      </c>
      <c r="AP165" s="3">
        <v>45807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432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45814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248</v>
      </c>
      <c r="AG166" s="1" t="s">
        <v>119</v>
      </c>
      <c r="AH166" s="1" t="s">
        <v>398</v>
      </c>
      <c r="AI166" s="1">
        <v>2</v>
      </c>
      <c r="AJ166" s="3">
        <v>45814</v>
      </c>
      <c r="AK166" s="3">
        <v>0</v>
      </c>
      <c r="AL166" s="3">
        <v>0</v>
      </c>
      <c r="AM166" s="3">
        <v>0</v>
      </c>
      <c r="AN166" s="3">
        <v>0</v>
      </c>
      <c r="AO166" s="3">
        <v>45812</v>
      </c>
      <c r="AP166" s="3">
        <v>45809</v>
      </c>
      <c r="AQ166" s="3">
        <v>45813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45799</v>
      </c>
      <c r="B167" s="14" t="s">
        <v>433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45825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89</v>
      </c>
      <c r="AA167" s="8">
        <v>18649.949999999997</v>
      </c>
      <c r="AB167" s="8">
        <v>18649.949999999997</v>
      </c>
      <c r="AC167" s="8">
        <v>0</v>
      </c>
      <c r="AD167" s="8">
        <v>0</v>
      </c>
      <c r="AE167" s="8">
        <v>18649.949999999997</v>
      </c>
      <c r="AF167" s="8" t="s">
        <v>248</v>
      </c>
      <c r="AG167" s="1" t="s">
        <v>120</v>
      </c>
      <c r="AH167" s="1" t="s">
        <v>398</v>
      </c>
      <c r="AI167" s="1">
        <v>2</v>
      </c>
      <c r="AJ167" s="3">
        <v>45825</v>
      </c>
      <c r="AK167" s="3">
        <v>0</v>
      </c>
      <c r="AL167" s="3">
        <v>0</v>
      </c>
      <c r="AM167" s="3">
        <v>0</v>
      </c>
      <c r="AN167" s="3">
        <v>0</v>
      </c>
      <c r="AO167" s="3">
        <v>45823</v>
      </c>
      <c r="AP167" s="3">
        <v>45820</v>
      </c>
      <c r="AQ167" s="3">
        <v>45824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152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89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109</v>
      </c>
      <c r="BD168" s="56">
        <v>0</v>
      </c>
    </row>
    <row r="169" spans="1:56" ht="27.75" customHeight="1" x14ac:dyDescent="0.45">
      <c r="A169" s="3">
        <v>45800</v>
      </c>
      <c r="B169" s="14" t="s">
        <v>429</v>
      </c>
      <c r="C169" s="9" t="s">
        <v>158</v>
      </c>
      <c r="D169" s="13" t="s">
        <v>159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45824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132</v>
      </c>
      <c r="AA169" s="8">
        <v>59372.5</v>
      </c>
      <c r="AB169" s="8">
        <v>23982</v>
      </c>
      <c r="AC169" s="8">
        <v>35390.5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160</v>
      </c>
      <c r="AI169" s="1">
        <v>2</v>
      </c>
      <c r="AJ169" s="3">
        <v>45824</v>
      </c>
      <c r="AK169" s="3">
        <v>0</v>
      </c>
      <c r="AL169" s="3">
        <v>45815</v>
      </c>
      <c r="AM169" s="3">
        <v>45822</v>
      </c>
      <c r="AN169" s="3">
        <v>0</v>
      </c>
      <c r="AO169" s="3">
        <v>45823</v>
      </c>
      <c r="AP169" s="3">
        <v>45819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3977.4989722222226</v>
      </c>
    </row>
    <row r="170" spans="1:56" ht="27.75" customHeight="1" x14ac:dyDescent="0.45">
      <c r="A170" s="3" t="s">
        <v>141</v>
      </c>
      <c r="B170" s="14" t="s">
        <v>141</v>
      </c>
      <c r="C170" s="9" t="s">
        <v>113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132</v>
      </c>
      <c r="AA170" s="8">
        <v>13550.900000000001</v>
      </c>
      <c r="AB170" s="8">
        <v>0</v>
      </c>
      <c r="AC170" s="8">
        <v>13550.900000000001</v>
      </c>
      <c r="AD170" s="8">
        <v>0</v>
      </c>
      <c r="AE170" s="8">
        <v>13550.900000000001</v>
      </c>
      <c r="AF170" s="8">
        <v>0</v>
      </c>
      <c r="AG170" s="1">
        <v>0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 t="s">
        <v>404</v>
      </c>
      <c r="AZ170" s="2">
        <v>0</v>
      </c>
      <c r="BA170" s="2">
        <v>0</v>
      </c>
      <c r="BB170" s="2">
        <v>0</v>
      </c>
      <c r="BC170" s="1" t="s">
        <v>107</v>
      </c>
      <c r="BD170" s="56">
        <v>1522.9705944444447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28</v>
      </c>
      <c r="F171" s="9">
        <v>43</v>
      </c>
      <c r="G171" s="9">
        <v>0</v>
      </c>
      <c r="H171" s="9">
        <v>0</v>
      </c>
      <c r="I171" s="9">
        <v>130</v>
      </c>
      <c r="J171" s="9" t="s">
        <v>57</v>
      </c>
      <c r="K171" s="9">
        <v>3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132</v>
      </c>
      <c r="AA171" s="8">
        <v>72923.399999999994</v>
      </c>
      <c r="AB171" s="8">
        <v>23982</v>
      </c>
      <c r="AC171" s="8">
        <v>48941.4</v>
      </c>
      <c r="AD171" s="8">
        <v>0</v>
      </c>
      <c r="AE171" s="8">
        <v>13550.900000000001</v>
      </c>
      <c r="AF171" s="8" t="s">
        <v>58</v>
      </c>
      <c r="AG171" s="1">
        <v>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161</v>
      </c>
      <c r="BD171" s="56">
        <v>0</v>
      </c>
    </row>
  </sheetData>
  <autoFilter ref="A5:BD17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18</vt:i4>
      </vt:variant>
      <vt:variant>
        <vt:lpstr>ช่วงที่มีชื่อ</vt:lpstr>
      </vt:variant>
      <vt:variant>
        <vt:i4>7</vt:i4>
      </vt:variant>
    </vt:vector>
  </HeadingPairs>
  <TitlesOfParts>
    <vt:vector size="25" baseType="lpstr">
      <vt:lpstr>Linkสูตรออร์เดอร์  (2)</vt:lpstr>
      <vt:lpstr>4(Order+FC) (-4)</vt:lpstr>
      <vt:lpstr>4(Order+FC)</vt:lpstr>
      <vt:lpstr>7(Order)</vt:lpstr>
      <vt:lpstr>4(Order) แยกลูกค้า</vt:lpstr>
      <vt:lpstr>4(Fc)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ค้างทอ10-6-68</vt:lpstr>
      <vt:lpstr>10-6-68</vt:lpstr>
      <vt:lpstr>9-6-68</vt:lpstr>
      <vt:lpstr>7-6-68</vt:lpstr>
      <vt:lpstr>6-6-68</vt:lpstr>
      <vt:lpstr>5-6-68</vt:lpstr>
      <vt:lpstr>4-6-68</vt:lpstr>
      <vt:lpstr>3-6-68</vt:lpstr>
      <vt:lpstr>'4(Fc) แยกลูกค้า'!Print_Area</vt:lpstr>
      <vt:lpstr>'4(Order) แยกลูกค้า'!Print_Area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2025-06-11T04:05:13Z</dcterms:modified>
</cp:coreProperties>
</file>