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8A49F3EB-36C5-4F78-8825-83218BBDC792}" xr6:coauthVersionLast="47" xr6:coauthVersionMax="47" xr10:uidLastSave="{00000000-0000-0000-0000-000000000000}"/>
  <bookViews>
    <workbookView xWindow="-120" yWindow="-120" windowWidth="29040" windowHeight="15840" tabRatio="762" firstSheet="2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8(Order)" sheetId="4223" r:id="rId7"/>
    <sheet name="6(Order) แยกลูกค้า" sheetId="4123" r:id="rId8"/>
    <sheet name="6(Fc) แยกลูกค้" sheetId="4224" r:id="rId9"/>
    <sheet name="ค้างทอ2-8-68" sheetId="4498" r:id="rId10"/>
    <sheet name="6-8-68" sheetId="4515" r:id="rId11"/>
    <sheet name="5-8-68" sheetId="4514" r:id="rId12"/>
    <sheet name="4-8-68" sheetId="4513" r:id="rId13"/>
    <sheet name="2-8-68" sheetId="4512" r:id="rId14"/>
    <sheet name="1-8-68" sheetId="4511" r:id="rId15"/>
    <sheet name="31-7-68" sheetId="4510" r:id="rId16"/>
    <sheet name="30-7-68" sheetId="4509" r:id="rId17"/>
  </sheets>
  <externalReferences>
    <externalReference r:id="rId18"/>
    <externalReference r:id="rId19"/>
    <externalReference r:id="rId20"/>
  </externalReferences>
  <definedNames>
    <definedName name="_xlnm._FilterDatabase" localSheetId="14" hidden="1">'1-8-68'!$A$5:$BD$197</definedName>
    <definedName name="_xlnm._FilterDatabase" localSheetId="13" hidden="1">'2-8-68'!$A$5:$BD$191</definedName>
    <definedName name="_xlnm._FilterDatabase" localSheetId="16" hidden="1">'30-7-68'!$A$5:$BD$172</definedName>
    <definedName name="_xlnm._FilterDatabase" localSheetId="15" hidden="1">'31-7-68'!$A$5:$BD$179</definedName>
    <definedName name="_xlnm._FilterDatabase" localSheetId="12" hidden="1">'4-8-68'!$A$5:$BD$187</definedName>
    <definedName name="_xlnm._FilterDatabase" localSheetId="11" hidden="1">'5-8-68'!$A$5:$BD$185</definedName>
    <definedName name="_xlnm._FilterDatabase" localSheetId="10" hidden="1">'6-8-68'!$A$5:$BD$196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_xlnm.Print_Area" localSheetId="6">'8(Order)'!$A$1:$G$23</definedName>
    <definedName name="Z_A35135A6_BB02_445F_B09B_908EF37AECE2_.wvu.Cols" localSheetId="14" hidden="1">'1-8-68'!$A:$A,'1-8-68'!$AG:$AG</definedName>
    <definedName name="Z_A35135A6_BB02_445F_B09B_908EF37AECE2_.wvu.Cols" localSheetId="13" hidden="1">'2-8-68'!$A:$A,'2-8-68'!$AG:$AG</definedName>
    <definedName name="Z_A35135A6_BB02_445F_B09B_908EF37AECE2_.wvu.Cols" localSheetId="16" hidden="1">'30-7-68'!$A:$A,'30-7-68'!$AG:$AG</definedName>
    <definedName name="Z_A35135A6_BB02_445F_B09B_908EF37AECE2_.wvu.Cols" localSheetId="15" hidden="1">'31-7-68'!$A:$A,'31-7-68'!$AG:$AG</definedName>
    <definedName name="Z_A35135A6_BB02_445F_B09B_908EF37AECE2_.wvu.Cols" localSheetId="12" hidden="1">'4-8-68'!$A:$A,'4-8-68'!$AG:$AG</definedName>
    <definedName name="Z_A35135A6_BB02_445F_B09B_908EF37AECE2_.wvu.Cols" localSheetId="11" hidden="1">'5-8-68'!$A:$A,'5-8-68'!$AG:$AG</definedName>
    <definedName name="Z_A35135A6_BB02_445F_B09B_908EF37AECE2_.wvu.Cols" localSheetId="10" hidden="1">'6-8-68'!$A:$A,'6-8-68'!$AG:$AG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'1-8-68'!$B$5:$AC$197</definedName>
    <definedName name="Z_A35135A6_BB02_445F_B09B_908EF37AECE2_.wvu.FilterData" localSheetId="13" hidden="1">'2-8-68'!$B$5:$AC$191</definedName>
    <definedName name="Z_A35135A6_BB02_445F_B09B_908EF37AECE2_.wvu.FilterData" localSheetId="16" hidden="1">'30-7-68'!$B$5:$AC$172</definedName>
    <definedName name="Z_A35135A6_BB02_445F_B09B_908EF37AECE2_.wvu.FilterData" localSheetId="15" hidden="1">'31-7-68'!$B$5:$AC$179</definedName>
    <definedName name="Z_A35135A6_BB02_445F_B09B_908EF37AECE2_.wvu.FilterData" localSheetId="12" hidden="1">'4-8-68'!$B$5:$AC$187</definedName>
    <definedName name="Z_A35135A6_BB02_445F_B09B_908EF37AECE2_.wvu.FilterData" localSheetId="11" hidden="1">'5-8-68'!$B$5:$AC$185</definedName>
    <definedName name="Z_A35135A6_BB02_445F_B09B_908EF37AECE2_.wvu.FilterData" localSheetId="10" hidden="1">'6-8-68'!$B$5:$AC$196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'1-8-68'!$2:$2</definedName>
    <definedName name="Z_A35135A6_BB02_445F_B09B_908EF37AECE2_.wvu.Rows" localSheetId="13" hidden="1">'2-8-68'!$2:$2</definedName>
    <definedName name="Z_A35135A6_BB02_445F_B09B_908EF37AECE2_.wvu.Rows" localSheetId="16" hidden="1">'30-7-68'!$2:$2</definedName>
    <definedName name="Z_A35135A6_BB02_445F_B09B_908EF37AECE2_.wvu.Rows" localSheetId="15" hidden="1">'31-7-68'!$2:$2</definedName>
    <definedName name="Z_A35135A6_BB02_445F_B09B_908EF37AECE2_.wvu.Rows" localSheetId="12" hidden="1">'4-8-68'!$2:$2</definedName>
    <definedName name="Z_A35135A6_BB02_445F_B09B_908EF37AECE2_.wvu.Rows" localSheetId="11" hidden="1">'5-8-68'!$2:$2</definedName>
    <definedName name="Z_A35135A6_BB02_445F_B09B_908EF37AECE2_.wvu.Rows" localSheetId="10" hidden="1">'6-8-68'!$2:$2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10" r:id="rId21"/>
    <pivotCache cacheId="111" r:id="rId22"/>
    <pivotCache cacheId="112" r:id="rId23"/>
    <pivotCache cacheId="113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S16" i="4498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s="1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<sst xmlns="http://schemas.openxmlformats.org/spreadsheetml/2006/main" count="19341" uniqueCount="521">
  <si>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</si>
  <si>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</si>
  <si>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</si>
  <si>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</si>
  <si>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</si>
  <si>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</si>
  <si>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</si>
  <si>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</si>
  <si>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</si>
  <si>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</si>
  <si>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</si>
  <si>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</si>
  <si>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</si>
  <si>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</si>
  <si>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</si>
  <si>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</si>
  <si>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</si>
  <si>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</si>
  <si>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</si>
  <si>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</si>
  <si>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</si>
  <si>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</si>
  <si>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</si>
  <si>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</si>
  <si>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</si>
  <si>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</si>
  <si>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</si>
  <si>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</si>
  <si>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</si>
  <si>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</si>
  <si>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</si>
  <si>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</si>
  <si>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</si>
  <si>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</si>
  <si>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</si>
  <si>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</si>
  <si>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</si>
  <si>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</si>
  <si>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</si>
  <si>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</si>
  <si>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</si>
  <si>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</si>
  <si>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</si>
  <si>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</si>
  <si>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</si>
  <si>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</si>
  <si>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</si>
  <si>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</si>
  <si>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</si>
  <si>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</si>
  <si>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</si>
  <si>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</si>
  <si>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</si>
  <si>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</si>
  <si>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</si>
  <si>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</si>
  <si>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</si>
  <si>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</si>
  <si>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</si>
  <si>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</si>
  <si>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</si>
  <si>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</si>
  <si>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</si>
  <si>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</si>
  <si>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</si>
  <si>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</si>
  <si>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</si>
  <si>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</si>
  <si>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</si>
  <si>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</si>
  <si>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</si>
  <si>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</si>
  <si>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</si>
  <si>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</si>
  <si>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</si>
  <si>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</si>
  <si>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</si>
  <si>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</si>
  <si>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</si>
  <si>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</si>
  <si>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</si>
  <si>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</si>
  <si>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</si>
  <si>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</si>
  <si>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</si>
  <si>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</si>
  <si>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</si>
  <si>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</si>
  <si>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</si>
  <si>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</si>
  <si>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</si>
  <si>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</si>
  <si>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</si>
  <si>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</si>
  <si>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</si>
  <si>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</si>
  <si>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</si>
  <si>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</si>
  <si>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</si>
  <si>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</si>
  <si>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</si>
  <si>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</si>
  <si>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</si>
  <si>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</si>
  <si>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</si>
  <si>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</si>
  <si>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</si>
  <si>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</si>
  <si>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</si>
  <si>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</si>
  <si>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</si>
  <si>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</si>
  <si>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</si>
  <si>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</si>
  <si>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</si>
  <si>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</si>
  <si>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</si>
  <si>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</si>
  <si>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</si>
  <si>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</si>
  <si>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</si>
  <si>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</si>
  <si>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</si>
  <si>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</si>
  <si>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</si>
  <si>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</si>
  <si>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</si>
  <si>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</si>
  <si>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</si>
  <si>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</si>
  <si>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</si>
  <si>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</si>
  <si>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</si>
  <si>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</si>
  <si>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</si>
  <si>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</si>
  <si>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</si>
  <si>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</si>
  <si>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</si>
  <si>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</si>
  <si>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</si>
  <si>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</si>
  <si>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</si>
  <si>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</si>
  <si>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</si>
  <si>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</si>
  <si>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</si>
  <si>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</si>
  <si>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</si>
  <si>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</si>
  <si>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</si>
  <si>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</si>
  <si>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</si>
  <si>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</si>
  <si>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</si>
  <si>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</si>
  <si>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</si>
  <si>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</si>
  <si>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</si>
  <si>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</si>
  <si>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</si>
  <si>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</si>
  <si>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</si>
  <si>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</si>
  <si>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</si>
  <si>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</si>
  <si>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</si>
  <si>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</si>
  <si>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</si>
  <si>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</si>
  <si>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</si>
  <si>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</si>
  <si>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</si>
  <si>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</si>
  <si>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</si>
  <si>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</si>
  <si>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</si>
  <si>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</si>
  <si>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</si>
  <si>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</si>
  <si>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</si>
  <si>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</si>
  <si>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</si>
  <si>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</si>
  <si>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</si>
  <si>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</si>
  <si>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</si>
  <si>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</si>
  <si>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</si>
  <si>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</si>
  <si>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</si>
  <si>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</si>
  <si>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</si>
  <si>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</si>
  <si>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</si>
  <si>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</si>
  <si>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</si>
  <si>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</si>
  <si>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</si>
  <si>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</si>
  <si>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</si>
  <si>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</si>
  <si>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</si>
  <si>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</si>
  <si>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</si>
  <si>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</si>
  <si>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</si>
  <si>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</si>
  <si>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</si>
  <si>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</si>
  <si>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</si>
  <si>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</si>
  <si>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</si>
  <si>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</si>
  <si>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</si>
  <si>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</si>
  <si>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</si>
  <si>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</si>
  <si>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</si>
  <si>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</si>
  <si>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</si>
  <si>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</si>
  <si>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</si>
  <si>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</si>
  <si>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</si>
  <si>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</si>
  <si>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</si>
  <si>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</si>
  <si>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</si>
  <si>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</si>
  <si>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</si>
  <si>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</si>
  <si>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</si>
  <si>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</si>
  <si>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</si>
  <si>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</si>
  <si>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</si>
  <si>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</si>
  <si>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</si>
  <si>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</si>
  <si>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</si>
  <si>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</si>
  <si>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</si>
  <si>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</si>
  <si>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</si>
  <si>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</si>
  <si>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</si>
  <si>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</si>
  <si>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</si>
  <si>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</si>
  <si>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</si>
  <si>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</si>
  <si>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</si>
  <si>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</si>
  <si>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</si>
  <si>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</si>
  <si>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</si>
  <si>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</si>
  <si>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</si>
  <si>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</si>
  <si>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</si>
  <si>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</si>
  <si>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</si>
  <si>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</si>
  <si>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</si>
  <si>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</si>
  <si>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</si>
  <si>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</si>
  <si>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</si>
  <si>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</si>
  <si>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</si>
  <si>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</si>
  <si>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</si>
  <si>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</si>
  <si>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</si>
  <si>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</si>
  <si>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</si>
  <si>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</si>
  <si>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</si>
  <si>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</si>
  <si>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</si>
  <si>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</si>
  <si>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</si>
  <si>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</si>
  <si>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</si>
  <si>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</si>
  <si>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</si>
  <si>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</si>
  <si>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</si>
  <si>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</si>
  <si>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</si>
  <si>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</si>
  <si>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</si>
  <si>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</si>
  <si>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</si>
  <si>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WSWTSCL052325650 ผลรวม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</si>
  <si>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</si>
  <si>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</si>
  <si>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</si>
  <si>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</si>
  <si>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</si>
  <si>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</si>
  <si>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</si>
  <si>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</si>
  <si>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</si>
  <si>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</si>
  <si>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</si>
  <si>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</si>
  <si>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</si>
  <si>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</si>
  <si>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</si>
  <si>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</si>
  <si>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</si>
  <si>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</si>
  <si>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</si>
  <si>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</si>
  <si>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</si>
  <si>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</si>
  <si>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บจก.เอ็นบี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</si>
  <si>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</si>
  <si>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</si>
  <si>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</si>
  <si>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</si>
  <si>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</si>
  <si>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WSWT2125800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</si>
  <si>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</si>
  <si>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</si>
  <si>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</si>
  <si>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</si>
  <si>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</si>
  <si>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</si>
  <si>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</si>
  <si>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</si>
  <si>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</si>
  <si>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</si>
  <si>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</si>
  <si>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</si>
  <si>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</si>
  <si>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</si>
  <si>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</si>
  <si>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</si>
  <si>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</si>
  <si>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</si>
  <si>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</si>
  <si>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</si>
  <si>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</si>
  <si>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</si>
  <si>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</si>
  <si>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</si>
  <si>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</si>
  <si>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</si>
  <si>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</si>
  <si>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</si>
  <si>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</si>
  <si>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</si>
  <si>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</si>
  <si>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</si>
  <si>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</si>
  <si>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</si>
  <si>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</si>
  <si>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</si>
  <si>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</si>
  <si>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</si>
  <si>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</si>
  <si>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</si>
  <si>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</si>
  <si>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</si>
  <si>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</si>
  <si>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</si>
  <si>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</si>
  <si>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</si>
  <si>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</si>
  <si>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</si>
  <si>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</si>
  <si>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WSWT1725800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</si>
  <si>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</si>
  <si>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</si>
  <si>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</si>
  <si>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</si>
  <si>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</si>
  <si>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</si>
  <si>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</si>
  <si>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</si>
  <si>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</si>
  <si>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</si>
  <si>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</si>
  <si>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</si>
  <si>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คุณสมบัติ นิมวชิรวัฒนา</t>
  </si>
  <si>
    <t>WSWT2021750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</si>
  <si>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</si>
  <si>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</si>
  <si>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</si>
  <si>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</si>
  <si>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</si>
  <si>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</si>
  <si>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</si>
  <si>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</si>
  <si>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</si>
  <si>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</si>
  <si>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</si>
  <si>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</si>
  <si>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</si>
  <si>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</si>
  <si>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</si>
  <si>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</si>
  <si>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</si>
  <si>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</si>
  <si>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</si>
  <si>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</si>
  <si>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</si>
  <si>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</si>
  <si>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</si>
  <si>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</si>
  <si>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</si>
  <si>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</si>
  <si>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</si>
  <si>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</si>
  <si>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</si>
  <si>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</si>
  <si>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</si>
  <si>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</si>
  <si>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</si>
  <si>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</si>
  <si>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</si>
  <si>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</si>
  <si>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</si>
  <si>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WSWT1725800 ผลรวม</t>
  </si>
  <si>
    <t>WSWT2021750 ผลรวม</t>
  </si>
  <si>
    <t>WSWT2125800 ผลรวม</t>
  </si>
  <si>
    <t>WSWT262575051 ผลรวม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</si>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</sst>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MK68-000933</v>
          </cell>
          <cell r="C16">
            <v>45868</v>
          </cell>
          <cell r="E16" t="str">
            <v>บจก.มารีน ลีดเดอร์</v>
          </cell>
          <cell r="F16" t="str">
            <v>ไม่พิมพ์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24</v>
          </cell>
          <cell r="V16">
            <v>40</v>
          </cell>
          <cell r="X16">
            <v>45882</v>
          </cell>
          <cell r="Z16" t="str">
            <v>500กระสอบแบน</v>
          </cell>
          <cell r="AA16">
            <v>8000</v>
          </cell>
          <cell r="AB16">
            <v>71.052244991999984</v>
          </cell>
          <cell r="AC16">
            <v>0</v>
          </cell>
          <cell r="AD16">
            <v>71.052244991999984</v>
          </cell>
          <cell r="AG16"/>
          <cell r="AI16"/>
          <cell r="AJ16">
            <v>0</v>
          </cell>
          <cell r="AL16">
            <v>8000</v>
          </cell>
          <cell r="AM16"/>
          <cell r="AN16">
            <v>0</v>
          </cell>
          <cell r="AO16" t="str">
            <v>WSWT1425800</v>
          </cell>
          <cell r="AQ16">
            <v>5252.72</v>
          </cell>
          <cell r="AR16">
            <v>5252.72</v>
          </cell>
          <cell r="AS16">
            <v>0</v>
          </cell>
          <cell r="AT16">
            <v>0</v>
          </cell>
          <cell r="AU16">
            <v>5252.72</v>
          </cell>
          <cell r="BZ16" t="str">
            <v>WRWT25800/WRWT25800</v>
          </cell>
          <cell r="CA16">
            <v>0</v>
          </cell>
          <cell r="DL16" t="str">
            <v>P9</v>
          </cell>
          <cell r="DM16">
            <v>3</v>
          </cell>
          <cell r="DN16">
            <v>45882</v>
          </cell>
          <cell r="DP16">
            <v>45877</v>
          </cell>
          <cell r="DQ16">
            <v>45878</v>
          </cell>
          <cell r="DR16"/>
          <cell r="DS16"/>
          <cell r="DT16"/>
          <cell r="DU16">
            <v>45879</v>
          </cell>
          <cell r="DW16">
            <v>45880</v>
          </cell>
          <cell r="DX16"/>
          <cell r="DY16"/>
          <cell r="DZ16"/>
          <cell r="EA16"/>
          <cell r="EB16"/>
          <cell r="EC16" t="str">
            <v>งานเคลือบ+ตัด</v>
          </cell>
          <cell r="ED16"/>
          <cell r="EG16"/>
          <cell r="EH16"/>
          <cell r="EI16"/>
        </row>
        <row r="17">
          <cell r="B17" t="str">
            <v>MK68-000920</v>
          </cell>
          <cell r="C17">
            <v>45860</v>
          </cell>
          <cell r="E17" t="str">
            <v>หจก.ปึงเป้งน้ำ</v>
          </cell>
          <cell r="F17" t="str">
            <v>เกลือตรามือ 10กก.</v>
          </cell>
          <cell r="G17">
            <v>14</v>
          </cell>
          <cell r="H17">
            <v>22</v>
          </cell>
          <cell r="I17" t="str">
            <v>ขาว</v>
          </cell>
          <cell r="J17" t="str">
            <v>ใส</v>
          </cell>
          <cell r="L17">
            <v>42</v>
          </cell>
          <cell r="M17" t="str">
            <v>±</v>
          </cell>
          <cell r="N17">
            <v>5</v>
          </cell>
          <cell r="R17" t="str">
            <v>ไม่</v>
          </cell>
          <cell r="T17" t="str">
            <v>ไม่สวมถุงใน</v>
          </cell>
          <cell r="U17"/>
          <cell r="V17"/>
          <cell r="X17">
            <v>45884</v>
          </cell>
          <cell r="Z17" t="str">
            <v>500กระสอบแบน</v>
          </cell>
          <cell r="AA17">
            <v>10000</v>
          </cell>
          <cell r="AB17">
            <v>0</v>
          </cell>
          <cell r="AC17">
            <v>0</v>
          </cell>
          <cell r="AD17">
            <v>0</v>
          </cell>
          <cell r="AG17"/>
          <cell r="AI17"/>
          <cell r="AJ17">
            <v>0</v>
          </cell>
          <cell r="AL17">
            <v>10000</v>
          </cell>
          <cell r="AM17"/>
          <cell r="AN17">
            <v>10500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0</v>
          </cell>
          <cell r="AU17">
            <v>6565.9000000000005</v>
          </cell>
          <cell r="BZ17" t="str">
            <v>WRWT25800/WRWT25800</v>
          </cell>
          <cell r="CA17">
            <v>0</v>
          </cell>
          <cell r="DL17" t="str">
            <v>P6</v>
          </cell>
          <cell r="DM17">
            <v>4</v>
          </cell>
          <cell r="DN17">
            <v>45884</v>
          </cell>
          <cell r="DP17">
            <v>45879</v>
          </cell>
          <cell r="DQ17">
            <v>45880</v>
          </cell>
          <cell r="DR17">
            <v>45873</v>
          </cell>
          <cell r="DS17">
            <v>45881</v>
          </cell>
          <cell r="DT17">
            <v>45882</v>
          </cell>
          <cell r="DU17">
            <v>45883</v>
          </cell>
          <cell r="DW17"/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/>
          <cell r="G18">
            <v>14</v>
          </cell>
          <cell r="H18">
            <v>22</v>
          </cell>
          <cell r="I18" t="str">
            <v>ขาว</v>
          </cell>
          <cell r="J18"/>
          <cell r="L18">
            <v>36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WSWT1425800</v>
          </cell>
          <cell r="AQ18">
            <v>11818.62</v>
          </cell>
          <cell r="AR18">
            <v>11818.62</v>
          </cell>
          <cell r="AS18">
            <v>0</v>
          </cell>
          <cell r="AT18">
            <v>0</v>
          </cell>
          <cell r="AU18">
            <v>11818.62</v>
          </cell>
          <cell r="BZ18" t="str">
            <v>WRWT140800/WRWT25800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MK68-000868</v>
          </cell>
          <cell r="C19">
            <v>45842</v>
          </cell>
          <cell r="E19" t="str">
            <v>พีมินเนอร์</v>
          </cell>
          <cell r="F19" t="str">
            <v>พี-มินเนอร์ นิวพลัส</v>
          </cell>
          <cell r="G19">
            <v>16</v>
          </cell>
          <cell r="H19">
            <v>28</v>
          </cell>
          <cell r="I19" t="str">
            <v>ขาว</v>
          </cell>
          <cell r="J19" t="str">
            <v>ใส</v>
          </cell>
          <cell r="L19">
            <v>56</v>
          </cell>
          <cell r="M19" t="str">
            <v>±</v>
          </cell>
          <cell r="N19">
            <v>5</v>
          </cell>
          <cell r="R19" t="str">
            <v>ไม่</v>
          </cell>
          <cell r="T19">
            <v>19</v>
          </cell>
          <cell r="U19">
            <v>31</v>
          </cell>
          <cell r="V19">
            <v>40</v>
          </cell>
          <cell r="X19" t="str">
            <v>รอส่ง</v>
          </cell>
          <cell r="Z19" t="str">
            <v>500กระสอบ</v>
          </cell>
          <cell r="AA19">
            <v>4000</v>
          </cell>
          <cell r="AB19">
            <v>1.1334313331327999</v>
          </cell>
          <cell r="AC19">
            <v>0</v>
          </cell>
          <cell r="AD19">
            <v>1.1334313331327999</v>
          </cell>
          <cell r="AG19"/>
          <cell r="AI19" t="str">
            <v>รอส่ง รอลูกค้ามารับเอง</v>
          </cell>
          <cell r="AJ19">
            <v>3922</v>
          </cell>
          <cell r="AL19">
            <v>78</v>
          </cell>
          <cell r="AM19">
            <v>5295</v>
          </cell>
          <cell r="AN19">
            <v>0</v>
          </cell>
          <cell r="AO19" t="str">
            <v>WSWT1625800SM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P8</v>
          </cell>
          <cell r="DM19">
            <v>4</v>
          </cell>
          <cell r="DN19" t="str">
            <v>รอส่ง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 xml:space="preserve"> /</v>
          </cell>
          <cell r="EG19"/>
          <cell r="EH19"/>
          <cell r="EI19"/>
        </row>
        <row r="20">
          <cell r="B20" t="str">
            <v>ประมาณการ</v>
          </cell>
          <cell r="C20" t="str">
            <v>ประมาณการ</v>
          </cell>
          <cell r="E20" t="str">
            <v>บจก.ซัน ซีเมนต์ โพรเซส</v>
          </cell>
          <cell r="F20" t="str">
            <v>พระอาทิตย์(ปูนนอน-ชริงค์)</v>
          </cell>
          <cell r="G20">
            <v>16</v>
          </cell>
          <cell r="H20">
            <v>25</v>
          </cell>
          <cell r="I20" t="str">
            <v>ขาว</v>
          </cell>
          <cell r="J20" t="str">
            <v>ใส</v>
          </cell>
          <cell r="L20">
            <v>50</v>
          </cell>
          <cell r="M20" t="str">
            <v>±</v>
          </cell>
          <cell r="N20">
            <v>5</v>
          </cell>
          <cell r="R20" t="str">
            <v>บิด</v>
          </cell>
          <cell r="T20">
            <v>19</v>
          </cell>
          <cell r="U20">
            <v>28</v>
          </cell>
          <cell r="V20">
            <v>40</v>
          </cell>
          <cell r="X20" t="str">
            <v>รอแจ้ง</v>
          </cell>
          <cell r="Z20" t="str">
            <v>500กระสอบ</v>
          </cell>
          <cell r="AA20">
            <v>5000</v>
          </cell>
          <cell r="AB20">
            <v>65.624642943999987</v>
          </cell>
          <cell r="AC20">
            <v>0</v>
          </cell>
          <cell r="AD20">
            <v>65.624642943999987</v>
          </cell>
          <cell r="AG20"/>
          <cell r="AI20"/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WRWT25800/WRWT25800</v>
          </cell>
          <cell r="CA20">
            <v>210.60551111111116</v>
          </cell>
          <cell r="DL20" t="str">
            <v>P8</v>
          </cell>
          <cell r="DM20">
            <v>4</v>
          </cell>
          <cell r="DN20" t="str">
            <v>รอแจ้ง</v>
          </cell>
          <cell r="DP20" t="e">
            <v>#VALUE!</v>
          </cell>
          <cell r="DQ20" t="e">
            <v>#VALUE!</v>
          </cell>
          <cell r="DR20" t="e">
            <v>#VALUE!</v>
          </cell>
          <cell r="DS20" t="e">
            <v>#VALUE!</v>
          </cell>
          <cell r="DT20" t="e">
            <v>#VALUE!</v>
          </cell>
          <cell r="DU20" t="e">
            <v>#VALUE!</v>
          </cell>
          <cell r="DW20" t="e">
            <v>#VALUE!</v>
          </cell>
          <cell r="DX20"/>
          <cell r="DY20"/>
          <cell r="DZ20"/>
          <cell r="EA20"/>
          <cell r="EB20"/>
          <cell r="EC20" t="str">
            <v>งานเคลือบ+พิมพ์</v>
          </cell>
          <cell r="ED20" t="str">
            <v>รอART</v>
          </cell>
          <cell r="EG20"/>
          <cell r="EH20"/>
          <cell r="EI20"/>
        </row>
        <row r="21">
          <cell r="B21">
            <v>0</v>
          </cell>
          <cell r="C21"/>
          <cell r="E21"/>
          <cell r="F21" t="str">
            <v xml:space="preserve"> 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WSWT1625800SM</v>
          </cell>
          <cell r="AQ21">
            <v>3702.0499999999997</v>
          </cell>
          <cell r="AR21">
            <v>0</v>
          </cell>
          <cell r="AS21">
            <v>3702.0499999999997</v>
          </cell>
          <cell r="AT21">
            <v>0</v>
          </cell>
          <cell r="AU21">
            <v>3702.0499999999997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/>
          <cell r="J23"/>
          <cell r="L23">
            <v>47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WSWT1621720SMFX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WRWT160720/WRWT21720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MK68-000958</v>
          </cell>
          <cell r="C25">
            <v>45873</v>
          </cell>
          <cell r="E25" t="str">
            <v>คุณสมยศ กิตตินราภรณ์</v>
          </cell>
          <cell r="F25" t="str">
            <v>กุ้งปลา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45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28</v>
          </cell>
          <cell r="V25">
            <v>40</v>
          </cell>
          <cell r="X25">
            <v>45883</v>
          </cell>
          <cell r="Z25" t="str">
            <v>500กระสอบ</v>
          </cell>
          <cell r="AA25">
            <v>5000</v>
          </cell>
          <cell r="AB25">
            <v>65.624642943999987</v>
          </cell>
          <cell r="AC25">
            <v>0</v>
          </cell>
          <cell r="AD25">
            <v>65.624642943999987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</v>
          </cell>
          <cell r="AQ25">
            <v>3702.0499999999997</v>
          </cell>
          <cell r="AR25">
            <v>3702.0499999999997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45883</v>
          </cell>
          <cell r="DP25">
            <v>45878</v>
          </cell>
          <cell r="DQ25"/>
          <cell r="DR25">
            <v>45873</v>
          </cell>
          <cell r="DS25">
            <v>45880</v>
          </cell>
          <cell r="DT25">
            <v>45881</v>
          </cell>
          <cell r="DU25">
            <v>45881</v>
          </cell>
          <cell r="DW25">
            <v>45882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บจก.ฟาร์เธอร์ส วิง ซัพพลาย</v>
          </cell>
          <cell r="F26" t="str">
            <v>รถไฟ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40</v>
          </cell>
          <cell r="X26" t="str">
            <v>รอแจ้ง</v>
          </cell>
          <cell r="Z26" t="str">
            <v>500กระสอบ</v>
          </cell>
          <cell r="AA26">
            <v>15000</v>
          </cell>
          <cell r="AB26">
            <v>232.02998755199997</v>
          </cell>
          <cell r="AC26">
            <v>0</v>
          </cell>
          <cell r="AD26">
            <v>232.02998755199997</v>
          </cell>
          <cell r="AG26"/>
          <cell r="AI26"/>
          <cell r="AJ26">
            <v>0</v>
          </cell>
          <cell r="AL26">
            <v>15000</v>
          </cell>
          <cell r="AM26"/>
          <cell r="AN26">
            <v>15750</v>
          </cell>
          <cell r="AO26" t="str">
            <v>WSWT1825800</v>
          </cell>
          <cell r="AQ26">
            <v>13201.65</v>
          </cell>
          <cell r="AR26">
            <v>2599</v>
          </cell>
          <cell r="AS26">
            <v>10602.65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729.46232000000009</v>
          </cell>
          <cell r="DL26" t="str">
            <v>P9</v>
          </cell>
          <cell r="DM26">
            <v>3</v>
          </cell>
          <cell r="DN26" t="str">
            <v>รอแจ้ง</v>
          </cell>
          <cell r="DP26" t="e">
            <v>#VALUE!</v>
          </cell>
          <cell r="DQ26"/>
          <cell r="DR26" t="e">
            <v>#VALUE!</v>
          </cell>
          <cell r="DS26" t="e">
            <v>#VALUE!</v>
          </cell>
          <cell r="DT26" t="e">
            <v>#VALUE!</v>
          </cell>
          <cell r="DU26" t="e">
            <v>#VALUE!</v>
          </cell>
          <cell r="DW26" t="e">
            <v>#VALUE!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16903.7</v>
          </cell>
          <cell r="AR27">
            <v>6301.0499999999993</v>
          </cell>
          <cell r="AS27">
            <v>10602.65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MK68-000917</v>
          </cell>
          <cell r="C28">
            <v>45860</v>
          </cell>
          <cell r="E28" t="str">
            <v>บจก.ซิเบลโก้(บางเลน)</v>
          </cell>
          <cell r="F28" t="str">
            <v>PORTARYTE B15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45883</v>
          </cell>
          <cell r="Z28" t="str">
            <v>500กระสอบแบน</v>
          </cell>
          <cell r="AA28">
            <v>10000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10000</v>
          </cell>
          <cell r="AM28"/>
          <cell r="AN28">
            <v>10500</v>
          </cell>
          <cell r="AO28" t="str">
            <v>WSWT1825800SM</v>
          </cell>
          <cell r="AQ28">
            <v>8801.1</v>
          </cell>
          <cell r="AR28">
            <v>8801.1</v>
          </cell>
          <cell r="AS28">
            <v>0</v>
          </cell>
          <cell r="AT28">
            <v>2648</v>
          </cell>
          <cell r="AU28">
            <v>6153.1</v>
          </cell>
          <cell r="BZ28" t="str">
            <v>WRWT25800/WRWT25800</v>
          </cell>
          <cell r="CA28">
            <v>0</v>
          </cell>
          <cell r="DL28" t="str">
            <v>P6</v>
          </cell>
          <cell r="DM28">
            <v>4</v>
          </cell>
          <cell r="DN28">
            <v>45883</v>
          </cell>
          <cell r="DP28">
            <v>45878</v>
          </cell>
          <cell r="DQ28">
            <v>45879</v>
          </cell>
          <cell r="DR28">
            <v>45872</v>
          </cell>
          <cell r="DS28">
            <v>45880</v>
          </cell>
          <cell r="DT28">
            <v>45881</v>
          </cell>
          <cell r="DU28">
            <v>45882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>
            <v>0</v>
          </cell>
          <cell r="C29"/>
          <cell r="E29"/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>
            <v>8801.1</v>
          </cell>
          <cell r="AR29">
            <v>8801.1</v>
          </cell>
          <cell r="AS29">
            <v>0</v>
          </cell>
          <cell r="AT29">
            <v>2648</v>
          </cell>
          <cell r="AU29">
            <v>6153.1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MK68-000951</v>
          </cell>
          <cell r="C30">
            <v>45870</v>
          </cell>
          <cell r="E30" t="str">
            <v>บจก.ซีแมน</v>
          </cell>
          <cell r="F30" t="str">
            <v>W30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45889</v>
          </cell>
          <cell r="Z30" t="str">
            <v>มัด100</v>
          </cell>
          <cell r="AA30">
            <v>40000</v>
          </cell>
          <cell r="AB30">
            <v>1332.2295935999998</v>
          </cell>
          <cell r="AC30">
            <v>0</v>
          </cell>
          <cell r="AD30">
            <v>1332.2295935999998</v>
          </cell>
          <cell r="AG30"/>
          <cell r="AI30"/>
          <cell r="AJ30">
            <v>0</v>
          </cell>
          <cell r="AL30">
            <v>40000</v>
          </cell>
          <cell r="AM30"/>
          <cell r="AN30">
            <v>42000</v>
          </cell>
          <cell r="AO30" t="str">
            <v>WSWT1925800</v>
          </cell>
          <cell r="AQ30">
            <v>32969.200000000004</v>
          </cell>
          <cell r="AR30">
            <v>32969.200000000004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P9</v>
          </cell>
          <cell r="DM30">
            <v>3</v>
          </cell>
          <cell r="DN30">
            <v>45889</v>
          </cell>
          <cell r="DP30">
            <v>45884</v>
          </cell>
          <cell r="DQ30"/>
          <cell r="DR30">
            <v>45879</v>
          </cell>
          <cell r="DS30">
            <v>45886</v>
          </cell>
          <cell r="DT30">
            <v>45887</v>
          </cell>
          <cell r="DU30">
            <v>45887</v>
          </cell>
          <cell r="DW30">
            <v>45888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45894</v>
          </cell>
          <cell r="Z31" t="str">
            <v>500กระสอบ</v>
          </cell>
          <cell r="AA31">
            <v>100000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100000</v>
          </cell>
          <cell r="AM31"/>
          <cell r="AN31">
            <v>105000</v>
          </cell>
          <cell r="AO31" t="str">
            <v>WSWT1925800</v>
          </cell>
          <cell r="AQ31">
            <v>88010.999999999985</v>
          </cell>
          <cell r="AR31">
            <v>56993</v>
          </cell>
          <cell r="AS31">
            <v>31017.999999999985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2252.5960888888881</v>
          </cell>
          <cell r="DL31" t="str">
            <v>P7</v>
          </cell>
          <cell r="DM31">
            <v>2</v>
          </cell>
          <cell r="DN31">
            <v>45894</v>
          </cell>
          <cell r="DP31">
            <v>45889</v>
          </cell>
          <cell r="DQ31"/>
          <cell r="DR31">
            <v>45885</v>
          </cell>
          <cell r="DS31">
            <v>45892</v>
          </cell>
          <cell r="DT31">
            <v>45893</v>
          </cell>
          <cell r="DU31">
            <v>45893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45894</v>
          </cell>
          <cell r="Z32" t="str">
            <v>500กระสอบ</v>
          </cell>
          <cell r="AA32">
            <v>40000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40000</v>
          </cell>
          <cell r="AM32"/>
          <cell r="AN32">
            <v>42000</v>
          </cell>
          <cell r="AO32" t="str">
            <v>WSWT1925800</v>
          </cell>
          <cell r="AQ32">
            <v>35204.400000000001</v>
          </cell>
          <cell r="AR32">
            <v>0</v>
          </cell>
          <cell r="AS32">
            <v>35204.400000000001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2556.6217600000009</v>
          </cell>
          <cell r="DL32" t="str">
            <v>P7</v>
          </cell>
          <cell r="DM32">
            <v>2</v>
          </cell>
          <cell r="DN32">
            <v>45894</v>
          </cell>
          <cell r="DP32">
            <v>45889</v>
          </cell>
          <cell r="DQ32"/>
          <cell r="DR32">
            <v>45885</v>
          </cell>
          <cell r="DS32">
            <v>45892</v>
          </cell>
          <cell r="DT32">
            <v>45893</v>
          </cell>
          <cell r="DU32">
            <v>45893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บจก.เอ็กเซลเล้นท์</v>
          </cell>
          <cell r="F33" t="str">
            <v>รอแบบ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45894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40000</v>
          </cell>
          <cell r="AM33"/>
          <cell r="AN33">
            <v>42000</v>
          </cell>
          <cell r="AO33" t="str">
            <v>WSWT1925800</v>
          </cell>
          <cell r="AQ33">
            <v>35204.400000000001</v>
          </cell>
          <cell r="AR33">
            <v>0</v>
          </cell>
          <cell r="AS33">
            <v>35204.400000000001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2556.6217600000009</v>
          </cell>
          <cell r="DL33" t="str">
            <v>P7</v>
          </cell>
          <cell r="DM33">
            <v>2</v>
          </cell>
          <cell r="DN33">
            <v>45894</v>
          </cell>
          <cell r="DP33">
            <v>45889</v>
          </cell>
          <cell r="DQ33"/>
          <cell r="DR33">
            <v>45885</v>
          </cell>
          <cell r="DS33">
            <v>45892</v>
          </cell>
          <cell r="DT33">
            <v>45893</v>
          </cell>
          <cell r="DU33">
            <v>45893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45894</v>
          </cell>
          <cell r="Z34" t="str">
            <v>500กระสอบแบน</v>
          </cell>
          <cell r="AA34">
            <v>20000</v>
          </cell>
          <cell r="AB34">
            <v>341.36903080895991</v>
          </cell>
          <cell r="AC34">
            <v>0</v>
          </cell>
          <cell r="AD34">
            <v>341.36903080895991</v>
          </cell>
          <cell r="AG34"/>
          <cell r="AI34"/>
          <cell r="AJ34">
            <v>233</v>
          </cell>
          <cell r="AL34">
            <v>19767</v>
          </cell>
          <cell r="AM34"/>
          <cell r="AN34">
            <v>20755.350000000002</v>
          </cell>
          <cell r="AO34" t="str">
            <v>WSWT1925800</v>
          </cell>
          <cell r="AQ34">
            <v>18501.714330000003</v>
          </cell>
          <cell r="AR34">
            <v>0</v>
          </cell>
          <cell r="AS34">
            <v>18501.714330000003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1343.6356095653334</v>
          </cell>
          <cell r="DL34" t="str">
            <v>P9</v>
          </cell>
          <cell r="DM34">
            <v>3</v>
          </cell>
          <cell r="DN34">
            <v>45894</v>
          </cell>
          <cell r="DP34">
            <v>45889</v>
          </cell>
          <cell r="DQ34"/>
          <cell r="DR34">
            <v>45884</v>
          </cell>
          <cell r="DS34">
            <v>45891</v>
          </cell>
          <cell r="DT34">
            <v>45892</v>
          </cell>
          <cell r="DU34">
            <v>45892</v>
          </cell>
          <cell r="DW34">
            <v>45893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>
            <v>0</v>
          </cell>
          <cell r="C35"/>
          <cell r="E35"/>
          <cell r="F35"/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/>
          <cell r="T35"/>
          <cell r="U35"/>
          <cell r="V35"/>
          <cell r="X35"/>
          <cell r="Z35"/>
          <cell r="AA35"/>
          <cell r="AB35">
            <v>0</v>
          </cell>
          <cell r="AC35">
            <v>0</v>
          </cell>
          <cell r="AD35"/>
          <cell r="AG35"/>
          <cell r="AI35" t="str">
            <v>ระบุในSD</v>
          </cell>
          <cell r="AJ35"/>
          <cell r="AL35">
            <v>0</v>
          </cell>
          <cell r="AM35"/>
          <cell r="AN35">
            <v>0</v>
          </cell>
          <cell r="AO35" t="str">
            <v>WSWT1925800</v>
          </cell>
          <cell r="AQ35">
            <v>209890.71432999999</v>
          </cell>
          <cell r="AR35">
            <v>89962.200000000012</v>
          </cell>
          <cell r="AS35">
            <v>119928.51432999999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/>
          <cell r="DM35" t="str">
            <v>Lead time</v>
          </cell>
          <cell r="DN35"/>
          <cell r="DP35"/>
          <cell r="DQ35"/>
          <cell r="DR35"/>
          <cell r="DS35"/>
          <cell r="DT35"/>
          <cell r="DU35"/>
          <cell r="DW35"/>
          <cell r="DX35"/>
          <cell r="DY35"/>
          <cell r="DZ35"/>
          <cell r="EA35"/>
          <cell r="EB35"/>
          <cell r="EC35"/>
          <cell r="ED35"/>
          <cell r="EG35"/>
          <cell r="EH35"/>
          <cell r="EI35">
            <v>0</v>
          </cell>
        </row>
        <row r="36">
          <cell r="B36" t="str">
            <v>MK68-000890</v>
          </cell>
          <cell r="C36">
            <v>45854</v>
          </cell>
          <cell r="E36" t="str">
            <v>บจก.เคอรี่ฟลาวมิลล์</v>
          </cell>
          <cell r="F36" t="str">
            <v>ปลาโลมาเทา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45876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PDR250232</v>
          </cell>
          <cell r="AJ36">
            <v>0</v>
          </cell>
          <cell r="AL36">
            <v>5000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45876</v>
          </cell>
          <cell r="DP36">
            <v>45871</v>
          </cell>
          <cell r="DQ36"/>
          <cell r="DR36">
            <v>45867</v>
          </cell>
          <cell r="DS36">
            <v>45874</v>
          </cell>
          <cell r="DT36">
            <v>45875</v>
          </cell>
          <cell r="DU36">
            <v>45875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MK68-000890</v>
          </cell>
          <cell r="C37">
            <v>45854</v>
          </cell>
          <cell r="E37" t="str">
            <v>บจก.เคอรี่ฟลาวมิลล์</v>
          </cell>
          <cell r="F37" t="str">
            <v>NHR-1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45876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PDR250232</v>
          </cell>
          <cell r="AJ37">
            <v>0</v>
          </cell>
          <cell r="AL37">
            <v>5000</v>
          </cell>
          <cell r="AM37"/>
          <cell r="AN37">
            <v>5250</v>
          </cell>
          <cell r="AO37" t="str">
            <v>WSWT1921720</v>
          </cell>
          <cell r="AQ37">
            <v>4679.9500000000007</v>
          </cell>
          <cell r="AR37">
            <v>4679.9500000000007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45876</v>
          </cell>
          <cell r="DP37">
            <v>45871</v>
          </cell>
          <cell r="DQ37"/>
          <cell r="DR37">
            <v>45867</v>
          </cell>
          <cell r="DS37">
            <v>45874</v>
          </cell>
          <cell r="DT37">
            <v>45875</v>
          </cell>
          <cell r="DU37">
            <v>45875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MK68-000890</v>
          </cell>
          <cell r="C38">
            <v>45854</v>
          </cell>
          <cell r="E38" t="str">
            <v>บจก.เคอรี่ฟลาวมิลล์</v>
          </cell>
          <cell r="F38" t="str">
            <v>ถุงเงิน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45876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PDR250232</v>
          </cell>
          <cell r="AJ38">
            <v>5000</v>
          </cell>
          <cell r="AL38">
            <v>0</v>
          </cell>
          <cell r="AM38">
            <v>5250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45876</v>
          </cell>
          <cell r="DP38">
            <v>45871</v>
          </cell>
          <cell r="DQ38"/>
          <cell r="DR38">
            <v>45867</v>
          </cell>
          <cell r="DS38">
            <v>45874</v>
          </cell>
          <cell r="DT38">
            <v>45875</v>
          </cell>
          <cell r="DU38">
            <v>45875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MK68-000910</v>
          </cell>
          <cell r="C39">
            <v>45857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45876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PDR250236</v>
          </cell>
          <cell r="AJ39">
            <v>10000</v>
          </cell>
          <cell r="AL39">
            <v>0</v>
          </cell>
          <cell r="AM39">
            <v>10400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45876</v>
          </cell>
          <cell r="DP39">
            <v>45871</v>
          </cell>
          <cell r="DQ39"/>
          <cell r="DR39">
            <v>45867</v>
          </cell>
          <cell r="DS39">
            <v>45874</v>
          </cell>
          <cell r="DT39">
            <v>45875</v>
          </cell>
          <cell r="DU39">
            <v>45875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MK68-000909</v>
          </cell>
          <cell r="C40">
            <v>45857</v>
          </cell>
          <cell r="E40" t="str">
            <v>บจก.เคอรี่ฟลาวมิลล์</v>
          </cell>
          <cell r="F40" t="str">
            <v>HARD FLOUR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45876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PDR250237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45876</v>
          </cell>
          <cell r="DP40">
            <v>45871</v>
          </cell>
          <cell r="DQ40"/>
          <cell r="DR40">
            <v>45867</v>
          </cell>
          <cell r="DS40">
            <v>45874</v>
          </cell>
          <cell r="DT40">
            <v>45875</v>
          </cell>
          <cell r="DU40">
            <v>45875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MK68-000909</v>
          </cell>
          <cell r="C41">
            <v>45857</v>
          </cell>
          <cell r="E41" t="str">
            <v>บจก.เคอรี่ฟลาวมิลล์</v>
          </cell>
          <cell r="F41" t="str">
            <v>ปลาโลมาแดง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45876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PDR250237</v>
          </cell>
          <cell r="AJ41">
            <v>5000</v>
          </cell>
          <cell r="AL41">
            <v>0</v>
          </cell>
          <cell r="AM41">
            <v>5200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45876</v>
          </cell>
          <cell r="DP41">
            <v>45871</v>
          </cell>
          <cell r="DQ41"/>
          <cell r="DR41">
            <v>45867</v>
          </cell>
          <cell r="DS41">
            <v>45874</v>
          </cell>
          <cell r="DT41">
            <v>45875</v>
          </cell>
          <cell r="DU41">
            <v>45875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MK68-000909</v>
          </cell>
          <cell r="C42">
            <v>45857</v>
          </cell>
          <cell r="E42" t="str">
            <v>บจก.เคอรี่ฟลาวมิลล์</v>
          </cell>
          <cell r="F42" t="str">
            <v>FW-Y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45876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PDR250237</v>
          </cell>
          <cell r="AJ42">
            <v>5000</v>
          </cell>
          <cell r="AL42">
            <v>0</v>
          </cell>
          <cell r="AM42">
            <v>5200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45876</v>
          </cell>
          <cell r="DP42">
            <v>45871</v>
          </cell>
          <cell r="DQ42"/>
          <cell r="DR42">
            <v>45867</v>
          </cell>
          <cell r="DS42">
            <v>45874</v>
          </cell>
          <cell r="DT42">
            <v>45875</v>
          </cell>
          <cell r="DU42">
            <v>45875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MK68-000909</v>
          </cell>
          <cell r="C43">
            <v>45857</v>
          </cell>
          <cell r="E43" t="str">
            <v>บจก.เคอรี่ฟลาวมิลล์</v>
          </cell>
          <cell r="F43" t="str">
            <v>WHOLE WHEAT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45876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PDR250237</v>
          </cell>
          <cell r="AJ43">
            <v>5000</v>
          </cell>
          <cell r="AL43">
            <v>0</v>
          </cell>
          <cell r="AM43">
            <v>5500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45876</v>
          </cell>
          <cell r="DP43">
            <v>45871</v>
          </cell>
          <cell r="DQ43"/>
          <cell r="DR43">
            <v>45867</v>
          </cell>
          <cell r="DS43">
            <v>45874</v>
          </cell>
          <cell r="DT43">
            <v>45875</v>
          </cell>
          <cell r="DU43">
            <v>45875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MK68-000890</v>
          </cell>
          <cell r="C44">
            <v>45854</v>
          </cell>
          <cell r="E44" t="str">
            <v>บจก.เคอรี่ฟลาวมิลล์</v>
          </cell>
          <cell r="F44" t="str">
            <v>ดอกไม้เขียว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45876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PDR250233</v>
          </cell>
          <cell r="AJ44">
            <v>0</v>
          </cell>
          <cell r="AL44">
            <v>5000</v>
          </cell>
          <cell r="AM44">
            <v>0</v>
          </cell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45876</v>
          </cell>
          <cell r="DP44">
            <v>45871</v>
          </cell>
          <cell r="DQ44"/>
          <cell r="DR44">
            <v>45867</v>
          </cell>
          <cell r="DS44">
            <v>45874</v>
          </cell>
          <cell r="DT44">
            <v>45875</v>
          </cell>
          <cell r="DU44">
            <v>45875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MK68-000953</v>
          </cell>
          <cell r="C45">
            <v>45870</v>
          </cell>
          <cell r="E45" t="str">
            <v>บจก.เคอรี่ฟลาวมิลล์</v>
          </cell>
          <cell r="F45" t="str">
            <v>ไม่พิมพ์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45877</v>
          </cell>
          <cell r="Z45" t="str">
            <v>ห่ออัดเบลแบน500</v>
          </cell>
          <cell r="AA45">
            <v>20000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20000</v>
          </cell>
          <cell r="AL45">
            <v>0</v>
          </cell>
          <cell r="AM45"/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P3</v>
          </cell>
          <cell r="DM45">
            <v>1</v>
          </cell>
          <cell r="DN45">
            <v>45877</v>
          </cell>
          <cell r="DP45">
            <v>45872</v>
          </cell>
          <cell r="DQ45"/>
          <cell r="DR45"/>
          <cell r="DS45"/>
          <cell r="DT45"/>
          <cell r="DU45">
            <v>45876</v>
          </cell>
          <cell r="DW45"/>
          <cell r="DX45"/>
          <cell r="DY45"/>
          <cell r="DZ45"/>
          <cell r="EA45"/>
          <cell r="EB45"/>
          <cell r="EC45" t="str">
            <v>ตัด</v>
          </cell>
          <cell r="ED45"/>
          <cell r="EG45"/>
          <cell r="EH45"/>
          <cell r="EI45"/>
        </row>
        <row r="46">
          <cell r="B46" t="str">
            <v>MK68-000954</v>
          </cell>
          <cell r="C46">
            <v>45870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45877</v>
          </cell>
          <cell r="Z46" t="str">
            <v>ห่ออัดเบลแบน500</v>
          </cell>
          <cell r="AA46">
            <v>20000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10000</v>
          </cell>
          <cell r="AL46">
            <v>10000</v>
          </cell>
          <cell r="AM46"/>
          <cell r="AN46">
            <v>0</v>
          </cell>
          <cell r="AO46" t="str">
            <v>WSWT1921720</v>
          </cell>
          <cell r="AQ46">
            <v>9359.9000000000015</v>
          </cell>
          <cell r="AR46">
            <v>9359.9000000000015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P3</v>
          </cell>
          <cell r="DM46">
            <v>1</v>
          </cell>
          <cell r="DN46">
            <v>45877</v>
          </cell>
          <cell r="DP46">
            <v>45872</v>
          </cell>
          <cell r="DQ46"/>
          <cell r="DR46"/>
          <cell r="DS46"/>
          <cell r="DT46"/>
          <cell r="DU46">
            <v>45876</v>
          </cell>
          <cell r="DW46"/>
          <cell r="DX46"/>
          <cell r="DY46"/>
          <cell r="DZ46"/>
          <cell r="EA46"/>
          <cell r="EB46"/>
          <cell r="EC46" t="str">
            <v>ตัด</v>
          </cell>
          <cell r="ED46"/>
          <cell r="EG46"/>
          <cell r="EH46"/>
          <cell r="EI46"/>
        </row>
        <row r="47">
          <cell r="B47" t="str">
            <v>MK68-000909</v>
          </cell>
          <cell r="C47">
            <v>45857</v>
          </cell>
          <cell r="E47" t="str">
            <v>บจก.เคอรี่ฟลาวมิลล์</v>
          </cell>
          <cell r="F47" t="str">
            <v>BS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45878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PDR250243</v>
          </cell>
          <cell r="AJ47">
            <v>4923</v>
          </cell>
          <cell r="AL47">
            <v>77</v>
          </cell>
          <cell r="AM47">
            <v>5250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45878</v>
          </cell>
          <cell r="DP47">
            <v>45873</v>
          </cell>
          <cell r="DQ47"/>
          <cell r="DR47">
            <v>45869</v>
          </cell>
          <cell r="DS47">
            <v>45876</v>
          </cell>
          <cell r="DT47">
            <v>45877</v>
          </cell>
          <cell r="DU47">
            <v>45877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MK68-000890</v>
          </cell>
          <cell r="C48">
            <v>45854</v>
          </cell>
          <cell r="E48" t="str">
            <v>บจก.เคอรี่ฟลาวมิลล์</v>
          </cell>
          <cell r="F48" t="str">
            <v>ถุงเขียว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45878</v>
          </cell>
          <cell r="Z48" t="str">
            <v>ห่ออัดเบลแบน500</v>
          </cell>
          <cell r="AA48">
            <v>10000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PDR250233</v>
          </cell>
          <cell r="AJ48">
            <v>9367</v>
          </cell>
          <cell r="AL48">
            <v>633</v>
          </cell>
          <cell r="AM48">
            <v>10300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45878</v>
          </cell>
          <cell r="DP48">
            <v>45873</v>
          </cell>
          <cell r="DQ48"/>
          <cell r="DR48">
            <v>45869</v>
          </cell>
          <cell r="DS48">
            <v>45876</v>
          </cell>
          <cell r="DT48">
            <v>45877</v>
          </cell>
          <cell r="DU48">
            <v>45877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MK68-000909</v>
          </cell>
          <cell r="C49">
            <v>45857</v>
          </cell>
          <cell r="E49" t="str">
            <v>บจก.เคอรี่ฟลาวมิลล์</v>
          </cell>
          <cell r="F49" t="str">
            <v>บะหมี่เตี๊ยว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45878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PDR250238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45878</v>
          </cell>
          <cell r="DP49">
            <v>45873</v>
          </cell>
          <cell r="DQ49"/>
          <cell r="DR49">
            <v>45869</v>
          </cell>
          <cell r="DS49">
            <v>45876</v>
          </cell>
          <cell r="DT49">
            <v>45877</v>
          </cell>
          <cell r="DU49">
            <v>45877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MK68-000909</v>
          </cell>
          <cell r="C50">
            <v>45857</v>
          </cell>
          <cell r="E50" t="str">
            <v>บจก.เคอรี่ฟลาวมิลล์</v>
          </cell>
          <cell r="F50" t="str">
            <v>ถุงทองแซนวิช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45878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PDR250238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9359.9000000000015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45878</v>
          </cell>
          <cell r="DP50">
            <v>45873</v>
          </cell>
          <cell r="DQ50"/>
          <cell r="DR50">
            <v>45869</v>
          </cell>
          <cell r="DS50">
            <v>45876</v>
          </cell>
          <cell r="DT50">
            <v>45877</v>
          </cell>
          <cell r="DU50">
            <v>45877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MK68-000911</v>
          </cell>
          <cell r="C51">
            <v>45857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36</v>
          </cell>
          <cell r="I51" t="str">
            <v>ขาว</v>
          </cell>
          <cell r="J51"/>
          <cell r="L51">
            <v>75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45883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PDR250239</v>
          </cell>
          <cell r="AJ51">
            <v>10000</v>
          </cell>
          <cell r="AL51">
            <v>0</v>
          </cell>
          <cell r="AM51"/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P3</v>
          </cell>
          <cell r="DM51">
            <v>1</v>
          </cell>
          <cell r="DN51">
            <v>45883</v>
          </cell>
          <cell r="DP51">
            <v>45878</v>
          </cell>
          <cell r="DQ51"/>
          <cell r="DR51"/>
          <cell r="DS51"/>
          <cell r="DT51"/>
          <cell r="DU51">
            <v>45882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/>
          <cell r="EG51"/>
          <cell r="EH51"/>
          <cell r="EI51"/>
        </row>
        <row r="52">
          <cell r="B52" t="str">
            <v>MK68-000910</v>
          </cell>
          <cell r="C52">
            <v>45857</v>
          </cell>
          <cell r="E52" t="str">
            <v>บจก.เคอรี่ฟลาวมิลล์</v>
          </cell>
          <cell r="F52" t="str">
            <v>ดอกไม้ม่วง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45883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PDR250239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45883</v>
          </cell>
          <cell r="DP52">
            <v>45878</v>
          </cell>
          <cell r="DQ52"/>
          <cell r="DR52">
            <v>45874</v>
          </cell>
          <cell r="DS52">
            <v>45881</v>
          </cell>
          <cell r="DT52">
            <v>45882</v>
          </cell>
          <cell r="DU52">
            <v>45882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MK68-000910</v>
          </cell>
          <cell r="C53">
            <v>45857</v>
          </cell>
          <cell r="E53" t="str">
            <v>บจก.เคอรี่ฟลาวมิลล์</v>
          </cell>
          <cell r="F53" t="str">
            <v>ดอกไม้แดง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45883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PDR250239</v>
          </cell>
          <cell r="AJ53">
            <v>5000</v>
          </cell>
          <cell r="AL53">
            <v>0</v>
          </cell>
          <cell r="AM53">
            <v>5199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45883</v>
          </cell>
          <cell r="DP53">
            <v>45878</v>
          </cell>
          <cell r="DQ53"/>
          <cell r="DR53">
            <v>45874</v>
          </cell>
          <cell r="DS53">
            <v>45881</v>
          </cell>
          <cell r="DT53">
            <v>45882</v>
          </cell>
          <cell r="DU53">
            <v>45882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MK68-000910</v>
          </cell>
          <cell r="C54">
            <v>45857</v>
          </cell>
          <cell r="E54" t="str">
            <v>บจก.เคอรี่ฟลาวมิลล์</v>
          </cell>
          <cell r="F54" t="str">
            <v>KFM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ไม่</v>
          </cell>
          <cell r="T54" t="str">
            <v>ไม่สวมถุงใน</v>
          </cell>
          <cell r="U54"/>
          <cell r="V54"/>
          <cell r="X54">
            <v>45883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PDR250239</v>
          </cell>
          <cell r="AJ54">
            <v>5000</v>
          </cell>
          <cell r="AL54">
            <v>0</v>
          </cell>
          <cell r="AM54">
            <v>5300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45883</v>
          </cell>
          <cell r="DP54">
            <v>45878</v>
          </cell>
          <cell r="DQ54"/>
          <cell r="DR54">
            <v>45874</v>
          </cell>
          <cell r="DS54">
            <v>45881</v>
          </cell>
          <cell r="DT54">
            <v>45882</v>
          </cell>
          <cell r="DU54">
            <v>45882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MK68-000910</v>
          </cell>
          <cell r="C55">
            <v>45857</v>
          </cell>
          <cell r="E55" t="str">
            <v>บจก.เคอรี่ฟลาวมิลล์</v>
          </cell>
          <cell r="F55" t="str">
            <v>ถุงทองแซนวิช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45885</v>
          </cell>
          <cell r="Z55" t="str">
            <v>ห่ออัดเบลแบน500</v>
          </cell>
          <cell r="AA55">
            <v>10000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PDR250240</v>
          </cell>
          <cell r="AJ55">
            <v>0</v>
          </cell>
          <cell r="AL55">
            <v>10000</v>
          </cell>
          <cell r="AM55"/>
          <cell r="AN55">
            <v>10500</v>
          </cell>
          <cell r="AO55" t="str">
            <v>WSWT1921720</v>
          </cell>
          <cell r="AQ55">
            <v>9359.9000000000015</v>
          </cell>
          <cell r="AR55">
            <v>0</v>
          </cell>
          <cell r="AS55">
            <v>9359.9000000000015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705.02926755555563</v>
          </cell>
          <cell r="DL55" t="str">
            <v>P7</v>
          </cell>
          <cell r="DM55">
            <v>2</v>
          </cell>
          <cell r="DN55">
            <v>45885</v>
          </cell>
          <cell r="DP55">
            <v>45880</v>
          </cell>
          <cell r="DQ55"/>
          <cell r="DR55">
            <v>45876</v>
          </cell>
          <cell r="DS55">
            <v>45883</v>
          </cell>
          <cell r="DT55">
            <v>45884</v>
          </cell>
          <cell r="DU55">
            <v>45884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MK68-000910</v>
          </cell>
          <cell r="C56">
            <v>45857</v>
          </cell>
          <cell r="E56" t="str">
            <v>บจก.เคอรี่ฟลาวมิลล์</v>
          </cell>
          <cell r="F56" t="str">
            <v>ถุงเงิน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45885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PDR250240</v>
          </cell>
          <cell r="AJ56">
            <v>5000</v>
          </cell>
          <cell r="AL56">
            <v>0</v>
          </cell>
          <cell r="AM56">
            <v>5250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45885</v>
          </cell>
          <cell r="DP56">
            <v>45880</v>
          </cell>
          <cell r="DQ56"/>
          <cell r="DR56">
            <v>45876</v>
          </cell>
          <cell r="DS56">
            <v>45883</v>
          </cell>
          <cell r="DT56">
            <v>45884</v>
          </cell>
          <cell r="DU56">
            <v>45884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MK68-000910</v>
          </cell>
          <cell r="C57">
            <v>45857</v>
          </cell>
          <cell r="E57" t="str">
            <v>บจก.เคอรี่ฟลาวมิลล์</v>
          </cell>
          <cell r="F57" t="str">
            <v>ปลาโลมาแดง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45885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PDR250240</v>
          </cell>
          <cell r="AJ57">
            <v>5000</v>
          </cell>
          <cell r="AL57">
            <v>0</v>
          </cell>
          <cell r="AM57">
            <v>5200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45885</v>
          </cell>
          <cell r="DP57">
            <v>45880</v>
          </cell>
          <cell r="DQ57"/>
          <cell r="DR57">
            <v>45876</v>
          </cell>
          <cell r="DS57">
            <v>45883</v>
          </cell>
          <cell r="DT57">
            <v>45884</v>
          </cell>
          <cell r="DU57">
            <v>45884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MK68-000910</v>
          </cell>
          <cell r="C58">
            <v>45857</v>
          </cell>
          <cell r="E58" t="str">
            <v>บจก.เคอรี่ฟลาวมิลล์</v>
          </cell>
          <cell r="F58" t="str">
            <v>FW-Y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45885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PDR250240</v>
          </cell>
          <cell r="AJ58">
            <v>5000</v>
          </cell>
          <cell r="AL58">
            <v>0</v>
          </cell>
          <cell r="AM58">
            <v>5200</v>
          </cell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45885</v>
          </cell>
          <cell r="DP58">
            <v>45880</v>
          </cell>
          <cell r="DQ58"/>
          <cell r="DR58">
            <v>45876</v>
          </cell>
          <cell r="DS58">
            <v>45883</v>
          </cell>
          <cell r="DT58">
            <v>45884</v>
          </cell>
          <cell r="DU58">
            <v>45884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MK68-000910</v>
          </cell>
          <cell r="C59">
            <v>45857</v>
          </cell>
          <cell r="E59" t="str">
            <v>บจก.เคอรี่ฟลาวมิลล์</v>
          </cell>
          <cell r="F59" t="str">
            <v>เคเอ็ม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45888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PDR250241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4679.9500000000007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45888</v>
          </cell>
          <cell r="DP59">
            <v>45883</v>
          </cell>
          <cell r="DQ59"/>
          <cell r="DR59">
            <v>45879</v>
          </cell>
          <cell r="DS59">
            <v>45886</v>
          </cell>
          <cell r="DT59">
            <v>45887</v>
          </cell>
          <cell r="DU59">
            <v>45887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MK68-000910</v>
          </cell>
          <cell r="C60">
            <v>45857</v>
          </cell>
          <cell r="E60" t="str">
            <v>บจก.เคอรี่ฟลาวมิลล์</v>
          </cell>
          <cell r="F60" t="str">
            <v>แต้มแดง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45888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PDR250241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45888</v>
          </cell>
          <cell r="DP60">
            <v>45883</v>
          </cell>
          <cell r="DQ60"/>
          <cell r="DR60">
            <v>45879</v>
          </cell>
          <cell r="DS60">
            <v>45886</v>
          </cell>
          <cell r="DT60">
            <v>45887</v>
          </cell>
          <cell r="DU60">
            <v>45887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MK68-000910</v>
          </cell>
          <cell r="C61">
            <v>45857</v>
          </cell>
          <cell r="E61" t="str">
            <v>บจก.เคอรี่ฟลาวมิลล์</v>
          </cell>
          <cell r="F61" t="str">
            <v>ดอกไม้เขียว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45888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PDR250241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45888</v>
          </cell>
          <cell r="DP61">
            <v>45883</v>
          </cell>
          <cell r="DQ61"/>
          <cell r="DR61">
            <v>45879</v>
          </cell>
          <cell r="DS61">
            <v>45886</v>
          </cell>
          <cell r="DT61">
            <v>45887</v>
          </cell>
          <cell r="DU61">
            <v>45887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MK68-000910</v>
          </cell>
          <cell r="C62">
            <v>45857</v>
          </cell>
          <cell r="E62" t="str">
            <v>บจก.เคอรี่ฟลาวมิลล์</v>
          </cell>
          <cell r="F62" t="str">
            <v>ถุงเขียว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45888</v>
          </cell>
          <cell r="Z62" t="str">
            <v>ห่ออัดเบลแบน500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PDR250241</v>
          </cell>
          <cell r="AJ62">
            <v>0</v>
          </cell>
          <cell r="AL62">
            <v>10000</v>
          </cell>
          <cell r="AM62"/>
          <cell r="AN62">
            <v>10500</v>
          </cell>
          <cell r="AO62" t="str">
            <v>WSWT1921720</v>
          </cell>
          <cell r="AQ62">
            <v>9359.9000000000015</v>
          </cell>
          <cell r="AR62">
            <v>0</v>
          </cell>
          <cell r="AS62">
            <v>9359.9000000000015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705.02926755555563</v>
          </cell>
          <cell r="DL62" t="str">
            <v>P7</v>
          </cell>
          <cell r="DM62">
            <v>2</v>
          </cell>
          <cell r="DN62">
            <v>45888</v>
          </cell>
          <cell r="DP62">
            <v>45883</v>
          </cell>
          <cell r="DQ62"/>
          <cell r="DR62">
            <v>45879</v>
          </cell>
          <cell r="DS62">
            <v>45886</v>
          </cell>
          <cell r="DT62">
            <v>45887</v>
          </cell>
          <cell r="DU62">
            <v>45887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MK68-000944</v>
          </cell>
          <cell r="C63">
            <v>45869</v>
          </cell>
          <cell r="E63" t="str">
            <v>บจก.เคอรี่ฟลาวมิลล์</v>
          </cell>
          <cell r="F63" t="str">
            <v>บะหมี่เตี๊ยว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45890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PDR250250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45890</v>
          </cell>
          <cell r="DP63">
            <v>45885</v>
          </cell>
          <cell r="DQ63"/>
          <cell r="DR63">
            <v>45881</v>
          </cell>
          <cell r="DS63">
            <v>45888</v>
          </cell>
          <cell r="DT63">
            <v>45889</v>
          </cell>
          <cell r="DU63">
            <v>45889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MK68-000944</v>
          </cell>
          <cell r="C64">
            <v>45869</v>
          </cell>
          <cell r="E64" t="str">
            <v>บจก.เคอรี่ฟลาวมิลล์</v>
          </cell>
          <cell r="F64" t="str">
            <v>ดอกไม้แดง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45890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PDR250250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45890</v>
          </cell>
          <cell r="DP64">
            <v>45885</v>
          </cell>
          <cell r="DQ64"/>
          <cell r="DR64">
            <v>45881</v>
          </cell>
          <cell r="DS64">
            <v>45888</v>
          </cell>
          <cell r="DT64">
            <v>45889</v>
          </cell>
          <cell r="DU64">
            <v>45889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MK68-000944</v>
          </cell>
          <cell r="C65">
            <v>45869</v>
          </cell>
          <cell r="E65" t="str">
            <v>บจก.เคอรี่ฟลาวมิลล์</v>
          </cell>
          <cell r="F65" t="str">
            <v>โบว์น้ำเงิน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45890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PDR250250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45890</v>
          </cell>
          <cell r="DP65">
            <v>45885</v>
          </cell>
          <cell r="DQ65"/>
          <cell r="DR65">
            <v>45881</v>
          </cell>
          <cell r="DS65">
            <v>45888</v>
          </cell>
          <cell r="DT65">
            <v>45889</v>
          </cell>
          <cell r="DU65">
            <v>45889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MK68-000944</v>
          </cell>
          <cell r="C66">
            <v>45869</v>
          </cell>
          <cell r="E66" t="str">
            <v>บจก.เคอรี่ฟลาวมิลล์</v>
          </cell>
          <cell r="F66" t="str">
            <v>บลูทีมเหลือง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45890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PDR250250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0</v>
          </cell>
          <cell r="AS66">
            <v>4679.9500000000007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352.51463377777782</v>
          </cell>
          <cell r="DL66" t="str">
            <v>P7</v>
          </cell>
          <cell r="DM66">
            <v>2</v>
          </cell>
          <cell r="DN66">
            <v>45890</v>
          </cell>
          <cell r="DP66">
            <v>45885</v>
          </cell>
          <cell r="DQ66"/>
          <cell r="DR66">
            <v>45881</v>
          </cell>
          <cell r="DS66">
            <v>45888</v>
          </cell>
          <cell r="DT66">
            <v>45889</v>
          </cell>
          <cell r="DU66">
            <v>45889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MK68-000945</v>
          </cell>
          <cell r="C67">
            <v>45869</v>
          </cell>
          <cell r="E67" t="str">
            <v>บจก.เคอรี่ฟลาวมิลล์</v>
          </cell>
          <cell r="F67" t="str">
            <v>ไม่พิมพ์</v>
          </cell>
          <cell r="G67">
            <v>19</v>
          </cell>
          <cell r="H67">
            <v>36</v>
          </cell>
          <cell r="I67" t="str">
            <v>ขาว</v>
          </cell>
          <cell r="J67"/>
          <cell r="L67">
            <v>75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45890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PDR250250</v>
          </cell>
          <cell r="AJ67">
            <v>0</v>
          </cell>
          <cell r="AL67">
            <v>5000</v>
          </cell>
          <cell r="AM67"/>
          <cell r="AN67">
            <v>0</v>
          </cell>
          <cell r="AO67" t="str">
            <v>WSWT1921720</v>
          </cell>
          <cell r="AQ67">
            <v>5238.75</v>
          </cell>
          <cell r="AR67">
            <v>0</v>
          </cell>
          <cell r="AS67">
            <v>5238.75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394.60593333333333</v>
          </cell>
          <cell r="DL67" t="str">
            <v>P7</v>
          </cell>
          <cell r="DM67">
            <v>2</v>
          </cell>
          <cell r="DN67">
            <v>45890</v>
          </cell>
          <cell r="DP67">
            <v>45885</v>
          </cell>
          <cell r="DQ67"/>
          <cell r="DR67">
            <v>45881</v>
          </cell>
          <cell r="DS67">
            <v>45888</v>
          </cell>
          <cell r="DT67">
            <v>45889</v>
          </cell>
          <cell r="DU67">
            <v>45889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MK68-000944</v>
          </cell>
          <cell r="C68">
            <v>45869</v>
          </cell>
          <cell r="E68" t="str">
            <v>บจก.เคอรี่ฟลาวมิลล์</v>
          </cell>
          <cell r="F68" t="str">
            <v>ชามแดง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45892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PDR250251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0</v>
          </cell>
          <cell r="AS68">
            <v>4679.9500000000007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352.51463377777782</v>
          </cell>
          <cell r="DL68" t="str">
            <v>P7</v>
          </cell>
          <cell r="DM68">
            <v>2</v>
          </cell>
          <cell r="DN68">
            <v>45892</v>
          </cell>
          <cell r="DP68">
            <v>45887</v>
          </cell>
          <cell r="DQ68"/>
          <cell r="DR68">
            <v>45883</v>
          </cell>
          <cell r="DS68">
            <v>45890</v>
          </cell>
          <cell r="DT68">
            <v>45891</v>
          </cell>
          <cell r="DU68">
            <v>45891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MK68-000944</v>
          </cell>
          <cell r="C69">
            <v>45869</v>
          </cell>
          <cell r="E69" t="str">
            <v>บจก.เคอรี่ฟลาวมิลล์</v>
          </cell>
          <cell r="F69" t="str">
            <v>ปลาโลมาเทา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45892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PDR250251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45892</v>
          </cell>
          <cell r="DP69">
            <v>45887</v>
          </cell>
          <cell r="DQ69"/>
          <cell r="DR69">
            <v>45883</v>
          </cell>
          <cell r="DS69">
            <v>45890</v>
          </cell>
          <cell r="DT69">
            <v>45891</v>
          </cell>
          <cell r="DU69">
            <v>45891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MK68-000944</v>
          </cell>
          <cell r="C70">
            <v>45869</v>
          </cell>
          <cell r="E70" t="str">
            <v>บจก.เคอรี่ฟลาวมิลล์</v>
          </cell>
          <cell r="F70" t="str">
            <v>ปลาโลมาแดง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45892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PDR250251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45892</v>
          </cell>
          <cell r="DP70">
            <v>45887</v>
          </cell>
          <cell r="DQ70"/>
          <cell r="DR70">
            <v>45883</v>
          </cell>
          <cell r="DS70">
            <v>45890</v>
          </cell>
          <cell r="DT70">
            <v>45891</v>
          </cell>
          <cell r="DU70">
            <v>45891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MK68-000944</v>
          </cell>
          <cell r="C71">
            <v>45869</v>
          </cell>
          <cell r="E71" t="str">
            <v>บจก.เคอรี่ฟลาวมิลล์</v>
          </cell>
          <cell r="F71" t="str">
            <v>KFM-HF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45892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PDR250251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4679.9500000000007</v>
          </cell>
          <cell r="AR71">
            <v>0</v>
          </cell>
          <cell r="AS71">
            <v>4679.9500000000007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352.51463377777782</v>
          </cell>
          <cell r="DL71" t="str">
            <v>P7</v>
          </cell>
          <cell r="DM71">
            <v>2</v>
          </cell>
          <cell r="DN71">
            <v>45892</v>
          </cell>
          <cell r="DP71">
            <v>45887</v>
          </cell>
          <cell r="DQ71"/>
          <cell r="DR71">
            <v>45883</v>
          </cell>
          <cell r="DS71">
            <v>45890</v>
          </cell>
          <cell r="DT71">
            <v>45891</v>
          </cell>
          <cell r="DU71">
            <v>45891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MK68-000944</v>
          </cell>
          <cell r="C72">
            <v>45869</v>
          </cell>
          <cell r="E72" t="str">
            <v>บจก.เคอรี่ฟลาวมิลล์</v>
          </cell>
          <cell r="F72" t="str">
            <v>FW-Y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45892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PDR250251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45892</v>
          </cell>
          <cell r="DP72">
            <v>45887</v>
          </cell>
          <cell r="DQ72"/>
          <cell r="DR72">
            <v>45883</v>
          </cell>
          <cell r="DS72">
            <v>45890</v>
          </cell>
          <cell r="DT72">
            <v>45891</v>
          </cell>
          <cell r="DU72">
            <v>45891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MK68-000944</v>
          </cell>
          <cell r="C73">
            <v>45869</v>
          </cell>
          <cell r="E73" t="str">
            <v>บจก.เคอรี่ฟลาวมิลล์</v>
          </cell>
          <cell r="F73" t="str">
            <v>เคเอ็ม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45895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PDR250252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45895</v>
          </cell>
          <cell r="DP73">
            <v>45890</v>
          </cell>
          <cell r="DQ73"/>
          <cell r="DR73">
            <v>45886</v>
          </cell>
          <cell r="DS73">
            <v>45893</v>
          </cell>
          <cell r="DT73">
            <v>45894</v>
          </cell>
          <cell r="DU73">
            <v>45894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MK68-000944</v>
          </cell>
          <cell r="C74">
            <v>45869</v>
          </cell>
          <cell r="E74" t="str">
            <v>บจก.เคอรี่ฟลาวมิลล์</v>
          </cell>
          <cell r="F74" t="str">
            <v>แต้มแดง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45895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PDR250252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45895</v>
          </cell>
          <cell r="DP74">
            <v>45890</v>
          </cell>
          <cell r="DQ74"/>
          <cell r="DR74">
            <v>45886</v>
          </cell>
          <cell r="DS74">
            <v>45893</v>
          </cell>
          <cell r="DT74">
            <v>45894</v>
          </cell>
          <cell r="DU74">
            <v>45894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MK68-000944</v>
          </cell>
          <cell r="C75">
            <v>45869</v>
          </cell>
          <cell r="E75" t="str">
            <v>บจก.เคอรี่ฟลาวมิลล์</v>
          </cell>
          <cell r="F75" t="str">
            <v>ถุงเงิน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45895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PDR250252</v>
          </cell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4679.9500000000007</v>
          </cell>
          <cell r="AR75">
            <v>0</v>
          </cell>
          <cell r="AS75">
            <v>4679.9500000000007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352.51463377777782</v>
          </cell>
          <cell r="DL75" t="str">
            <v>P7</v>
          </cell>
          <cell r="DM75">
            <v>2</v>
          </cell>
          <cell r="DN75">
            <v>45895</v>
          </cell>
          <cell r="DP75">
            <v>45890</v>
          </cell>
          <cell r="DQ75"/>
          <cell r="DR75">
            <v>45886</v>
          </cell>
          <cell r="DS75">
            <v>45893</v>
          </cell>
          <cell r="DT75">
            <v>45894</v>
          </cell>
          <cell r="DU75">
            <v>45894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MK68-000944</v>
          </cell>
          <cell r="C76">
            <v>45869</v>
          </cell>
          <cell r="E76" t="str">
            <v>บจก.เคอรี่ฟลาวมิลล์</v>
          </cell>
          <cell r="F76" t="str">
            <v>ดอกไม้เขียว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45895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PDR250252</v>
          </cell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WSWT1921720</v>
          </cell>
          <cell r="AQ76">
            <v>4679.9500000000007</v>
          </cell>
          <cell r="AR76">
            <v>0</v>
          </cell>
          <cell r="AS76">
            <v>4679.9500000000007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352.51463377777782</v>
          </cell>
          <cell r="DL76" t="str">
            <v>P7</v>
          </cell>
          <cell r="DM76">
            <v>2</v>
          </cell>
          <cell r="DN76">
            <v>45895</v>
          </cell>
          <cell r="DP76">
            <v>45890</v>
          </cell>
          <cell r="DQ76"/>
          <cell r="DR76">
            <v>45886</v>
          </cell>
          <cell r="DS76">
            <v>45893</v>
          </cell>
          <cell r="DT76">
            <v>45894</v>
          </cell>
          <cell r="DU76">
            <v>45894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MK68-000944</v>
          </cell>
          <cell r="C77">
            <v>45869</v>
          </cell>
          <cell r="E77" t="str">
            <v>บจก.เคอรี่ฟลาวมิลล์</v>
          </cell>
          <cell r="F77">
            <v>997</v>
          </cell>
          <cell r="G77">
            <v>19</v>
          </cell>
          <cell r="H77">
            <v>32</v>
          </cell>
          <cell r="I77" t="str">
            <v>ขาว</v>
          </cell>
          <cell r="J77"/>
          <cell r="L77">
            <v>67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45895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PDR250252</v>
          </cell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4679.9500000000007</v>
          </cell>
          <cell r="AR77">
            <v>0</v>
          </cell>
          <cell r="AS77">
            <v>4679.9500000000007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352.51463377777782</v>
          </cell>
          <cell r="DL77" t="str">
            <v>P7</v>
          </cell>
          <cell r="DM77">
            <v>2</v>
          </cell>
          <cell r="DN77">
            <v>45895</v>
          </cell>
          <cell r="DP77">
            <v>45890</v>
          </cell>
          <cell r="DQ77"/>
          <cell r="DR77">
            <v>45886</v>
          </cell>
          <cell r="DS77">
            <v>45893</v>
          </cell>
          <cell r="DT77">
            <v>45894</v>
          </cell>
          <cell r="DU77">
            <v>45894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MK68-000944</v>
          </cell>
          <cell r="C78">
            <v>45869</v>
          </cell>
          <cell r="E78" t="str">
            <v>บจก.เคอรี่ฟลาวมิลล์</v>
          </cell>
          <cell r="F78" t="str">
            <v>ถุงทองแซนวิช</v>
          </cell>
          <cell r="G78">
            <v>19</v>
          </cell>
          <cell r="H78">
            <v>32</v>
          </cell>
          <cell r="I78" t="str">
            <v>ขาว</v>
          </cell>
          <cell r="J78"/>
          <cell r="L78">
            <v>67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45897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PDR250253</v>
          </cell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4679.9500000000007</v>
          </cell>
          <cell r="AR78">
            <v>0</v>
          </cell>
          <cell r="AS78">
            <v>4679.9500000000007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352.51463377777782</v>
          </cell>
          <cell r="DL78" t="str">
            <v>P7</v>
          </cell>
          <cell r="DM78">
            <v>2</v>
          </cell>
          <cell r="DN78">
            <v>45897</v>
          </cell>
          <cell r="DP78">
            <v>45892</v>
          </cell>
          <cell r="DQ78"/>
          <cell r="DR78">
            <v>45888</v>
          </cell>
          <cell r="DS78">
            <v>45895</v>
          </cell>
          <cell r="DT78">
            <v>45896</v>
          </cell>
          <cell r="DU78">
            <v>45896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MK68-000944</v>
          </cell>
          <cell r="C79">
            <v>45869</v>
          </cell>
          <cell r="E79" t="str">
            <v>บจก.เคอรี่ฟลาวมิลล์</v>
          </cell>
          <cell r="F79" t="str">
            <v>แต้มฟ้า</v>
          </cell>
          <cell r="G79">
            <v>19</v>
          </cell>
          <cell r="H79">
            <v>32</v>
          </cell>
          <cell r="I79" t="str">
            <v>ขาว</v>
          </cell>
          <cell r="J79"/>
          <cell r="L79">
            <v>67</v>
          </cell>
          <cell r="M79" t="str">
            <v>+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45897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PDR250253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4679.9500000000007</v>
          </cell>
          <cell r="AR79">
            <v>0</v>
          </cell>
          <cell r="AS79">
            <v>4679.9500000000007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352.51463377777782</v>
          </cell>
          <cell r="DL79" t="str">
            <v>P7</v>
          </cell>
          <cell r="DM79">
            <v>2</v>
          </cell>
          <cell r="DN79">
            <v>45897</v>
          </cell>
          <cell r="DP79">
            <v>45892</v>
          </cell>
          <cell r="DQ79"/>
          <cell r="DR79">
            <v>45888</v>
          </cell>
          <cell r="DS79">
            <v>45895</v>
          </cell>
          <cell r="DT79">
            <v>45896</v>
          </cell>
          <cell r="DU79">
            <v>45896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MK68-000944</v>
          </cell>
          <cell r="C80">
            <v>45869</v>
          </cell>
          <cell r="E80" t="str">
            <v>บจก.เคอรี่ฟลาวมิลล์</v>
          </cell>
          <cell r="F80" t="str">
            <v>หีบเพลงฟ้า</v>
          </cell>
          <cell r="G80">
            <v>19</v>
          </cell>
          <cell r="H80">
            <v>32</v>
          </cell>
          <cell r="I80" t="str">
            <v>ขาว</v>
          </cell>
          <cell r="J80"/>
          <cell r="L80">
            <v>67</v>
          </cell>
          <cell r="M80" t="str">
            <v>+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45897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PDR250253</v>
          </cell>
          <cell r="AJ80">
            <v>0</v>
          </cell>
          <cell r="AL80">
            <v>5000</v>
          </cell>
          <cell r="AM80"/>
          <cell r="AN80">
            <v>5250</v>
          </cell>
          <cell r="AO80" t="str">
            <v>WSWT1921720</v>
          </cell>
          <cell r="AQ80">
            <v>4679.9500000000007</v>
          </cell>
          <cell r="AR80">
            <v>0</v>
          </cell>
          <cell r="AS80">
            <v>4679.9500000000007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352.51463377777782</v>
          </cell>
          <cell r="DL80" t="str">
            <v>P7</v>
          </cell>
          <cell r="DM80">
            <v>2</v>
          </cell>
          <cell r="DN80">
            <v>45897</v>
          </cell>
          <cell r="DP80">
            <v>45892</v>
          </cell>
          <cell r="DQ80"/>
          <cell r="DR80">
            <v>45888</v>
          </cell>
          <cell r="DS80">
            <v>45895</v>
          </cell>
          <cell r="DT80">
            <v>45896</v>
          </cell>
          <cell r="DU80">
            <v>45896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MK68-000944</v>
          </cell>
          <cell r="C81">
            <v>45869</v>
          </cell>
          <cell r="E81" t="str">
            <v>บจก.เคอรี่ฟลาวมิลล์</v>
          </cell>
          <cell r="F81" t="str">
            <v>หีบเพลงเหลือง</v>
          </cell>
          <cell r="G81">
            <v>19</v>
          </cell>
          <cell r="H81">
            <v>32</v>
          </cell>
          <cell r="I81" t="str">
            <v>ขาว</v>
          </cell>
          <cell r="J81"/>
          <cell r="L81">
            <v>67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45897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PDR250253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4679.9500000000007</v>
          </cell>
          <cell r="AR81">
            <v>0</v>
          </cell>
          <cell r="AS81">
            <v>4679.9500000000007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352.51463377777782</v>
          </cell>
          <cell r="DL81" t="str">
            <v>P7</v>
          </cell>
          <cell r="DM81">
            <v>2</v>
          </cell>
          <cell r="DN81">
            <v>45897</v>
          </cell>
          <cell r="DP81">
            <v>45892</v>
          </cell>
          <cell r="DQ81"/>
          <cell r="DR81">
            <v>45888</v>
          </cell>
          <cell r="DS81">
            <v>45895</v>
          </cell>
          <cell r="DT81">
            <v>45896</v>
          </cell>
          <cell r="DU81">
            <v>45896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MK68-000945</v>
          </cell>
          <cell r="C82">
            <v>45869</v>
          </cell>
          <cell r="E82" t="str">
            <v>บจก.เคอรี่ฟลาวมิลล์</v>
          </cell>
          <cell r="F82" t="str">
            <v>ไม่พิมพ์</v>
          </cell>
          <cell r="G82">
            <v>19</v>
          </cell>
          <cell r="H82">
            <v>36</v>
          </cell>
          <cell r="I82" t="str">
            <v>ขาว</v>
          </cell>
          <cell r="J82"/>
          <cell r="L82">
            <v>75</v>
          </cell>
          <cell r="M82" t="str">
            <v>+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45897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PDR250253</v>
          </cell>
          <cell r="AJ82">
            <v>0</v>
          </cell>
          <cell r="AL82">
            <v>5000</v>
          </cell>
          <cell r="AM82"/>
          <cell r="AN82">
            <v>0</v>
          </cell>
          <cell r="AO82" t="str">
            <v>WSWT1921720</v>
          </cell>
          <cell r="AQ82">
            <v>5238.75</v>
          </cell>
          <cell r="AR82">
            <v>0</v>
          </cell>
          <cell r="AS82">
            <v>5238.75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394.60593333333333</v>
          </cell>
          <cell r="DL82" t="str">
            <v>P7</v>
          </cell>
          <cell r="DM82">
            <v>2</v>
          </cell>
          <cell r="DN82">
            <v>45897</v>
          </cell>
          <cell r="DP82">
            <v>45892</v>
          </cell>
          <cell r="DQ82"/>
          <cell r="DR82">
            <v>45888</v>
          </cell>
          <cell r="DS82">
            <v>45895</v>
          </cell>
          <cell r="DT82">
            <v>45896</v>
          </cell>
          <cell r="DU82">
            <v>45896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MK68-000953</v>
          </cell>
          <cell r="C83">
            <v>45870</v>
          </cell>
          <cell r="E83" t="str">
            <v>บจก.เคอรี่ฟลาวมิลล์</v>
          </cell>
          <cell r="F83" t="str">
            <v>ไม่พิมพ์</v>
          </cell>
          <cell r="G83">
            <v>19</v>
          </cell>
          <cell r="H83">
            <v>32</v>
          </cell>
          <cell r="I83" t="str">
            <v>ขาว</v>
          </cell>
          <cell r="J83"/>
          <cell r="L83">
            <v>67</v>
          </cell>
          <cell r="M83" t="str">
            <v>+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45898</v>
          </cell>
          <cell r="Z83" t="str">
            <v>ห่ออัดเบลแบน500</v>
          </cell>
          <cell r="AA83">
            <v>20000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20000</v>
          </cell>
          <cell r="AM83"/>
          <cell r="AN83">
            <v>0</v>
          </cell>
          <cell r="AO83" t="str">
            <v>WSWT1921720</v>
          </cell>
          <cell r="AQ83">
            <v>18719.800000000003</v>
          </cell>
          <cell r="AR83">
            <v>0</v>
          </cell>
          <cell r="AS83">
            <v>18719.800000000003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1410.0585351111113</v>
          </cell>
          <cell r="DL83" t="str">
            <v>P3</v>
          </cell>
          <cell r="DM83">
            <v>1</v>
          </cell>
          <cell r="DN83">
            <v>45898</v>
          </cell>
          <cell r="DP83">
            <v>45893</v>
          </cell>
          <cell r="DQ83"/>
          <cell r="DR83"/>
          <cell r="DS83"/>
          <cell r="DT83"/>
          <cell r="DU83">
            <v>45897</v>
          </cell>
          <cell r="DW83"/>
          <cell r="DX83"/>
          <cell r="DY83"/>
          <cell r="DZ83"/>
          <cell r="EA83"/>
          <cell r="EB83"/>
          <cell r="EC83" t="str">
            <v>ตัด</v>
          </cell>
          <cell r="ED83"/>
          <cell r="EG83"/>
          <cell r="EH83"/>
          <cell r="EI83"/>
        </row>
        <row r="84">
          <cell r="B84" t="str">
            <v>MK68-000954</v>
          </cell>
          <cell r="C84">
            <v>45870</v>
          </cell>
          <cell r="E84" t="str">
            <v>บจก.เคอรี่ฟลาวมิลล์</v>
          </cell>
          <cell r="F84" t="str">
            <v>ไม่พิมพ์</v>
          </cell>
          <cell r="G84">
            <v>19</v>
          </cell>
          <cell r="H84">
            <v>32</v>
          </cell>
          <cell r="I84" t="str">
            <v>ขาว</v>
          </cell>
          <cell r="J84"/>
          <cell r="L84">
            <v>67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45898</v>
          </cell>
          <cell r="Z84" t="str">
            <v>ห่ออัดเบลแบน500</v>
          </cell>
          <cell r="AA84">
            <v>20000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20000</v>
          </cell>
          <cell r="AM84"/>
          <cell r="AN84">
            <v>0</v>
          </cell>
          <cell r="AO84" t="str">
            <v>WSWT1921720</v>
          </cell>
          <cell r="AQ84">
            <v>18719.800000000003</v>
          </cell>
          <cell r="AR84">
            <v>0</v>
          </cell>
          <cell r="AS84">
            <v>18719.800000000003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1410.0585351111113</v>
          </cell>
          <cell r="DL84" t="str">
            <v>P3</v>
          </cell>
          <cell r="DM84">
            <v>1</v>
          </cell>
          <cell r="DN84">
            <v>45898</v>
          </cell>
          <cell r="DP84">
            <v>45893</v>
          </cell>
          <cell r="DQ84"/>
          <cell r="DR84"/>
          <cell r="DS84"/>
          <cell r="DT84"/>
          <cell r="DU84">
            <v>45897</v>
          </cell>
          <cell r="DW84"/>
          <cell r="DX84"/>
          <cell r="DY84"/>
          <cell r="DZ84"/>
          <cell r="EA84"/>
          <cell r="EB84"/>
          <cell r="EC84" t="str">
            <v>ตัด</v>
          </cell>
          <cell r="ED84"/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30</v>
          </cell>
          <cell r="I85"/>
          <cell r="J85"/>
          <cell r="L85">
            <v>63</v>
          </cell>
          <cell r="M85" t="str">
            <v>+</v>
          </cell>
          <cell r="N85">
            <v>5</v>
          </cell>
          <cell r="R85"/>
          <cell r="T85"/>
          <cell r="U85"/>
          <cell r="V85"/>
          <cell r="X85"/>
          <cell r="Z85"/>
          <cell r="AA85">
            <v>0</v>
          </cell>
          <cell r="AB85"/>
          <cell r="AC85">
            <v>0</v>
          </cell>
          <cell r="AD85"/>
          <cell r="AG85"/>
          <cell r="AI85" t="str">
            <v>ระบุในSD</v>
          </cell>
          <cell r="AJ85">
            <v>0</v>
          </cell>
          <cell r="AL85">
            <v>0</v>
          </cell>
          <cell r="AM85"/>
          <cell r="AN85">
            <v>0</v>
          </cell>
          <cell r="AO85" t="str">
            <v>WSWT1921720</v>
          </cell>
          <cell r="AQ85">
            <v>202355.45</v>
          </cell>
          <cell r="AR85">
            <v>37439.600000000006</v>
          </cell>
          <cell r="AS85">
            <v>164915.84999999998</v>
          </cell>
          <cell r="AT85">
            <v>0</v>
          </cell>
          <cell r="AU85">
            <v>0</v>
          </cell>
          <cell r="BZ85" t="str">
            <v>WRWT190720/WRWT25800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>
            <v>0</v>
          </cell>
          <cell r="EI85">
            <v>0</v>
          </cell>
        </row>
        <row r="86">
          <cell r="B86" t="str">
            <v>MK68-000959</v>
          </cell>
          <cell r="C86">
            <v>45874</v>
          </cell>
          <cell r="E86" t="str">
            <v>บจก.เอเชี่ยนเคมิคัล</v>
          </cell>
          <cell r="F86" t="str">
            <v>A.C.C.ภาษาอังกฤษ</v>
          </cell>
          <cell r="G86">
            <v>19</v>
          </cell>
          <cell r="H86">
            <v>26</v>
          </cell>
          <cell r="I86" t="str">
            <v>ขาว</v>
          </cell>
          <cell r="J86" t="str">
            <v>ด้าน</v>
          </cell>
          <cell r="L86">
            <v>70</v>
          </cell>
          <cell r="M86" t="str">
            <v>±</v>
          </cell>
          <cell r="N86">
            <v>5</v>
          </cell>
          <cell r="R86" t="str">
            <v>ไม่</v>
          </cell>
          <cell r="T86">
            <v>20</v>
          </cell>
          <cell r="U86">
            <v>28</v>
          </cell>
          <cell r="V86">
            <v>50</v>
          </cell>
          <cell r="X86">
            <v>45887</v>
          </cell>
          <cell r="Z86" t="str">
            <v>มัด100</v>
          </cell>
          <cell r="AA86">
            <v>10000</v>
          </cell>
          <cell r="AB86">
            <v>172.69642879999998</v>
          </cell>
          <cell r="AC86">
            <v>0</v>
          </cell>
          <cell r="AD86">
            <v>172.69642879999998</v>
          </cell>
          <cell r="AG86"/>
          <cell r="AI86"/>
          <cell r="AJ86">
            <v>0</v>
          </cell>
          <cell r="AL86">
            <v>10000</v>
          </cell>
          <cell r="AM86"/>
          <cell r="AN86">
            <v>10500</v>
          </cell>
          <cell r="AO86" t="str">
            <v>WSWT1925800SM</v>
          </cell>
          <cell r="AQ86">
            <v>7683.5000000000009</v>
          </cell>
          <cell r="AR86">
            <v>7683.5000000000009</v>
          </cell>
          <cell r="AS86">
            <v>0</v>
          </cell>
          <cell r="AT86">
            <v>0</v>
          </cell>
          <cell r="AU86">
            <v>7683.5000000000009</v>
          </cell>
          <cell r="BZ86" t="str">
            <v>WRWT25800/WRWT25800</v>
          </cell>
          <cell r="CA86">
            <v>0</v>
          </cell>
          <cell r="DL86" t="str">
            <v>P8</v>
          </cell>
          <cell r="DM86">
            <v>4</v>
          </cell>
          <cell r="DN86">
            <v>45887</v>
          </cell>
          <cell r="DP86">
            <v>45882</v>
          </cell>
          <cell r="DQ86">
            <v>45883</v>
          </cell>
          <cell r="DR86">
            <v>45877</v>
          </cell>
          <cell r="DS86">
            <v>45884</v>
          </cell>
          <cell r="DT86">
            <v>45885</v>
          </cell>
          <cell r="DU86">
            <v>45885</v>
          </cell>
          <cell r="DW86">
            <v>45886</v>
          </cell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>
            <v>0</v>
          </cell>
          <cell r="C87"/>
          <cell r="E87"/>
          <cell r="F87"/>
          <cell r="G87">
            <v>19</v>
          </cell>
          <cell r="H87">
            <v>30</v>
          </cell>
          <cell r="I87"/>
          <cell r="J87"/>
          <cell r="L87">
            <v>56</v>
          </cell>
          <cell r="M87" t="str">
            <v>±</v>
          </cell>
          <cell r="N87">
            <v>5</v>
          </cell>
          <cell r="R87"/>
          <cell r="T87"/>
          <cell r="U87"/>
          <cell r="V87"/>
          <cell r="X87"/>
          <cell r="Z87"/>
          <cell r="AA87">
            <v>0</v>
          </cell>
          <cell r="AB87"/>
          <cell r="AC87">
            <v>0</v>
          </cell>
          <cell r="AD87"/>
          <cell r="AG87"/>
          <cell r="AI87" t="str">
            <v>ระบุในSD</v>
          </cell>
          <cell r="AJ87" t="str">
            <v xml:space="preserve"> </v>
          </cell>
          <cell r="AL87">
            <v>0</v>
          </cell>
          <cell r="AM87"/>
          <cell r="AN87">
            <v>0</v>
          </cell>
          <cell r="AO87" t="str">
            <v>WSWT1925800SM</v>
          </cell>
          <cell r="AQ87">
            <v>7683.5000000000009</v>
          </cell>
          <cell r="AR87">
            <v>7683.5000000000009</v>
          </cell>
          <cell r="AS87">
            <v>0</v>
          </cell>
          <cell r="AT87">
            <v>0</v>
          </cell>
          <cell r="AU87">
            <v>7683.5000000000009</v>
          </cell>
          <cell r="BZ87" t="str">
            <v>WRWT190800/WRWT25800</v>
          </cell>
          <cell r="CA87">
            <v>0</v>
          </cell>
          <cell r="DL87"/>
          <cell r="DM87" t="str">
            <v>Lead time</v>
          </cell>
          <cell r="DN87"/>
          <cell r="DP87"/>
          <cell r="DQ87"/>
          <cell r="DR87"/>
          <cell r="DS87"/>
          <cell r="DT87"/>
          <cell r="DU87"/>
          <cell r="DW87"/>
          <cell r="DX87"/>
          <cell r="DY87"/>
          <cell r="DZ87"/>
          <cell r="EA87"/>
          <cell r="EB87"/>
          <cell r="EC87"/>
          <cell r="ED87"/>
          <cell r="EG87"/>
          <cell r="EH87">
            <v>0</v>
          </cell>
          <cell r="EI87">
            <v>0</v>
          </cell>
        </row>
        <row r="88">
          <cell r="B88" t="str">
            <v>ใบรับคำสั่งซื้อ</v>
          </cell>
          <cell r="C88">
            <v>45874</v>
          </cell>
          <cell r="E88" t="str">
            <v>บจก.อินเทคค์ โกลบอล</v>
          </cell>
          <cell r="F88" t="str">
            <v>เพอเฟคค์ 104Sโกลด์</v>
          </cell>
          <cell r="G88">
            <v>19</v>
          </cell>
          <cell r="H88">
            <v>34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จับจีบ4"</v>
          </cell>
          <cell r="T88" t="str">
            <v>ไม่สวมถุงใน</v>
          </cell>
          <cell r="U88"/>
          <cell r="V88"/>
          <cell r="X88">
            <v>45889</v>
          </cell>
          <cell r="Z88" t="str">
            <v>มัด80 ใช้สายรัด</v>
          </cell>
          <cell r="AA88">
            <v>5040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5040</v>
          </cell>
          <cell r="AM88"/>
          <cell r="AN88">
            <v>5292</v>
          </cell>
          <cell r="AO88" t="str">
            <v>WSWT19251000SM</v>
          </cell>
          <cell r="AQ88">
            <v>4999.0247999999992</v>
          </cell>
          <cell r="AR88">
            <v>0</v>
          </cell>
          <cell r="AS88">
            <v>4999.0247999999992</v>
          </cell>
          <cell r="AT88">
            <v>0</v>
          </cell>
          <cell r="AU88">
            <v>4999.0247999999992</v>
          </cell>
          <cell r="BZ88" t="str">
            <v>WRWT251000/WRWT251000</v>
          </cell>
          <cell r="CA88">
            <v>422.13987199999997</v>
          </cell>
          <cell r="DL88" t="str">
            <v>P6</v>
          </cell>
          <cell r="DM88">
            <v>4</v>
          </cell>
          <cell r="DN88">
            <v>45889</v>
          </cell>
          <cell r="DP88">
            <v>45884</v>
          </cell>
          <cell r="DQ88">
            <v>45885</v>
          </cell>
          <cell r="DR88">
            <v>45878</v>
          </cell>
          <cell r="DS88">
            <v>45886</v>
          </cell>
          <cell r="DT88">
            <v>45887</v>
          </cell>
          <cell r="DU88">
            <v>45888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MK68-000680</v>
          </cell>
          <cell r="C89">
            <v>45796</v>
          </cell>
          <cell r="E89" t="str">
            <v>บจก.อินเทคค์ โกลบอล</v>
          </cell>
          <cell r="F89" t="str">
            <v>เพอเฟคค์103P โกลด์</v>
          </cell>
          <cell r="G89">
            <v>19</v>
          </cell>
          <cell r="H89">
            <v>34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จับจีบ4"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มัด80 ใช้สายรัด</v>
          </cell>
          <cell r="AA89">
            <v>503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503</v>
          </cell>
          <cell r="AM89">
            <v>5250</v>
          </cell>
          <cell r="AN89">
            <v>0</v>
          </cell>
          <cell r="AO89" t="str">
            <v>WSWT19251000SM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WRWT251000/WRWT251000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19</v>
          </cell>
          <cell r="H90">
            <v>34</v>
          </cell>
          <cell r="I90" t="str">
            <v>ขาว</v>
          </cell>
          <cell r="J90"/>
          <cell r="L90">
            <v>80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X90"/>
          <cell r="Z90"/>
          <cell r="AA90"/>
          <cell r="AB90">
            <v>0</v>
          </cell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WSWT19251000SM</v>
          </cell>
          <cell r="AQ90">
            <v>4999.0247999999992</v>
          </cell>
          <cell r="AR90">
            <v>0</v>
          </cell>
          <cell r="AS90">
            <v>4999.0247999999992</v>
          </cell>
          <cell r="AT90">
            <v>0</v>
          </cell>
          <cell r="AU90">
            <v>4999.0247999999992</v>
          </cell>
          <cell r="BZ90" t="str">
            <v>WRWT251000/WRYL251000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/>
          <cell r="EI90">
            <v>0</v>
          </cell>
        </row>
        <row r="91">
          <cell r="B91">
            <v>0</v>
          </cell>
          <cell r="C91"/>
          <cell r="E91"/>
          <cell r="F91"/>
          <cell r="G91">
            <v>20</v>
          </cell>
          <cell r="H91">
            <v>37</v>
          </cell>
          <cell r="I91" t="str">
            <v>ขาว</v>
          </cell>
          <cell r="J91"/>
          <cell r="L91">
            <v>65</v>
          </cell>
          <cell r="M91" t="str">
            <v>±</v>
          </cell>
          <cell r="N91">
            <v>5</v>
          </cell>
          <cell r="R91"/>
          <cell r="T91"/>
          <cell r="U91"/>
          <cell r="V91"/>
          <cell r="X91"/>
          <cell r="Z91"/>
          <cell r="AA91"/>
          <cell r="AB91">
            <v>0</v>
          </cell>
          <cell r="AC91">
            <v>0</v>
          </cell>
          <cell r="AD91"/>
          <cell r="AG91"/>
          <cell r="AI91" t="str">
            <v>ระบุในSD</v>
          </cell>
          <cell r="AJ91"/>
          <cell r="AL91">
            <v>0</v>
          </cell>
          <cell r="AM91"/>
          <cell r="AN91">
            <v>0</v>
          </cell>
          <cell r="AO91" t="str">
            <v>WSWT2025650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BZ91" t="str">
            <v>WRWT25650/WRWT25650</v>
          </cell>
          <cell r="CA91">
            <v>0</v>
          </cell>
          <cell r="DL91"/>
          <cell r="DM91" t="str">
            <v>Lead time</v>
          </cell>
          <cell r="DN91"/>
          <cell r="DP91"/>
          <cell r="DQ91"/>
          <cell r="DR91"/>
          <cell r="DS91"/>
          <cell r="DT91"/>
          <cell r="DU91"/>
          <cell r="DW91"/>
          <cell r="DX91"/>
          <cell r="DY91"/>
          <cell r="DZ91"/>
          <cell r="EA91"/>
          <cell r="EB91"/>
          <cell r="EC91"/>
          <cell r="ED91"/>
          <cell r="EG91"/>
          <cell r="EH91"/>
          <cell r="EI91">
            <v>0</v>
          </cell>
        </row>
        <row r="92">
          <cell r="B92">
            <v>0</v>
          </cell>
          <cell r="C92"/>
          <cell r="E92"/>
          <cell r="F92"/>
          <cell r="G92">
            <v>20</v>
          </cell>
          <cell r="H92">
            <v>37</v>
          </cell>
          <cell r="I92" t="str">
            <v>ขาว</v>
          </cell>
          <cell r="J92"/>
          <cell r="L92">
            <v>70</v>
          </cell>
          <cell r="M92" t="str">
            <v>±</v>
          </cell>
          <cell r="N92">
            <v>5</v>
          </cell>
          <cell r="R92"/>
          <cell r="T92"/>
          <cell r="U92"/>
          <cell r="V92"/>
          <cell r="X92"/>
          <cell r="Z92"/>
          <cell r="AA92"/>
          <cell r="AB92">
            <v>0</v>
          </cell>
          <cell r="AC92">
            <v>0</v>
          </cell>
          <cell r="AD92"/>
          <cell r="AG92"/>
          <cell r="AI92" t="str">
            <v>ระบุในSD</v>
          </cell>
          <cell r="AJ92"/>
          <cell r="AL92">
            <v>0</v>
          </cell>
          <cell r="AM92"/>
          <cell r="AN92">
            <v>0</v>
          </cell>
          <cell r="AO92" t="str">
            <v>WSWT2025700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BZ92" t="str">
            <v>WRWT25800/WRWT25650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/>
          <cell r="EI92">
            <v>0</v>
          </cell>
        </row>
        <row r="93">
          <cell r="B93" t="str">
            <v>MK68-000902</v>
          </cell>
          <cell r="C93">
            <v>45857</v>
          </cell>
          <cell r="E93" t="str">
            <v>บจก.อินเทคค์ โกลบอล</v>
          </cell>
          <cell r="F93" t="str">
            <v>เพอเฟคค์ 000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120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120</v>
          </cell>
          <cell r="AM93">
            <v>11000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MK68-000742</v>
          </cell>
          <cell r="C94">
            <v>45810</v>
          </cell>
          <cell r="E94" t="str">
            <v>บจก.เอสพีเอ็ม อาหารสัตว์</v>
          </cell>
          <cell r="F94" t="str">
            <v>นีโอ 05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 t="str">
            <v>รอส่ง</v>
          </cell>
          <cell r="Z94" t="str">
            <v>500กระสอบแบน</v>
          </cell>
          <cell r="AA94">
            <v>2500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2500</v>
          </cell>
          <cell r="AL94">
            <v>0</v>
          </cell>
          <cell r="AM94">
            <v>5560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รอส่ง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MK68-000874</v>
          </cell>
          <cell r="C95">
            <v>45847</v>
          </cell>
          <cell r="E95" t="str">
            <v>บจก.เอสพีเอ็ม อาหารสัตว์</v>
          </cell>
          <cell r="F95" t="str">
            <v>SPM 912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45876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3000</v>
          </cell>
          <cell r="AL95">
            <v>0</v>
          </cell>
          <cell r="AM95">
            <v>3841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45876</v>
          </cell>
          <cell r="DP95">
            <v>45871</v>
          </cell>
          <cell r="DQ95">
            <v>45872</v>
          </cell>
          <cell r="DR95">
            <v>45865</v>
          </cell>
          <cell r="DS95">
            <v>45873</v>
          </cell>
          <cell r="DT95">
            <v>45874</v>
          </cell>
          <cell r="DU95">
            <v>45875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MK68-000948</v>
          </cell>
          <cell r="C96">
            <v>45870</v>
          </cell>
          <cell r="E96" t="str">
            <v>บจก.เอสพีเอ็ม อาหารสัตว์</v>
          </cell>
          <cell r="F96" t="str">
            <v>SPM 202</v>
          </cell>
          <cell r="G96">
            <v>20</v>
          </cell>
          <cell r="H96">
            <v>40</v>
          </cell>
          <cell r="I96" t="str">
            <v>ขาว</v>
          </cell>
          <cell r="J96" t="str">
            <v>ด้าน</v>
          </cell>
          <cell r="L96">
            <v>108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45876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3000</v>
          </cell>
          <cell r="AL96">
            <v>0</v>
          </cell>
          <cell r="AM96">
            <v>3300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45876</v>
          </cell>
          <cell r="DP96">
            <v>45871</v>
          </cell>
          <cell r="DQ96">
            <v>45872</v>
          </cell>
          <cell r="DR96">
            <v>45865</v>
          </cell>
          <cell r="DS96">
            <v>45873</v>
          </cell>
          <cell r="DT96">
            <v>45874</v>
          </cell>
          <cell r="DU96">
            <v>45875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MK68-000947</v>
          </cell>
          <cell r="C97">
            <v>45870</v>
          </cell>
          <cell r="E97" t="str">
            <v>บจก.เอสพีเอ็ม อาหารสัตว์</v>
          </cell>
          <cell r="F97" t="str">
            <v>SPM 914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45876</v>
          </cell>
          <cell r="Z97" t="str">
            <v>500กระสอบแบน</v>
          </cell>
          <cell r="AA97">
            <v>3000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2631</v>
          </cell>
          <cell r="AL97">
            <v>369</v>
          </cell>
          <cell r="AM97">
            <v>3480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45876</v>
          </cell>
          <cell r="DP97">
            <v>45871</v>
          </cell>
          <cell r="DQ97">
            <v>45872</v>
          </cell>
          <cell r="DR97">
            <v>45865</v>
          </cell>
          <cell r="DS97">
            <v>45873</v>
          </cell>
          <cell r="DT97">
            <v>45874</v>
          </cell>
          <cell r="DU97">
            <v>45875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MK68-000880</v>
          </cell>
          <cell r="C98">
            <v>45850</v>
          </cell>
          <cell r="E98" t="str">
            <v>บจก.เอพีเอ็ม อะโกร</v>
          </cell>
          <cell r="F98" t="str">
            <v>SPM195 GOAL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45883</v>
          </cell>
          <cell r="Z98" t="str">
            <v>500กระสอบแบน</v>
          </cell>
          <cell r="AA98">
            <v>4000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4000</v>
          </cell>
          <cell r="AM98">
            <v>4100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45883</v>
          </cell>
          <cell r="DP98">
            <v>45878</v>
          </cell>
          <cell r="DQ98">
            <v>45879</v>
          </cell>
          <cell r="DR98">
            <v>45872</v>
          </cell>
          <cell r="DS98">
            <v>45880</v>
          </cell>
          <cell r="DT98">
            <v>45881</v>
          </cell>
          <cell r="DU98">
            <v>45882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MK68-000952</v>
          </cell>
          <cell r="C99">
            <v>45868</v>
          </cell>
          <cell r="E99" t="str">
            <v>บจก.วีซีเอฟ</v>
          </cell>
          <cell r="F99" t="str">
            <v>VC 100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45894</v>
          </cell>
          <cell r="Z99" t="str">
            <v>500กระสอบแบน</v>
          </cell>
          <cell r="AA99">
            <v>30000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10000</v>
          </cell>
          <cell r="AL99">
            <v>20000</v>
          </cell>
          <cell r="AM99">
            <v>24370</v>
          </cell>
          <cell r="AN99">
            <v>5911.5</v>
          </cell>
          <cell r="AO99" t="str">
            <v>WSWT2025800SM</v>
          </cell>
          <cell r="AQ99">
            <v>6358.9414350000006</v>
          </cell>
          <cell r="AR99">
            <v>6358.9414350000006</v>
          </cell>
          <cell r="AS99">
            <v>0</v>
          </cell>
          <cell r="AT99">
            <v>0</v>
          </cell>
          <cell r="AU99">
            <v>6358.9414350000006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45894</v>
          </cell>
          <cell r="DP99">
            <v>45889</v>
          </cell>
          <cell r="DQ99">
            <v>45890</v>
          </cell>
          <cell r="DR99">
            <v>45883</v>
          </cell>
          <cell r="DS99">
            <v>45891</v>
          </cell>
          <cell r="DT99">
            <v>45892</v>
          </cell>
          <cell r="DU99">
            <v>45893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MK68-000952</v>
          </cell>
          <cell r="C100">
            <v>45868</v>
          </cell>
          <cell r="E100" t="str">
            <v>บจก.วีซีเอฟ</v>
          </cell>
          <cell r="F100" t="str">
            <v>VC 193</v>
          </cell>
          <cell r="G100">
            <v>20</v>
          </cell>
          <cell r="H100">
            <v>37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45894</v>
          </cell>
          <cell r="Z100" t="str">
            <v>500กระสอบแบน</v>
          </cell>
          <cell r="AA100">
            <v>20000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20000</v>
          </cell>
          <cell r="AL100">
            <v>0</v>
          </cell>
          <cell r="AM100">
            <v>20197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45894</v>
          </cell>
          <cell r="DP100">
            <v>45889</v>
          </cell>
          <cell r="DQ100">
            <v>45890</v>
          </cell>
          <cell r="DR100">
            <v>45883</v>
          </cell>
          <cell r="DS100">
            <v>45891</v>
          </cell>
          <cell r="DT100">
            <v>45892</v>
          </cell>
          <cell r="DU100">
            <v>45893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MK68-000952</v>
          </cell>
          <cell r="C101">
            <v>45868</v>
          </cell>
          <cell r="E101" t="str">
            <v>บจก.วีซีเอฟ</v>
          </cell>
          <cell r="F101" t="str">
            <v>JET 180</v>
          </cell>
          <cell r="G101">
            <v>20</v>
          </cell>
          <cell r="H101">
            <v>37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45894</v>
          </cell>
          <cell r="Z101" t="str">
            <v>500กระสอบแบน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5000</v>
          </cell>
          <cell r="AM101"/>
          <cell r="AN101">
            <v>5250</v>
          </cell>
          <cell r="AO101" t="str">
            <v>WSWT2025800SM</v>
          </cell>
          <cell r="AQ101">
            <v>5378.4500000000007</v>
          </cell>
          <cell r="AR101">
            <v>5378.4500000000007</v>
          </cell>
          <cell r="AS101">
            <v>0</v>
          </cell>
          <cell r="AT101">
            <v>0</v>
          </cell>
          <cell r="AU101">
            <v>5378.4500000000007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45894</v>
          </cell>
          <cell r="DP101">
            <v>45889</v>
          </cell>
          <cell r="DQ101">
            <v>45890</v>
          </cell>
          <cell r="DR101">
            <v>45883</v>
          </cell>
          <cell r="DS101">
            <v>45891</v>
          </cell>
          <cell r="DT101">
            <v>45892</v>
          </cell>
          <cell r="DU101">
            <v>45893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MK68-000957</v>
          </cell>
          <cell r="C102">
            <v>45873</v>
          </cell>
          <cell r="E102" t="str">
            <v>บจก.วีซีเอฟ</v>
          </cell>
          <cell r="F102" t="str">
            <v>JET 405โปรตีน16%</v>
          </cell>
          <cell r="G102">
            <v>20</v>
          </cell>
          <cell r="H102">
            <v>37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45894</v>
          </cell>
          <cell r="Z102" t="str">
            <v>500กระสอบแบน</v>
          </cell>
          <cell r="AA102">
            <v>10000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10000</v>
          </cell>
          <cell r="AM102"/>
          <cell r="AN102">
            <v>10500</v>
          </cell>
          <cell r="AO102" t="str">
            <v>WSWT2025800SM</v>
          </cell>
          <cell r="AQ102">
            <v>10756.900000000001</v>
          </cell>
          <cell r="AR102">
            <v>1503</v>
          </cell>
          <cell r="AS102">
            <v>9253.9000000000015</v>
          </cell>
          <cell r="AT102">
            <v>0</v>
          </cell>
          <cell r="AU102">
            <v>10756.900000000001</v>
          </cell>
          <cell r="BZ102" t="str">
            <v>WRWT25850/WRWT25850</v>
          </cell>
          <cell r="CA102">
            <v>699.18355555555559</v>
          </cell>
          <cell r="DL102" t="str">
            <v>P6</v>
          </cell>
          <cell r="DM102">
            <v>4</v>
          </cell>
          <cell r="DN102">
            <v>45894</v>
          </cell>
          <cell r="DP102">
            <v>45889</v>
          </cell>
          <cell r="DQ102">
            <v>45890</v>
          </cell>
          <cell r="DR102">
            <v>45883</v>
          </cell>
          <cell r="DS102">
            <v>45891</v>
          </cell>
          <cell r="DT102">
            <v>45892</v>
          </cell>
          <cell r="DU102">
            <v>45893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MK68-000957</v>
          </cell>
          <cell r="C103">
            <v>45873</v>
          </cell>
          <cell r="E103" t="str">
            <v>บจก.วีซีเอฟ</v>
          </cell>
          <cell r="F103" t="str">
            <v>JET 405โปรตีน18%</v>
          </cell>
          <cell r="G103">
            <v>20</v>
          </cell>
          <cell r="H103">
            <v>37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45894</v>
          </cell>
          <cell r="Z103" t="str">
            <v>500กระสอบแบน</v>
          </cell>
          <cell r="AA103">
            <v>20000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20000</v>
          </cell>
          <cell r="AM103"/>
          <cell r="AN103">
            <v>21000</v>
          </cell>
          <cell r="AO103" t="str">
            <v>WSWT2025800SM</v>
          </cell>
          <cell r="AQ103">
            <v>21513.800000000003</v>
          </cell>
          <cell r="AR103">
            <v>0</v>
          </cell>
          <cell r="AS103">
            <v>21513.800000000003</v>
          </cell>
          <cell r="AT103">
            <v>0</v>
          </cell>
          <cell r="AU103">
            <v>21513.800000000003</v>
          </cell>
          <cell r="BZ103" t="str">
            <v>WRWT25850/WRWT25850</v>
          </cell>
          <cell r="CA103">
            <v>1625.4871111111113</v>
          </cell>
          <cell r="DL103" t="str">
            <v>P6</v>
          </cell>
          <cell r="DM103">
            <v>4</v>
          </cell>
          <cell r="DN103">
            <v>45894</v>
          </cell>
          <cell r="DP103">
            <v>45889</v>
          </cell>
          <cell r="DQ103">
            <v>45890</v>
          </cell>
          <cell r="DR103">
            <v>45883</v>
          </cell>
          <cell r="DS103">
            <v>45891</v>
          </cell>
          <cell r="DT103">
            <v>45892</v>
          </cell>
          <cell r="DU103">
            <v>45893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MK68-000956</v>
          </cell>
          <cell r="C104">
            <v>45873</v>
          </cell>
          <cell r="E104" t="str">
            <v>บจก.วีซีเอฟ</v>
          </cell>
          <cell r="F104" t="str">
            <v>R FEED 405A</v>
          </cell>
          <cell r="G104">
            <v>20</v>
          </cell>
          <cell r="H104">
            <v>37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45894</v>
          </cell>
          <cell r="Z104" t="str">
            <v>500กระสอบแบน</v>
          </cell>
          <cell r="AA104">
            <v>10000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10000</v>
          </cell>
          <cell r="AM104"/>
          <cell r="AN104">
            <v>10500</v>
          </cell>
          <cell r="AO104" t="str">
            <v>WSWT2025800SM</v>
          </cell>
          <cell r="AQ104">
            <v>10756.900000000001</v>
          </cell>
          <cell r="AR104">
            <v>0</v>
          </cell>
          <cell r="AS104">
            <v>10756.900000000001</v>
          </cell>
          <cell r="AT104">
            <v>0</v>
          </cell>
          <cell r="AU104">
            <v>10756.900000000001</v>
          </cell>
          <cell r="BZ104" t="str">
            <v>WRWT25850/WRWT25850</v>
          </cell>
          <cell r="CA104">
            <v>812.74355555555564</v>
          </cell>
          <cell r="DL104" t="str">
            <v>P6</v>
          </cell>
          <cell r="DM104">
            <v>4</v>
          </cell>
          <cell r="DN104">
            <v>45894</v>
          </cell>
          <cell r="DP104">
            <v>45889</v>
          </cell>
          <cell r="DQ104">
            <v>45890</v>
          </cell>
          <cell r="DR104">
            <v>45883</v>
          </cell>
          <cell r="DS104">
            <v>45891</v>
          </cell>
          <cell r="DT104">
            <v>45892</v>
          </cell>
          <cell r="DU104">
            <v>45893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MK68-000956</v>
          </cell>
          <cell r="C105">
            <v>45873</v>
          </cell>
          <cell r="E105" t="str">
            <v>บจก.วีซีเอฟ</v>
          </cell>
          <cell r="F105" t="str">
            <v>SPEED PLUS 999 ENG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45894</v>
          </cell>
          <cell r="Z105" t="str">
            <v>500กระสอบแบน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5378.4500000000007</v>
          </cell>
          <cell r="AR105">
            <v>0</v>
          </cell>
          <cell r="AS105">
            <v>5378.4500000000007</v>
          </cell>
          <cell r="AT105">
            <v>0</v>
          </cell>
          <cell r="AU105">
            <v>5378.4500000000007</v>
          </cell>
          <cell r="BZ105" t="str">
            <v>WRWT25850/WRWT25850</v>
          </cell>
          <cell r="CA105">
            <v>406.37177777777782</v>
          </cell>
          <cell r="DL105" t="str">
            <v>P6</v>
          </cell>
          <cell r="DM105">
            <v>4</v>
          </cell>
          <cell r="DN105">
            <v>45894</v>
          </cell>
          <cell r="DP105">
            <v>45889</v>
          </cell>
          <cell r="DQ105">
            <v>45890</v>
          </cell>
          <cell r="DR105">
            <v>45883</v>
          </cell>
          <cell r="DS105">
            <v>45891</v>
          </cell>
          <cell r="DT105">
            <v>45892</v>
          </cell>
          <cell r="DU105">
            <v>45893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ใบรับคำสั่งซื้อ</v>
          </cell>
          <cell r="C106">
            <v>45874</v>
          </cell>
          <cell r="E106" t="str">
            <v>บจก.อินเทคค์ โกลบอล</v>
          </cell>
          <cell r="F106" t="str">
            <v>เพอเฟคค์ 912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</v>
          </cell>
          <cell r="T106" t="str">
            <v>ไม่สวมถุงใน</v>
          </cell>
          <cell r="U106"/>
          <cell r="V106"/>
          <cell r="X106">
            <v>45888</v>
          </cell>
          <cell r="Z106" t="str">
            <v>มัด80 ใช้สายรัด</v>
          </cell>
          <cell r="AA106">
            <v>10000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10000</v>
          </cell>
          <cell r="AM106"/>
          <cell r="AN106">
            <v>10500</v>
          </cell>
          <cell r="AO106" t="str">
            <v>WSWT2025800SM</v>
          </cell>
          <cell r="AQ106">
            <v>10477.5</v>
          </cell>
          <cell r="AR106">
            <v>0</v>
          </cell>
          <cell r="AS106">
            <v>10477.5</v>
          </cell>
          <cell r="AT106">
            <v>0</v>
          </cell>
          <cell r="AU106">
            <v>10477.5</v>
          </cell>
          <cell r="BZ106" t="str">
            <v>WRWT25850/WRWT25850</v>
          </cell>
          <cell r="CA106">
            <v>791.63333333333321</v>
          </cell>
          <cell r="DL106" t="str">
            <v>P6</v>
          </cell>
          <cell r="DM106">
            <v>4</v>
          </cell>
          <cell r="DN106">
            <v>45888</v>
          </cell>
          <cell r="DP106">
            <v>45883</v>
          </cell>
          <cell r="DQ106">
            <v>45884</v>
          </cell>
          <cell r="DR106">
            <v>45877</v>
          </cell>
          <cell r="DS106">
            <v>45885</v>
          </cell>
          <cell r="DT106">
            <v>45886</v>
          </cell>
          <cell r="DU106">
            <v>45887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ใบรับคำสั่งซื้อ</v>
          </cell>
          <cell r="C107">
            <v>45874</v>
          </cell>
          <cell r="E107" t="str">
            <v>บจก.อินเทคค์ โกลบอล</v>
          </cell>
          <cell r="F107" t="str">
            <v>เพอเฟคค์ 916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>
            <v>45887</v>
          </cell>
          <cell r="Z107" t="str">
            <v>มัด80 ใช้สายรัด</v>
          </cell>
          <cell r="AA107">
            <v>10000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10000</v>
          </cell>
          <cell r="AM107"/>
          <cell r="AN107">
            <v>10500</v>
          </cell>
          <cell r="AO107" t="str">
            <v>WSWT2025800SM</v>
          </cell>
          <cell r="AQ107">
            <v>10477.5</v>
          </cell>
          <cell r="AR107">
            <v>0</v>
          </cell>
          <cell r="AS107">
            <v>10477.5</v>
          </cell>
          <cell r="AT107">
            <v>0</v>
          </cell>
          <cell r="AU107">
            <v>10477.5</v>
          </cell>
          <cell r="BZ107" t="str">
            <v>WRWT25850/WRWT25850</v>
          </cell>
          <cell r="CA107">
            <v>791.63333333333321</v>
          </cell>
          <cell r="DL107" t="str">
            <v>P6</v>
          </cell>
          <cell r="DM107">
            <v>4</v>
          </cell>
          <cell r="DN107">
            <v>45887</v>
          </cell>
          <cell r="DP107">
            <v>45882</v>
          </cell>
          <cell r="DQ107">
            <v>45883</v>
          </cell>
          <cell r="DR107">
            <v>45876</v>
          </cell>
          <cell r="DS107">
            <v>45884</v>
          </cell>
          <cell r="DT107">
            <v>45885</v>
          </cell>
          <cell r="DU107">
            <v>45886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MK68-000676</v>
          </cell>
          <cell r="C108">
            <v>45796</v>
          </cell>
          <cell r="E108" t="str">
            <v>บจก.อินเทคค์ โกลบอล</v>
          </cell>
          <cell r="F108" t="str">
            <v>เพอเฟคค์ 916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>
            <v>45887</v>
          </cell>
          <cell r="Z108" t="str">
            <v>มัด80 ใช้สายรัด</v>
          </cell>
          <cell r="AA108">
            <v>614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614</v>
          </cell>
          <cell r="AM108">
            <v>0</v>
          </cell>
          <cell r="AN108">
            <v>644.70000000000005</v>
          </cell>
          <cell r="AO108" t="str">
            <v>WSWT2025800SM</v>
          </cell>
          <cell r="AQ108">
            <v>643.31850000000009</v>
          </cell>
          <cell r="AR108">
            <v>0</v>
          </cell>
          <cell r="AS108">
            <v>643.31850000000009</v>
          </cell>
          <cell r="AT108">
            <v>0</v>
          </cell>
          <cell r="AU108">
            <v>643.31850000000009</v>
          </cell>
          <cell r="BZ108" t="str">
            <v>WRWT25850/WRWT25850</v>
          </cell>
          <cell r="CA108">
            <v>48.606286666666669</v>
          </cell>
          <cell r="DL108" t="str">
            <v>P6</v>
          </cell>
          <cell r="DM108">
            <v>4</v>
          </cell>
          <cell r="DN108">
            <v>45887</v>
          </cell>
          <cell r="DP108">
            <v>45882</v>
          </cell>
          <cell r="DQ108">
            <v>45883</v>
          </cell>
          <cell r="DR108">
            <v>45876</v>
          </cell>
          <cell r="DS108">
            <v>45884</v>
          </cell>
          <cell r="DT108">
            <v>45885</v>
          </cell>
          <cell r="DU108">
            <v>45886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ใบรับคำสั่งซื้อ</v>
          </cell>
          <cell r="C109">
            <v>45874</v>
          </cell>
          <cell r="E109" t="str">
            <v>บจก.อินเทคค์ โกลบอล</v>
          </cell>
          <cell r="F109" t="str">
            <v>เฟิร์สคลาส 912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>
            <v>45887</v>
          </cell>
          <cell r="Z109" t="str">
            <v>มัด80 ใช้สายรัด</v>
          </cell>
          <cell r="AA109">
            <v>5040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5040</v>
          </cell>
          <cell r="AM109"/>
          <cell r="AN109">
            <v>5292</v>
          </cell>
          <cell r="AO109" t="str">
            <v>WSWT2025800SM</v>
          </cell>
          <cell r="AQ109">
            <v>5139.8424000000005</v>
          </cell>
          <cell r="AR109">
            <v>0</v>
          </cell>
          <cell r="AS109">
            <v>5139.8424000000005</v>
          </cell>
          <cell r="AT109">
            <v>0</v>
          </cell>
          <cell r="AU109">
            <v>5139.8424000000005</v>
          </cell>
          <cell r="BZ109" t="str">
            <v>WRWT25850/WRWT25850</v>
          </cell>
          <cell r="CA109">
            <v>388.34364799999992</v>
          </cell>
          <cell r="DL109" t="str">
            <v>P6</v>
          </cell>
          <cell r="DM109">
            <v>4</v>
          </cell>
          <cell r="DN109">
            <v>45887</v>
          </cell>
          <cell r="DP109">
            <v>45882</v>
          </cell>
          <cell r="DQ109">
            <v>45883</v>
          </cell>
          <cell r="DR109">
            <v>45876</v>
          </cell>
          <cell r="DS109">
            <v>45884</v>
          </cell>
          <cell r="DT109">
            <v>45885</v>
          </cell>
          <cell r="DU109">
            <v>45886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MK68-000810</v>
          </cell>
          <cell r="C110">
            <v>45827</v>
          </cell>
          <cell r="E110" t="str">
            <v>บจก.อินเทคค์ โกลบอล</v>
          </cell>
          <cell r="F110" t="str">
            <v>เฟิร์สคลาส 912</v>
          </cell>
          <cell r="G110">
            <v>20</v>
          </cell>
          <cell r="H110">
            <v>35</v>
          </cell>
          <cell r="I110" t="str">
            <v>ขาว</v>
          </cell>
          <cell r="J110" t="str">
            <v>ด้าน</v>
          </cell>
          <cell r="L110">
            <v>97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>
            <v>45887</v>
          </cell>
          <cell r="Z110" t="str">
            <v>มัด80 ใช้สายรัด</v>
          </cell>
          <cell r="AA110">
            <v>455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455</v>
          </cell>
          <cell r="AM110">
            <v>0</v>
          </cell>
          <cell r="AN110">
            <v>477.75</v>
          </cell>
          <cell r="AO110" t="str">
            <v>WSWT2025800SM</v>
          </cell>
          <cell r="AQ110">
            <v>464.01355000000001</v>
          </cell>
          <cell r="AR110">
            <v>0</v>
          </cell>
          <cell r="AS110">
            <v>464.01355000000001</v>
          </cell>
          <cell r="AT110">
            <v>0</v>
          </cell>
          <cell r="AU110">
            <v>464.01355000000001</v>
          </cell>
          <cell r="BZ110" t="str">
            <v>WRWT25850/WRWT25850</v>
          </cell>
          <cell r="CA110">
            <v>35.058801555555547</v>
          </cell>
          <cell r="DL110" t="str">
            <v>P6</v>
          </cell>
          <cell r="DM110">
            <v>4</v>
          </cell>
          <cell r="DN110">
            <v>45887</v>
          </cell>
          <cell r="DP110">
            <v>45882</v>
          </cell>
          <cell r="DQ110">
            <v>45883</v>
          </cell>
          <cell r="DR110">
            <v>45876</v>
          </cell>
          <cell r="DS110">
            <v>45884</v>
          </cell>
          <cell r="DT110">
            <v>45885</v>
          </cell>
          <cell r="DU110">
            <v>45886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MK68-000960</v>
          </cell>
          <cell r="C111">
            <v>45873</v>
          </cell>
          <cell r="E111" t="str">
            <v>บจก.เอพีเอ็ม อะโกร</v>
          </cell>
          <cell r="F111" t="str">
            <v>U-FEED U4(เอส)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4000</v>
          </cell>
          <cell r="AB111">
            <v>0</v>
          </cell>
          <cell r="AC111">
            <v>0</v>
          </cell>
          <cell r="AD111">
            <v>0</v>
          </cell>
          <cell r="AG111"/>
          <cell r="AI111" t="str">
            <v>ห้ามเกิน-ขาดได้5%</v>
          </cell>
          <cell r="AJ111">
            <v>0</v>
          </cell>
          <cell r="AL111">
            <v>4000</v>
          </cell>
          <cell r="AM111"/>
          <cell r="AN111">
            <v>4200</v>
          </cell>
          <cell r="AO111" t="str">
            <v>WSWT2025800SM</v>
          </cell>
          <cell r="AQ111">
            <v>4414.5199999999995</v>
          </cell>
          <cell r="AR111">
            <v>0</v>
          </cell>
          <cell r="AS111">
            <v>4414.5199999999995</v>
          </cell>
          <cell r="AT111">
            <v>0</v>
          </cell>
          <cell r="AU111">
            <v>4414.5199999999995</v>
          </cell>
          <cell r="BZ111" t="str">
            <v>WRWT25850/WRWT25850</v>
          </cell>
          <cell r="CA111">
            <v>333.54151111111111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MK68-000961</v>
          </cell>
          <cell r="C112">
            <v>45873</v>
          </cell>
          <cell r="E112" t="str">
            <v>บจก.เอพีเอ็ม อะโกร</v>
          </cell>
          <cell r="F112" t="str">
            <v>U-FEED U2(เอส)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/>
          <cell r="AI112" t="str">
            <v>ห้ามเกิน-ขาดได้5%</v>
          </cell>
          <cell r="AJ112">
            <v>0</v>
          </cell>
          <cell r="AL112">
            <v>4000</v>
          </cell>
          <cell r="AM112"/>
          <cell r="AN112">
            <v>4200</v>
          </cell>
          <cell r="AO112" t="str">
            <v>WSWT2025800SM</v>
          </cell>
          <cell r="AQ112">
            <v>4414.5199999999995</v>
          </cell>
          <cell r="AR112">
            <v>0</v>
          </cell>
          <cell r="AS112">
            <v>4414.5199999999995</v>
          </cell>
          <cell r="AT112">
            <v>0</v>
          </cell>
          <cell r="AU112">
            <v>4414.5199999999995</v>
          </cell>
          <cell r="BZ112" t="str">
            <v>WRWT25850/WRWT25850</v>
          </cell>
          <cell r="CA112">
            <v>333.54151111111111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MK68-000963</v>
          </cell>
          <cell r="C113">
            <v>45873</v>
          </cell>
          <cell r="E113" t="str">
            <v>บจก.เอพีเอ็ม อะโกร</v>
          </cell>
          <cell r="F113" t="str">
            <v>ยู-ฟีด ดี3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 t="str">
            <v>ห้ามเกิน-ขาดได้5%</v>
          </cell>
          <cell r="AJ113">
            <v>0</v>
          </cell>
          <cell r="AL113">
            <v>4000</v>
          </cell>
          <cell r="AM113"/>
          <cell r="AN113">
            <v>4200</v>
          </cell>
          <cell r="AO113" t="str">
            <v>WSWT2025800SM</v>
          </cell>
          <cell r="AQ113">
            <v>4414.5199999999995</v>
          </cell>
          <cell r="AR113">
            <v>0</v>
          </cell>
          <cell r="AS113">
            <v>4414.5199999999995</v>
          </cell>
          <cell r="AT113">
            <v>0</v>
          </cell>
          <cell r="AU113">
            <v>4414.5199999999995</v>
          </cell>
          <cell r="BZ113" t="str">
            <v>WRWT25850/WRWT25850</v>
          </cell>
          <cell r="CA113">
            <v>333.54151111111111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MK68-000962</v>
          </cell>
          <cell r="C114">
            <v>45873</v>
          </cell>
          <cell r="E114" t="str">
            <v>บจก.เอพีเอ็ม อะโกร</v>
          </cell>
          <cell r="F114" t="str">
            <v>SPM190 GOAL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ห้ามเกิน-ขาดได้5%</v>
          </cell>
          <cell r="AJ114">
            <v>0</v>
          </cell>
          <cell r="AL114">
            <v>4000</v>
          </cell>
          <cell r="AM114"/>
          <cell r="AN114">
            <v>4200</v>
          </cell>
          <cell r="AO114" t="str">
            <v>WSWT2025800SM</v>
          </cell>
          <cell r="AQ114">
            <v>4414.5199999999995</v>
          </cell>
          <cell r="AR114">
            <v>0</v>
          </cell>
          <cell r="AS114">
            <v>4414.5199999999995</v>
          </cell>
          <cell r="AT114">
            <v>0</v>
          </cell>
          <cell r="AU114">
            <v>4414.5199999999995</v>
          </cell>
          <cell r="BZ114" t="str">
            <v>WRWT25850/WRWT25850</v>
          </cell>
          <cell r="CA114">
            <v>333.54151111111111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ประมาณการ</v>
          </cell>
          <cell r="C115" t="str">
            <v>ประมาณการ</v>
          </cell>
          <cell r="E115" t="str">
            <v>บจก.อินเทคค์ โกลบอล</v>
          </cell>
          <cell r="F115" t="str">
            <v>รอแบบ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>
            <v>45899</v>
          </cell>
          <cell r="Z115" t="str">
            <v>มัด80 ใช้สายรัด</v>
          </cell>
          <cell r="AA115">
            <v>100000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100000</v>
          </cell>
          <cell r="AM115"/>
          <cell r="AN115">
            <v>105000</v>
          </cell>
          <cell r="AO115" t="str">
            <v>WSWT2025800SM</v>
          </cell>
          <cell r="AQ115">
            <v>104775.00000000001</v>
          </cell>
          <cell r="AR115">
            <v>0</v>
          </cell>
          <cell r="AS115">
            <v>104775.00000000001</v>
          </cell>
          <cell r="AT115">
            <v>0</v>
          </cell>
          <cell r="AU115">
            <v>104775.00000000001</v>
          </cell>
          <cell r="BZ115" t="str">
            <v>WRWT25850/WRWT25850</v>
          </cell>
          <cell r="CA115">
            <v>7916.333333333333</v>
          </cell>
          <cell r="DL115" t="str">
            <v>P6</v>
          </cell>
          <cell r="DM115">
            <v>4</v>
          </cell>
          <cell r="DN115">
            <v>45899</v>
          </cell>
          <cell r="DP115">
            <v>45894</v>
          </cell>
          <cell r="DQ115">
            <v>45895</v>
          </cell>
          <cell r="DR115">
            <v>45888</v>
          </cell>
          <cell r="DS115">
            <v>45896</v>
          </cell>
          <cell r="DT115">
            <v>45897</v>
          </cell>
          <cell r="DU115">
            <v>45898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ประมาณการ</v>
          </cell>
          <cell r="C116" t="str">
            <v>ประมาณการ</v>
          </cell>
          <cell r="E116" t="str">
            <v>บจก.เอสพีเอ็ม อาหารสัตว์</v>
          </cell>
          <cell r="F116" t="str">
            <v>รอแบบ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45899</v>
          </cell>
          <cell r="Z116" t="str">
            <v>500กระสอบแบน</v>
          </cell>
          <cell r="AA116">
            <v>20000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20000</v>
          </cell>
          <cell r="AM116"/>
          <cell r="AN116">
            <v>21000</v>
          </cell>
          <cell r="AO116" t="str">
            <v>WSWT2025800SM</v>
          </cell>
          <cell r="AQ116">
            <v>22072.6</v>
          </cell>
          <cell r="AR116">
            <v>0</v>
          </cell>
          <cell r="AS116">
            <v>22072.6</v>
          </cell>
          <cell r="AT116">
            <v>0</v>
          </cell>
          <cell r="AU116">
            <v>22072.6</v>
          </cell>
          <cell r="BZ116" t="str">
            <v>WRWT25850/WRWT25850</v>
          </cell>
          <cell r="CA116">
            <v>1667.7075555555555</v>
          </cell>
          <cell r="DL116" t="str">
            <v>P6</v>
          </cell>
          <cell r="DM116">
            <v>4</v>
          </cell>
          <cell r="DN116">
            <v>45899</v>
          </cell>
          <cell r="DP116">
            <v>45894</v>
          </cell>
          <cell r="DQ116">
            <v>45895</v>
          </cell>
          <cell r="DR116">
            <v>45888</v>
          </cell>
          <cell r="DS116">
            <v>45896</v>
          </cell>
          <cell r="DT116">
            <v>45897</v>
          </cell>
          <cell r="DU116">
            <v>45898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บจก.ไทยธรรมดี</v>
          </cell>
          <cell r="F117" t="str">
            <v>รอแบบ</v>
          </cell>
          <cell r="G117">
            <v>20</v>
          </cell>
          <cell r="H117">
            <v>37</v>
          </cell>
          <cell r="I117" t="str">
            <v>ขาว</v>
          </cell>
          <cell r="J117" t="str">
            <v>ด้าน</v>
          </cell>
          <cell r="L117">
            <v>97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45899</v>
          </cell>
          <cell r="Z117" t="str">
            <v>500กระสอบ</v>
          </cell>
          <cell r="AA117">
            <v>20000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20000</v>
          </cell>
          <cell r="AM117"/>
          <cell r="AN117">
            <v>21000</v>
          </cell>
          <cell r="AO117" t="str">
            <v>WSWT2025800SM</v>
          </cell>
          <cell r="AQ117">
            <v>21513.800000000003</v>
          </cell>
          <cell r="AR117">
            <v>0</v>
          </cell>
          <cell r="AS117">
            <v>21513.800000000003</v>
          </cell>
          <cell r="AT117">
            <v>0</v>
          </cell>
          <cell r="AU117">
            <v>21513.800000000003</v>
          </cell>
          <cell r="BZ117" t="str">
            <v>WRWT25850/WRWT25850</v>
          </cell>
          <cell r="CA117">
            <v>1625.4871111111113</v>
          </cell>
          <cell r="DL117" t="str">
            <v>P6</v>
          </cell>
          <cell r="DM117">
            <v>4</v>
          </cell>
          <cell r="DN117">
            <v>45899</v>
          </cell>
          <cell r="DP117">
            <v>45894</v>
          </cell>
          <cell r="DQ117">
            <v>45895</v>
          </cell>
          <cell r="DR117">
            <v>45888</v>
          </cell>
          <cell r="DS117">
            <v>45896</v>
          </cell>
          <cell r="DT117">
            <v>45897</v>
          </cell>
          <cell r="DU117">
            <v>45898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บจก.ซันฟีด</v>
          </cell>
          <cell r="F118" t="str">
            <v>รอแบบ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+</v>
          </cell>
          <cell r="N118"/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 xml:space="preserve">300กระสอบแบนเต็มใบ </v>
          </cell>
          <cell r="AA118">
            <v>100000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100000</v>
          </cell>
          <cell r="AM118"/>
          <cell r="AN118">
            <v>105000</v>
          </cell>
          <cell r="AO118" t="str">
            <v>WSWT2025800SM</v>
          </cell>
          <cell r="AQ118">
            <v>110363</v>
          </cell>
          <cell r="AR118">
            <v>0</v>
          </cell>
          <cell r="AS118">
            <v>110363</v>
          </cell>
          <cell r="AT118">
            <v>0</v>
          </cell>
          <cell r="AU118">
            <v>110363</v>
          </cell>
          <cell r="BZ118" t="str">
            <v>WRWT25850/WRWT25850</v>
          </cell>
          <cell r="CA118">
            <v>8338.5377777777776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MK68-000796</v>
          </cell>
          <cell r="C119">
            <v>45825</v>
          </cell>
          <cell r="E119" t="str">
            <v>บจก.อินเทคค์ โกลบอล</v>
          </cell>
          <cell r="F119" t="str">
            <v>เฟิร์สช้อย 911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จับจีบ4"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127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127</v>
          </cell>
          <cell r="AM119">
            <v>6000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MK68-000801</v>
          </cell>
          <cell r="C120">
            <v>45825</v>
          </cell>
          <cell r="E120" t="str">
            <v>บจก.อินเทคค์ โกลบอล</v>
          </cell>
          <cell r="F120" t="str">
            <v>สุบรรณ 111</v>
          </cell>
          <cell r="G120">
            <v>20</v>
          </cell>
          <cell r="H120">
            <v>36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จับจีบ3.5"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894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525</v>
          </cell>
          <cell r="AL120">
            <v>369</v>
          </cell>
          <cell r="AM120">
            <v>6000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MK68-000675</v>
          </cell>
          <cell r="C121">
            <v>45796</v>
          </cell>
          <cell r="E121" t="str">
            <v>บจก.อินเทคค์ โกลบอล</v>
          </cell>
          <cell r="F121" t="str">
            <v>เพอเฟคค์ 914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3360</v>
          </cell>
          <cell r="AB121">
            <v>0</v>
          </cell>
          <cell r="AC121">
            <v>0</v>
          </cell>
          <cell r="AD121">
            <v>0</v>
          </cell>
          <cell r="AG121" t="str">
            <v>2/6---6/6</v>
          </cell>
          <cell r="AI121"/>
          <cell r="AJ121">
            <v>0</v>
          </cell>
          <cell r="AL121">
            <v>3360</v>
          </cell>
          <cell r="AM121">
            <v>35200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MK68-000671</v>
          </cell>
          <cell r="C122">
            <v>45796</v>
          </cell>
          <cell r="E122" t="str">
            <v>บจก.อินเทคค์ โกลบอล</v>
          </cell>
          <cell r="F122" t="str">
            <v>เฟิร์สช้อย 902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366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366</v>
          </cell>
          <cell r="AM122">
            <v>5113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MK68-000673</v>
          </cell>
          <cell r="C123">
            <v>45796</v>
          </cell>
          <cell r="E123" t="str">
            <v>บจก.อินเทคค์ โกลบอล</v>
          </cell>
          <cell r="F123" t="str">
            <v>เพอเฟคค์ 902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302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302</v>
          </cell>
          <cell r="AM123">
            <v>5300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MK68-000674</v>
          </cell>
          <cell r="C124">
            <v>45796</v>
          </cell>
          <cell r="E124" t="str">
            <v>บจก.อินเทคค์ โกลบอล</v>
          </cell>
          <cell r="F124" t="str">
            <v>เพอเฟคค์ 913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1200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1200</v>
          </cell>
          <cell r="AM124">
            <v>10700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MK68-000877</v>
          </cell>
          <cell r="C125">
            <v>45850</v>
          </cell>
          <cell r="E125" t="str">
            <v>บจก.เอพีเอ็ม อะโกร</v>
          </cell>
          <cell r="F125" t="str">
            <v>ยู-ฟีด รวมหมู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3000</v>
          </cell>
          <cell r="AM125"/>
          <cell r="AN125">
            <v>3150</v>
          </cell>
          <cell r="AO125" t="str">
            <v>WSWT2025800SM</v>
          </cell>
          <cell r="AQ125">
            <v>3310.89</v>
          </cell>
          <cell r="AR125">
            <v>0</v>
          </cell>
          <cell r="AS125">
            <v>3310.89</v>
          </cell>
          <cell r="AT125">
            <v>0</v>
          </cell>
          <cell r="AU125">
            <v>3310.89</v>
          </cell>
          <cell r="BZ125" t="str">
            <v>WRWT25850/WRWT25850</v>
          </cell>
          <cell r="CA125">
            <v>250.15613333333337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MK68-000609</v>
          </cell>
          <cell r="C126">
            <v>45782</v>
          </cell>
          <cell r="E126" t="str">
            <v>บจก.เอสพีเอ็ม อาหารสัตว์</v>
          </cell>
          <cell r="F126" t="str">
            <v xml:space="preserve">SW 441 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500กระสอบแบน</v>
          </cell>
          <cell r="AA126">
            <v>10000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10000</v>
          </cell>
          <cell r="AM126">
            <v>0</v>
          </cell>
          <cell r="AN126">
            <v>10500</v>
          </cell>
          <cell r="AO126" t="str">
            <v>WSWT2025800SM</v>
          </cell>
          <cell r="AQ126">
            <v>11036.3</v>
          </cell>
          <cell r="AR126">
            <v>0</v>
          </cell>
          <cell r="AS126">
            <v>11036.3</v>
          </cell>
          <cell r="AT126">
            <v>0</v>
          </cell>
          <cell r="AU126">
            <v>11036.3</v>
          </cell>
          <cell r="BZ126" t="str">
            <v>WRWT25850/WRWT25850</v>
          </cell>
          <cell r="CA126">
            <v>833.85377777777774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 </v>
          </cell>
          <cell r="EG126"/>
          <cell r="EH126"/>
          <cell r="EI126"/>
        </row>
        <row r="127">
          <cell r="B127" t="str">
            <v>MK68-000694</v>
          </cell>
          <cell r="C127">
            <v>45799</v>
          </cell>
          <cell r="E127" t="str">
            <v>บจก.เอ.เจ.ฟาร์ม่าแล็บ</v>
          </cell>
          <cell r="F127" t="str">
            <v>เบส-มิน</v>
          </cell>
          <cell r="G127">
            <v>20</v>
          </cell>
          <cell r="H127">
            <v>34</v>
          </cell>
          <cell r="I127" t="str">
            <v>ขาว</v>
          </cell>
          <cell r="J127" t="str">
            <v>ใส</v>
          </cell>
          <cell r="L127">
            <v>95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ห้ามขาด-ห้ามเกิน</v>
          </cell>
          <cell r="AJ127">
            <v>3840</v>
          </cell>
          <cell r="AL127">
            <v>160</v>
          </cell>
          <cell r="AM127">
            <v>8450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MK68-000879</v>
          </cell>
          <cell r="C128">
            <v>45850</v>
          </cell>
          <cell r="E128" t="str">
            <v>บจก.เอพีเอ็ม อะโกร</v>
          </cell>
          <cell r="F128" t="str">
            <v>ฟีล กู๊ด พี6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500กระสอบแบน</v>
          </cell>
          <cell r="AA128">
            <v>4000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4000</v>
          </cell>
          <cell r="AM128"/>
          <cell r="AN128">
            <v>4200</v>
          </cell>
          <cell r="AO128" t="str">
            <v>WSWT2025800SM</v>
          </cell>
          <cell r="AQ128">
            <v>4414.5199999999995</v>
          </cell>
          <cell r="AR128">
            <v>0</v>
          </cell>
          <cell r="AS128">
            <v>4414.5199999999995</v>
          </cell>
          <cell r="AT128">
            <v>0</v>
          </cell>
          <cell r="AU128">
            <v>4414.5199999999995</v>
          </cell>
          <cell r="BZ128" t="str">
            <v>WRWT25850/WRWT25850</v>
          </cell>
          <cell r="CA128">
            <v>333.54151111111111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 </v>
          </cell>
          <cell r="EG128"/>
          <cell r="EH128"/>
          <cell r="EI128"/>
        </row>
        <row r="129">
          <cell r="B129" t="str">
            <v>MK68-000693</v>
          </cell>
          <cell r="C129">
            <v>45798</v>
          </cell>
          <cell r="E129" t="str">
            <v>บจก.เอพีเอ็ม อะโกร</v>
          </cell>
          <cell r="F129" t="str">
            <v>ฟีล กู๊ด พี07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5000</v>
          </cell>
          <cell r="AM129"/>
          <cell r="AN129">
            <v>5250</v>
          </cell>
          <cell r="AO129" t="str">
            <v>WSWT2025800SM</v>
          </cell>
          <cell r="AQ129">
            <v>5518.15</v>
          </cell>
          <cell r="AR129">
            <v>0</v>
          </cell>
          <cell r="AS129">
            <v>5518.15</v>
          </cell>
          <cell r="AT129">
            <v>0</v>
          </cell>
          <cell r="AU129">
            <v>5518.15</v>
          </cell>
          <cell r="BZ129" t="str">
            <v>WRWT25850/WRWT25850</v>
          </cell>
          <cell r="CA129">
            <v>416.92688888888887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 </v>
          </cell>
          <cell r="EG129"/>
          <cell r="EH129"/>
          <cell r="EI129"/>
        </row>
        <row r="130">
          <cell r="B130" t="str">
            <v>MK68-000093</v>
          </cell>
          <cell r="C130">
            <v>45674</v>
          </cell>
          <cell r="E130" t="str">
            <v>บจก.อินเทคค์ โกลบอล</v>
          </cell>
          <cell r="F130" t="str">
            <v>เฟิร์สคลาส 902</v>
          </cell>
          <cell r="G130">
            <v>20</v>
          </cell>
          <cell r="H130">
            <v>35</v>
          </cell>
          <cell r="I130" t="str">
            <v>ขาว</v>
          </cell>
          <cell r="J130" t="str">
            <v>ด้าน</v>
          </cell>
          <cell r="L130">
            <v>97</v>
          </cell>
          <cell r="M130" t="str">
            <v>±</v>
          </cell>
          <cell r="N130">
            <v>5</v>
          </cell>
          <cell r="R130" t="str">
            <v>จับจีบ4"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มัด80 ใช้สายรัด</v>
          </cell>
          <cell r="AA130">
            <v>152</v>
          </cell>
          <cell r="AB130">
            <v>0</v>
          </cell>
          <cell r="AC130">
            <v>0</v>
          </cell>
          <cell r="AD130">
            <v>0</v>
          </cell>
          <cell r="AG130" t="str">
            <v>ลบสี 5040</v>
          </cell>
          <cell r="AI130">
            <v>5987</v>
          </cell>
          <cell r="AJ130">
            <v>0</v>
          </cell>
          <cell r="AL130">
            <v>152</v>
          </cell>
          <cell r="AM130">
            <v>6000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MK67-001532</v>
          </cell>
          <cell r="C131">
            <v>45611</v>
          </cell>
          <cell r="E131" t="str">
            <v>บจก.อินเทคค์ โกลบอล</v>
          </cell>
          <cell r="F131" t="str">
            <v>เฟิร์สช้อย 903</v>
          </cell>
          <cell r="G131">
            <v>20</v>
          </cell>
          <cell r="H131">
            <v>36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117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117</v>
          </cell>
          <cell r="AM131">
            <v>10065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MK67-001153</v>
          </cell>
          <cell r="C132">
            <v>45523</v>
          </cell>
          <cell r="E132" t="str">
            <v>บจก.อินเทคค์ โกลบอล</v>
          </cell>
          <cell r="F132" t="str">
            <v>สุบรรณ 777</v>
          </cell>
          <cell r="G132">
            <v>20</v>
          </cell>
          <cell r="H132">
            <v>36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จับจีบ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มัด80 ใช้สายรัด</v>
          </cell>
          <cell r="AA132">
            <v>1260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1260</v>
          </cell>
          <cell r="AM132">
            <v>11095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MK67-001153</v>
          </cell>
          <cell r="C133">
            <v>45523</v>
          </cell>
          <cell r="E133" t="str">
            <v>บจก.อินเทคค์ โกลบอล</v>
          </cell>
          <cell r="F133" t="str">
            <v>สุบรรณ 666</v>
          </cell>
          <cell r="G133">
            <v>20</v>
          </cell>
          <cell r="H133">
            <v>36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จับจีบ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มัด80 ใช้สายรัด</v>
          </cell>
          <cell r="AA133">
            <v>89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89</v>
          </cell>
          <cell r="AM133">
            <v>11180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MK68-000452</v>
          </cell>
          <cell r="C134">
            <v>45741</v>
          </cell>
          <cell r="E134" t="str">
            <v>บจก.เอพีเอ็ม อะโกร</v>
          </cell>
          <cell r="F134" t="str">
            <v>วี-ฟีด วี 07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รอส่ง</v>
          </cell>
          <cell r="Z134" t="str">
            <v>500กระสอบแบน</v>
          </cell>
          <cell r="AA134">
            <v>4000</v>
          </cell>
          <cell r="AB134">
            <v>0</v>
          </cell>
          <cell r="AC134">
            <v>0</v>
          </cell>
          <cell r="AD134">
            <v>0</v>
          </cell>
          <cell r="AG134" t="str">
            <v>มีลบสี</v>
          </cell>
          <cell r="AI134"/>
          <cell r="AJ134">
            <v>3857</v>
          </cell>
          <cell r="AL134">
            <v>143</v>
          </cell>
          <cell r="AM134">
            <v>4200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รอส่ง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ใบรับคำสั่งซื้อ</v>
          </cell>
          <cell r="C135">
            <v>45720</v>
          </cell>
          <cell r="E135" t="str">
            <v>บจก.เอพีเอ็ม อะโกร</v>
          </cell>
          <cell r="F135" t="str">
            <v>นีโอ พี3(เอส)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รอส่ง</v>
          </cell>
          <cell r="Z135" t="str">
            <v>500กระสอบแบน</v>
          </cell>
          <cell r="AA135">
            <v>4000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4010</v>
          </cell>
          <cell r="AL135">
            <v>0</v>
          </cell>
          <cell r="AM135">
            <v>4470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รอส่ง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ใบรับคำสั่งซื้อ</v>
          </cell>
          <cell r="C136">
            <v>45720</v>
          </cell>
          <cell r="E136" t="str">
            <v>บจก.เอพีเอ็ม อะโกร</v>
          </cell>
          <cell r="F136" t="str">
            <v>นีโอ พี4(เอส)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รอส่ง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3065</v>
          </cell>
          <cell r="AL136">
            <v>0</v>
          </cell>
          <cell r="AM136">
            <v>3300</v>
          </cell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รอส่ง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MK67-001236</v>
          </cell>
          <cell r="C137">
            <v>45541</v>
          </cell>
          <cell r="E137" t="str">
            <v>บจก.เอพีเอ็ม อะโกร</v>
          </cell>
          <cell r="F137" t="str">
            <v>ยูฟีด รวมไก่ วัว</v>
          </cell>
          <cell r="G137">
            <v>20</v>
          </cell>
          <cell r="H137">
            <v>40</v>
          </cell>
          <cell r="I137" t="str">
            <v>ขาว</v>
          </cell>
          <cell r="J137" t="str">
            <v>ด้าน</v>
          </cell>
          <cell r="L137">
            <v>108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รอส่ง</v>
          </cell>
          <cell r="Z137" t="str">
            <v>500กระสอบแบน</v>
          </cell>
          <cell r="AA137">
            <v>3000</v>
          </cell>
          <cell r="AB137">
            <v>0</v>
          </cell>
          <cell r="AC137">
            <v>0</v>
          </cell>
          <cell r="AD137">
            <v>0</v>
          </cell>
          <cell r="AG137" t="str">
            <v>ลูกค้าต้องการเคลือบใส แต่เปิดมาเคลือบด้าน</v>
          </cell>
          <cell r="AI137" t="str">
            <v>ลูกค้าสั่งผิดเอาไปส่งเดือน10</v>
          </cell>
          <cell r="AJ137">
            <v>3318</v>
          </cell>
          <cell r="AL137">
            <v>0</v>
          </cell>
          <cell r="AM137"/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รอส่ง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/>
          <cell r="EG137"/>
          <cell r="EH137"/>
          <cell r="EI137"/>
        </row>
        <row r="138">
          <cell r="B138" t="str">
            <v>MK67-001396</v>
          </cell>
          <cell r="C138">
            <v>45581</v>
          </cell>
          <cell r="E138" t="str">
            <v>บจก.เอพีเอ็ม อะโกร</v>
          </cell>
          <cell r="F138" t="str">
            <v>นีโอ พี4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รอส่ง</v>
          </cell>
          <cell r="Z138" t="str">
            <v>500กระสอบแบน</v>
          </cell>
          <cell r="AA138">
            <v>3000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3194</v>
          </cell>
          <cell r="AL138">
            <v>0</v>
          </cell>
          <cell r="AM138">
            <v>5632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รอส่ง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38</v>
          </cell>
          <cell r="I139"/>
          <cell r="J139"/>
          <cell r="L139">
            <v>84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>
            <v>0</v>
          </cell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WSWT2025800SM</v>
          </cell>
          <cell r="AQ139">
            <v>388007.95588500012</v>
          </cell>
          <cell r="AR139">
            <v>13240.391435000001</v>
          </cell>
          <cell r="AS139">
            <v>374767.56445000006</v>
          </cell>
          <cell r="AT139">
            <v>0</v>
          </cell>
          <cell r="AU139">
            <v>388007.95588500012</v>
          </cell>
          <cell r="BZ139" t="str">
            <v>WRWT25850/WRWT25850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>
            <v>0</v>
          </cell>
          <cell r="EI139">
            <v>0</v>
          </cell>
        </row>
        <row r="140">
          <cell r="B140" t="str">
            <v>MK68-000970</v>
          </cell>
          <cell r="C140">
            <v>45875</v>
          </cell>
          <cell r="E140" t="str">
            <v>บจก.ไทยธรรมดี</v>
          </cell>
          <cell r="F140" t="str">
            <v>ไม่พิมพ์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+</v>
          </cell>
          <cell r="N140"/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45882</v>
          </cell>
          <cell r="Z140" t="str">
            <v>500กระสอบ</v>
          </cell>
          <cell r="AA140">
            <v>30000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6000</v>
          </cell>
          <cell r="AL140">
            <v>24000</v>
          </cell>
          <cell r="AM140"/>
          <cell r="AN140">
            <v>0</v>
          </cell>
          <cell r="AO140" t="str">
            <v>WSWT2025850</v>
          </cell>
          <cell r="AQ140">
            <v>25816.560000000001</v>
          </cell>
          <cell r="AR140">
            <v>25816.560000000001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WRWT25850/WRWT25800</v>
          </cell>
          <cell r="CA140">
            <v>0</v>
          </cell>
          <cell r="DL140" t="str">
            <v>P3</v>
          </cell>
          <cell r="DM140">
            <v>1</v>
          </cell>
          <cell r="DN140">
            <v>45882</v>
          </cell>
          <cell r="DP140">
            <v>45877</v>
          </cell>
          <cell r="DQ140"/>
          <cell r="DR140"/>
          <cell r="DS140"/>
          <cell r="DT140"/>
          <cell r="DU140">
            <v>45881</v>
          </cell>
          <cell r="DW140"/>
          <cell r="DX140"/>
          <cell r="DY140"/>
          <cell r="DZ140"/>
          <cell r="EA140"/>
          <cell r="EB140"/>
          <cell r="EC140" t="str">
            <v>ตัด</v>
          </cell>
          <cell r="ED140"/>
          <cell r="EG140"/>
          <cell r="EH140"/>
          <cell r="EI140"/>
        </row>
        <row r="141">
          <cell r="B141" t="str">
            <v>ประมาณการ</v>
          </cell>
          <cell r="C141" t="str">
            <v>ประมาณการ</v>
          </cell>
          <cell r="E141" t="str">
            <v>บจก.ซันฟีด</v>
          </cell>
          <cell r="F141" t="str">
            <v>รอแบบ</v>
          </cell>
          <cell r="G141">
            <v>20</v>
          </cell>
          <cell r="H141">
            <v>39</v>
          </cell>
          <cell r="I141" t="str">
            <v>ขาว</v>
          </cell>
          <cell r="J141"/>
          <cell r="L141">
            <v>84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 xml:space="preserve">300กระสอบแบนเต็มใบ </v>
          </cell>
          <cell r="AA141">
            <v>100000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100000</v>
          </cell>
          <cell r="AM141"/>
          <cell r="AN141">
            <v>105000</v>
          </cell>
          <cell r="AO141" t="str">
            <v>WSWT2025850</v>
          </cell>
          <cell r="AQ141">
            <v>113157.00000000001</v>
          </cell>
          <cell r="AR141">
            <v>0</v>
          </cell>
          <cell r="AS141">
            <v>113157.00000000001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8914.2570000000014</v>
          </cell>
          <cell r="DL141" t="str">
            <v>P7</v>
          </cell>
          <cell r="DM141">
            <v>2</v>
          </cell>
          <cell r="DN141" t="str">
            <v>รอแจ้ง</v>
          </cell>
          <cell r="DP141" t="e">
            <v>#VALUE!</v>
          </cell>
          <cell r="DQ141"/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>รอART</v>
          </cell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38</v>
          </cell>
          <cell r="I142"/>
          <cell r="J142"/>
          <cell r="L142">
            <v>82</v>
          </cell>
          <cell r="M142" t="str">
            <v>+</v>
          </cell>
          <cell r="N142">
            <v>2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WSWT2025850</v>
          </cell>
          <cell r="AQ142">
            <v>138973.56000000003</v>
          </cell>
          <cell r="AR142">
            <v>25816.560000000001</v>
          </cell>
          <cell r="AS142">
            <v>113157.00000000001</v>
          </cell>
          <cell r="AT142">
            <v>0</v>
          </cell>
          <cell r="AU142">
            <v>0</v>
          </cell>
          <cell r="BZ142" t="str">
            <v>WRWT200850/WRWT25800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37</v>
          </cell>
          <cell r="I143"/>
          <cell r="J143"/>
          <cell r="L143">
            <v>82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WSWT2021750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WRWT200750/WRWT21750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>
            <v>0</v>
          </cell>
        </row>
        <row r="144">
          <cell r="B144" t="str">
            <v>MK68-000905</v>
          </cell>
          <cell r="C144">
            <v>45857</v>
          </cell>
          <cell r="E144" t="str">
            <v>บจก.อินเทคค์ โกลบอล</v>
          </cell>
          <cell r="F144" t="str">
            <v>เพอเฟคค์ 664HP</v>
          </cell>
          <cell r="G144">
            <v>20</v>
          </cell>
          <cell r="H144">
            <v>36</v>
          </cell>
          <cell r="I144" t="str">
            <v>ขาว</v>
          </cell>
          <cell r="J144"/>
          <cell r="L144">
            <v>78</v>
          </cell>
          <cell r="M144" t="str">
            <v>±</v>
          </cell>
          <cell r="N144">
            <v>5</v>
          </cell>
          <cell r="R144" t="str">
            <v>จับจีบ4"</v>
          </cell>
          <cell r="T144" t="str">
            <v>ไม่สวมถุงใน</v>
          </cell>
          <cell r="U144"/>
          <cell r="V144"/>
          <cell r="X144">
            <v>45876</v>
          </cell>
          <cell r="Z144" t="str">
            <v>มัด80 ใช้สายรัด</v>
          </cell>
          <cell r="AA144">
            <v>27120</v>
          </cell>
          <cell r="AB144">
            <v>0</v>
          </cell>
          <cell r="AC144">
            <v>0</v>
          </cell>
          <cell r="AD144">
            <v>0</v>
          </cell>
          <cell r="AG144" t="str">
            <v>1/8 4/8 9/8 15/8 22/8</v>
          </cell>
          <cell r="AI144" t="str">
            <v>ห้ามขาด-ห้ามเกิน</v>
          </cell>
          <cell r="AJ144">
            <v>25440</v>
          </cell>
          <cell r="AL144">
            <v>1680</v>
          </cell>
          <cell r="AM144">
            <v>152931</v>
          </cell>
          <cell r="AN144">
            <v>0</v>
          </cell>
          <cell r="AO144" t="str">
            <v>WSWT2025800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45876</v>
          </cell>
          <cell r="DP144">
            <v>45871</v>
          </cell>
          <cell r="DQ144"/>
          <cell r="DR144">
            <v>45867</v>
          </cell>
          <cell r="DS144">
            <v>45874</v>
          </cell>
          <cell r="DT144">
            <v>45875</v>
          </cell>
          <cell r="DU144">
            <v>45875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MK68-000924</v>
          </cell>
          <cell r="C145">
            <v>45862</v>
          </cell>
          <cell r="E145" t="str">
            <v>บจก.เบทาโกร</v>
          </cell>
          <cell r="F145" t="str">
            <v>WB เบทาโกร 124 30kg NM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45889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124000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หนองบุญมาก</v>
          </cell>
          <cell r="AJ145">
            <v>10000</v>
          </cell>
          <cell r="AL145">
            <v>114000</v>
          </cell>
          <cell r="AM145">
            <v>69035</v>
          </cell>
          <cell r="AN145">
            <v>57713.25</v>
          </cell>
          <cell r="AO145" t="str">
            <v>WSWT2025800</v>
          </cell>
          <cell r="AQ145">
            <v>62081.565892500003</v>
          </cell>
          <cell r="AR145">
            <v>62081.565892500003</v>
          </cell>
          <cell r="AS145">
            <v>0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45889</v>
          </cell>
          <cell r="DP145">
            <v>45884</v>
          </cell>
          <cell r="DQ145"/>
          <cell r="DR145">
            <v>45880</v>
          </cell>
          <cell r="DS145">
            <v>45887</v>
          </cell>
          <cell r="DT145">
            <v>45888</v>
          </cell>
          <cell r="DU145">
            <v>45888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MK68-000925</v>
          </cell>
          <cell r="C146">
            <v>45862</v>
          </cell>
          <cell r="E146" t="str">
            <v>บจก.เบทาโกร</v>
          </cell>
          <cell r="F146" t="str">
            <v>WB ฟาร์ม F914M 30kg.NM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45889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28000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หนองบุญมาก</v>
          </cell>
          <cell r="AJ146">
            <v>0</v>
          </cell>
          <cell r="AL146">
            <v>28000</v>
          </cell>
          <cell r="AM146"/>
          <cell r="AN146">
            <v>29400</v>
          </cell>
          <cell r="AO146" t="str">
            <v>WSWT2025800</v>
          </cell>
          <cell r="AQ146">
            <v>30119.320000000003</v>
          </cell>
          <cell r="AR146">
            <v>30119.320000000003</v>
          </cell>
          <cell r="AS146">
            <v>0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45889</v>
          </cell>
          <cell r="DP146">
            <v>45884</v>
          </cell>
          <cell r="DQ146"/>
          <cell r="DR146">
            <v>45880</v>
          </cell>
          <cell r="DS146">
            <v>45887</v>
          </cell>
          <cell r="DT146">
            <v>45888</v>
          </cell>
          <cell r="DU146">
            <v>45888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MK68-000926</v>
          </cell>
          <cell r="C147">
            <v>45862</v>
          </cell>
          <cell r="E147" t="str">
            <v>บจก.เบทาโกร</v>
          </cell>
          <cell r="F147" t="str">
            <v>WB บาลานส์ 924 30kg NM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±</v>
          </cell>
          <cell r="N147">
            <v>3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45889</v>
          </cell>
          <cell r="Z147" t="str">
            <v>500กระสอบแบน พร้อมระบุชื่อบริษัท รายการสินค้า จำนวนแต่ละแพ็ค</v>
          </cell>
          <cell r="AA147">
            <v>7000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หนองบุญมาก</v>
          </cell>
          <cell r="AJ147">
            <v>0</v>
          </cell>
          <cell r="AL147">
            <v>7000</v>
          </cell>
          <cell r="AM147"/>
          <cell r="AN147">
            <v>7350</v>
          </cell>
          <cell r="AO147" t="str">
            <v>WSWT2025800</v>
          </cell>
          <cell r="AQ147">
            <v>7529.8300000000008</v>
          </cell>
          <cell r="AR147">
            <v>7529.8300000000008</v>
          </cell>
          <cell r="AS147">
            <v>0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45889</v>
          </cell>
          <cell r="DP147">
            <v>45884</v>
          </cell>
          <cell r="DQ147"/>
          <cell r="DR147">
            <v>45880</v>
          </cell>
          <cell r="DS147">
            <v>45887</v>
          </cell>
          <cell r="DT147">
            <v>45888</v>
          </cell>
          <cell r="DU147">
            <v>45888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MK68-000926</v>
          </cell>
          <cell r="C148">
            <v>45862</v>
          </cell>
          <cell r="E148" t="str">
            <v>บจก.เบทาโกร</v>
          </cell>
          <cell r="F148" t="str">
            <v>WB เบทาโกร 326 30kg NM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±</v>
          </cell>
          <cell r="N148">
            <v>3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45889</v>
          </cell>
          <cell r="Z148" t="str">
            <v>500กระสอบแบน พร้อมระบุชื่อบริษัท รายการสินค้า จำนวนแต่ละแพ็ค</v>
          </cell>
          <cell r="AA148">
            <v>5000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หนองบุญมาก</v>
          </cell>
          <cell r="AJ148">
            <v>0</v>
          </cell>
          <cell r="AL148">
            <v>5000</v>
          </cell>
          <cell r="AM148"/>
          <cell r="AN148">
            <v>5250</v>
          </cell>
          <cell r="AO148" t="str">
            <v>WSWT2025800</v>
          </cell>
          <cell r="AQ148">
            <v>5378.4500000000007</v>
          </cell>
          <cell r="AR148">
            <v>5378.4500000000007</v>
          </cell>
          <cell r="AS148">
            <v>0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45889</v>
          </cell>
          <cell r="DP148">
            <v>45884</v>
          </cell>
          <cell r="DQ148"/>
          <cell r="DR148">
            <v>45880</v>
          </cell>
          <cell r="DS148">
            <v>45887</v>
          </cell>
          <cell r="DT148">
            <v>45888</v>
          </cell>
          <cell r="DU148">
            <v>45888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MK68-000927</v>
          </cell>
          <cell r="C149">
            <v>45862</v>
          </cell>
          <cell r="E149" t="str">
            <v>บจก.เบทาโกร</v>
          </cell>
          <cell r="F149" t="str">
            <v>WB เบทาโกร 323 30kg NM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3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45889</v>
          </cell>
          <cell r="Z149" t="str">
            <v>500กระสอบแบน พร้อมระบุชื่อบริษัท รายการสินค้า จำนวนแต่ละแพ็ค</v>
          </cell>
          <cell r="AA149">
            <v>7000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หนองบุญมาก</v>
          </cell>
          <cell r="AJ149">
            <v>0</v>
          </cell>
          <cell r="AL149">
            <v>7000</v>
          </cell>
          <cell r="AM149"/>
          <cell r="AN149">
            <v>7350</v>
          </cell>
          <cell r="AO149" t="str">
            <v>WSWT2025800</v>
          </cell>
          <cell r="AQ149">
            <v>7529.8300000000008</v>
          </cell>
          <cell r="AR149">
            <v>7529.8300000000008</v>
          </cell>
          <cell r="AS149">
            <v>0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45889</v>
          </cell>
          <cell r="DP149">
            <v>45884</v>
          </cell>
          <cell r="DQ149"/>
          <cell r="DR149">
            <v>45880</v>
          </cell>
          <cell r="DS149">
            <v>45887</v>
          </cell>
          <cell r="DT149">
            <v>45888</v>
          </cell>
          <cell r="DU149">
            <v>45888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MK68-000927</v>
          </cell>
          <cell r="C150">
            <v>45862</v>
          </cell>
          <cell r="E150" t="str">
            <v>บจก.เบทาโกร</v>
          </cell>
          <cell r="F150" t="str">
            <v>WB เบทาโกร 405 30kg NM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±</v>
          </cell>
          <cell r="N150">
            <v>3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45889</v>
          </cell>
          <cell r="Z150" t="str">
            <v>500กระสอบแบน พร้อมระบุชื่อบริษัท รายการสินค้า จำนวนแต่ละแพ็ค</v>
          </cell>
          <cell r="AA150">
            <v>14000</v>
          </cell>
          <cell r="AB150">
            <v>0</v>
          </cell>
          <cell r="AC150">
            <v>0</v>
          </cell>
          <cell r="AD150">
            <v>0</v>
          </cell>
          <cell r="AG150"/>
          <cell r="AI150" t="str">
            <v>หนองบุญมาก</v>
          </cell>
          <cell r="AJ150">
            <v>0</v>
          </cell>
          <cell r="AL150">
            <v>14000</v>
          </cell>
          <cell r="AM150"/>
          <cell r="AN150">
            <v>14700</v>
          </cell>
          <cell r="AO150" t="str">
            <v>WSWT2025800</v>
          </cell>
          <cell r="AQ150">
            <v>15059.660000000002</v>
          </cell>
          <cell r="AR150">
            <v>15059.660000000002</v>
          </cell>
          <cell r="AS150">
            <v>0</v>
          </cell>
          <cell r="AT150">
            <v>0</v>
          </cell>
          <cell r="AU150">
            <v>0</v>
          </cell>
          <cell r="BZ150" t="str">
            <v>WRWT25800/WRWT25800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45889</v>
          </cell>
          <cell r="DP150">
            <v>45884</v>
          </cell>
          <cell r="DQ150"/>
          <cell r="DR150">
            <v>45880</v>
          </cell>
          <cell r="DS150">
            <v>45887</v>
          </cell>
          <cell r="DT150">
            <v>45888</v>
          </cell>
          <cell r="DU150">
            <v>45888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MK68-000946</v>
          </cell>
          <cell r="C151">
            <v>45870</v>
          </cell>
          <cell r="E151" t="str">
            <v>บจก.เบทาโกร</v>
          </cell>
          <cell r="F151" t="str">
            <v>บาลานส์ 957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±</v>
          </cell>
          <cell r="N151">
            <v>3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45894</v>
          </cell>
          <cell r="Z151" t="str">
            <v>500กระสอบแบน พร้อมระบุชื่อบริษัท รายการสินค้า จำนวนแต่ละแพ็ค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ลพบุรี3</v>
          </cell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WSWT2025800</v>
          </cell>
          <cell r="AQ151">
            <v>5378.4500000000007</v>
          </cell>
          <cell r="AR151">
            <v>5378.4500000000007</v>
          </cell>
          <cell r="AS151">
            <v>0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45894</v>
          </cell>
          <cell r="DP151">
            <v>45889</v>
          </cell>
          <cell r="DQ151"/>
          <cell r="DR151">
            <v>45885</v>
          </cell>
          <cell r="DS151">
            <v>45892</v>
          </cell>
          <cell r="DT151">
            <v>45893</v>
          </cell>
          <cell r="DU151">
            <v>45893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>รอART</v>
          </cell>
          <cell r="EG151"/>
          <cell r="EH151"/>
          <cell r="EI151"/>
        </row>
        <row r="152">
          <cell r="B152" t="str">
            <v>MK68-000946</v>
          </cell>
          <cell r="C152">
            <v>45870</v>
          </cell>
          <cell r="E152" t="str">
            <v>บจก.เบทาโกร</v>
          </cell>
          <cell r="F152" t="str">
            <v xml:space="preserve">เบทาโกร 323 </v>
          </cell>
          <cell r="G152">
            <v>20</v>
          </cell>
          <cell r="H152">
            <v>37</v>
          </cell>
          <cell r="I152" t="str">
            <v>ขาว</v>
          </cell>
          <cell r="J152"/>
          <cell r="L152">
            <v>80</v>
          </cell>
          <cell r="M152" t="str">
            <v>±</v>
          </cell>
          <cell r="N152">
            <v>3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45894</v>
          </cell>
          <cell r="Z152" t="str">
            <v>500กระสอบแบน พร้อมระบุชื่อบริษัท รายการสินค้า จำนวนแต่ละแพ็ค</v>
          </cell>
          <cell r="AA152">
            <v>20000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ลพบุรี3</v>
          </cell>
          <cell r="AJ152">
            <v>0</v>
          </cell>
          <cell r="AL152">
            <v>20000</v>
          </cell>
          <cell r="AM152"/>
          <cell r="AN152">
            <v>21000</v>
          </cell>
          <cell r="AO152" t="str">
            <v>WSWT2025800</v>
          </cell>
          <cell r="AQ152">
            <v>21513.800000000003</v>
          </cell>
          <cell r="AR152">
            <v>14764</v>
          </cell>
          <cell r="AS152">
            <v>6749.8000000000029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515.98471111111132</v>
          </cell>
          <cell r="DL152" t="str">
            <v>P7</v>
          </cell>
          <cell r="DM152">
            <v>2</v>
          </cell>
          <cell r="DN152">
            <v>45894</v>
          </cell>
          <cell r="DP152">
            <v>45889</v>
          </cell>
          <cell r="DQ152"/>
          <cell r="DR152">
            <v>45885</v>
          </cell>
          <cell r="DS152">
            <v>45892</v>
          </cell>
          <cell r="DT152">
            <v>45893</v>
          </cell>
          <cell r="DU152">
            <v>45893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>รอART</v>
          </cell>
          <cell r="EG152"/>
          <cell r="EH152"/>
          <cell r="EI152"/>
        </row>
        <row r="153">
          <cell r="B153" t="str">
            <v>ใบรับคำสั่งซื้อ</v>
          </cell>
          <cell r="C153">
            <v>45874</v>
          </cell>
          <cell r="E153" t="str">
            <v>บจก.อินเทคค์ โกลบอล</v>
          </cell>
          <cell r="F153" t="str">
            <v>เพอเฟคค์ 664HP</v>
          </cell>
          <cell r="G153">
            <v>20</v>
          </cell>
          <cell r="H153">
            <v>36</v>
          </cell>
          <cell r="I153" t="str">
            <v>ขาว</v>
          </cell>
          <cell r="J153"/>
          <cell r="L153">
            <v>78</v>
          </cell>
          <cell r="M153" t="str">
            <v>±</v>
          </cell>
          <cell r="N153">
            <v>5</v>
          </cell>
          <cell r="R153" t="str">
            <v>จับจีบ4"</v>
          </cell>
          <cell r="T153" t="str">
            <v>ไม่สวมถุงใน</v>
          </cell>
          <cell r="U153"/>
          <cell r="V153"/>
          <cell r="X153">
            <v>45888</v>
          </cell>
          <cell r="Z153" t="str">
            <v>มัด80 ใช้สายรัด</v>
          </cell>
          <cell r="AA153">
            <v>30000</v>
          </cell>
          <cell r="AB153">
            <v>0</v>
          </cell>
          <cell r="AC153">
            <v>0</v>
          </cell>
          <cell r="AD153">
            <v>0</v>
          </cell>
          <cell r="AG153"/>
          <cell r="AI153" t="str">
            <v>ห้ามขาด-ห้ามเกิน</v>
          </cell>
          <cell r="AJ153">
            <v>0</v>
          </cell>
          <cell r="AL153">
            <v>30000</v>
          </cell>
          <cell r="AM153">
            <v>0</v>
          </cell>
          <cell r="AN153">
            <v>31500</v>
          </cell>
          <cell r="AO153" t="str">
            <v>WSWT2025800</v>
          </cell>
          <cell r="AQ153">
            <v>31432.500000000004</v>
          </cell>
          <cell r="AR153">
            <v>0</v>
          </cell>
          <cell r="AS153">
            <v>31432.500000000004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2402.84</v>
          </cell>
          <cell r="DL153" t="str">
            <v>P7</v>
          </cell>
          <cell r="DM153">
            <v>2</v>
          </cell>
          <cell r="DN153">
            <v>45888</v>
          </cell>
          <cell r="DP153">
            <v>45883</v>
          </cell>
          <cell r="DQ153"/>
          <cell r="DR153">
            <v>45879</v>
          </cell>
          <cell r="DS153">
            <v>45886</v>
          </cell>
          <cell r="DT153">
            <v>45887</v>
          </cell>
          <cell r="DU153">
            <v>45887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>รอART</v>
          </cell>
          <cell r="EG153"/>
          <cell r="EH153"/>
          <cell r="EI153"/>
        </row>
        <row r="154">
          <cell r="B154" t="str">
            <v>ประมาณการ</v>
          </cell>
          <cell r="C154" t="str">
            <v>ประมาณการ</v>
          </cell>
          <cell r="E154" t="str">
            <v>บจก.อินเทคค์ โกลบอล</v>
          </cell>
          <cell r="F154" t="str">
            <v>รอแบบ</v>
          </cell>
          <cell r="G154">
            <v>20</v>
          </cell>
          <cell r="H154">
            <v>36</v>
          </cell>
          <cell r="I154" t="str">
            <v>ขาว</v>
          </cell>
          <cell r="J154"/>
          <cell r="L154">
            <v>78</v>
          </cell>
          <cell r="M154" t="str">
            <v>±</v>
          </cell>
          <cell r="N154">
            <v>5</v>
          </cell>
          <cell r="R154" t="str">
            <v>จับจีบ4"</v>
          </cell>
          <cell r="T154" t="str">
            <v>ไม่สวมถุงใน</v>
          </cell>
          <cell r="U154"/>
          <cell r="V154"/>
          <cell r="X154">
            <v>45899</v>
          </cell>
          <cell r="Z154" t="str">
            <v>มัด80 ใช้สายรัด</v>
          </cell>
          <cell r="AA154">
            <v>170000</v>
          </cell>
          <cell r="AB154">
            <v>0</v>
          </cell>
          <cell r="AC154">
            <v>0</v>
          </cell>
          <cell r="AD154">
            <v>0</v>
          </cell>
          <cell r="AG154"/>
          <cell r="AI154" t="str">
            <v>ห้ามขาด-ห้ามเกิน</v>
          </cell>
          <cell r="AJ154">
            <v>0</v>
          </cell>
          <cell r="AL154">
            <v>170000</v>
          </cell>
          <cell r="AM154">
            <v>0</v>
          </cell>
          <cell r="AN154">
            <v>178500</v>
          </cell>
          <cell r="AO154" t="str">
            <v>WSWT2025800</v>
          </cell>
          <cell r="AQ154">
            <v>178117.5</v>
          </cell>
          <cell r="AR154">
            <v>0</v>
          </cell>
          <cell r="AS154">
            <v>178117.5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13616.093333333334</v>
          </cell>
          <cell r="DL154" t="str">
            <v>P7</v>
          </cell>
          <cell r="DM154">
            <v>2</v>
          </cell>
          <cell r="DN154">
            <v>45899</v>
          </cell>
          <cell r="DP154">
            <v>45894</v>
          </cell>
          <cell r="DQ154"/>
          <cell r="DR154">
            <v>45890</v>
          </cell>
          <cell r="DS154">
            <v>45897</v>
          </cell>
          <cell r="DT154">
            <v>45898</v>
          </cell>
          <cell r="DU154">
            <v>45898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37</v>
          </cell>
          <cell r="I155"/>
          <cell r="J155"/>
          <cell r="L155">
            <v>80</v>
          </cell>
          <cell r="M155" t="str">
            <v>±</v>
          </cell>
          <cell r="N155">
            <v>3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WSWT2025800</v>
          </cell>
          <cell r="AQ155">
            <v>364140.90589250001</v>
          </cell>
          <cell r="AR155">
            <v>147841.10589250003</v>
          </cell>
          <cell r="AS155">
            <v>216299.8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>
            <v>0</v>
          </cell>
        </row>
        <row r="156">
          <cell r="B156">
            <v>0</v>
          </cell>
          <cell r="C156"/>
          <cell r="E156"/>
          <cell r="F156"/>
          <cell r="G156">
            <v>20</v>
          </cell>
          <cell r="H156">
            <v>34</v>
          </cell>
          <cell r="I156"/>
          <cell r="J156"/>
          <cell r="L156">
            <v>98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WSWT2021950UV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WRWT200950/WRWT21950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/>
          <cell r="EI156"/>
        </row>
        <row r="157">
          <cell r="B157">
            <v>0</v>
          </cell>
          <cell r="C157"/>
          <cell r="E157"/>
          <cell r="F157"/>
          <cell r="G157">
            <v>20</v>
          </cell>
          <cell r="H157">
            <v>34</v>
          </cell>
          <cell r="I157"/>
          <cell r="J157"/>
          <cell r="L157">
            <v>95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WSWT2021900UV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WRWT200900/WRWT21900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/>
          <cell r="EI157"/>
        </row>
        <row r="158">
          <cell r="B158">
            <v>0</v>
          </cell>
          <cell r="C158"/>
          <cell r="E158"/>
          <cell r="F158"/>
          <cell r="G158">
            <v>20</v>
          </cell>
          <cell r="H158">
            <v>34</v>
          </cell>
          <cell r="I158"/>
          <cell r="J158"/>
          <cell r="L158">
            <v>80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/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WSWT2021750UV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WRWT200750/WRWT21750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/>
        </row>
        <row r="159">
          <cell r="B159">
            <v>0</v>
          </cell>
          <cell r="C159"/>
          <cell r="E159"/>
          <cell r="F159"/>
          <cell r="G159">
            <v>20</v>
          </cell>
          <cell r="H159">
            <v>34</v>
          </cell>
          <cell r="I159"/>
          <cell r="J159"/>
          <cell r="L159">
            <v>80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/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WSWT2021800UV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WRWT200800/WRWT21800</v>
          </cell>
          <cell r="CA159">
            <v>0</v>
          </cell>
          <cell r="DL159"/>
          <cell r="DM159" t="str">
            <v>Lead time</v>
          </cell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>
            <v>0</v>
          </cell>
          <cell r="EI159"/>
        </row>
        <row r="160">
          <cell r="B160">
            <v>0</v>
          </cell>
          <cell r="C160"/>
          <cell r="E160"/>
          <cell r="F160"/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70</v>
          </cell>
          <cell r="M160" t="str">
            <v>±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/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WSWT2025700(1)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WRWT200800/WRWT25650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/>
        </row>
        <row r="161">
          <cell r="B161">
            <v>0</v>
          </cell>
          <cell r="C161"/>
          <cell r="E161"/>
          <cell r="F161"/>
          <cell r="G161">
            <v>20</v>
          </cell>
          <cell r="H161">
            <v>34</v>
          </cell>
          <cell r="I161"/>
          <cell r="J161"/>
          <cell r="L161">
            <v>85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/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WSWT2021850UV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WRWT200850/WRWT21850</v>
          </cell>
          <cell r="CA161">
            <v>0</v>
          </cell>
          <cell r="DL161"/>
          <cell r="DM161"/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/>
        </row>
        <row r="162">
          <cell r="B162">
            <v>0</v>
          </cell>
          <cell r="C162"/>
          <cell r="E162"/>
          <cell r="F162"/>
          <cell r="G162">
            <v>20</v>
          </cell>
          <cell r="H162">
            <v>34</v>
          </cell>
          <cell r="I162"/>
          <cell r="J162"/>
          <cell r="L162">
            <v>80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/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WSWT2021750UV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WRWT200750/WRWT21750</v>
          </cell>
          <cell r="CA162">
            <v>0</v>
          </cell>
          <cell r="DL162"/>
          <cell r="DM162"/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>
            <v>0</v>
          </cell>
          <cell r="EI162"/>
        </row>
        <row r="163">
          <cell r="B163">
            <v>0</v>
          </cell>
          <cell r="C163"/>
          <cell r="E163"/>
          <cell r="F163"/>
          <cell r="G163">
            <v>21</v>
          </cell>
          <cell r="H163">
            <v>39</v>
          </cell>
          <cell r="I163"/>
          <cell r="J163"/>
          <cell r="L163">
            <v>78</v>
          </cell>
          <cell r="M163" t="str">
            <v>±</v>
          </cell>
          <cell r="N163">
            <v>3</v>
          </cell>
          <cell r="R163"/>
          <cell r="T163"/>
          <cell r="U163"/>
          <cell r="V163"/>
          <cell r="X163"/>
          <cell r="Z163"/>
          <cell r="AA163"/>
          <cell r="AB163"/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WSWT2125700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BZ163" t="str">
            <v>WRWT210800/WRWT25650</v>
          </cell>
          <cell r="CA163">
            <v>0</v>
          </cell>
          <cell r="DL163"/>
          <cell r="DM163"/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>
            <v>0</v>
          </cell>
          <cell r="EI163"/>
        </row>
        <row r="164">
          <cell r="B164" t="str">
            <v>ใบรับคำสั่งซื้อ</v>
          </cell>
          <cell r="C164"/>
          <cell r="E164" t="str">
            <v>บจก.ไลม์มาสเตอร์</v>
          </cell>
          <cell r="F164" t="str">
            <v>LMC 20KG</v>
          </cell>
          <cell r="G164">
            <v>21</v>
          </cell>
          <cell r="H164">
            <v>34</v>
          </cell>
          <cell r="I164" t="str">
            <v>ขาว</v>
          </cell>
          <cell r="J164"/>
          <cell r="L164">
            <v>60</v>
          </cell>
          <cell r="M164" t="str">
            <v>±</v>
          </cell>
          <cell r="N164">
            <v>5</v>
          </cell>
          <cell r="R164" t="str">
            <v>ไม่</v>
          </cell>
          <cell r="T164">
            <v>22</v>
          </cell>
          <cell r="U164">
            <v>36</v>
          </cell>
          <cell r="V164">
            <v>40</v>
          </cell>
          <cell r="X164">
            <v>45889</v>
          </cell>
          <cell r="Z164" t="str">
            <v>500กระสอบ</v>
          </cell>
          <cell r="AA164">
            <v>20000</v>
          </cell>
          <cell r="AB164">
            <v>390.78734745599991</v>
          </cell>
          <cell r="AC164">
            <v>0</v>
          </cell>
          <cell r="AD164">
            <v>390.78734745599991</v>
          </cell>
          <cell r="AG164" t="str">
            <v>20/8เย็น</v>
          </cell>
          <cell r="AI164"/>
          <cell r="AJ164">
            <v>0</v>
          </cell>
          <cell r="AL164">
            <v>20000</v>
          </cell>
          <cell r="AM164"/>
          <cell r="AN164">
            <v>21000</v>
          </cell>
          <cell r="AO164" t="str">
            <v>WSWT2125650</v>
          </cell>
          <cell r="AQ164">
            <v>19837.400000000001</v>
          </cell>
          <cell r="AR164">
            <v>19837.400000000001</v>
          </cell>
          <cell r="AS164">
            <v>0</v>
          </cell>
          <cell r="AT164">
            <v>0</v>
          </cell>
          <cell r="AU164">
            <v>0</v>
          </cell>
          <cell r="BZ164" t="str">
            <v>WRWT25650/WRWT25650</v>
          </cell>
          <cell r="CA164">
            <v>0</v>
          </cell>
          <cell r="DL164" t="str">
            <v>P9</v>
          </cell>
          <cell r="DM164">
            <v>3</v>
          </cell>
          <cell r="DN164">
            <v>45889</v>
          </cell>
          <cell r="DP164">
            <v>45884</v>
          </cell>
          <cell r="DQ164"/>
          <cell r="DR164">
            <v>45879</v>
          </cell>
          <cell r="DS164">
            <v>45886</v>
          </cell>
          <cell r="DT164">
            <v>45887</v>
          </cell>
          <cell r="DU164">
            <v>45887</v>
          </cell>
          <cell r="DW164">
            <v>45888</v>
          </cell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>รอART</v>
          </cell>
          <cell r="EG164"/>
          <cell r="EH164"/>
          <cell r="EI164"/>
        </row>
        <row r="165">
          <cell r="B165">
            <v>0</v>
          </cell>
          <cell r="C165"/>
          <cell r="E165"/>
          <cell r="F165"/>
          <cell r="G165">
            <v>21</v>
          </cell>
          <cell r="H165">
            <v>37</v>
          </cell>
          <cell r="I165" t="str">
            <v>ขาว</v>
          </cell>
          <cell r="J165"/>
          <cell r="L165">
            <v>67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>
            <v>0</v>
          </cell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WSWT2125650</v>
          </cell>
          <cell r="AQ165">
            <v>19837.400000000001</v>
          </cell>
          <cell r="AR165">
            <v>19837.400000000001</v>
          </cell>
          <cell r="AS165">
            <v>0</v>
          </cell>
          <cell r="AT165">
            <v>0</v>
          </cell>
          <cell r="AU165">
            <v>0</v>
          </cell>
          <cell r="BZ165" t="str">
            <v>WRWT25650/WRWT25650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/>
          <cell r="EI165">
            <v>0</v>
          </cell>
        </row>
        <row r="166">
          <cell r="B166">
            <v>0</v>
          </cell>
          <cell r="C166"/>
          <cell r="E166"/>
          <cell r="F166"/>
          <cell r="G166">
            <v>21</v>
          </cell>
          <cell r="H166">
            <v>37</v>
          </cell>
          <cell r="I166" t="str">
            <v>ขาวแถบใส5</v>
          </cell>
          <cell r="J166"/>
          <cell r="L166">
            <v>67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>
            <v>0</v>
          </cell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WSWTSCL052125650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WRWT25650/WRCL25680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>
            <v>0</v>
          </cell>
          <cell r="EI166">
            <v>0</v>
          </cell>
        </row>
        <row r="167">
          <cell r="B167">
            <v>0</v>
          </cell>
          <cell r="C167"/>
          <cell r="E167"/>
          <cell r="F167"/>
          <cell r="G167">
            <v>21</v>
          </cell>
          <cell r="H167">
            <v>37</v>
          </cell>
          <cell r="I167" t="str">
            <v>ขาว</v>
          </cell>
          <cell r="J167"/>
          <cell r="L167">
            <v>83</v>
          </cell>
          <cell r="M167" t="str">
            <v>±</v>
          </cell>
          <cell r="N167">
            <v>5</v>
          </cell>
          <cell r="R167"/>
          <cell r="T167"/>
          <cell r="U167"/>
          <cell r="V167"/>
          <cell r="X167"/>
          <cell r="Z167"/>
          <cell r="AA167"/>
          <cell r="AB167"/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WSWT2125800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BZ167" t="str">
            <v>WRWT210800/WRWT25800</v>
          </cell>
          <cell r="CA167">
            <v>0</v>
          </cell>
          <cell r="DL167"/>
          <cell r="DM167"/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/>
          <cell r="EI167"/>
        </row>
        <row r="168">
          <cell r="B168" t="str">
            <v>MK68-000932</v>
          </cell>
          <cell r="C168">
            <v>45867</v>
          </cell>
          <cell r="E168" t="str">
            <v>บจก.เอ็นบี ดิสทริบิวชั่น</v>
          </cell>
          <cell r="F168" t="str">
            <v>กัสโซ่ฟีด 202</v>
          </cell>
          <cell r="G168">
            <v>21</v>
          </cell>
          <cell r="H168">
            <v>37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40</v>
          </cell>
          <cell r="V168">
            <v>40</v>
          </cell>
          <cell r="X168">
            <v>45876</v>
          </cell>
          <cell r="Z168" t="str">
            <v>500กระสอบ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 t="str">
            <v>รอโอนเงิน</v>
          </cell>
          <cell r="AI168"/>
          <cell r="AJ168">
            <v>5000</v>
          </cell>
          <cell r="AL168">
            <v>0</v>
          </cell>
          <cell r="AM168">
            <v>5400</v>
          </cell>
          <cell r="AN168">
            <v>0</v>
          </cell>
          <cell r="AO168" t="str">
            <v>WSWT2121670SM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WRWT21670/WRWT21670</v>
          </cell>
          <cell r="CA168">
            <v>0</v>
          </cell>
          <cell r="DL168" t="str">
            <v>P8</v>
          </cell>
          <cell r="DM168">
            <v>4</v>
          </cell>
          <cell r="DN168">
            <v>45876</v>
          </cell>
          <cell r="DP168">
            <v>45871</v>
          </cell>
          <cell r="DQ168">
            <v>45872</v>
          </cell>
          <cell r="DR168">
            <v>45866</v>
          </cell>
          <cell r="DS168">
            <v>45873</v>
          </cell>
          <cell r="DT168">
            <v>45874</v>
          </cell>
          <cell r="DU168">
            <v>45874</v>
          </cell>
          <cell r="DW168">
            <v>45875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MK68-000932</v>
          </cell>
          <cell r="C169">
            <v>45867</v>
          </cell>
          <cell r="E169" t="str">
            <v>บจก.เอ็นบี ดิสทริบิวชั่น</v>
          </cell>
          <cell r="F169" t="str">
            <v>กัสโซ่ฟีด 101-102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22</v>
          </cell>
          <cell r="U169">
            <v>40</v>
          </cell>
          <cell r="V169">
            <v>40</v>
          </cell>
          <cell r="X169">
            <v>45876</v>
          </cell>
          <cell r="Z169" t="str">
            <v>500กระสอบ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 t="str">
            <v>รอโอนเงิน</v>
          </cell>
          <cell r="AI169"/>
          <cell r="AJ169">
            <v>10000</v>
          </cell>
          <cell r="AL169">
            <v>0</v>
          </cell>
          <cell r="AM169">
            <v>10500</v>
          </cell>
          <cell r="AN169">
            <v>0</v>
          </cell>
          <cell r="AO169" t="str">
            <v>WSWT2121670SM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>
            <v>45876</v>
          </cell>
          <cell r="DP169">
            <v>45871</v>
          </cell>
          <cell r="DQ169">
            <v>45872</v>
          </cell>
          <cell r="DR169">
            <v>45866</v>
          </cell>
          <cell r="DS169">
            <v>45873</v>
          </cell>
          <cell r="DT169">
            <v>45874</v>
          </cell>
          <cell r="DU169">
            <v>45874</v>
          </cell>
          <cell r="DW169">
            <v>45875</v>
          </cell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MK68-000930</v>
          </cell>
          <cell r="C170">
            <v>45867</v>
          </cell>
          <cell r="E170" t="str">
            <v>บจก.บลูฟาโล่</v>
          </cell>
          <cell r="F170" t="str">
            <v>เมอรี่ 882S</v>
          </cell>
          <cell r="G170">
            <v>21</v>
          </cell>
          <cell r="H170">
            <v>37</v>
          </cell>
          <cell r="I170" t="str">
            <v>ขาว</v>
          </cell>
          <cell r="J170" t="str">
            <v>ใส</v>
          </cell>
          <cell r="L170">
            <v>97</v>
          </cell>
          <cell r="M170" t="str">
            <v>±</v>
          </cell>
          <cell r="N170">
            <v>5</v>
          </cell>
          <cell r="R170" t="str">
            <v>บิด</v>
          </cell>
          <cell r="T170">
            <v>22</v>
          </cell>
          <cell r="U170">
            <v>40</v>
          </cell>
          <cell r="V170">
            <v>40</v>
          </cell>
          <cell r="X170">
            <v>45876</v>
          </cell>
          <cell r="Z170" t="str">
            <v>500กระสอบ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 t="str">
            <v>รอโอนเงิน</v>
          </cell>
          <cell r="AI170"/>
          <cell r="AJ170">
            <v>5000</v>
          </cell>
          <cell r="AL170">
            <v>0</v>
          </cell>
          <cell r="AM170">
            <v>5400</v>
          </cell>
          <cell r="AN170">
            <v>0</v>
          </cell>
          <cell r="AO170" t="str">
            <v>WSWT2121670SM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WRWT21670/WRWT21670</v>
          </cell>
          <cell r="CA170">
            <v>0</v>
          </cell>
          <cell r="DL170" t="str">
            <v>P8</v>
          </cell>
          <cell r="DM170">
            <v>4</v>
          </cell>
          <cell r="DN170">
            <v>45876</v>
          </cell>
          <cell r="DP170">
            <v>45871</v>
          </cell>
          <cell r="DQ170">
            <v>45872</v>
          </cell>
          <cell r="DR170">
            <v>45866</v>
          </cell>
          <cell r="DS170">
            <v>45873</v>
          </cell>
          <cell r="DT170">
            <v>45874</v>
          </cell>
          <cell r="DU170">
            <v>45874</v>
          </cell>
          <cell r="DW170">
            <v>45875</v>
          </cell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MK68-000943</v>
          </cell>
          <cell r="C171">
            <v>45869</v>
          </cell>
          <cell r="E171" t="str">
            <v>บจก.แอมโก้เวท</v>
          </cell>
          <cell r="F171" t="str">
            <v>แดนโกรว30(ส้ม)</v>
          </cell>
          <cell r="G171">
            <v>21</v>
          </cell>
          <cell r="H171">
            <v>37</v>
          </cell>
          <cell r="I171" t="str">
            <v>ขาว</v>
          </cell>
          <cell r="J171" t="str">
            <v>ใส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45883</v>
          </cell>
          <cell r="Z171" t="str">
            <v>500กระสอบ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 t="str">
            <v>ผ้าเวียดนาม</v>
          </cell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WSWT2121670SM</v>
          </cell>
          <cell r="AQ171">
            <v>10756.900000000001</v>
          </cell>
          <cell r="AR171">
            <v>10756.900000000001</v>
          </cell>
          <cell r="AS171">
            <v>0</v>
          </cell>
          <cell r="AT171">
            <v>0</v>
          </cell>
          <cell r="AU171">
            <v>10756.900000000001</v>
          </cell>
          <cell r="BZ171" t="str">
            <v>WRWT21670/WRWT21670</v>
          </cell>
          <cell r="CA171">
            <v>0</v>
          </cell>
          <cell r="DL171" t="str">
            <v>P8</v>
          </cell>
          <cell r="DM171">
            <v>4</v>
          </cell>
          <cell r="DN171">
            <v>45883</v>
          </cell>
          <cell r="DP171">
            <v>45878</v>
          </cell>
          <cell r="DQ171">
            <v>45879</v>
          </cell>
          <cell r="DR171">
            <v>45873</v>
          </cell>
          <cell r="DS171">
            <v>45880</v>
          </cell>
          <cell r="DT171">
            <v>45881</v>
          </cell>
          <cell r="DU171">
            <v>45881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MK68-000943</v>
          </cell>
          <cell r="C172">
            <v>45869</v>
          </cell>
          <cell r="E172" t="str">
            <v>บจก.แอมโก้เวท</v>
          </cell>
          <cell r="F172" t="str">
            <v>แดนโกรว50(เหลือง)</v>
          </cell>
          <cell r="G172">
            <v>21</v>
          </cell>
          <cell r="H172">
            <v>37</v>
          </cell>
          <cell r="I172" t="str">
            <v>ขาว</v>
          </cell>
          <cell r="J172" t="str">
            <v>ใส</v>
          </cell>
          <cell r="L172">
            <v>100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45883</v>
          </cell>
          <cell r="Z172" t="str">
            <v>500กระสอบ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 t="str">
            <v>ผ้าเวียดนาม</v>
          </cell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WSWT2121670SM</v>
          </cell>
          <cell r="AQ172">
            <v>5378.4500000000007</v>
          </cell>
          <cell r="AR172">
            <v>5378.4500000000007</v>
          </cell>
          <cell r="AS172">
            <v>0</v>
          </cell>
          <cell r="AT172">
            <v>0</v>
          </cell>
          <cell r="AU172">
            <v>5378.4500000000007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>
            <v>45883</v>
          </cell>
          <cell r="DP172">
            <v>45878</v>
          </cell>
          <cell r="DQ172">
            <v>45879</v>
          </cell>
          <cell r="DR172">
            <v>45873</v>
          </cell>
          <cell r="DS172">
            <v>45880</v>
          </cell>
          <cell r="DT172">
            <v>45881</v>
          </cell>
          <cell r="DU172">
            <v>45881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MK68-000943</v>
          </cell>
          <cell r="C173">
            <v>45869</v>
          </cell>
          <cell r="E173" t="str">
            <v>บจก.แอมโก้เวท</v>
          </cell>
          <cell r="F173" t="str">
            <v>วีโว่ 100</v>
          </cell>
          <cell r="G173">
            <v>21</v>
          </cell>
          <cell r="H173">
            <v>37</v>
          </cell>
          <cell r="I173" t="str">
            <v>ขาว</v>
          </cell>
          <cell r="J173" t="str">
            <v>ใส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45883</v>
          </cell>
          <cell r="Z173" t="str">
            <v>500กระสอบ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 t="str">
            <v>ผ้าเวียดนาม</v>
          </cell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WSWT2121670SM</v>
          </cell>
          <cell r="AQ173">
            <v>5378.4500000000007</v>
          </cell>
          <cell r="AR173">
            <v>5378.4500000000007</v>
          </cell>
          <cell r="AS173">
            <v>0</v>
          </cell>
          <cell r="AT173">
            <v>0</v>
          </cell>
          <cell r="AU173">
            <v>5378.4500000000007</v>
          </cell>
          <cell r="BZ173" t="str">
            <v>WRWT21670/WRWT21670</v>
          </cell>
          <cell r="CA173">
            <v>0</v>
          </cell>
          <cell r="DL173" t="str">
            <v>P8</v>
          </cell>
          <cell r="DM173">
            <v>4</v>
          </cell>
          <cell r="DN173">
            <v>45883</v>
          </cell>
          <cell r="DP173">
            <v>45878</v>
          </cell>
          <cell r="DQ173">
            <v>45879</v>
          </cell>
          <cell r="DR173">
            <v>45873</v>
          </cell>
          <cell r="DS173">
            <v>45880</v>
          </cell>
          <cell r="DT173">
            <v>45881</v>
          </cell>
          <cell r="DU173">
            <v>45881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MK68-000943</v>
          </cell>
          <cell r="C174">
            <v>45869</v>
          </cell>
          <cell r="E174" t="str">
            <v>บจก.แอมโก้เวท</v>
          </cell>
          <cell r="F174" t="str">
            <v>แดนโกรวบรีดเดอร์ 60</v>
          </cell>
          <cell r="G174">
            <v>21</v>
          </cell>
          <cell r="H174">
            <v>37</v>
          </cell>
          <cell r="I174" t="str">
            <v>ขาว</v>
          </cell>
          <cell r="J174" t="str">
            <v>ใส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45883</v>
          </cell>
          <cell r="Z174" t="str">
            <v>500กระสอบ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 t="str">
            <v>ผ้าเวียดนาม</v>
          </cell>
          <cell r="AI174"/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WSWT2121670SM</v>
          </cell>
          <cell r="AQ174">
            <v>5378.4500000000007</v>
          </cell>
          <cell r="AR174">
            <v>5378.4500000000007</v>
          </cell>
          <cell r="AS174">
            <v>0</v>
          </cell>
          <cell r="AT174">
            <v>0</v>
          </cell>
          <cell r="AU174">
            <v>5378.4500000000007</v>
          </cell>
          <cell r="BZ174" t="str">
            <v>WRWT21670/WRWT21670</v>
          </cell>
          <cell r="CA174">
            <v>0</v>
          </cell>
          <cell r="DL174" t="str">
            <v>P8</v>
          </cell>
          <cell r="DM174">
            <v>4</v>
          </cell>
          <cell r="DN174">
            <v>45883</v>
          </cell>
          <cell r="DP174">
            <v>45878</v>
          </cell>
          <cell r="DQ174">
            <v>45879</v>
          </cell>
          <cell r="DR174">
            <v>45873</v>
          </cell>
          <cell r="DS174">
            <v>45880</v>
          </cell>
          <cell r="DT174">
            <v>45881</v>
          </cell>
          <cell r="DU174">
            <v>45881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MK68-000943</v>
          </cell>
          <cell r="C175">
            <v>45869</v>
          </cell>
          <cell r="E175" t="str">
            <v>บจก.แอมโก้เวท</v>
          </cell>
          <cell r="F175" t="str">
            <v>แดนโกรวบรีดเดอร์ 80</v>
          </cell>
          <cell r="G175">
            <v>21</v>
          </cell>
          <cell r="H175">
            <v>37</v>
          </cell>
          <cell r="I175" t="str">
            <v>ขาว</v>
          </cell>
          <cell r="J175" t="str">
            <v>ใส</v>
          </cell>
          <cell r="L175">
            <v>100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45883</v>
          </cell>
          <cell r="Z175" t="str">
            <v>500กระสอบ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 t="str">
            <v>ผ้าเวียดนาม</v>
          </cell>
          <cell r="AI175"/>
          <cell r="AJ175">
            <v>0</v>
          </cell>
          <cell r="AL175">
            <v>10000</v>
          </cell>
          <cell r="AM175"/>
          <cell r="AN175">
            <v>10500</v>
          </cell>
          <cell r="AO175" t="str">
            <v>WSWT2121670SM</v>
          </cell>
          <cell r="AQ175">
            <v>10756.900000000001</v>
          </cell>
          <cell r="AR175">
            <v>10756.900000000001</v>
          </cell>
          <cell r="AS175">
            <v>0</v>
          </cell>
          <cell r="AT175">
            <v>0</v>
          </cell>
          <cell r="AU175">
            <v>10756.900000000001</v>
          </cell>
          <cell r="BZ175" t="str">
            <v>WRWT21670/WRWT21670</v>
          </cell>
          <cell r="CA175">
            <v>0</v>
          </cell>
          <cell r="DL175" t="str">
            <v>P8</v>
          </cell>
          <cell r="DM175">
            <v>4</v>
          </cell>
          <cell r="DN175">
            <v>45883</v>
          </cell>
          <cell r="DP175">
            <v>45878</v>
          </cell>
          <cell r="DQ175">
            <v>45879</v>
          </cell>
          <cell r="DR175">
            <v>45873</v>
          </cell>
          <cell r="DS175">
            <v>45880</v>
          </cell>
          <cell r="DT175">
            <v>45881</v>
          </cell>
          <cell r="DU175">
            <v>45881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MK68-000950</v>
          </cell>
          <cell r="C176">
            <v>45870</v>
          </cell>
          <cell r="E176" t="str">
            <v>บจก.เอสพีเอ็ม อาหารสัตว์</v>
          </cell>
          <cell r="F176" t="str">
            <v>SPM4131</v>
          </cell>
          <cell r="G176">
            <v>21</v>
          </cell>
          <cell r="H176">
            <v>38</v>
          </cell>
          <cell r="I176" t="str">
            <v>ขาว</v>
          </cell>
          <cell r="J176" t="str">
            <v>ด้าน</v>
          </cell>
          <cell r="L176">
            <v>102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22</v>
          </cell>
          <cell r="U176">
            <v>40</v>
          </cell>
          <cell r="V176">
            <v>40</v>
          </cell>
          <cell r="X176">
            <v>45882</v>
          </cell>
          <cell r="Z176" t="str">
            <v>500กระสอบแบน</v>
          </cell>
          <cell r="AA176">
            <v>3000</v>
          </cell>
          <cell r="AB176">
            <v>65.13122457599998</v>
          </cell>
          <cell r="AC176">
            <v>0</v>
          </cell>
          <cell r="AD176">
            <v>65.13122457599998</v>
          </cell>
          <cell r="AG176"/>
          <cell r="AI176"/>
          <cell r="AJ176">
            <v>0</v>
          </cell>
          <cell r="AL176">
            <v>3000</v>
          </cell>
          <cell r="AM176"/>
          <cell r="AN176">
            <v>3150</v>
          </cell>
          <cell r="AO176" t="str">
            <v>WSWT2121670SM</v>
          </cell>
          <cell r="AQ176">
            <v>3310.89</v>
          </cell>
          <cell r="AR176">
            <v>3310.89</v>
          </cell>
          <cell r="AS176">
            <v>0</v>
          </cell>
          <cell r="AT176">
            <v>3310.89</v>
          </cell>
          <cell r="AU176">
            <v>0</v>
          </cell>
          <cell r="BZ176" t="str">
            <v>WRWT21670/WRWT21670</v>
          </cell>
          <cell r="CA176">
            <v>0</v>
          </cell>
          <cell r="DL176" t="str">
            <v>P8</v>
          </cell>
          <cell r="DM176">
            <v>4</v>
          </cell>
          <cell r="DN176">
            <v>45882</v>
          </cell>
          <cell r="DP176">
            <v>45877</v>
          </cell>
          <cell r="DQ176">
            <v>45878</v>
          </cell>
          <cell r="DR176">
            <v>45872</v>
          </cell>
          <cell r="DS176">
            <v>45879</v>
          </cell>
          <cell r="DT176">
            <v>45880</v>
          </cell>
          <cell r="DU176">
            <v>45880</v>
          </cell>
          <cell r="DW176">
            <v>45881</v>
          </cell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MK68-000949</v>
          </cell>
          <cell r="C177">
            <v>45870</v>
          </cell>
          <cell r="E177" t="str">
            <v>บจก.เอสพีเอ็ม อาหารสัตว์</v>
          </cell>
          <cell r="F177" t="str">
            <v>SPM4132</v>
          </cell>
          <cell r="G177">
            <v>21</v>
          </cell>
          <cell r="H177">
            <v>40</v>
          </cell>
          <cell r="I177" t="str">
            <v>ขาว</v>
          </cell>
          <cell r="J177" t="str">
            <v>ด้าน</v>
          </cell>
          <cell r="L177">
            <v>108</v>
          </cell>
          <cell r="M177" t="str">
            <v>±</v>
          </cell>
          <cell r="N177">
            <v>5</v>
          </cell>
          <cell r="R177" t="str">
            <v>บิด</v>
          </cell>
          <cell r="T177">
            <v>22</v>
          </cell>
          <cell r="U177">
            <v>42</v>
          </cell>
          <cell r="V177">
            <v>40</v>
          </cell>
          <cell r="X177">
            <v>45882</v>
          </cell>
          <cell r="Z177" t="str">
            <v>500กระสอบแบน</v>
          </cell>
          <cell r="AA177">
            <v>3000</v>
          </cell>
          <cell r="AB177">
            <v>68.387785804799989</v>
          </cell>
          <cell r="AC177">
            <v>0</v>
          </cell>
          <cell r="AD177">
            <v>68.387785804799989</v>
          </cell>
          <cell r="AG177"/>
          <cell r="AI177"/>
          <cell r="AJ177">
            <v>0</v>
          </cell>
          <cell r="AL177">
            <v>3000</v>
          </cell>
          <cell r="AM177"/>
          <cell r="AN177">
            <v>3150</v>
          </cell>
          <cell r="AO177" t="str">
            <v>WSWT2121670SM</v>
          </cell>
          <cell r="AQ177">
            <v>3478.5300000000007</v>
          </cell>
          <cell r="AR177">
            <v>3478.5300000000007</v>
          </cell>
          <cell r="AS177">
            <v>0</v>
          </cell>
          <cell r="AT177">
            <v>3478.5300000000007</v>
          </cell>
          <cell r="AU177">
            <v>0</v>
          </cell>
          <cell r="BZ177" t="str">
            <v>WRWT21670/WRWT21670</v>
          </cell>
          <cell r="CA177">
            <v>0</v>
          </cell>
          <cell r="DL177" t="str">
            <v>P8</v>
          </cell>
          <cell r="DM177">
            <v>4</v>
          </cell>
          <cell r="DN177">
            <v>45882</v>
          </cell>
          <cell r="DP177">
            <v>45877</v>
          </cell>
          <cell r="DQ177">
            <v>45878</v>
          </cell>
          <cell r="DR177">
            <v>45872</v>
          </cell>
          <cell r="DS177">
            <v>45879</v>
          </cell>
          <cell r="DT177">
            <v>45880</v>
          </cell>
          <cell r="DU177">
            <v>45880</v>
          </cell>
          <cell r="DW177">
            <v>45881</v>
          </cell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MK68-000703</v>
          </cell>
          <cell r="C178">
            <v>45871</v>
          </cell>
          <cell r="E178" t="str">
            <v>บจก.เอสพีเอ็ม อาหารสัตว์</v>
          </cell>
          <cell r="F178" t="str">
            <v>มาซูฟีดบี 0434</v>
          </cell>
          <cell r="G178">
            <v>21</v>
          </cell>
          <cell r="H178">
            <v>40</v>
          </cell>
          <cell r="I178" t="str">
            <v>ขาว</v>
          </cell>
          <cell r="J178" t="str">
            <v>ใส</v>
          </cell>
          <cell r="L178">
            <v>108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42</v>
          </cell>
          <cell r="V178">
            <v>40</v>
          </cell>
          <cell r="X178">
            <v>45882</v>
          </cell>
          <cell r="Z178" t="str">
            <v>500กระสอบแบน</v>
          </cell>
          <cell r="AA178">
            <v>5500</v>
          </cell>
          <cell r="AB178">
            <v>125.37760730879998</v>
          </cell>
          <cell r="AC178">
            <v>0</v>
          </cell>
          <cell r="AD178">
            <v>125.37760730879998</v>
          </cell>
          <cell r="AG178"/>
          <cell r="AI178"/>
          <cell r="AJ178">
            <v>0</v>
          </cell>
          <cell r="AL178">
            <v>5500</v>
          </cell>
          <cell r="AM178"/>
          <cell r="AN178">
            <v>5775</v>
          </cell>
          <cell r="AO178" t="str">
            <v>WSWT2121670SM</v>
          </cell>
          <cell r="AQ178">
            <v>6377.3050000000003</v>
          </cell>
          <cell r="AR178">
            <v>6377.3050000000003</v>
          </cell>
          <cell r="AS178">
            <v>0</v>
          </cell>
          <cell r="AT178">
            <v>6377.3050000000003</v>
          </cell>
          <cell r="AU178">
            <v>0</v>
          </cell>
          <cell r="BZ178" t="str">
            <v>WRWT21670/WRWT21670</v>
          </cell>
          <cell r="CA178">
            <v>0</v>
          </cell>
          <cell r="DL178" t="str">
            <v>P8</v>
          </cell>
          <cell r="DM178">
            <v>4</v>
          </cell>
          <cell r="DN178">
            <v>45882</v>
          </cell>
          <cell r="DP178">
            <v>45877</v>
          </cell>
          <cell r="DQ178">
            <v>45878</v>
          </cell>
          <cell r="DR178">
            <v>45872</v>
          </cell>
          <cell r="DS178">
            <v>45879</v>
          </cell>
          <cell r="DT178">
            <v>45880</v>
          </cell>
          <cell r="DU178">
            <v>45880</v>
          </cell>
          <cell r="DW178">
            <v>45881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MK68-000968</v>
          </cell>
          <cell r="C179">
            <v>45874</v>
          </cell>
          <cell r="E179" t="str">
            <v>บจก.เอพีเอ็ม อะโกร</v>
          </cell>
          <cell r="F179" t="str">
            <v>ฟีล กู๊ด 892</v>
          </cell>
          <cell r="G179">
            <v>21</v>
          </cell>
          <cell r="H179">
            <v>38</v>
          </cell>
          <cell r="I179" t="str">
            <v>ขาว</v>
          </cell>
          <cell r="J179" t="str">
            <v>ใส</v>
          </cell>
          <cell r="L179">
            <v>102</v>
          </cell>
          <cell r="M179" t="str">
            <v>±</v>
          </cell>
          <cell r="N179">
            <v>5</v>
          </cell>
          <cell r="R179" t="str">
            <v>บิด</v>
          </cell>
          <cell r="T179">
            <v>22</v>
          </cell>
          <cell r="U179">
            <v>40</v>
          </cell>
          <cell r="V179">
            <v>40</v>
          </cell>
          <cell r="X179">
            <v>45883</v>
          </cell>
          <cell r="Z179" t="str">
            <v>500กระสอบแบน</v>
          </cell>
          <cell r="AA179">
            <v>3000</v>
          </cell>
          <cell r="AB179">
            <v>65.13122457599998</v>
          </cell>
          <cell r="AC179">
            <v>0</v>
          </cell>
          <cell r="AD179">
            <v>65.13122457599998</v>
          </cell>
          <cell r="AG179"/>
          <cell r="AI179"/>
          <cell r="AJ179">
            <v>0</v>
          </cell>
          <cell r="AL179">
            <v>3000</v>
          </cell>
          <cell r="AM179"/>
          <cell r="AN179">
            <v>3150</v>
          </cell>
          <cell r="AO179" t="str">
            <v>WSWT2121670SM</v>
          </cell>
          <cell r="AQ179">
            <v>3310.89</v>
          </cell>
          <cell r="AR179">
            <v>0</v>
          </cell>
          <cell r="AS179">
            <v>3310.89</v>
          </cell>
          <cell r="AT179">
            <v>0</v>
          </cell>
          <cell r="AU179">
            <v>3310.89</v>
          </cell>
          <cell r="BZ179" t="str">
            <v>WRWT21670/WRWT21670</v>
          </cell>
          <cell r="CA179">
            <v>238.09713619999999</v>
          </cell>
          <cell r="DL179" t="str">
            <v>P8</v>
          </cell>
          <cell r="DM179">
            <v>4</v>
          </cell>
          <cell r="DN179">
            <v>45883</v>
          </cell>
          <cell r="DP179">
            <v>45878</v>
          </cell>
          <cell r="DQ179">
            <v>45879</v>
          </cell>
          <cell r="DR179">
            <v>45873</v>
          </cell>
          <cell r="DS179">
            <v>45880</v>
          </cell>
          <cell r="DT179">
            <v>45881</v>
          </cell>
          <cell r="DU179">
            <v>45881</v>
          </cell>
          <cell r="DW179">
            <v>45882</v>
          </cell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>รอART</v>
          </cell>
          <cell r="EG179"/>
          <cell r="EH179"/>
          <cell r="EI179"/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บจก.เอ็นบี ดิสทริบิวชั่น</v>
          </cell>
          <cell r="F180" t="str">
            <v>รอแบบ</v>
          </cell>
          <cell r="G180">
            <v>21</v>
          </cell>
          <cell r="H180">
            <v>37</v>
          </cell>
          <cell r="I180" t="str">
            <v>ขาว</v>
          </cell>
          <cell r="J180" t="str">
            <v>ใส</v>
          </cell>
          <cell r="L180">
            <v>100</v>
          </cell>
          <cell r="M180" t="str">
            <v>±</v>
          </cell>
          <cell r="N180">
            <v>5</v>
          </cell>
          <cell r="R180" t="str">
            <v>บิด</v>
          </cell>
          <cell r="T180">
            <v>22</v>
          </cell>
          <cell r="U180">
            <v>40</v>
          </cell>
          <cell r="V180">
            <v>40</v>
          </cell>
          <cell r="X180">
            <v>45899</v>
          </cell>
          <cell r="Z180" t="str">
            <v>500กระสอบ</v>
          </cell>
          <cell r="AA180">
            <v>20000</v>
          </cell>
          <cell r="AB180">
            <v>434.20816383999994</v>
          </cell>
          <cell r="AC180">
            <v>0</v>
          </cell>
          <cell r="AD180">
            <v>434.20816383999994</v>
          </cell>
          <cell r="AG180"/>
          <cell r="AI180"/>
          <cell r="AJ180">
            <v>0</v>
          </cell>
          <cell r="AL180">
            <v>20000</v>
          </cell>
          <cell r="AM180"/>
          <cell r="AN180">
            <v>21000</v>
          </cell>
          <cell r="AO180" t="str">
            <v>WSWT2121670SM</v>
          </cell>
          <cell r="AQ180">
            <v>21513.800000000003</v>
          </cell>
          <cell r="AR180">
            <v>21513.800000000003</v>
          </cell>
          <cell r="AS180">
            <v>0</v>
          </cell>
          <cell r="AT180">
            <v>0</v>
          </cell>
          <cell r="AU180">
            <v>21513.800000000003</v>
          </cell>
          <cell r="BZ180" t="str">
            <v>WRWT21670/WRWT21670</v>
          </cell>
          <cell r="CA180">
            <v>0</v>
          </cell>
          <cell r="DL180" t="str">
            <v>P8</v>
          </cell>
          <cell r="DM180">
            <v>4</v>
          </cell>
          <cell r="DN180">
            <v>45899</v>
          </cell>
          <cell r="DP180">
            <v>45894</v>
          </cell>
          <cell r="DQ180">
            <v>45895</v>
          </cell>
          <cell r="DR180">
            <v>45889</v>
          </cell>
          <cell r="DS180">
            <v>45896</v>
          </cell>
          <cell r="DT180">
            <v>45897</v>
          </cell>
          <cell r="DU180">
            <v>45897</v>
          </cell>
          <cell r="DW180">
            <v>45898</v>
          </cell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บจก.แอมโก้เวท</v>
          </cell>
          <cell r="F181" t="str">
            <v>รอแบบ</v>
          </cell>
          <cell r="G181">
            <v>21</v>
          </cell>
          <cell r="H181">
            <v>37</v>
          </cell>
          <cell r="I181" t="str">
            <v>ขาว</v>
          </cell>
          <cell r="J181" t="str">
            <v>ใส</v>
          </cell>
          <cell r="L181">
            <v>100</v>
          </cell>
          <cell r="M181" t="str">
            <v>±</v>
          </cell>
          <cell r="N181">
            <v>5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45899</v>
          </cell>
          <cell r="Z181" t="str">
            <v>500กระสอบ</v>
          </cell>
          <cell r="AA181">
            <v>100000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100000</v>
          </cell>
          <cell r="AM181"/>
          <cell r="AN181">
            <v>105000</v>
          </cell>
          <cell r="AO181" t="str">
            <v>WSWT2121670SM</v>
          </cell>
          <cell r="AQ181">
            <v>107569.00000000001</v>
          </cell>
          <cell r="AR181">
            <v>107569.00000000001</v>
          </cell>
          <cell r="AS181">
            <v>0</v>
          </cell>
          <cell r="AT181">
            <v>0</v>
          </cell>
          <cell r="AU181">
            <v>107569.00000000001</v>
          </cell>
          <cell r="BZ181" t="str">
            <v>WRWT21670/WRWT21670</v>
          </cell>
          <cell r="CA181">
            <v>0</v>
          </cell>
          <cell r="DL181" t="str">
            <v>P8</v>
          </cell>
          <cell r="DM181">
            <v>4</v>
          </cell>
          <cell r="DN181">
            <v>45899</v>
          </cell>
          <cell r="DP181">
            <v>45894</v>
          </cell>
          <cell r="DQ181">
            <v>45895</v>
          </cell>
          <cell r="DR181">
            <v>45889</v>
          </cell>
          <cell r="DS181">
            <v>45896</v>
          </cell>
          <cell r="DT181">
            <v>45897</v>
          </cell>
          <cell r="DU181">
            <v>45897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บจก.ที.ซี.ยูเนี่ยน อโกรเทค</v>
          </cell>
          <cell r="F182" t="str">
            <v>Zhejiang UN</v>
          </cell>
          <cell r="G182">
            <v>21</v>
          </cell>
          <cell r="H182">
            <v>37</v>
          </cell>
          <cell r="I182" t="str">
            <v>ขาว</v>
          </cell>
          <cell r="J182" t="str">
            <v>ใส</v>
          </cell>
          <cell r="L182">
            <v>100</v>
          </cell>
          <cell r="M182" t="str">
            <v>±</v>
          </cell>
          <cell r="N182">
            <v>5</v>
          </cell>
          <cell r="R182" t="str">
            <v>ไม่</v>
          </cell>
          <cell r="T182" t="str">
            <v>ไม่สวมถุงใน</v>
          </cell>
          <cell r="U182"/>
          <cell r="V182"/>
          <cell r="X182">
            <v>45899</v>
          </cell>
          <cell r="Z182" t="str">
            <v xml:space="preserve">300กระสอบแบนเต็มใบ 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10000</v>
          </cell>
          <cell r="AM182"/>
          <cell r="AN182">
            <v>10500</v>
          </cell>
          <cell r="AO182" t="str">
            <v>WSWT2121670SM</v>
          </cell>
          <cell r="AQ182">
            <v>10756.900000000001</v>
          </cell>
          <cell r="AR182">
            <v>10590</v>
          </cell>
          <cell r="AS182">
            <v>166.90000000000146</v>
          </cell>
          <cell r="AT182">
            <v>0</v>
          </cell>
          <cell r="AU182">
            <v>10756.900000000001</v>
          </cell>
          <cell r="BZ182" t="str">
            <v>WRWT21670/WRWT21670</v>
          </cell>
          <cell r="CA182">
            <v>12.002335333333438</v>
          </cell>
          <cell r="DL182" t="str">
            <v>P8</v>
          </cell>
          <cell r="DM182">
            <v>4</v>
          </cell>
          <cell r="DN182">
            <v>45899</v>
          </cell>
          <cell r="DP182">
            <v>45894</v>
          </cell>
          <cell r="DQ182">
            <v>45895</v>
          </cell>
          <cell r="DR182">
            <v>45889</v>
          </cell>
          <cell r="DS182">
            <v>45896</v>
          </cell>
          <cell r="DT182">
            <v>45897</v>
          </cell>
          <cell r="DU182">
            <v>45897</v>
          </cell>
          <cell r="DW182"/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MK68-000892</v>
          </cell>
          <cell r="C183">
            <v>45854</v>
          </cell>
          <cell r="E183" t="str">
            <v>บจก.เอสพีเอ็ม อาหารสัตว์</v>
          </cell>
          <cell r="F183" t="str">
            <v>มาซู ฟีดซี042</v>
          </cell>
          <cell r="G183">
            <v>21</v>
          </cell>
          <cell r="H183">
            <v>38</v>
          </cell>
          <cell r="I183" t="str">
            <v>ขาว</v>
          </cell>
          <cell r="J183" t="str">
            <v>ด้าน</v>
          </cell>
          <cell r="L183">
            <v>102</v>
          </cell>
          <cell r="M183" t="str">
            <v>±</v>
          </cell>
          <cell r="N183">
            <v>5</v>
          </cell>
          <cell r="R183" t="str">
            <v>บิด</v>
          </cell>
          <cell r="T183">
            <v>22</v>
          </cell>
          <cell r="U183">
            <v>40</v>
          </cell>
          <cell r="V183">
            <v>40</v>
          </cell>
          <cell r="X183" t="str">
            <v>รอแจ้ง</v>
          </cell>
          <cell r="Z183" t="str">
            <v>500กระสอบแบน</v>
          </cell>
          <cell r="AA183">
            <v>3000</v>
          </cell>
          <cell r="AB183">
            <v>65.13122457599998</v>
          </cell>
          <cell r="AC183">
            <v>0</v>
          </cell>
          <cell r="AD183">
            <v>65.13122457599998</v>
          </cell>
          <cell r="AG183"/>
          <cell r="AI183"/>
          <cell r="AJ183">
            <v>0</v>
          </cell>
          <cell r="AL183">
            <v>3000</v>
          </cell>
          <cell r="AM183"/>
          <cell r="AN183">
            <v>3150</v>
          </cell>
          <cell r="AO183" t="str">
            <v>WSWT2121670SM</v>
          </cell>
          <cell r="AQ183">
            <v>3310.89</v>
          </cell>
          <cell r="AR183">
            <v>0</v>
          </cell>
          <cell r="AS183">
            <v>3310.89</v>
          </cell>
          <cell r="AT183">
            <v>0</v>
          </cell>
          <cell r="AU183">
            <v>3310.89</v>
          </cell>
          <cell r="BZ183" t="str">
            <v>WRWT21670/WRWT21670</v>
          </cell>
          <cell r="CA183">
            <v>238.09713619999999</v>
          </cell>
          <cell r="DL183" t="str">
            <v>P8</v>
          </cell>
          <cell r="DM183">
            <v>4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 t="e">
            <v>#VALUE!</v>
          </cell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MK68-000893</v>
          </cell>
          <cell r="C184">
            <v>45854</v>
          </cell>
          <cell r="E184" t="str">
            <v>บจก.เอสพีเอ็ม อาหารสัตว์</v>
          </cell>
          <cell r="F184" t="str">
            <v>มาซู ฟีดจี041</v>
          </cell>
          <cell r="G184">
            <v>21</v>
          </cell>
          <cell r="H184">
            <v>38</v>
          </cell>
          <cell r="I184" t="str">
            <v>ขาว</v>
          </cell>
          <cell r="J184" t="str">
            <v>ด้าน</v>
          </cell>
          <cell r="L184">
            <v>102</v>
          </cell>
          <cell r="M184" t="str">
            <v>±</v>
          </cell>
          <cell r="N184">
            <v>5</v>
          </cell>
          <cell r="R184" t="str">
            <v>บิด</v>
          </cell>
          <cell r="T184">
            <v>22</v>
          </cell>
          <cell r="U184">
            <v>40</v>
          </cell>
          <cell r="V184">
            <v>40</v>
          </cell>
          <cell r="X184" t="str">
            <v>รอแจ้ง</v>
          </cell>
          <cell r="Z184" t="str">
            <v>500กระสอบแบน</v>
          </cell>
          <cell r="AA184">
            <v>3000</v>
          </cell>
          <cell r="AB184">
            <v>65.13122457599998</v>
          </cell>
          <cell r="AC184">
            <v>0</v>
          </cell>
          <cell r="AD184">
            <v>65.13122457599998</v>
          </cell>
          <cell r="AG184"/>
          <cell r="AI184"/>
          <cell r="AJ184">
            <v>0</v>
          </cell>
          <cell r="AL184">
            <v>3000</v>
          </cell>
          <cell r="AM184"/>
          <cell r="AN184">
            <v>3150</v>
          </cell>
          <cell r="AO184" t="str">
            <v>WSWT2121670SM</v>
          </cell>
          <cell r="AQ184">
            <v>3310.89</v>
          </cell>
          <cell r="AR184">
            <v>0</v>
          </cell>
          <cell r="AS184">
            <v>3310.89</v>
          </cell>
          <cell r="AT184">
            <v>0</v>
          </cell>
          <cell r="AU184">
            <v>3310.89</v>
          </cell>
          <cell r="BZ184" t="str">
            <v>WRWT21670/WRWT21670</v>
          </cell>
          <cell r="CA184">
            <v>238.09713619999999</v>
          </cell>
          <cell r="DL184" t="str">
            <v>P8</v>
          </cell>
          <cell r="DM184">
            <v>4</v>
          </cell>
          <cell r="DN184" t="str">
            <v>รอแจ้ง</v>
          </cell>
          <cell r="DP184" t="e">
            <v>#VALUE!</v>
          </cell>
          <cell r="DQ184" t="e">
            <v>#VALUE!</v>
          </cell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 t="e">
            <v>#VALUE!</v>
          </cell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MK68-000804</v>
          </cell>
          <cell r="C185">
            <v>45826</v>
          </cell>
          <cell r="E185" t="str">
            <v>บจก.เอพีเอ็ม อะโกร</v>
          </cell>
          <cell r="F185" t="str">
            <v>ฟีล กู๊ด 802</v>
          </cell>
          <cell r="G185">
            <v>21</v>
          </cell>
          <cell r="H185">
            <v>38</v>
          </cell>
          <cell r="I185" t="str">
            <v>ขาว</v>
          </cell>
          <cell r="J185" t="str">
            <v>ใส</v>
          </cell>
          <cell r="L185">
            <v>102</v>
          </cell>
          <cell r="M185" t="str">
            <v>±</v>
          </cell>
          <cell r="N185">
            <v>5</v>
          </cell>
          <cell r="R185" t="str">
            <v>บิด</v>
          </cell>
          <cell r="T185">
            <v>22</v>
          </cell>
          <cell r="U185">
            <v>40</v>
          </cell>
          <cell r="V185">
            <v>40</v>
          </cell>
          <cell r="X185" t="str">
            <v>รอแจ้ง</v>
          </cell>
          <cell r="Z185" t="str">
            <v>500กระสอบแบน</v>
          </cell>
          <cell r="AA185">
            <v>8000</v>
          </cell>
          <cell r="AB185">
            <v>163.47937368575995</v>
          </cell>
          <cell r="AC185">
            <v>0</v>
          </cell>
          <cell r="AD185">
            <v>163.47937368575995</v>
          </cell>
          <cell r="AG185"/>
          <cell r="AI185"/>
          <cell r="AJ185">
            <v>470</v>
          </cell>
          <cell r="AL185">
            <v>7530</v>
          </cell>
          <cell r="AM185"/>
          <cell r="AN185">
            <v>7906.5</v>
          </cell>
          <cell r="AO185" t="str">
            <v>WSWT2121670SM</v>
          </cell>
          <cell r="AQ185">
            <v>8310.3338999999996</v>
          </cell>
          <cell r="AR185">
            <v>0</v>
          </cell>
          <cell r="AS185">
            <v>8310.3338999999996</v>
          </cell>
          <cell r="AT185">
            <v>0</v>
          </cell>
          <cell r="AU185">
            <v>8310.3338999999996</v>
          </cell>
          <cell r="BZ185" t="str">
            <v>WRWT21670/WRWT21670</v>
          </cell>
          <cell r="CA185">
            <v>597.62381186199991</v>
          </cell>
          <cell r="DL185" t="str">
            <v>P8</v>
          </cell>
          <cell r="DM185">
            <v>4</v>
          </cell>
          <cell r="DN185" t="str">
            <v>รอแจ้ง</v>
          </cell>
          <cell r="DP185" t="e">
            <v>#VALUE!</v>
          </cell>
          <cell r="DQ185" t="e">
            <v>#VALUE!</v>
          </cell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 t="e">
            <v>#VALUE!</v>
          </cell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MK67-001617</v>
          </cell>
          <cell r="C186">
            <v>45628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21</v>
          </cell>
          <cell r="H186">
            <v>37</v>
          </cell>
          <cell r="I186" t="str">
            <v>ขาว</v>
          </cell>
          <cell r="J186" t="str">
            <v>ใส</v>
          </cell>
          <cell r="L186">
            <v>100</v>
          </cell>
          <cell r="M186" t="str">
            <v>±</v>
          </cell>
          <cell r="N186">
            <v>5</v>
          </cell>
          <cell r="R186" t="str">
            <v>ไม่</v>
          </cell>
          <cell r="T186" t="str">
            <v>ไม่สวมถุงใน</v>
          </cell>
          <cell r="U186"/>
          <cell r="V186"/>
          <cell r="X186" t="str">
            <v>รอแจ้ง</v>
          </cell>
          <cell r="Z186" t="str">
            <v xml:space="preserve">300กระสอบแบนเต็มใบ </v>
          </cell>
          <cell r="AA186">
            <v>8000</v>
          </cell>
          <cell r="AB186">
            <v>0</v>
          </cell>
          <cell r="AC186">
            <v>0</v>
          </cell>
          <cell r="AD186">
            <v>0</v>
          </cell>
          <cell r="AG186" t="str">
            <v>20/1--5/3 ลูกค้าแจ้งเลื่อน</v>
          </cell>
          <cell r="AI186"/>
          <cell r="AJ186">
            <v>0</v>
          </cell>
          <cell r="AL186">
            <v>8000</v>
          </cell>
          <cell r="AM186">
            <v>0</v>
          </cell>
          <cell r="AN186">
            <v>8400</v>
          </cell>
          <cell r="AO186" t="str">
            <v>WSWT2121670SM</v>
          </cell>
          <cell r="AQ186">
            <v>8605.52</v>
          </cell>
          <cell r="AR186">
            <v>0</v>
          </cell>
          <cell r="AS186">
            <v>8605.52</v>
          </cell>
          <cell r="AT186">
            <v>0</v>
          </cell>
          <cell r="AU186">
            <v>8605.52</v>
          </cell>
          <cell r="BZ186" t="str">
            <v>WRWT21670/WRWT21670</v>
          </cell>
          <cell r="CA186">
            <v>618.85162826666658</v>
          </cell>
          <cell r="DL186" t="str">
            <v>P8</v>
          </cell>
          <cell r="DM186">
            <v>4</v>
          </cell>
          <cell r="DN186" t="str">
            <v>รอแจ้ง</v>
          </cell>
          <cell r="DP186" t="e">
            <v>#VALUE!</v>
          </cell>
          <cell r="DQ186" t="e">
            <v>#VALUE!</v>
          </cell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MK67-001642</v>
          </cell>
          <cell r="C187">
            <v>45631</v>
          </cell>
          <cell r="E187" t="str">
            <v>บจก.ที.ซี.ยูเนี่ยน อโกรเทค</v>
          </cell>
          <cell r="F187" t="str">
            <v>Zhejiang UN</v>
          </cell>
          <cell r="G187">
            <v>21</v>
          </cell>
          <cell r="H187">
            <v>37</v>
          </cell>
          <cell r="I187" t="str">
            <v>ขาว</v>
          </cell>
          <cell r="J187" t="str">
            <v>ใส</v>
          </cell>
          <cell r="L187">
            <v>100</v>
          </cell>
          <cell r="M187" t="str">
            <v>±</v>
          </cell>
          <cell r="N187">
            <v>5</v>
          </cell>
          <cell r="R187" t="str">
            <v>ไม่</v>
          </cell>
          <cell r="T187" t="str">
            <v>ไม่สวมถุงใน</v>
          </cell>
          <cell r="U187"/>
          <cell r="V187"/>
          <cell r="X187" t="str">
            <v>รอแจ้ง</v>
          </cell>
          <cell r="Z187" t="str">
            <v xml:space="preserve">300กระสอบแบนเต็มใบ </v>
          </cell>
          <cell r="AA187">
            <v>16000</v>
          </cell>
          <cell r="AB187">
            <v>0</v>
          </cell>
          <cell r="AC187">
            <v>0</v>
          </cell>
          <cell r="AD187">
            <v>0</v>
          </cell>
          <cell r="AG187" t="str">
            <v>3/2---19/3 ลูกค้าแจ้งเลื่อน</v>
          </cell>
          <cell r="AI187"/>
          <cell r="AJ187">
            <v>0</v>
          </cell>
          <cell r="AL187">
            <v>16000</v>
          </cell>
          <cell r="AM187"/>
          <cell r="AN187">
            <v>16800</v>
          </cell>
          <cell r="AO187" t="str">
            <v>WSWT2121670SM</v>
          </cell>
          <cell r="AQ187">
            <v>17211.04</v>
          </cell>
          <cell r="AR187">
            <v>0</v>
          </cell>
          <cell r="AS187">
            <v>17211.04</v>
          </cell>
          <cell r="AT187">
            <v>0</v>
          </cell>
          <cell r="AU187">
            <v>17211.04</v>
          </cell>
          <cell r="BZ187" t="str">
            <v>WRWT21670/WRWT21670</v>
          </cell>
          <cell r="CA187">
            <v>1237.7032565333332</v>
          </cell>
          <cell r="DL187" t="str">
            <v>P8</v>
          </cell>
          <cell r="DM187">
            <v>4</v>
          </cell>
          <cell r="DN187" t="str">
            <v>รอแจ้ง</v>
          </cell>
          <cell r="DP187" t="e">
            <v>#VALUE!</v>
          </cell>
          <cell r="DQ187" t="e">
            <v>#VALUE!</v>
          </cell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MK67-001643</v>
          </cell>
          <cell r="C188">
            <v>45631</v>
          </cell>
          <cell r="E188" t="str">
            <v>บจก.ที.ซี.ยูเนี่ยน อโกรเทค</v>
          </cell>
          <cell r="F188" t="str">
            <v>Zhejiang UN</v>
          </cell>
          <cell r="G188">
            <v>21</v>
          </cell>
          <cell r="H188">
            <v>37</v>
          </cell>
          <cell r="I188" t="str">
            <v>ขาว</v>
          </cell>
          <cell r="J188" t="str">
            <v>ใส</v>
          </cell>
          <cell r="L188">
            <v>100</v>
          </cell>
          <cell r="M188" t="str">
            <v>±</v>
          </cell>
          <cell r="N188">
            <v>5</v>
          </cell>
          <cell r="R188" t="str">
            <v>ไม่</v>
          </cell>
          <cell r="T188" t="str">
            <v>ไม่สวมถุงใน</v>
          </cell>
          <cell r="U188"/>
          <cell r="V188"/>
          <cell r="X188" t="str">
            <v>รอแจ้ง</v>
          </cell>
          <cell r="Z188" t="str">
            <v xml:space="preserve">300กระสอบแบนเต็มใบ </v>
          </cell>
          <cell r="AA188">
            <v>16000</v>
          </cell>
          <cell r="AB188">
            <v>0</v>
          </cell>
          <cell r="AC188">
            <v>0</v>
          </cell>
          <cell r="AD188">
            <v>0</v>
          </cell>
          <cell r="AG188" t="str">
            <v>17/2---28/3 ลูกค้าแจ้งเลื่อน</v>
          </cell>
          <cell r="AI188"/>
          <cell r="AJ188">
            <v>0</v>
          </cell>
          <cell r="AL188">
            <v>16000</v>
          </cell>
          <cell r="AM188"/>
          <cell r="AN188">
            <v>16800</v>
          </cell>
          <cell r="AO188" t="str">
            <v>WSWT2121670SM</v>
          </cell>
          <cell r="AQ188">
            <v>17211.04</v>
          </cell>
          <cell r="AR188">
            <v>0</v>
          </cell>
          <cell r="AS188">
            <v>17211.04</v>
          </cell>
          <cell r="AT188">
            <v>0</v>
          </cell>
          <cell r="AU188">
            <v>17211.04</v>
          </cell>
          <cell r="BZ188" t="str">
            <v>WRWT21670/WRWT21670</v>
          </cell>
          <cell r="CA188">
            <v>1237.7032565333332</v>
          </cell>
          <cell r="DL188" t="str">
            <v>P8</v>
          </cell>
          <cell r="DM188">
            <v>4</v>
          </cell>
          <cell r="DN188" t="str">
            <v>รอแจ้ง</v>
          </cell>
          <cell r="DP188" t="e">
            <v>#VALUE!</v>
          </cell>
          <cell r="DQ188" t="e">
            <v>#VALUE!</v>
          </cell>
          <cell r="DR188" t="e">
            <v>#VALUE!</v>
          </cell>
          <cell r="DS188" t="e">
            <v>#VALUE!</v>
          </cell>
          <cell r="DT188" t="e">
            <v>#VALUE!</v>
          </cell>
          <cell r="DU188" t="e">
            <v>#VALUE!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MK66-000701</v>
          </cell>
          <cell r="C189">
            <v>45066</v>
          </cell>
          <cell r="E189" t="str">
            <v>บจก.เอสพีเอ็ม อาหารสัตว์</v>
          </cell>
          <cell r="F189" t="str">
            <v>มาซูฟีด ซี041</v>
          </cell>
          <cell r="G189">
            <v>21</v>
          </cell>
          <cell r="H189">
            <v>38</v>
          </cell>
          <cell r="I189" t="str">
            <v>ขาว</v>
          </cell>
          <cell r="J189" t="str">
            <v>ด้าน</v>
          </cell>
          <cell r="L189">
            <v>102</v>
          </cell>
          <cell r="M189" t="str">
            <v>±</v>
          </cell>
          <cell r="N189">
            <v>5</v>
          </cell>
          <cell r="R189" t="str">
            <v>บิด</v>
          </cell>
          <cell r="T189">
            <v>22</v>
          </cell>
          <cell r="U189">
            <v>40</v>
          </cell>
          <cell r="V189">
            <v>40</v>
          </cell>
          <cell r="X189" t="str">
            <v>รอแจ้ง</v>
          </cell>
          <cell r="Z189" t="str">
            <v>500กระสอบแบน</v>
          </cell>
          <cell r="AA189">
            <v>5000</v>
          </cell>
          <cell r="AB189">
            <v>108.55204095999999</v>
          </cell>
          <cell r="AC189">
            <v>0</v>
          </cell>
          <cell r="AD189">
            <v>108.55204095999999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WSWT2121670SM</v>
          </cell>
          <cell r="AQ189">
            <v>5518.15</v>
          </cell>
          <cell r="AR189">
            <v>0</v>
          </cell>
          <cell r="AS189">
            <v>5518.15</v>
          </cell>
          <cell r="AT189">
            <v>0</v>
          </cell>
          <cell r="AU189">
            <v>5518.15</v>
          </cell>
          <cell r="BZ189" t="str">
            <v>WRWT21670/WRWT21670</v>
          </cell>
          <cell r="CA189">
            <v>396.82856033333326</v>
          </cell>
          <cell r="DL189" t="str">
            <v>P8</v>
          </cell>
          <cell r="DM189">
            <v>4</v>
          </cell>
          <cell r="DN189" t="str">
            <v>รอแจ้ง</v>
          </cell>
          <cell r="DP189" t="e">
            <v>#VALUE!</v>
          </cell>
          <cell r="DQ189" t="e">
            <v>#VALUE!</v>
          </cell>
          <cell r="DR189" t="e">
            <v>#VALUE!</v>
          </cell>
          <cell r="DS189" t="e">
            <v>#VALUE!</v>
          </cell>
          <cell r="DT189" t="e">
            <v>#VALUE!</v>
          </cell>
          <cell r="DU189" t="e">
            <v>#VALUE!</v>
          </cell>
          <cell r="DW189" t="e">
            <v>#VALUE!</v>
          </cell>
          <cell r="DX189"/>
          <cell r="DY189"/>
          <cell r="DZ189"/>
          <cell r="EA189"/>
          <cell r="EB189"/>
          <cell r="EC189" t="str">
            <v>งานเคลือบ+พิมพ์</v>
          </cell>
          <cell r="ED189" t="str">
            <v xml:space="preserve"> /</v>
          </cell>
          <cell r="EG189"/>
          <cell r="EH189"/>
          <cell r="EI189"/>
        </row>
        <row r="190">
          <cell r="B190">
            <v>0</v>
          </cell>
          <cell r="C190"/>
          <cell r="E190"/>
          <cell r="F190"/>
          <cell r="G190">
            <v>21</v>
          </cell>
          <cell r="H190">
            <v>37</v>
          </cell>
          <cell r="I190"/>
          <cell r="J190"/>
          <cell r="L190">
            <v>74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/>
          <cell r="AC190" t="str">
            <v>ว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WSWT2121670SM</v>
          </cell>
          <cell r="AQ190">
            <v>257444.32890000002</v>
          </cell>
          <cell r="AR190">
            <v>190488.67500000005</v>
          </cell>
          <cell r="AS190">
            <v>66955.653900000005</v>
          </cell>
          <cell r="AT190">
            <v>13166.725</v>
          </cell>
          <cell r="AU190">
            <v>244277.60390000005</v>
          </cell>
          <cell r="BZ190" t="str">
            <v>WRWT210670/WRWT21670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21.6</v>
          </cell>
          <cell r="H191">
            <v>34</v>
          </cell>
          <cell r="I191"/>
          <cell r="J191"/>
          <cell r="L191">
            <v>97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WSWT2221940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WRWT21940/WRWT21940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 t="str">
            <v>MK68-000917</v>
          </cell>
          <cell r="C192">
            <v>45860</v>
          </cell>
          <cell r="E192" t="str">
            <v>บจก.ซิเบลโก้(บางเลน)</v>
          </cell>
          <cell r="F192" t="str">
            <v>FELDSPAR N15</v>
          </cell>
          <cell r="G192">
            <v>23</v>
          </cell>
          <cell r="H192">
            <v>38</v>
          </cell>
          <cell r="I192" t="str">
            <v>ขาว</v>
          </cell>
          <cell r="J192" t="str">
            <v>ใส</v>
          </cell>
          <cell r="L192">
            <v>100</v>
          </cell>
          <cell r="M192" t="str">
            <v>±</v>
          </cell>
          <cell r="N192">
            <v>5</v>
          </cell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45883</v>
          </cell>
          <cell r="Z192" t="str">
            <v>500กระสอบแบน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WSWT2325650</v>
          </cell>
          <cell r="AQ192">
            <v>5518.15</v>
          </cell>
          <cell r="AR192">
            <v>5518.15</v>
          </cell>
          <cell r="AS192">
            <v>0</v>
          </cell>
          <cell r="AT192">
            <v>1715</v>
          </cell>
          <cell r="AU192">
            <v>3803.1499999999996</v>
          </cell>
          <cell r="BZ192" t="str">
            <v>WRWT25650/WRWT25650</v>
          </cell>
          <cell r="CA192">
            <v>0</v>
          </cell>
          <cell r="DL192" t="str">
            <v>P8</v>
          </cell>
          <cell r="DM192">
            <v>4</v>
          </cell>
          <cell r="DN192">
            <v>45883</v>
          </cell>
          <cell r="DP192">
            <v>45878</v>
          </cell>
          <cell r="DQ192">
            <v>45879</v>
          </cell>
          <cell r="DR192">
            <v>45873</v>
          </cell>
          <cell r="DS192">
            <v>45880</v>
          </cell>
          <cell r="DT192">
            <v>45881</v>
          </cell>
          <cell r="DU192">
            <v>45881</v>
          </cell>
          <cell r="DW192"/>
          <cell r="DX192"/>
          <cell r="DY192"/>
          <cell r="DZ192"/>
          <cell r="EA192"/>
          <cell r="EB192"/>
          <cell r="EC192" t="str">
            <v>งานเคลือบ+พิมพ์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ใบรับคำสั่งซื้อ</v>
          </cell>
          <cell r="C193"/>
          <cell r="E193" t="str">
            <v>บจก.ซิเบลโก้(บางเลน)</v>
          </cell>
          <cell r="F193" t="str">
            <v>BLANK FORM</v>
          </cell>
          <cell r="G193">
            <v>23</v>
          </cell>
          <cell r="H193">
            <v>38</v>
          </cell>
          <cell r="I193" t="str">
            <v>ขาว</v>
          </cell>
          <cell r="J193" t="str">
            <v>ใส</v>
          </cell>
          <cell r="L193">
            <v>100</v>
          </cell>
          <cell r="M193" t="str">
            <v>±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45887</v>
          </cell>
          <cell r="Z193" t="str">
            <v>500กระสอบแบน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WSWT2325650</v>
          </cell>
          <cell r="AQ193">
            <v>5518.15</v>
          </cell>
          <cell r="AR193">
            <v>5518.15</v>
          </cell>
          <cell r="AS193">
            <v>0</v>
          </cell>
          <cell r="AT193">
            <v>0</v>
          </cell>
          <cell r="AU193">
            <v>5518.15</v>
          </cell>
          <cell r="BZ193" t="str">
            <v>WRWT25650/WRWT25650</v>
          </cell>
          <cell r="CA193">
            <v>0</v>
          </cell>
          <cell r="DL193" t="str">
            <v>P8</v>
          </cell>
          <cell r="DM193">
            <v>4</v>
          </cell>
          <cell r="DN193">
            <v>45887</v>
          </cell>
          <cell r="DP193">
            <v>45882</v>
          </cell>
          <cell r="DQ193">
            <v>45883</v>
          </cell>
          <cell r="DR193">
            <v>45877</v>
          </cell>
          <cell r="DS193">
            <v>45884</v>
          </cell>
          <cell r="DT193">
            <v>45885</v>
          </cell>
          <cell r="DU193">
            <v>45885</v>
          </cell>
          <cell r="DW193"/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 t="str">
            <v>รอART</v>
          </cell>
          <cell r="EG193"/>
          <cell r="EH193"/>
          <cell r="EI193"/>
        </row>
        <row r="194">
          <cell r="B194" t="str">
            <v>ใบรับคำสั่งซื้อ</v>
          </cell>
          <cell r="C194"/>
          <cell r="E194" t="str">
            <v>บจก.ซิเบลโก้(บางเลน)</v>
          </cell>
          <cell r="F194" t="str">
            <v>FELDSPAR K200BL</v>
          </cell>
          <cell r="G194">
            <v>23</v>
          </cell>
          <cell r="H194">
            <v>38</v>
          </cell>
          <cell r="I194" t="str">
            <v>ขาว</v>
          </cell>
          <cell r="J194" t="str">
            <v>ใส</v>
          </cell>
          <cell r="L194">
            <v>100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45887</v>
          </cell>
          <cell r="Z194" t="str">
            <v>500กระสอบแบน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WSWT2325650</v>
          </cell>
          <cell r="AQ194">
            <v>5518.15</v>
          </cell>
          <cell r="AR194">
            <v>5518.15</v>
          </cell>
          <cell r="AS194">
            <v>0</v>
          </cell>
          <cell r="AT194">
            <v>0</v>
          </cell>
          <cell r="AU194">
            <v>5518.15</v>
          </cell>
          <cell r="BZ194" t="str">
            <v>WRWT25650/WRWT25650</v>
          </cell>
          <cell r="CA194">
            <v>0</v>
          </cell>
          <cell r="DL194" t="str">
            <v>P8</v>
          </cell>
          <cell r="DM194">
            <v>4</v>
          </cell>
          <cell r="DN194">
            <v>45887</v>
          </cell>
          <cell r="DP194">
            <v>45882</v>
          </cell>
          <cell r="DQ194">
            <v>45883</v>
          </cell>
          <cell r="DR194">
            <v>45877</v>
          </cell>
          <cell r="DS194">
            <v>45884</v>
          </cell>
          <cell r="DT194">
            <v>45885</v>
          </cell>
          <cell r="DU194">
            <v>45885</v>
          </cell>
          <cell r="DW194"/>
          <cell r="DX194"/>
          <cell r="DY194"/>
          <cell r="DZ194"/>
          <cell r="EA194"/>
          <cell r="EB194"/>
          <cell r="EC194" t="str">
            <v>งานเคลือบ+พิมพ์</v>
          </cell>
          <cell r="ED194" t="str">
            <v>รอART</v>
          </cell>
          <cell r="EG194"/>
          <cell r="EH194"/>
          <cell r="EI194"/>
        </row>
        <row r="195">
          <cell r="B195" t="str">
            <v>ประมาณการ</v>
          </cell>
          <cell r="C195" t="str">
            <v>ประมาณการ</v>
          </cell>
          <cell r="E195" t="str">
            <v>พันธุ์ข้าว</v>
          </cell>
          <cell r="F195" t="str">
            <v>พันธุ์ข้าว</v>
          </cell>
          <cell r="G195">
            <v>23</v>
          </cell>
          <cell r="H195">
            <v>34</v>
          </cell>
          <cell r="I195" t="str">
            <v>ขาว</v>
          </cell>
          <cell r="J195"/>
          <cell r="L195">
            <v>68</v>
          </cell>
          <cell r="M195" t="str">
            <v>±</v>
          </cell>
          <cell r="N195">
            <v>5</v>
          </cell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45899</v>
          </cell>
          <cell r="Z195" t="str">
            <v>500กระสอบ</v>
          </cell>
          <cell r="AA195">
            <v>30000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30000</v>
          </cell>
          <cell r="AM195"/>
          <cell r="AN195">
            <v>31500</v>
          </cell>
          <cell r="AO195" t="str">
            <v>WSWT2325650</v>
          </cell>
          <cell r="AQ195">
            <v>29756.100000000002</v>
          </cell>
          <cell r="AR195">
            <v>21613</v>
          </cell>
          <cell r="AS195">
            <v>8143.1000000000022</v>
          </cell>
          <cell r="AT195">
            <v>0</v>
          </cell>
          <cell r="AU195">
            <v>0</v>
          </cell>
          <cell r="BZ195" t="str">
            <v>WRWT25650/WRWT25650</v>
          </cell>
          <cell r="CA195">
            <v>608.69672500000013</v>
          </cell>
          <cell r="DL195" t="str">
            <v>P7</v>
          </cell>
          <cell r="DM195">
            <v>2</v>
          </cell>
          <cell r="DN195">
            <v>45899</v>
          </cell>
          <cell r="DP195">
            <v>45894</v>
          </cell>
          <cell r="DQ195"/>
          <cell r="DR195">
            <v>45890</v>
          </cell>
          <cell r="DS195">
            <v>45897</v>
          </cell>
          <cell r="DT195">
            <v>45898</v>
          </cell>
          <cell r="DU195">
            <v>45898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ประมาณการ</v>
          </cell>
          <cell r="C196" t="str">
            <v>ประมาณการ</v>
          </cell>
          <cell r="E196" t="str">
            <v>บจก.ซิเบลโก้(สบปราบ)</v>
          </cell>
          <cell r="F196" t="str">
            <v>รอแบบ</v>
          </cell>
          <cell r="G196">
            <v>23</v>
          </cell>
          <cell r="H196">
            <v>34</v>
          </cell>
          <cell r="I196" t="str">
            <v>ขาว</v>
          </cell>
          <cell r="J196"/>
          <cell r="L196">
            <v>68</v>
          </cell>
          <cell r="M196" t="str">
            <v>±</v>
          </cell>
          <cell r="N196">
            <v>5</v>
          </cell>
          <cell r="R196" t="str">
            <v>ไม่</v>
          </cell>
          <cell r="T196">
            <v>24</v>
          </cell>
          <cell r="U196">
            <v>37</v>
          </cell>
          <cell r="V196">
            <v>50</v>
          </cell>
          <cell r="X196">
            <v>45899</v>
          </cell>
          <cell r="Z196" t="str">
            <v>มัด100</v>
          </cell>
          <cell r="AA196">
            <v>30000</v>
          </cell>
          <cell r="AB196">
            <v>821.54158271999995</v>
          </cell>
          <cell r="AC196">
            <v>0</v>
          </cell>
          <cell r="AD196">
            <v>821.54158271999995</v>
          </cell>
          <cell r="AG196"/>
          <cell r="AI196"/>
          <cell r="AJ196">
            <v>0</v>
          </cell>
          <cell r="AL196">
            <v>30000</v>
          </cell>
          <cell r="AM196"/>
          <cell r="AN196">
            <v>31500</v>
          </cell>
          <cell r="AO196" t="str">
            <v>WSWT2325650</v>
          </cell>
          <cell r="AQ196">
            <v>29756.100000000002</v>
          </cell>
          <cell r="AR196">
            <v>0</v>
          </cell>
          <cell r="AS196">
            <v>29756.100000000002</v>
          </cell>
          <cell r="AT196">
            <v>0</v>
          </cell>
          <cell r="AU196">
            <v>0</v>
          </cell>
          <cell r="BZ196" t="str">
            <v>WRWT25650/WRWT25650</v>
          </cell>
          <cell r="CA196">
            <v>2224.2684750000003</v>
          </cell>
          <cell r="DL196" t="str">
            <v>P9</v>
          </cell>
          <cell r="DM196">
            <v>3</v>
          </cell>
          <cell r="DN196">
            <v>45899</v>
          </cell>
          <cell r="DP196">
            <v>45894</v>
          </cell>
          <cell r="DQ196"/>
          <cell r="DR196">
            <v>45889</v>
          </cell>
          <cell r="DS196">
            <v>45896</v>
          </cell>
          <cell r="DT196">
            <v>45897</v>
          </cell>
          <cell r="DU196">
            <v>45897</v>
          </cell>
          <cell r="DW196">
            <v>45898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>รอART</v>
          </cell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23</v>
          </cell>
          <cell r="H197">
            <v>34</v>
          </cell>
          <cell r="I197" t="str">
            <v>ขาว</v>
          </cell>
          <cell r="J197"/>
          <cell r="L197">
            <v>68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>
            <v>0</v>
          </cell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WSWT2325650</v>
          </cell>
          <cell r="AQ197">
            <v>76066.650000000009</v>
          </cell>
          <cell r="AR197">
            <v>38167.449999999997</v>
          </cell>
          <cell r="AS197">
            <v>37899.200000000004</v>
          </cell>
          <cell r="AT197">
            <v>1715</v>
          </cell>
          <cell r="AU197">
            <v>14839.449999999999</v>
          </cell>
          <cell r="BZ197" t="str">
            <v>WRWT25650/WRWT25650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 t="str">
            <v>MK68-000964</v>
          </cell>
          <cell r="C198">
            <v>45874</v>
          </cell>
          <cell r="E198" t="str">
            <v>กลุ่มผู้ผลิตเมล็ดพันธุ์ข้าวศรีนคร</v>
          </cell>
          <cell r="F198" t="str">
            <v>ศรีนครพันธุ์ข้าว</v>
          </cell>
          <cell r="G198">
            <v>23</v>
          </cell>
          <cell r="H198">
            <v>34</v>
          </cell>
          <cell r="I198" t="str">
            <v>ขาวแถบใส5</v>
          </cell>
          <cell r="J198"/>
          <cell r="L198">
            <v>68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45889</v>
          </cell>
          <cell r="Z198" t="str">
            <v>500กระสอบ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/>
          <cell r="AL198">
            <v>10000</v>
          </cell>
          <cell r="AM198"/>
          <cell r="AN198">
            <v>10500</v>
          </cell>
          <cell r="AO198" t="str">
            <v>WSWTSCL052325650</v>
          </cell>
          <cell r="AQ198">
            <v>9918.7000000000007</v>
          </cell>
          <cell r="AR198">
            <v>0</v>
          </cell>
          <cell r="AS198">
            <v>9918.7000000000007</v>
          </cell>
          <cell r="AT198">
            <v>0</v>
          </cell>
          <cell r="AU198">
            <v>0</v>
          </cell>
          <cell r="BZ198" t="str">
            <v>WRWT25650/WRCL25680</v>
          </cell>
          <cell r="CA198">
            <v>800.41704844444439</v>
          </cell>
          <cell r="DL198" t="str">
            <v>P7</v>
          </cell>
          <cell r="DM198">
            <v>2</v>
          </cell>
          <cell r="DN198">
            <v>45889</v>
          </cell>
          <cell r="DP198">
            <v>45884</v>
          </cell>
          <cell r="DQ198"/>
          <cell r="DR198">
            <v>45880</v>
          </cell>
          <cell r="DS198">
            <v>45887</v>
          </cell>
          <cell r="DT198">
            <v>45888</v>
          </cell>
          <cell r="DU198">
            <v>45888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23</v>
          </cell>
          <cell r="H199">
            <v>34</v>
          </cell>
          <cell r="I199" t="str">
            <v>ขาวแถบใส5</v>
          </cell>
          <cell r="J199"/>
          <cell r="L199">
            <v>68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/>
          <cell r="AJ199"/>
          <cell r="AL199">
            <v>0</v>
          </cell>
          <cell r="AM199"/>
          <cell r="AN199">
            <v>0</v>
          </cell>
          <cell r="AO199" t="str">
            <v>WSWTSCL052325650</v>
          </cell>
          <cell r="AQ199">
            <v>9918.7000000000007</v>
          </cell>
          <cell r="AR199">
            <v>0</v>
          </cell>
          <cell r="AS199">
            <v>9918.7000000000007</v>
          </cell>
          <cell r="AT199">
            <v>0</v>
          </cell>
          <cell r="AU199">
            <v>0</v>
          </cell>
          <cell r="BZ199" t="str">
            <v>WRWT25650/WRCL25680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พันธุ์ข้าว</v>
          </cell>
          <cell r="F200" t="str">
            <v>รอแบบ</v>
          </cell>
          <cell r="G200">
            <v>23</v>
          </cell>
          <cell r="H200">
            <v>34</v>
          </cell>
          <cell r="I200" t="str">
            <v>ขาวแถบใส2</v>
          </cell>
          <cell r="J200"/>
          <cell r="L200">
            <v>68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>500กระสอบ</v>
          </cell>
          <cell r="AA200">
            <v>10000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/>
          <cell r="AL200">
            <v>10000</v>
          </cell>
          <cell r="AM200"/>
          <cell r="AN200">
            <v>10500</v>
          </cell>
          <cell r="AO200" t="str">
            <v>WSWTFCL022325650</v>
          </cell>
          <cell r="AQ200">
            <v>9918.7000000000007</v>
          </cell>
          <cell r="AR200">
            <v>0</v>
          </cell>
          <cell r="AS200">
            <v>9918.7000000000007</v>
          </cell>
          <cell r="AT200">
            <v>0</v>
          </cell>
          <cell r="AU200">
            <v>0</v>
          </cell>
          <cell r="BZ200" t="str">
            <v>WRWT25650/WRCL25680</v>
          </cell>
          <cell r="CA200">
            <v>800.41704844444439</v>
          </cell>
          <cell r="DL200" t="str">
            <v>P7</v>
          </cell>
          <cell r="DM200">
            <v>2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23</v>
          </cell>
          <cell r="H201">
            <v>34</v>
          </cell>
          <cell r="I201" t="str">
            <v>ขาวแถบใส2</v>
          </cell>
          <cell r="J201"/>
          <cell r="L201">
            <v>68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WSWTFCL022325650</v>
          </cell>
          <cell r="AQ201">
            <v>9918.7000000000007</v>
          </cell>
          <cell r="AR201">
            <v>0</v>
          </cell>
          <cell r="AS201">
            <v>9918.7000000000007</v>
          </cell>
          <cell r="AT201">
            <v>0</v>
          </cell>
          <cell r="AU201">
            <v>0</v>
          </cell>
          <cell r="BZ201" t="str">
            <v>WRWT25650/WRCL25680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>
            <v>0</v>
          </cell>
          <cell r="C202"/>
          <cell r="E202"/>
          <cell r="F202"/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85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WSWT2325800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WRWT25800/WRWT28750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>
            <v>0</v>
          </cell>
        </row>
        <row r="203">
          <cell r="B203" t="str">
            <v>MK68-000378</v>
          </cell>
          <cell r="C203">
            <v>45727</v>
          </cell>
          <cell r="E203" t="str">
            <v>บจก.แอมโก้เวท</v>
          </cell>
          <cell r="F203" t="str">
            <v>ไม่พิมพ์</v>
          </cell>
          <cell r="G203">
            <v>23</v>
          </cell>
          <cell r="H203">
            <v>40</v>
          </cell>
          <cell r="I203" t="str">
            <v>ขาว</v>
          </cell>
          <cell r="J203" t="str">
            <v>ใส</v>
          </cell>
          <cell r="L203">
            <v>125</v>
          </cell>
          <cell r="M203" t="str">
            <v>±</v>
          </cell>
          <cell r="N203">
            <v>5</v>
          </cell>
          <cell r="R203" t="str">
            <v>จับจีบ4"</v>
          </cell>
          <cell r="T203" t="str">
            <v>ไม่สวมถุงใน</v>
          </cell>
          <cell r="U203"/>
          <cell r="V203"/>
          <cell r="X203" t="str">
            <v>รอแจ้ง</v>
          </cell>
          <cell r="Z203" t="str">
            <v>500กระสอบแบน</v>
          </cell>
          <cell r="AA203">
            <v>1000</v>
          </cell>
          <cell r="AB203">
            <v>0</v>
          </cell>
          <cell r="AC203">
            <v>0</v>
          </cell>
          <cell r="AD203">
            <v>0</v>
          </cell>
          <cell r="AG203"/>
          <cell r="AI203" t="str">
            <v>ห้ามขาด-เกินได้5%</v>
          </cell>
          <cell r="AJ203">
            <v>0</v>
          </cell>
          <cell r="AL203">
            <v>1000</v>
          </cell>
          <cell r="AM203"/>
          <cell r="AN203">
            <v>0</v>
          </cell>
          <cell r="AO203" t="str">
            <v>WSWT2321750</v>
          </cell>
          <cell r="AQ203">
            <v>1159.5100000000002</v>
          </cell>
          <cell r="AR203">
            <v>1159.5100000000002</v>
          </cell>
          <cell r="AS203">
            <v>0</v>
          </cell>
          <cell r="AT203">
            <v>1159.5100000000002</v>
          </cell>
          <cell r="AU203">
            <v>0</v>
          </cell>
          <cell r="BZ203" t="str">
            <v>WRWT21750/WRWT21750</v>
          </cell>
          <cell r="CA203">
            <v>0</v>
          </cell>
          <cell r="DL203" t="str">
            <v>P11</v>
          </cell>
          <cell r="DM203">
            <v>2</v>
          </cell>
          <cell r="DN203" t="str">
            <v>รอแจ้ง</v>
          </cell>
          <cell r="DP203" t="e">
            <v>#VALUE!</v>
          </cell>
          <cell r="DQ203" t="e">
            <v>#VALUE!</v>
          </cell>
          <cell r="DR203"/>
          <cell r="DS203"/>
          <cell r="DT203"/>
          <cell r="DU203" t="e">
            <v>#VALUE!</v>
          </cell>
          <cell r="DW203"/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23</v>
          </cell>
          <cell r="H204">
            <v>37</v>
          </cell>
          <cell r="I204"/>
          <cell r="J204"/>
          <cell r="L204">
            <v>85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WSWT2321750</v>
          </cell>
          <cell r="AQ204">
            <v>1159.5100000000002</v>
          </cell>
          <cell r="AR204">
            <v>1159.5100000000002</v>
          </cell>
          <cell r="AS204">
            <v>0</v>
          </cell>
          <cell r="AT204">
            <v>1159.5100000000002</v>
          </cell>
          <cell r="AU204">
            <v>0</v>
          </cell>
          <cell r="BZ204" t="str">
            <v>WRWT230750/WRWT21750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23</v>
          </cell>
          <cell r="H205">
            <v>34</v>
          </cell>
          <cell r="I205"/>
          <cell r="J205"/>
          <cell r="L205">
            <v>68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WSWTSCL1R042325650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WRWT230650/WRWT25680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23</v>
          </cell>
          <cell r="H206">
            <v>37</v>
          </cell>
          <cell r="I206" t="str">
            <v>ขาว</v>
          </cell>
          <cell r="J206"/>
          <cell r="L206">
            <v>90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WSWT2325800SM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WRWT21800/WRWT21800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23</v>
          </cell>
          <cell r="H207">
            <v>37</v>
          </cell>
          <cell r="I207"/>
          <cell r="J207"/>
          <cell r="L207">
            <v>120</v>
          </cell>
          <cell r="M207" t="str">
            <v>+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WSWT23211125120SMFX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WROP2301125/WRBR21940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>
            <v>0</v>
          </cell>
        </row>
        <row r="208">
          <cell r="B208">
            <v>0</v>
          </cell>
          <cell r="C208"/>
          <cell r="E208"/>
          <cell r="F208" t="str">
            <v xml:space="preserve">  </v>
          </cell>
          <cell r="G208">
            <v>23</v>
          </cell>
          <cell r="H208">
            <v>37</v>
          </cell>
          <cell r="I208" t="str">
            <v>ขาว</v>
          </cell>
          <cell r="J208"/>
          <cell r="L208">
            <v>130</v>
          </cell>
          <cell r="M208" t="str">
            <v>+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>
            <v>0</v>
          </cell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WSWT23211125130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BZ208" t="str">
            <v>WRWT211125/WRWT251080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>
            <v>0</v>
          </cell>
        </row>
        <row r="209">
          <cell r="B209">
            <v>0</v>
          </cell>
          <cell r="C209"/>
          <cell r="E209"/>
          <cell r="F209"/>
          <cell r="G209">
            <v>23</v>
          </cell>
          <cell r="H209">
            <v>37</v>
          </cell>
          <cell r="I209"/>
          <cell r="J209"/>
          <cell r="L209">
            <v>120</v>
          </cell>
          <cell r="M209" t="str">
            <v>±</v>
          </cell>
          <cell r="N209">
            <v>3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WSWT2321112512051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WRWT211125/WRWT21900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 t="str">
            <v>MK67-001490</v>
          </cell>
          <cell r="C210">
            <v>45601</v>
          </cell>
          <cell r="E210" t="str">
            <v>บจก.น้ำตาลทิพย์สุโขทัย</v>
          </cell>
          <cell r="F210" t="str">
            <v>Green for white sugar</v>
          </cell>
          <cell r="G210">
            <v>23</v>
          </cell>
          <cell r="H210">
            <v>37</v>
          </cell>
          <cell r="I210" t="str">
            <v>ขาว</v>
          </cell>
          <cell r="J210"/>
          <cell r="L210">
            <v>130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24</v>
          </cell>
          <cell r="U210">
            <v>40</v>
          </cell>
          <cell r="V210">
            <v>55</v>
          </cell>
          <cell r="X210">
            <v>45883</v>
          </cell>
          <cell r="Z210" t="str">
            <v>300แบน</v>
          </cell>
          <cell r="AA210">
            <v>50000</v>
          </cell>
          <cell r="AB210">
            <v>902.91416629708795</v>
          </cell>
          <cell r="AC210">
            <v>0</v>
          </cell>
          <cell r="AD210">
            <v>902.91416629708795</v>
          </cell>
          <cell r="AG210" t="str">
            <v>14/8 เย็น  รอสวม 11600</v>
          </cell>
          <cell r="AI210"/>
          <cell r="AJ210">
            <v>22274</v>
          </cell>
          <cell r="AL210">
            <v>27726</v>
          </cell>
          <cell r="AM210"/>
          <cell r="AN210">
            <v>29112.300000000003</v>
          </cell>
          <cell r="AO210" t="str">
            <v>WSWT2321112512551</v>
          </cell>
          <cell r="AQ210">
            <v>29824.58094</v>
          </cell>
          <cell r="AR210">
            <v>29824.58094</v>
          </cell>
          <cell r="AS210">
            <v>0</v>
          </cell>
          <cell r="AT210">
            <v>0</v>
          </cell>
          <cell r="AU210">
            <v>0</v>
          </cell>
          <cell r="BZ210" t="str">
            <v>WRWT211125/WRWT251030</v>
          </cell>
          <cell r="CA210">
            <v>0</v>
          </cell>
          <cell r="DL210" t="str">
            <v>P9</v>
          </cell>
          <cell r="DM210">
            <v>3</v>
          </cell>
          <cell r="DN210">
            <v>45883</v>
          </cell>
          <cell r="DP210">
            <v>45878</v>
          </cell>
          <cell r="DQ210"/>
          <cell r="DR210">
            <v>45873</v>
          </cell>
          <cell r="DS210">
            <v>45880</v>
          </cell>
          <cell r="DT210">
            <v>45881</v>
          </cell>
          <cell r="DU210">
            <v>45881</v>
          </cell>
          <cell r="DW210">
            <v>45882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MK67-001490</v>
          </cell>
          <cell r="C211">
            <v>45601</v>
          </cell>
          <cell r="E211" t="str">
            <v>บจก.น้ำตาลทิพย์สุโขทัย</v>
          </cell>
          <cell r="F211" t="str">
            <v>Green for white sugar</v>
          </cell>
          <cell r="G211">
            <v>23</v>
          </cell>
          <cell r="H211">
            <v>37</v>
          </cell>
          <cell r="I211" t="str">
            <v>ขาว</v>
          </cell>
          <cell r="J211"/>
          <cell r="L211">
            <v>130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24</v>
          </cell>
          <cell r="U211">
            <v>40</v>
          </cell>
          <cell r="V211">
            <v>55</v>
          </cell>
          <cell r="X211">
            <v>45887</v>
          </cell>
          <cell r="Z211" t="str">
            <v>300แบน</v>
          </cell>
          <cell r="AA211">
            <v>50000</v>
          </cell>
          <cell r="AB211">
            <v>1628.2806143999999</v>
          </cell>
          <cell r="AC211">
            <v>0</v>
          </cell>
          <cell r="AD211">
            <v>1628.2806143999999</v>
          </cell>
          <cell r="AG211" t="str">
            <v>18/8 เย็น</v>
          </cell>
          <cell r="AI211"/>
          <cell r="AJ211"/>
          <cell r="AL211">
            <v>50000</v>
          </cell>
          <cell r="AM211"/>
          <cell r="AN211">
            <v>52500</v>
          </cell>
          <cell r="AO211" t="str">
            <v>WSWT2321112512551</v>
          </cell>
          <cell r="AQ211">
            <v>53784.500000000007</v>
          </cell>
          <cell r="AR211">
            <v>13601</v>
          </cell>
          <cell r="AS211">
            <v>40183.500000000007</v>
          </cell>
          <cell r="AT211">
            <v>0</v>
          </cell>
          <cell r="AU211">
            <v>0</v>
          </cell>
          <cell r="BZ211" t="str">
            <v>WRWT211125/WRWT251030</v>
          </cell>
          <cell r="CA211">
            <v>5147.6514570833342</v>
          </cell>
          <cell r="DL211" t="str">
            <v>P9</v>
          </cell>
          <cell r="DM211">
            <v>3</v>
          </cell>
          <cell r="DN211">
            <v>45887</v>
          </cell>
          <cell r="DP211">
            <v>45882</v>
          </cell>
          <cell r="DQ211"/>
          <cell r="DR211">
            <v>45877</v>
          </cell>
          <cell r="DS211">
            <v>45884</v>
          </cell>
          <cell r="DT211">
            <v>45885</v>
          </cell>
          <cell r="DU211">
            <v>45885</v>
          </cell>
          <cell r="DW211">
            <v>45886</v>
          </cell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MK67-001490</v>
          </cell>
          <cell r="C212">
            <v>45601</v>
          </cell>
          <cell r="E212" t="str">
            <v>บจก.น้ำตาลทิพย์สุโขทัย</v>
          </cell>
          <cell r="F212" t="str">
            <v>Green for white sugar</v>
          </cell>
          <cell r="G212">
            <v>23</v>
          </cell>
          <cell r="H212">
            <v>37</v>
          </cell>
          <cell r="I212" t="str">
            <v>ขาว</v>
          </cell>
          <cell r="J212"/>
          <cell r="L212">
            <v>130</v>
          </cell>
          <cell r="M212" t="str">
            <v>±</v>
          </cell>
          <cell r="N212">
            <v>5</v>
          </cell>
          <cell r="R212" t="str">
            <v>บิด</v>
          </cell>
          <cell r="T212">
            <v>24</v>
          </cell>
          <cell r="U212">
            <v>40</v>
          </cell>
          <cell r="V212">
            <v>55</v>
          </cell>
          <cell r="X212">
            <v>45920</v>
          </cell>
          <cell r="Z212" t="str">
            <v>300แบน</v>
          </cell>
          <cell r="AA212">
            <v>100000</v>
          </cell>
          <cell r="AB212">
            <v>3256.5612287999998</v>
          </cell>
          <cell r="AC212">
            <v>0</v>
          </cell>
          <cell r="AD212">
            <v>3256.5612287999998</v>
          </cell>
          <cell r="AG212"/>
          <cell r="AI212"/>
          <cell r="AJ212">
            <v>0</v>
          </cell>
          <cell r="AL212">
            <v>100000</v>
          </cell>
          <cell r="AM212"/>
          <cell r="AN212">
            <v>105000</v>
          </cell>
          <cell r="AO212" t="str">
            <v>WSWT2321112512551</v>
          </cell>
          <cell r="AQ212">
            <v>107569.00000000001</v>
          </cell>
          <cell r="AR212">
            <v>0</v>
          </cell>
          <cell r="AS212">
            <v>107569.00000000001</v>
          </cell>
          <cell r="AT212">
            <v>0</v>
          </cell>
          <cell r="AU212">
            <v>0</v>
          </cell>
          <cell r="BZ212" t="str">
            <v>WRWT211125/WRWT251030</v>
          </cell>
          <cell r="CA212">
            <v>13779.977343611114</v>
          </cell>
          <cell r="DL212" t="str">
            <v>P9</v>
          </cell>
          <cell r="DM212">
            <v>3</v>
          </cell>
          <cell r="DN212">
            <v>45920</v>
          </cell>
          <cell r="DP212">
            <v>45915</v>
          </cell>
          <cell r="DQ212"/>
          <cell r="DR212">
            <v>45910</v>
          </cell>
          <cell r="DS212">
            <v>45917</v>
          </cell>
          <cell r="DT212">
            <v>45918</v>
          </cell>
          <cell r="DU212">
            <v>45918</v>
          </cell>
          <cell r="DW212">
            <v>45919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MK67-001490</v>
          </cell>
          <cell r="C213">
            <v>45601</v>
          </cell>
          <cell r="E213" t="str">
            <v>บจก.น้ำตาลทิพย์สุโขทัย</v>
          </cell>
          <cell r="F213" t="str">
            <v>Green for white sugar</v>
          </cell>
          <cell r="G213">
            <v>23</v>
          </cell>
          <cell r="H213">
            <v>37</v>
          </cell>
          <cell r="I213" t="str">
            <v>ขาว</v>
          </cell>
          <cell r="J213"/>
          <cell r="L213">
            <v>130</v>
          </cell>
          <cell r="M213" t="str">
            <v>±</v>
          </cell>
          <cell r="N213">
            <v>5</v>
          </cell>
          <cell r="R213" t="str">
            <v>บิด</v>
          </cell>
          <cell r="T213">
            <v>24</v>
          </cell>
          <cell r="U213">
            <v>40</v>
          </cell>
          <cell r="V213">
            <v>55</v>
          </cell>
          <cell r="X213" t="str">
            <v>รอแจ้ง</v>
          </cell>
          <cell r="Z213" t="str">
            <v>300แบน</v>
          </cell>
          <cell r="AA213">
            <v>337878</v>
          </cell>
          <cell r="AB213">
            <v>11003.203948644863</v>
          </cell>
          <cell r="AC213">
            <v>0</v>
          </cell>
          <cell r="AD213">
            <v>11003.203948644863</v>
          </cell>
          <cell r="AG213"/>
          <cell r="AI213"/>
          <cell r="AJ213">
            <v>0</v>
          </cell>
          <cell r="AL213">
            <v>337878</v>
          </cell>
          <cell r="AM213"/>
          <cell r="AN213">
            <v>354771.9</v>
          </cell>
          <cell r="AO213" t="str">
            <v>WSWT2321112512551</v>
          </cell>
          <cell r="AQ213">
            <v>363451.98582000006</v>
          </cell>
          <cell r="AR213">
            <v>0</v>
          </cell>
          <cell r="AS213">
            <v>363451.98582000006</v>
          </cell>
          <cell r="AT213">
            <v>0</v>
          </cell>
          <cell r="AU213">
            <v>0</v>
          </cell>
          <cell r="BZ213" t="str">
            <v>WRWT211125/WRWT251030</v>
          </cell>
          <cell r="CA213">
            <v>46559.511849046357</v>
          </cell>
          <cell r="DL213" t="str">
            <v>P9</v>
          </cell>
          <cell r="DM213">
            <v>3</v>
          </cell>
          <cell r="DN213" t="str">
            <v>รอแจ้ง</v>
          </cell>
          <cell r="DP213" t="e">
            <v>#VALUE!</v>
          </cell>
          <cell r="DQ213"/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 t="e">
            <v>#VALUE!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23</v>
          </cell>
          <cell r="H214">
            <v>37</v>
          </cell>
          <cell r="I214"/>
          <cell r="J214"/>
          <cell r="L214">
            <v>128</v>
          </cell>
          <cell r="M214" t="str">
            <v>±</v>
          </cell>
          <cell r="N214">
            <v>5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WSWT2321112512551</v>
          </cell>
          <cell r="AQ214">
            <v>554630.06676000007</v>
          </cell>
          <cell r="AR214">
            <v>43425.58094</v>
          </cell>
          <cell r="AS214">
            <v>511204.48582000006</v>
          </cell>
          <cell r="AT214">
            <v>0</v>
          </cell>
          <cell r="AU214">
            <v>0</v>
          </cell>
          <cell r="BZ214" t="str">
            <v>WRWT2301125/WRWT251030</v>
          </cell>
          <cell r="CA214">
            <v>0</v>
          </cell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>
            <v>0</v>
          </cell>
        </row>
        <row r="215">
          <cell r="B215">
            <v>0</v>
          </cell>
          <cell r="C215"/>
          <cell r="E215"/>
          <cell r="F215"/>
          <cell r="G215">
            <v>24</v>
          </cell>
          <cell r="H215">
            <v>37</v>
          </cell>
          <cell r="I215"/>
          <cell r="J215"/>
          <cell r="L215">
            <v>120</v>
          </cell>
          <cell r="M215" t="str">
            <v>+</v>
          </cell>
          <cell r="N215">
            <v>3</v>
          </cell>
          <cell r="R215"/>
          <cell r="T215"/>
          <cell r="U215"/>
          <cell r="V215"/>
          <cell r="X215"/>
          <cell r="Z215"/>
          <cell r="AA215"/>
          <cell r="AB215"/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WSWT24211125120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WRWT2401125/WRWT25850</v>
          </cell>
          <cell r="CA215">
            <v>0</v>
          </cell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>
            <v>0</v>
          </cell>
          <cell r="EI215">
            <v>0</v>
          </cell>
        </row>
        <row r="216">
          <cell r="B216">
            <v>0</v>
          </cell>
          <cell r="C216"/>
          <cell r="E216"/>
          <cell r="F216" t="str">
            <v xml:space="preserve"> </v>
          </cell>
          <cell r="G216">
            <v>24</v>
          </cell>
          <cell r="H216">
            <v>37</v>
          </cell>
          <cell r="I216"/>
          <cell r="J216"/>
          <cell r="L216">
            <v>125</v>
          </cell>
          <cell r="M216" t="str">
            <v>+</v>
          </cell>
          <cell r="N216">
            <v>3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WSWT2421112512551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BZ216" t="str">
            <v>WRWT2401125/WRWT25960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>
            <v>0</v>
          </cell>
          <cell r="C217"/>
          <cell r="E217"/>
          <cell r="F217"/>
          <cell r="G217">
            <v>26</v>
          </cell>
          <cell r="H217">
            <v>38</v>
          </cell>
          <cell r="I217" t="str">
            <v>เหลือง</v>
          </cell>
          <cell r="J217"/>
          <cell r="L217">
            <v>105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>
            <v>0</v>
          </cell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WSYL2625850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WRYL25850/WRYL25850</v>
          </cell>
          <cell r="CA217">
            <v>0</v>
          </cell>
          <cell r="DL217"/>
          <cell r="DM217" t="str">
            <v>Lead time</v>
          </cell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>
            <v>0</v>
          </cell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บจก.กบินทร์อินทรีย์</v>
          </cell>
          <cell r="F218" t="str">
            <v>รอแบบ</v>
          </cell>
          <cell r="G218">
            <v>26</v>
          </cell>
          <cell r="H218">
            <v>41</v>
          </cell>
          <cell r="I218" t="str">
            <v>ขาว</v>
          </cell>
          <cell r="J218"/>
          <cell r="L218">
            <v>97</v>
          </cell>
          <cell r="M218" t="str">
            <v>±</v>
          </cell>
          <cell r="N218">
            <v>5</v>
          </cell>
          <cell r="R218" t="str">
            <v>บิด</v>
          </cell>
          <cell r="T218">
            <v>27</v>
          </cell>
          <cell r="U218">
            <v>43</v>
          </cell>
          <cell r="V218">
            <v>40</v>
          </cell>
          <cell r="X218">
            <v>45899</v>
          </cell>
          <cell r="Z218" t="str">
            <v>300กระสอบ</v>
          </cell>
          <cell r="AA218">
            <v>8000</v>
          </cell>
          <cell r="AB218">
            <v>229.14349009919997</v>
          </cell>
          <cell r="AC218">
            <v>0</v>
          </cell>
          <cell r="AD218">
            <v>229.14349009919997</v>
          </cell>
          <cell r="AG218"/>
          <cell r="AI218"/>
          <cell r="AJ218">
            <v>0</v>
          </cell>
          <cell r="AL218">
            <v>8000</v>
          </cell>
          <cell r="AM218"/>
          <cell r="AN218">
            <v>8400</v>
          </cell>
          <cell r="AO218" t="str">
            <v>WSWT2625650</v>
          </cell>
          <cell r="AQ218">
            <v>9499.6</v>
          </cell>
          <cell r="AR218">
            <v>1765</v>
          </cell>
          <cell r="AS218">
            <v>7734.6</v>
          </cell>
          <cell r="AT218">
            <v>0</v>
          </cell>
          <cell r="AU218">
            <v>0</v>
          </cell>
          <cell r="BZ218" t="str">
            <v>WRWT25650/WRWT25650</v>
          </cell>
          <cell r="CA218">
            <v>624.52598</v>
          </cell>
          <cell r="DL218" t="str">
            <v>P9</v>
          </cell>
          <cell r="DM218">
            <v>3</v>
          </cell>
          <cell r="DN218">
            <v>45899</v>
          </cell>
          <cell r="DP218">
            <v>45894</v>
          </cell>
          <cell r="DQ218"/>
          <cell r="DR218">
            <v>45889</v>
          </cell>
          <cell r="DS218">
            <v>45896</v>
          </cell>
          <cell r="DT218">
            <v>45897</v>
          </cell>
          <cell r="DU218">
            <v>45897</v>
          </cell>
          <cell r="DW218">
            <v>45898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26</v>
          </cell>
          <cell r="H219">
            <v>43</v>
          </cell>
          <cell r="I219" t="str">
            <v>ขาว</v>
          </cell>
          <cell r="J219"/>
          <cell r="L219">
            <v>102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WSWT2625650</v>
          </cell>
          <cell r="AQ219">
            <v>9499.6</v>
          </cell>
          <cell r="AR219">
            <v>1765</v>
          </cell>
          <cell r="AS219">
            <v>7734.6</v>
          </cell>
          <cell r="AT219">
            <v>0</v>
          </cell>
          <cell r="AU219">
            <v>0</v>
          </cell>
          <cell r="BZ219" t="str">
            <v>WRWT25650/WRWT25650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 t="str">
            <v>ใบรับคำสั่งซื้อ</v>
          </cell>
          <cell r="C220">
            <v>45874</v>
          </cell>
          <cell r="E220" t="str">
            <v>บจก.ทีพีเค แอ็ดวานซ์ สตาร์ซ</v>
          </cell>
          <cell r="F220" t="str">
            <v>MASTER CHEF</v>
          </cell>
          <cell r="G220">
            <v>26</v>
          </cell>
          <cell r="H220">
            <v>43</v>
          </cell>
          <cell r="I220" t="str">
            <v>ขาว</v>
          </cell>
          <cell r="J220" t="str">
            <v>ใส</v>
          </cell>
          <cell r="L220">
            <v>140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45883</v>
          </cell>
          <cell r="Z220" t="str">
            <v xml:space="preserve">300กระสอบแบน  </v>
          </cell>
          <cell r="AA220">
            <v>10000</v>
          </cell>
          <cell r="AB220">
            <v>0</v>
          </cell>
          <cell r="AC220">
            <v>0</v>
          </cell>
          <cell r="AD220">
            <v>0</v>
          </cell>
          <cell r="AG220" t="str">
            <v>13/8เย็น</v>
          </cell>
          <cell r="AI220" t="str">
            <v>ห้ามเกิน-ขาดได้5%</v>
          </cell>
          <cell r="AJ220">
            <v>0</v>
          </cell>
          <cell r="AL220">
            <v>10000</v>
          </cell>
          <cell r="AM220"/>
          <cell r="AN220">
            <v>10500</v>
          </cell>
          <cell r="AO220" t="str">
            <v>WSWT262575051</v>
          </cell>
          <cell r="AQ220">
            <v>12433.3</v>
          </cell>
          <cell r="AR220">
            <v>7202</v>
          </cell>
          <cell r="AS220">
            <v>5231.2999999999993</v>
          </cell>
          <cell r="AT220">
            <v>0</v>
          </cell>
          <cell r="AU220">
            <v>12433.3</v>
          </cell>
          <cell r="BZ220" t="str">
            <v>WRWT25800/WRWT25650</v>
          </cell>
          <cell r="CA220">
            <v>470.00324222222213</v>
          </cell>
          <cell r="DL220" t="str">
            <v>P6</v>
          </cell>
          <cell r="DM220">
            <v>4</v>
          </cell>
          <cell r="DN220">
            <v>45883</v>
          </cell>
          <cell r="DP220">
            <v>45878</v>
          </cell>
          <cell r="DQ220">
            <v>45879</v>
          </cell>
          <cell r="DR220">
            <v>45872</v>
          </cell>
          <cell r="DS220">
            <v>45880</v>
          </cell>
          <cell r="DT220">
            <v>45881</v>
          </cell>
          <cell r="DU220">
            <v>45882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>รอART</v>
          </cell>
          <cell r="EG220"/>
          <cell r="EH220"/>
          <cell r="EI220"/>
        </row>
        <row r="221">
          <cell r="B221" t="str">
            <v>ใบรับคำสั่งซื้อ</v>
          </cell>
          <cell r="C221">
            <v>45873</v>
          </cell>
          <cell r="E221" t="str">
            <v>คุณธนนท์ อุทัยไพศาลวงศ์</v>
          </cell>
          <cell r="F221" t="str">
            <v>ไม่พิมพ์</v>
          </cell>
          <cell r="G221">
            <v>26</v>
          </cell>
          <cell r="H221">
            <v>39</v>
          </cell>
          <cell r="I221" t="str">
            <v>ขาว</v>
          </cell>
          <cell r="J221"/>
          <cell r="L221">
            <v>93</v>
          </cell>
          <cell r="M221" t="str">
            <v>±</v>
          </cell>
          <cell r="N221">
            <v>5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45880</v>
          </cell>
          <cell r="Z221" t="str">
            <v>มัด100</v>
          </cell>
          <cell r="AA221">
            <v>10000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10500</v>
          </cell>
          <cell r="AL221">
            <v>0</v>
          </cell>
          <cell r="AM221"/>
          <cell r="AN221">
            <v>0</v>
          </cell>
          <cell r="AO221" t="str">
            <v>WSWT262575051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WRWT25800/WRWT25650</v>
          </cell>
          <cell r="CA221">
            <v>0</v>
          </cell>
          <cell r="DL221" t="str">
            <v>P3</v>
          </cell>
          <cell r="DM221">
            <v>1</v>
          </cell>
          <cell r="DN221">
            <v>45880</v>
          </cell>
          <cell r="DP221">
            <v>45875</v>
          </cell>
          <cell r="DQ221"/>
          <cell r="DR221"/>
          <cell r="DS221"/>
          <cell r="DT221"/>
          <cell r="DU221">
            <v>45879</v>
          </cell>
          <cell r="DW221"/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26</v>
          </cell>
          <cell r="H222">
            <v>43</v>
          </cell>
          <cell r="I222"/>
          <cell r="J222"/>
          <cell r="L222">
            <v>100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WSWT262575051</v>
          </cell>
          <cell r="AQ222">
            <v>12433.3</v>
          </cell>
          <cell r="AR222">
            <v>7202</v>
          </cell>
          <cell r="AS222">
            <v>5231.2999999999993</v>
          </cell>
          <cell r="AT222">
            <v>0</v>
          </cell>
          <cell r="AU222">
            <v>12433.3</v>
          </cell>
          <cell r="BZ222" t="str">
            <v>WRWT25800/WRWT25650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>
            <v>0</v>
          </cell>
          <cell r="EI222">
            <v>0</v>
          </cell>
        </row>
        <row r="223">
          <cell r="B223">
            <v>0</v>
          </cell>
          <cell r="C223"/>
          <cell r="E223"/>
          <cell r="F223"/>
          <cell r="G223">
            <v>26</v>
          </cell>
          <cell r="H223">
            <v>43</v>
          </cell>
          <cell r="I223"/>
          <cell r="J223"/>
          <cell r="L223">
            <v>113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WSWT2625700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WRWT260800/WRWT25650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41</v>
          </cell>
          <cell r="I224"/>
          <cell r="J224"/>
          <cell r="L224">
            <v>90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WSWT2625800SM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WRWT260800/WRWT25650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บจก.ที.ซี.ยูเนี่ยน อโกรเทค</v>
          </cell>
          <cell r="F225" t="str">
            <v>ไม่พิมพ์</v>
          </cell>
          <cell r="G225">
            <v>26</v>
          </cell>
          <cell r="H225">
            <v>43</v>
          </cell>
          <cell r="I225" t="str">
            <v>ขาว</v>
          </cell>
          <cell r="J225"/>
          <cell r="L225">
            <v>116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45899</v>
          </cell>
          <cell r="Z225" t="str">
            <v xml:space="preserve">300กระสอบแบนเต็มใบ 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0</v>
          </cell>
          <cell r="AO225" t="str">
            <v xml:space="preserve">WSWT2625800 </v>
          </cell>
          <cell r="AQ225">
            <v>12433.3</v>
          </cell>
          <cell r="AR225">
            <v>12433.3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P3</v>
          </cell>
          <cell r="DM225">
            <v>1</v>
          </cell>
          <cell r="DN225">
            <v>45899</v>
          </cell>
          <cell r="DP225">
            <v>45894</v>
          </cell>
          <cell r="DQ225"/>
          <cell r="DR225"/>
          <cell r="DS225"/>
          <cell r="DT225"/>
          <cell r="DU225">
            <v>45898</v>
          </cell>
          <cell r="DW225"/>
          <cell r="DX225"/>
          <cell r="DY225"/>
          <cell r="DZ225"/>
          <cell r="EA225"/>
          <cell r="EB225"/>
          <cell r="EC225" t="str">
            <v>ตัด</v>
          </cell>
          <cell r="ED225"/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26</v>
          </cell>
          <cell r="H226">
            <v>43</v>
          </cell>
          <cell r="I226"/>
          <cell r="J226"/>
          <cell r="L226">
            <v>116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 xml:space="preserve">WSWT2625800 </v>
          </cell>
          <cell r="AQ226">
            <v>12433.3</v>
          </cell>
          <cell r="AR226">
            <v>12433.3</v>
          </cell>
          <cell r="AS226">
            <v>0</v>
          </cell>
          <cell r="AT226">
            <v>0</v>
          </cell>
          <cell r="AU226">
            <v>0</v>
          </cell>
          <cell r="BZ226" t="str">
            <v>WRWT260800/WRWT25800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>
            <v>0</v>
          </cell>
        </row>
        <row r="227">
          <cell r="B227" t="str">
            <v>MK68-000820</v>
          </cell>
          <cell r="C227">
            <v>45832</v>
          </cell>
          <cell r="E227" t="str">
            <v>บจก.ที.ซี.ยูเนี่ยน อโกรเทค</v>
          </cell>
          <cell r="F227" t="str">
            <v>Zhejiang UN</v>
          </cell>
          <cell r="G227">
            <v>26</v>
          </cell>
          <cell r="H227">
            <v>43</v>
          </cell>
          <cell r="I227" t="str">
            <v>ขาว</v>
          </cell>
          <cell r="J227" t="str">
            <v>ใส</v>
          </cell>
          <cell r="L227">
            <v>150</v>
          </cell>
          <cell r="M227" t="str">
            <v>±</v>
          </cell>
          <cell r="N227">
            <v>5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45883</v>
          </cell>
          <cell r="Z227" t="str">
            <v xml:space="preserve">300กระสอบแบนเต็มใบ </v>
          </cell>
          <cell r="AA227">
            <v>20000</v>
          </cell>
          <cell r="AB227">
            <v>0</v>
          </cell>
          <cell r="AC227">
            <v>0</v>
          </cell>
          <cell r="AD227">
            <v>0</v>
          </cell>
          <cell r="AG227" t="str">
            <v>ลบสีจำนวนมาก รอผสม 1000</v>
          </cell>
          <cell r="AI227" t="str">
            <v>ห้ามขาด-เกินได้5%</v>
          </cell>
          <cell r="AJ227">
            <v>10000</v>
          </cell>
          <cell r="AL227">
            <v>10000</v>
          </cell>
          <cell r="AM227">
            <v>10712</v>
          </cell>
          <cell r="AN227">
            <v>9752.4</v>
          </cell>
          <cell r="AO227" t="str">
            <v>WSWT2625850SM</v>
          </cell>
          <cell r="AQ227">
            <v>12125.451492</v>
          </cell>
          <cell r="AR227">
            <v>12125.451492</v>
          </cell>
          <cell r="AS227">
            <v>0</v>
          </cell>
          <cell r="AT227">
            <v>2988</v>
          </cell>
          <cell r="AU227">
            <v>9137.4514920000001</v>
          </cell>
          <cell r="BZ227" t="str">
            <v>WRWT25850/WRWT25850</v>
          </cell>
          <cell r="CA227">
            <v>0</v>
          </cell>
          <cell r="DL227" t="str">
            <v>P6</v>
          </cell>
          <cell r="DM227">
            <v>4</v>
          </cell>
          <cell r="DN227">
            <v>45883</v>
          </cell>
          <cell r="DP227">
            <v>45878</v>
          </cell>
          <cell r="DQ227">
            <v>45879</v>
          </cell>
          <cell r="DR227">
            <v>45872</v>
          </cell>
          <cell r="DS227">
            <v>45880</v>
          </cell>
          <cell r="DT227">
            <v>45881</v>
          </cell>
          <cell r="DU227">
            <v>45882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MK68-000923</v>
          </cell>
          <cell r="C228">
            <v>45861</v>
          </cell>
          <cell r="E228" t="str">
            <v>บจก.ที.ซี.ยูเนี่ยน อโกรเทค</v>
          </cell>
          <cell r="F228" t="str">
            <v>ไม่พิมพ์</v>
          </cell>
          <cell r="G228">
            <v>26</v>
          </cell>
          <cell r="H228">
            <v>43</v>
          </cell>
          <cell r="I228" t="str">
            <v>ขาว</v>
          </cell>
          <cell r="J228" t="str">
            <v>ใส</v>
          </cell>
          <cell r="L228">
            <v>150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45887</v>
          </cell>
          <cell r="Z228" t="str">
            <v xml:space="preserve">300กระสอบแบนเต็มใบ </v>
          </cell>
          <cell r="AA228">
            <v>15000</v>
          </cell>
          <cell r="AB228">
            <v>0</v>
          </cell>
          <cell r="AC228">
            <v>0</v>
          </cell>
          <cell r="AD228">
            <v>0</v>
          </cell>
          <cell r="AG228"/>
          <cell r="AI228" t="str">
            <v>ห้ามขาด-เกินได้5%</v>
          </cell>
          <cell r="AJ228">
            <v>8828</v>
          </cell>
          <cell r="AL228">
            <v>6172</v>
          </cell>
          <cell r="AM228"/>
          <cell r="AN228">
            <v>0</v>
          </cell>
          <cell r="AO228" t="str">
            <v>WSWT2625850SM</v>
          </cell>
          <cell r="AQ228">
            <v>7673.8327599999993</v>
          </cell>
          <cell r="AR228">
            <v>7673.8327599999993</v>
          </cell>
          <cell r="AS228">
            <v>0</v>
          </cell>
          <cell r="AT228">
            <v>0</v>
          </cell>
          <cell r="AU228">
            <v>7673.8327599999993</v>
          </cell>
          <cell r="BZ228" t="str">
            <v>WRWT25850/WRWT25850</v>
          </cell>
          <cell r="CA228">
            <v>0</v>
          </cell>
          <cell r="DL228" t="str">
            <v>P11</v>
          </cell>
          <cell r="DM228">
            <v>2</v>
          </cell>
          <cell r="DN228">
            <v>45887</v>
          </cell>
          <cell r="DP228">
            <v>45882</v>
          </cell>
          <cell r="DQ228">
            <v>45885</v>
          </cell>
          <cell r="DR228"/>
          <cell r="DS228"/>
          <cell r="DT228"/>
          <cell r="DU228">
            <v>45886</v>
          </cell>
          <cell r="DW228"/>
          <cell r="DX228"/>
          <cell r="DY228"/>
          <cell r="DZ228"/>
          <cell r="EA228"/>
          <cell r="EB228"/>
          <cell r="EC228" t="str">
            <v>งานเคลือบ+ตัด</v>
          </cell>
          <cell r="ED228"/>
          <cell r="EG228"/>
          <cell r="EH228"/>
          <cell r="EI228"/>
        </row>
        <row r="229">
          <cell r="B229" t="str">
            <v>ประมาณการ</v>
          </cell>
          <cell r="C229" t="str">
            <v>ประมาณการ</v>
          </cell>
          <cell r="E229" t="str">
            <v>บจก.ที.ซี.ยูเนี่ยน อโกรเทค</v>
          </cell>
          <cell r="F229" t="str">
            <v>รอแบบ</v>
          </cell>
          <cell r="G229">
            <v>26</v>
          </cell>
          <cell r="H229">
            <v>43</v>
          </cell>
          <cell r="I229" t="str">
            <v>ขาว</v>
          </cell>
          <cell r="J229" t="str">
            <v>ใส</v>
          </cell>
          <cell r="L229">
            <v>150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45899</v>
          </cell>
          <cell r="Z229" t="str">
            <v xml:space="preserve">300กระสอบแบนเต็มใบ </v>
          </cell>
          <cell r="AA229">
            <v>20000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20000</v>
          </cell>
          <cell r="AM229"/>
          <cell r="AN229">
            <v>21000</v>
          </cell>
          <cell r="AO229" t="str">
            <v>WSWT2625850SM</v>
          </cell>
          <cell r="AQ229">
            <v>24866.6</v>
          </cell>
          <cell r="AR229">
            <v>24866.6</v>
          </cell>
          <cell r="AS229">
            <v>0</v>
          </cell>
          <cell r="AT229">
            <v>0</v>
          </cell>
          <cell r="AU229">
            <v>24866.6</v>
          </cell>
          <cell r="BZ229" t="str">
            <v>WRWT25850/WRWT25850</v>
          </cell>
          <cell r="CA229">
            <v>0</v>
          </cell>
          <cell r="DL229" t="str">
            <v>P6</v>
          </cell>
          <cell r="DM229">
            <v>4</v>
          </cell>
          <cell r="DN229">
            <v>45899</v>
          </cell>
          <cell r="DP229">
            <v>45894</v>
          </cell>
          <cell r="DQ229">
            <v>45895</v>
          </cell>
          <cell r="DR229">
            <v>45888</v>
          </cell>
          <cell r="DS229">
            <v>45896</v>
          </cell>
          <cell r="DT229">
            <v>45897</v>
          </cell>
          <cell r="DU229">
            <v>45898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26</v>
          </cell>
          <cell r="H230">
            <v>43</v>
          </cell>
          <cell r="I230"/>
          <cell r="J230"/>
          <cell r="L230">
            <v>120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WSWT2625850SM</v>
          </cell>
          <cell r="AQ230">
            <v>44665.884251999996</v>
          </cell>
          <cell r="AR230">
            <v>44665.884251999996</v>
          </cell>
          <cell r="AS230">
            <v>0</v>
          </cell>
          <cell r="AT230">
            <v>2988</v>
          </cell>
          <cell r="AU230">
            <v>41677.884251999996</v>
          </cell>
          <cell r="BZ230" t="str">
            <v>WRWT260850/WRWT25850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28</v>
          </cell>
          <cell r="H231">
            <v>41</v>
          </cell>
          <cell r="I231" t="str">
            <v>ขาว</v>
          </cell>
          <cell r="J231"/>
          <cell r="L231">
            <v>122</v>
          </cell>
          <cell r="M231" t="str">
            <v>+</v>
          </cell>
          <cell r="N231">
            <v>3</v>
          </cell>
          <cell r="R231"/>
          <cell r="T231"/>
          <cell r="U231"/>
          <cell r="V231"/>
          <cell r="X231"/>
          <cell r="Z231"/>
          <cell r="AA231"/>
          <cell r="AB231">
            <v>0</v>
          </cell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WSWT2825800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WRWT25850/WRWT25800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>
            <v>0</v>
          </cell>
        </row>
        <row r="232">
          <cell r="B232" t="str">
            <v>MK68-000913</v>
          </cell>
          <cell r="C232">
            <v>45857</v>
          </cell>
          <cell r="E232" t="str">
            <v>บจก.ไทยร่วมใจน้ำมันพืช</v>
          </cell>
          <cell r="F232" t="str">
            <v>TRJ</v>
          </cell>
          <cell r="G232">
            <v>28</v>
          </cell>
          <cell r="H232">
            <v>41</v>
          </cell>
          <cell r="I232" t="str">
            <v>ขาว</v>
          </cell>
          <cell r="J232"/>
          <cell r="L232">
            <v>120</v>
          </cell>
          <cell r="M232" t="str">
            <v>+</v>
          </cell>
          <cell r="N232">
            <v>3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45883</v>
          </cell>
          <cell r="Z232" t="str">
            <v>500กระสอบ</v>
          </cell>
          <cell r="AA232">
            <v>34000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13000</v>
          </cell>
          <cell r="AL232">
            <v>21000</v>
          </cell>
          <cell r="AM232">
            <v>13920</v>
          </cell>
          <cell r="AN232">
            <v>21084</v>
          </cell>
          <cell r="AO232" t="str">
            <v>WSWT2825850</v>
          </cell>
          <cell r="AQ232">
            <v>25036.195799999998</v>
          </cell>
          <cell r="AR232">
            <v>15460</v>
          </cell>
          <cell r="AS232">
            <v>9576.1957999999977</v>
          </cell>
          <cell r="AT232">
            <v>0</v>
          </cell>
          <cell r="AU232">
            <v>0</v>
          </cell>
          <cell r="BZ232" t="str">
            <v>WRWT25850/WRWT25850</v>
          </cell>
          <cell r="CA232">
            <v>1076.2580057444443</v>
          </cell>
          <cell r="DL232" t="str">
            <v>P7</v>
          </cell>
          <cell r="DM232">
            <v>2</v>
          </cell>
          <cell r="DN232">
            <v>45883</v>
          </cell>
          <cell r="DP232">
            <v>45878</v>
          </cell>
          <cell r="DQ232"/>
          <cell r="DR232">
            <v>45874</v>
          </cell>
          <cell r="DS232">
            <v>45881</v>
          </cell>
          <cell r="DT232">
            <v>45882</v>
          </cell>
          <cell r="DU232">
            <v>45882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/>
          <cell r="E233" t="str">
            <v>บจก.ไทยร่วมใจน้ำมันพืช</v>
          </cell>
          <cell r="F233" t="str">
            <v>TRJ</v>
          </cell>
          <cell r="G233">
            <v>28</v>
          </cell>
          <cell r="H233">
            <v>41</v>
          </cell>
          <cell r="I233" t="str">
            <v>ขาว</v>
          </cell>
          <cell r="J233"/>
          <cell r="L233">
            <v>120</v>
          </cell>
          <cell r="M233" t="str">
            <v>+</v>
          </cell>
          <cell r="N233">
            <v>3</v>
          </cell>
          <cell r="R233" t="str">
            <v>ไม่</v>
          </cell>
          <cell r="T233" t="str">
            <v>ไม่สวมถุงใน</v>
          </cell>
          <cell r="U233"/>
          <cell r="V233"/>
          <cell r="X233">
            <v>45897</v>
          </cell>
          <cell r="Z233" t="str">
            <v>500กระสอบ</v>
          </cell>
          <cell r="AA233">
            <v>50000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0</v>
          </cell>
          <cell r="AL233">
            <v>50000</v>
          </cell>
          <cell r="AM233"/>
          <cell r="AN233">
            <v>52500</v>
          </cell>
          <cell r="AO233" t="str">
            <v>WSWT2825850</v>
          </cell>
          <cell r="AQ233">
            <v>59372.5</v>
          </cell>
          <cell r="AR233">
            <v>0</v>
          </cell>
          <cell r="AS233">
            <v>59372.5</v>
          </cell>
          <cell r="AT233">
            <v>0</v>
          </cell>
          <cell r="AU233">
            <v>0</v>
          </cell>
          <cell r="BZ233" t="str">
            <v>WRWT25850/WRWT25850</v>
          </cell>
          <cell r="CA233">
            <v>6672.8093055555564</v>
          </cell>
          <cell r="DL233" t="str">
            <v>P7</v>
          </cell>
          <cell r="DM233">
            <v>2</v>
          </cell>
          <cell r="DN233">
            <v>45897</v>
          </cell>
          <cell r="DP233">
            <v>45892</v>
          </cell>
          <cell r="DQ233"/>
          <cell r="DR233">
            <v>45888</v>
          </cell>
          <cell r="DS233">
            <v>45895</v>
          </cell>
          <cell r="DT233">
            <v>45896</v>
          </cell>
          <cell r="DU233">
            <v>45896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>รอART</v>
          </cell>
          <cell r="EG233"/>
          <cell r="EH233"/>
          <cell r="EI233"/>
        </row>
        <row r="234">
          <cell r="B234" t="str">
            <v>ประมาณการ</v>
          </cell>
          <cell r="C234" t="str">
            <v>ประมาณการ</v>
          </cell>
          <cell r="E234" t="str">
            <v>บจก.ที.ซี.ยูเนี่ยน อโกรเทค</v>
          </cell>
          <cell r="F234" t="str">
            <v>ไม่พิมพ์</v>
          </cell>
          <cell r="G234">
            <v>28</v>
          </cell>
          <cell r="H234">
            <v>47</v>
          </cell>
          <cell r="I234" t="str">
            <v>ขาว</v>
          </cell>
          <cell r="J234" t="str">
            <v>ใส</v>
          </cell>
          <cell r="L234">
            <v>180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45899</v>
          </cell>
          <cell r="Z234" t="str">
            <v xml:space="preserve">300กระสอบแบนเต็มใบ 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5000</v>
          </cell>
          <cell r="AM234"/>
          <cell r="AN234">
            <v>0</v>
          </cell>
          <cell r="AO234" t="str">
            <v>WSWT2825850</v>
          </cell>
          <cell r="AQ234">
            <v>6775.4500000000007</v>
          </cell>
          <cell r="AR234">
            <v>0</v>
          </cell>
          <cell r="AS234">
            <v>6775.4500000000007</v>
          </cell>
          <cell r="AT234">
            <v>0</v>
          </cell>
          <cell r="AU234">
            <v>6775.4500000000007</v>
          </cell>
          <cell r="BZ234" t="str">
            <v>WRWT25850/WRWT25850</v>
          </cell>
          <cell r="CA234">
            <v>761.48529722222236</v>
          </cell>
          <cell r="DL234" t="str">
            <v>P11</v>
          </cell>
          <cell r="DM234">
            <v>2</v>
          </cell>
          <cell r="DN234">
            <v>45899</v>
          </cell>
          <cell r="DP234">
            <v>45894</v>
          </cell>
          <cell r="DQ234">
            <v>45897</v>
          </cell>
          <cell r="DR234"/>
          <cell r="DS234"/>
          <cell r="DT234"/>
          <cell r="DU234">
            <v>45898</v>
          </cell>
          <cell r="DW234"/>
          <cell r="DX234"/>
          <cell r="DY234"/>
          <cell r="DZ234"/>
          <cell r="EA234"/>
          <cell r="EB234"/>
          <cell r="EC234" t="str">
            <v>งานเคลือบ+ตัด</v>
          </cell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28</v>
          </cell>
          <cell r="H235">
            <v>43</v>
          </cell>
          <cell r="I235"/>
          <cell r="J235"/>
          <cell r="L235">
            <v>130</v>
          </cell>
          <cell r="M235" t="str">
            <v>±</v>
          </cell>
          <cell r="N235">
            <v>3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WSWT2825850</v>
          </cell>
          <cell r="AQ235">
            <v>91184.145799999998</v>
          </cell>
          <cell r="AR235">
            <v>15460</v>
          </cell>
          <cell r="AS235">
            <v>75724.145799999998</v>
          </cell>
          <cell r="AT235">
            <v>0</v>
          </cell>
          <cell r="AU235">
            <v>6775.4500000000007</v>
          </cell>
          <cell r="BZ235" t="str">
            <v>WRWT280850/WRWT25850</v>
          </cell>
          <cell r="CA235">
            <v>0</v>
          </cell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30</v>
          </cell>
          <cell r="H236">
            <v>41</v>
          </cell>
          <cell r="I236"/>
          <cell r="J236"/>
          <cell r="L236">
            <v>122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>
            <v>0</v>
          </cell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WSWT3025800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WRWT25800/WRWT28750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 t="str">
            <v>ค้างส่งทั้งหมด</v>
          </cell>
          <cell r="Z237"/>
          <cell r="AA237">
            <v>2730637</v>
          </cell>
          <cell r="AB237"/>
          <cell r="AC237"/>
          <cell r="AD237"/>
          <cell r="AG237"/>
          <cell r="AI237"/>
          <cell r="AJ237">
            <v>303975</v>
          </cell>
          <cell r="AL237"/>
          <cell r="AM237"/>
          <cell r="AN237"/>
          <cell r="AO237"/>
          <cell r="AQ237" t="e">
            <v>#REF!</v>
          </cell>
          <cell r="AR237" t="e">
            <v>#REF!</v>
          </cell>
          <cell r="AS237" t="e">
            <v>#REF!</v>
          </cell>
          <cell r="AT237"/>
          <cell r="AU237"/>
          <cell r="BZ237"/>
          <cell r="CA237">
            <v>160389.24480729038</v>
          </cell>
          <cell r="DL237"/>
          <cell r="DM237" t="str">
            <v>Lead time</v>
          </cell>
          <cell r="DN237"/>
          <cell r="DP237">
            <v>-5</v>
          </cell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>
            <v>140000</v>
          </cell>
          <cell r="AA238">
            <v>19.504549999999998</v>
          </cell>
          <cell r="AB238"/>
          <cell r="AC238"/>
          <cell r="AD238"/>
          <cell r="AG238"/>
          <cell r="AI238"/>
          <cell r="AJ238"/>
          <cell r="AL238">
            <v>0</v>
          </cell>
          <cell r="AM238"/>
          <cell r="AN238">
            <v>0</v>
          </cell>
          <cell r="AO238"/>
          <cell r="AQ238" t="e">
            <v>#REF!</v>
          </cell>
          <cell r="AR238"/>
          <cell r="AS238" t="e">
            <v>#REF!</v>
          </cell>
          <cell r="AT238"/>
          <cell r="AU238"/>
          <cell r="BZ238"/>
          <cell r="CA238" t="str">
            <v>ห้ามลบ</v>
          </cell>
          <cell r="DL238" t="str">
            <v>P1</v>
          </cell>
          <cell r="DM238">
            <v>2</v>
          </cell>
          <cell r="DN238">
            <v>0</v>
          </cell>
          <cell r="DP238">
            <v>-5</v>
          </cell>
          <cell r="DQ238"/>
          <cell r="DR238">
            <v>-9</v>
          </cell>
          <cell r="DS238">
            <v>-2</v>
          </cell>
          <cell r="DT238"/>
          <cell r="DU238">
            <v>-1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 t="str">
            <v>ประมาณการ</v>
          </cell>
          <cell r="Z239"/>
          <cell r="AA239">
            <v>968000</v>
          </cell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>
            <v>0</v>
          </cell>
          <cell r="AT239"/>
          <cell r="AU239"/>
          <cell r="BZ239"/>
          <cell r="CA239"/>
          <cell r="DL239" t="str">
            <v>P3</v>
          </cell>
          <cell r="DM239">
            <v>1</v>
          </cell>
          <cell r="DN239" t="str">
            <v>ประมาณการ</v>
          </cell>
          <cell r="DP239" t="e">
            <v>#VALUE!</v>
          </cell>
          <cell r="DQ239"/>
          <cell r="DR239"/>
          <cell r="DS239"/>
          <cell r="DT239"/>
          <cell r="DU239" t="e">
            <v>#VALUE!</v>
          </cell>
          <cell r="DW239"/>
          <cell r="DX239"/>
          <cell r="DY239"/>
          <cell r="DZ239"/>
          <cell r="EA239"/>
          <cell r="EB239"/>
          <cell r="EC239" t="str">
            <v>ตัด</v>
          </cell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 t="str">
            <v>รอแจ้ง</v>
          </cell>
          <cell r="Z240"/>
          <cell r="AA240">
            <v>669368</v>
          </cell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>
            <v>712909.13972000009</v>
          </cell>
          <cell r="AT240"/>
          <cell r="AU240"/>
          <cell r="BZ240"/>
          <cell r="CA240"/>
          <cell r="DL240" t="str">
            <v>P2</v>
          </cell>
          <cell r="DM240">
            <v>3</v>
          </cell>
          <cell r="DN240" t="str">
            <v>รอแจ้ง</v>
          </cell>
          <cell r="DP240" t="e">
            <v>#VALUE!</v>
          </cell>
          <cell r="DQ240" t="e">
            <v>#VALUE!</v>
          </cell>
          <cell r="DR240" t="e">
            <v>#VALUE!</v>
          </cell>
          <cell r="DS240" t="e">
            <v>#VALUE!</v>
          </cell>
          <cell r="DT240"/>
          <cell r="DU240" t="e">
            <v>#VALUE!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 t="str">
            <v>รอส่ง</v>
          </cell>
          <cell r="Z241"/>
          <cell r="AA241">
            <v>23500</v>
          </cell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>
            <v>0</v>
          </cell>
          <cell r="AT241"/>
          <cell r="AU241"/>
          <cell r="BZ241"/>
          <cell r="CA241"/>
          <cell r="DL241" t="str">
            <v>P6</v>
          </cell>
          <cell r="DM241">
            <v>4</v>
          </cell>
          <cell r="DN241" t="str">
            <v>รอส่ง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 t="str">
            <v>มีกำหนดส่ง</v>
          </cell>
          <cell r="Z242"/>
          <cell r="AA242">
            <v>1069769</v>
          </cell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 t="e">
            <v>#REF!</v>
          </cell>
          <cell r="AT242" t="e">
            <v>#REF!</v>
          </cell>
          <cell r="AU242"/>
          <cell r="BZ242"/>
          <cell r="CA242"/>
          <cell r="DL242" t="str">
            <v>P11</v>
          </cell>
          <cell r="DM242">
            <v>2</v>
          </cell>
          <cell r="DN242" t="str">
            <v>มีกำหนดส่ง</v>
          </cell>
          <cell r="DP242" t="e">
            <v>#VALUE!</v>
          </cell>
          <cell r="DQ242" t="e">
            <v>#VALUE!</v>
          </cell>
          <cell r="DR242"/>
          <cell r="DS242"/>
          <cell r="DT242"/>
          <cell r="DU242" t="e">
            <v>#VALUE!</v>
          </cell>
          <cell r="DW242"/>
          <cell r="DX242"/>
          <cell r="DY242"/>
          <cell r="DZ242"/>
          <cell r="EA242"/>
          <cell r="EB242"/>
          <cell r="EC242" t="str">
            <v>งานเคลือบ+ตัด</v>
          </cell>
          <cell r="ED242"/>
          <cell r="EG242"/>
          <cell r="EH242"/>
          <cell r="EI242"/>
        </row>
        <row r="243">
          <cell r="B243"/>
          <cell r="C243"/>
          <cell r="E243" t="str">
            <v>ผู้สั่งผลิต..................................................</v>
          </cell>
          <cell r="F243"/>
          <cell r="G243"/>
          <cell r="H243"/>
          <cell r="I243" t="str">
            <v xml:space="preserve"> </v>
          </cell>
          <cell r="J243"/>
          <cell r="L243"/>
          <cell r="M243" t="str">
            <v xml:space="preserve"> </v>
          </cell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 t="str">
            <v>P9</v>
          </cell>
          <cell r="DM243">
            <v>3</v>
          </cell>
          <cell r="DN243">
            <v>0</v>
          </cell>
          <cell r="DP243">
            <v>-5</v>
          </cell>
          <cell r="DQ243"/>
          <cell r="DR243">
            <v>-10</v>
          </cell>
          <cell r="DS243">
            <v>-3</v>
          </cell>
          <cell r="DT243">
            <v>-2</v>
          </cell>
          <cell r="DU243">
            <v>-1</v>
          </cell>
          <cell r="DW243">
            <v>0</v>
          </cell>
          <cell r="DX243"/>
          <cell r="DY243"/>
          <cell r="DZ243"/>
          <cell r="EA243"/>
          <cell r="EB243"/>
          <cell r="EC243" t="str">
            <v>งานพิมพ์</v>
          </cell>
          <cell r="ED243"/>
          <cell r="EG243"/>
          <cell r="EH243"/>
          <cell r="EI243"/>
        </row>
        <row r="244">
          <cell r="B244"/>
          <cell r="C244"/>
          <cell r="E244" t="str">
            <v>เจ้าหน้าที่วางแผนการผลิต</v>
          </cell>
          <cell r="F244"/>
          <cell r="G244"/>
          <cell r="H244"/>
          <cell r="I244"/>
          <cell r="J244"/>
          <cell r="L244"/>
          <cell r="M244" t="str">
            <v>ผู้อนุมัติ..................................................</v>
          </cell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 t="str">
            <v xml:space="preserve"> </v>
          </cell>
          <cell r="AU244"/>
          <cell r="BZ244"/>
          <cell r="CA244"/>
          <cell r="DL244" t="str">
            <v>P4</v>
          </cell>
          <cell r="DM244">
            <v>3</v>
          </cell>
          <cell r="DN244">
            <v>0</v>
          </cell>
          <cell r="DP244">
            <v>-5</v>
          </cell>
          <cell r="DQ244"/>
          <cell r="DR244">
            <v>-10</v>
          </cell>
          <cell r="DS244">
            <v>-3</v>
          </cell>
          <cell r="DT244"/>
          <cell r="DU244">
            <v>-2</v>
          </cell>
          <cell r="DW244">
            <v>-1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/>
          <cell r="EG244"/>
          <cell r="EH244"/>
          <cell r="EI244"/>
        </row>
        <row r="245">
          <cell r="B245"/>
          <cell r="C245"/>
          <cell r="E245" t="str">
            <v xml:space="preserve">        /         /        .</v>
          </cell>
          <cell r="F245"/>
          <cell r="G245"/>
          <cell r="H245"/>
          <cell r="I245"/>
          <cell r="J245"/>
          <cell r="L245"/>
          <cell r="M245" t="str">
            <v>ผู้จัดการฝ่ายผลิต</v>
          </cell>
          <cell r="N245"/>
          <cell r="R245"/>
          <cell r="T245"/>
          <cell r="U245"/>
          <cell r="V245" t="str">
            <v xml:space="preserve"> </v>
          </cell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 t="str">
            <v>P7</v>
          </cell>
          <cell r="DM245">
            <v>2</v>
          </cell>
          <cell r="DN245">
            <v>0</v>
          </cell>
          <cell r="DP245">
            <v>-5</v>
          </cell>
          <cell r="DQ245"/>
          <cell r="DR245">
            <v>-9</v>
          </cell>
          <cell r="DS245">
            <v>-2</v>
          </cell>
          <cell r="DT245">
            <v>-1</v>
          </cell>
          <cell r="DU245">
            <v>-1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 t="str">
            <v xml:space="preserve">        /         /        .</v>
          </cell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 t="str">
            <v>P8</v>
          </cell>
          <cell r="DM246">
            <v>4</v>
          </cell>
          <cell r="DN246">
            <v>0</v>
          </cell>
          <cell r="DP246">
            <v>-5</v>
          </cell>
          <cell r="DQ246">
            <v>-4</v>
          </cell>
          <cell r="DR246">
            <v>-10</v>
          </cell>
          <cell r="DS246">
            <v>-3</v>
          </cell>
          <cell r="DT246">
            <v>-2</v>
          </cell>
          <cell r="DU246">
            <v>-2</v>
          </cell>
          <cell r="DW246">
            <v>-1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/>
          <cell r="EG246"/>
          <cell r="EH246"/>
          <cell r="EI246"/>
        </row>
        <row r="247">
          <cell r="B247"/>
          <cell r="C247"/>
          <cell r="E247"/>
          <cell r="F247" t="str">
            <v xml:space="preserve"> </v>
          </cell>
          <cell r="G247" t="str">
            <v xml:space="preserve"> </v>
          </cell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 t="str">
            <v>P13</v>
          </cell>
          <cell r="DM247">
            <v>2</v>
          </cell>
          <cell r="DN247">
            <v>0</v>
          </cell>
          <cell r="DP247">
            <v>-5</v>
          </cell>
          <cell r="DQ247"/>
          <cell r="DR247"/>
          <cell r="DS247"/>
          <cell r="DT247"/>
          <cell r="DU247">
            <v>-2</v>
          </cell>
          <cell r="DW247">
            <v>-1</v>
          </cell>
          <cell r="DX247"/>
          <cell r="DY247"/>
          <cell r="DZ247"/>
          <cell r="EA247"/>
          <cell r="EB247"/>
          <cell r="EC247" t="str">
            <v>ตัด</v>
          </cell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 t="str">
            <v xml:space="preserve"> </v>
          </cell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 t="str">
            <v>P10</v>
          </cell>
          <cell r="DM248">
            <v>3</v>
          </cell>
          <cell r="DN248">
            <v>0</v>
          </cell>
          <cell r="DP248">
            <v>-5</v>
          </cell>
          <cell r="DQ248">
            <v>-3</v>
          </cell>
          <cell r="DR248">
            <v>-9</v>
          </cell>
          <cell r="DS248">
            <v>-2</v>
          </cell>
          <cell r="DT248"/>
          <cell r="DU248">
            <v>-1</v>
          </cell>
          <cell r="DW248">
            <v>0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 t="str">
            <v xml:space="preserve"> </v>
          </cell>
          <cell r="AB249"/>
          <cell r="AC249"/>
          <cell r="AD249"/>
          <cell r="AG249"/>
          <cell r="AI249"/>
          <cell r="AJ249" t="str">
            <v>.</v>
          </cell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 t="str">
            <v>Lead time</v>
          </cell>
          <cell r="DN249"/>
          <cell r="DP249">
            <v>-5</v>
          </cell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 t="str">
            <v>P5.2</v>
          </cell>
          <cell r="DM250">
            <v>4</v>
          </cell>
          <cell r="DN250">
            <v>0</v>
          </cell>
          <cell r="DP250">
            <v>-15</v>
          </cell>
          <cell r="DQ250"/>
          <cell r="DR250">
            <v>-11</v>
          </cell>
          <cell r="DS250">
            <v>-4</v>
          </cell>
          <cell r="DT250">
            <v>-3</v>
          </cell>
          <cell r="DU250">
            <v>-3</v>
          </cell>
          <cell r="DW250">
            <v>-2</v>
          </cell>
          <cell r="DX250">
            <v>-1</v>
          </cell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 t="str">
            <v>P5.3</v>
          </cell>
          <cell r="DM251">
            <v>6</v>
          </cell>
          <cell r="DN251">
            <v>0</v>
          </cell>
          <cell r="DP251">
            <v>-15</v>
          </cell>
          <cell r="DQ251">
            <v>-6</v>
          </cell>
          <cell r="DR251">
            <v>-12</v>
          </cell>
          <cell r="DS251">
            <v>-5</v>
          </cell>
          <cell r="DT251">
            <v>-4</v>
          </cell>
          <cell r="DU251">
            <v>-3</v>
          </cell>
          <cell r="DW251">
            <v>-2</v>
          </cell>
          <cell r="DX251">
            <v>-1</v>
          </cell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 t="str">
            <v xml:space="preserve"> </v>
          </cell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รอแบบ</v>
          </cell>
        </row>
        <row r="34">
          <cell r="DC34" t="str">
            <v>ยังไม่ได้พิมพ์</v>
          </cell>
        </row>
        <row r="35">
          <cell r="DC35" t="str">
            <v>พร้อมส่ง</v>
          </cell>
        </row>
        <row r="36">
          <cell r="DC36" t="str">
            <v>รอตัด</v>
          </cell>
        </row>
        <row r="37">
          <cell r="DC37" t="str">
            <v>ยังไม่ได้พิมพ์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ยังไม่ได้พิมพ์</v>
          </cell>
        </row>
        <row r="45">
          <cell r="DC45" t="str">
            <v>ผ้าขาว</v>
          </cell>
        </row>
        <row r="46">
          <cell r="DC46" t="str">
            <v>ผ้าขาว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ผ้าขาว</v>
          </cell>
        </row>
        <row r="52">
          <cell r="DC52" t="str">
            <v>ยังไม่ได้พิมพ์</v>
          </cell>
        </row>
        <row r="53">
          <cell r="DC53" t="str">
            <v>พร้อมส่ง</v>
          </cell>
        </row>
        <row r="54">
          <cell r="DC54" t="str">
            <v>พร้อมส่ง</v>
          </cell>
        </row>
        <row r="55">
          <cell r="DC55" t="str">
            <v>ยังไม่ได้พิมพ์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พร้อมส่ง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ผ้าขาว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ผ้าขาว</v>
          </cell>
        </row>
        <row r="83">
          <cell r="DC83" t="str">
            <v>ผ้าขาว</v>
          </cell>
        </row>
        <row r="84">
          <cell r="DC84" t="str">
            <v>ผ้าขาว</v>
          </cell>
        </row>
        <row r="85">
          <cell r="DC85" t="str">
            <v>พร้อมส่ง</v>
          </cell>
        </row>
        <row r="86">
          <cell r="DC86" t="str">
            <v>ยังไม่ได้พิมพ์</v>
          </cell>
        </row>
        <row r="87">
          <cell r="DC87" t="str">
            <v>พร้อมส่ง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รอตัด</v>
          </cell>
        </row>
        <row r="99">
          <cell r="DC99" t="str">
            <v>พิมพ์ไม่ครบ</v>
          </cell>
        </row>
        <row r="100">
          <cell r="DC100" t="str">
            <v>พร้อมส่ง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พร้อมส่ง</v>
          </cell>
        </row>
        <row r="109">
          <cell r="DC109" t="str">
            <v>ยังไม่ได้พิมพ์</v>
          </cell>
        </row>
        <row r="110">
          <cell r="DC110" t="str">
            <v>พร้อมส่ง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รอแบบ</v>
          </cell>
        </row>
        <row r="116">
          <cell r="DC116" t="str">
            <v>รอแบบ</v>
          </cell>
        </row>
        <row r="117">
          <cell r="DC117" t="str">
            <v>รอแบบ</v>
          </cell>
        </row>
        <row r="118">
          <cell r="DC118" t="str">
            <v>รอแบบ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รอตัด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พร้อมส่ง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รอตัด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ผ้าขาว</v>
          </cell>
        </row>
        <row r="141">
          <cell r="DC141" t="str">
            <v>รอแบบ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รอตัด</v>
          </cell>
        </row>
        <row r="145">
          <cell r="DC145" t="str">
            <v>พิมพ์ไม่ครบ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รอแบบ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ยังไม่ได้พิมพ์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รอแบบ</v>
          </cell>
        </row>
        <row r="181">
          <cell r="DC181" t="str">
            <v>รอแบบ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รอแบบ</v>
          </cell>
        </row>
        <row r="197">
          <cell r="DC197" t="str">
            <v>พร้อมส่ง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รอแบบ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ผ้าขาว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ผ้าขาว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ผ้าขาว</v>
          </cell>
        </row>
        <row r="226">
          <cell r="DC226" t="str">
            <v>พร้อมส่ง</v>
          </cell>
        </row>
        <row r="227">
          <cell r="DC227" t="str">
            <v>พิมพ์ไม่ครบ</v>
          </cell>
        </row>
        <row r="228">
          <cell r="DC228" t="str">
            <v>ผ้าขาว</v>
          </cell>
        </row>
        <row r="229">
          <cell r="DC229" t="str">
            <v>รอแบบ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พิมพ์ไม่ครบ</v>
          </cell>
        </row>
        <row r="233">
          <cell r="DC233" t="str">
            <v>ยังไม่ได้พิมพ์</v>
          </cell>
        </row>
        <row r="234">
          <cell r="DC234" t="str">
            <v>ผ้าขาว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/>
        </row>
        <row r="238">
          <cell r="DC238"/>
        </row>
        <row r="239">
          <cell r="DC239"/>
        </row>
        <row r="240">
          <cell r="DC240" t="str">
            <v xml:space="preserve"> </v>
          </cell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3.435487731484" createdVersion="8" refreshedVersion="8" minRefreshableVersion="3" recordCount="183" xr:uid="{ACD252B6-443E-4356-83DE-FC40244820BB}">
  <cacheSource type="worksheet">
    <worksheetSource ref="A5:AF188" sheet="25-7-68"/>
  </cacheSource>
  <cacheFields count="32">
    <cacheField name="วันรับออร์เดอร์/แบบ" numFmtId="187">
      <sharedItems containsDate="1" containsMixedTypes="1" minDate="1899-12-30T00:00:00" maxDate="2025-07-25T00:00:00"/>
    </cacheField>
    <cacheField name="เลขที่ SO" numFmtId="0">
      <sharedItems containsMixedTypes="1" containsNumber="1" containsInteger="1" minValue="0" maxValue="0" count="67">
        <s v="MK68-000920"/>
        <n v="0"/>
        <s v="MK68-000868"/>
        <s v="ประมาณการ"/>
        <s v="MK68-000914"/>
        <s v="MK68-000917"/>
        <s v="MK68-000866"/>
        <s v="MK68-000890"/>
        <s v="MK68-000891"/>
        <s v="MK68-000909"/>
        <s v="MK68-000910"/>
        <s v="MK68-000911"/>
        <s v="MK68-000898"/>
        <s v="MK68-000680"/>
        <s v="MK68-000886"/>
        <s v="MK68-000672"/>
        <s v="MK68-000901"/>
        <s v="MK68-000902"/>
        <s v="MK68-000673"/>
        <s v="MK68-000906"/>
        <s v="MK68-000874"/>
        <s v="MK68-000122"/>
        <s v="MK68-000880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ใบรับคำสั่งซื้อ"/>
        <s v="MK67-001236"/>
        <s v="MK67-001396"/>
        <s v="MK68-000912"/>
        <s v="MK68-000867"/>
        <s v="MK68-000905"/>
        <s v="MK68-000903"/>
        <s v="MK68-000904"/>
        <s v="MK68-000798"/>
        <s v="MK68-000918"/>
        <s v="MK68-000919"/>
        <s v="MK68-000892"/>
        <s v="MK68-000893"/>
        <s v="MK68-000804"/>
        <s v="MK67-001617"/>
        <s v="MK67-001642"/>
        <s v="MK67-001643"/>
        <s v="MK66-000701"/>
        <s v="MK68-000640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2">
        <s v="หจก.ปึงเป้งน้ำ"/>
        <n v="0"/>
        <s v="พีมินเนอร์"/>
        <s v="บจก.ซัน ซีเมนต์ โพรเซส"/>
        <s v="โรงสีข้าวธัญญาวัฒ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วีซีเอฟ"/>
        <s v="บจก.เอสพีเอ็ม อาหารสัตว์"/>
        <s v="บจก.เอพีเอ็ม อะโกร"/>
        <s v="บจก.ไทยธรรมดี"/>
        <s v="บจก.ซันฟีด"/>
        <s v="บจก.เอ.เจ.ฟาร์ม่าแล็บ"/>
        <s v="คุณสมบัติ นิมวชิรวัฒนา"/>
        <s v="บจก.เบทาโกร"/>
        <s v="บจก.เอ็นบี ดิสทริบิวชั่น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26T00:00:00" maxDate="2025-08-31T00:00:00" count="20">
        <d v="2025-08-15T00:00:00"/>
        <m/>
        <d v="2025-07-30T00:00:00"/>
        <s v="รอแจ้ง"/>
        <d v="2025-08-14T00:00:00"/>
        <d v="2025-08-25T00:00:00"/>
        <d v="2025-07-26T00:00:00"/>
        <d v="2025-07-29T00:00:00"/>
        <d v="2025-07-31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5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800SM"/>
        <s v="WSWT2025850"/>
        <s v="WSWT2021750"/>
        <s v="WSWT2025800"/>
        <s v="WSWT2125800"/>
        <s v="WSWT2121670SM"/>
        <s v="WSWT2221940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56751.05663750018"/>
    </cacheField>
    <cacheField name="Stock" numFmtId="3">
      <sharedItems containsSemiMixedTypes="0" containsString="0" containsNumber="1" minValue="0" maxValue="255564.89953000002"/>
    </cacheField>
    <cacheField name="ค้างทอ" numFmtId="3">
      <sharedItems containsSemiMixedTypes="0" containsString="0" containsNumber="1" minValue="0" maxValue="540647.08582000004"/>
    </cacheField>
    <cacheField name="Stock2" numFmtId="3">
      <sharedItems containsSemiMixedTypes="0" containsString="0" containsNumber="1" minValue="0" maxValue="10561.320000000002"/>
    </cacheField>
    <cacheField name="ค้างเคลือบ" numFmtId="3">
      <sharedItems containsSemiMixedTypes="0" containsString="0" containsNumber="1" minValue="0" maxValue="451564.46390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8.557135995368" createdVersion="8" refreshedVersion="8" minRefreshableVersion="3" recordCount="167" xr:uid="{0924D966-5457-4E10-825E-9AA59C638A79}">
  <cacheSource type="worksheet">
    <worksheetSource ref="A5:AF172" sheet="30-7-68"/>
  </cacheSource>
  <cacheFields count="32">
    <cacheField name="วันรับออร์เดอร์/แบบ" numFmtId="187">
      <sharedItems containsDate="1" containsMixedTypes="1" minDate="1899-12-30T00:00:00" maxDate="2025-07-31T00:00:00"/>
    </cacheField>
    <cacheField name="เลขที่ SO" numFmtId="0">
      <sharedItems containsMixedTypes="1" containsNumber="1" containsInteger="1" minValue="0" maxValue="0" count="63">
        <s v="MK68-000920"/>
        <n v="0"/>
        <s v="MK68-000868"/>
        <s v="ประมาณการ"/>
        <s v="MK68-000917"/>
        <s v="MK68-000890"/>
        <s v="MK68-000891"/>
        <s v="MK68-000909"/>
        <s v="MK68-000910"/>
        <s v="MK68-000911"/>
        <s v="MK68-000898"/>
        <s v="MK68-000680"/>
        <s v="MK68-000672"/>
        <s v="MK68-000901"/>
        <s v="MK68-000902"/>
        <s v="MK68-000673"/>
        <s v="MK68-000906"/>
        <s v="MK68-000874"/>
        <s v="MK68-000928"/>
        <s v="MK68-000880"/>
        <s v="ใบรับคำสั่งซื้อ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MK67-001236"/>
        <s v="MK67-001396"/>
        <s v="MK68-000905"/>
        <s v="MK68-000904"/>
        <s v="MK68-000924"/>
        <s v="MK68-000925"/>
        <s v="MK68-000926"/>
        <s v="MK68-000927"/>
        <s v="MK68-000932"/>
        <s v="MK68-000930"/>
        <s v="MK68-000892"/>
        <s v="MK68-000893"/>
        <s v="MK68-000804"/>
        <s v="MK67-001617"/>
        <s v="MK67-001642"/>
        <s v="MK67-001643"/>
        <s v="MK66-000701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0">
        <s v="หจก.ปึงเป้งน้ำ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เอ็นบี ดิสทริบิวชั่น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31T00:00:00" maxDate="2025-08-31T00:00:00" count="17">
        <d v="2025-08-15T00:00:00"/>
        <m/>
        <d v="2025-07-31T00:00:00"/>
        <s v="รอแจ้ง"/>
        <d v="2025-08-14T00:00:00"/>
        <d v="2025-08-25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4224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76256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1">
        <s v="WSWT1425800"/>
        <s v="WSWT1625800SM"/>
        <s v="WSWT1825800"/>
        <s v="WSWT1825800SM"/>
        <s v="WSWT1925800"/>
        <s v="WSWT1921720"/>
        <s v="WSWT1925800SM"/>
        <s v="WSWT19251000SM"/>
        <s v="WSWT2025800SM"/>
        <s v="WSWT2025850"/>
        <s v="WSWT2025800"/>
        <s v="WSWT2121670SM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67108.07076000003"/>
    </cacheField>
    <cacheField name="Stock" numFmtId="3">
      <sharedItems containsSemiMixedTypes="0" containsString="0" containsNumber="1" minValue="0" maxValue="253600.41390000004"/>
    </cacheField>
    <cacheField name="ค้างทอ" numFmtId="3">
      <sharedItems containsSemiMixedTypes="0" containsString="0" containsNumber="1" minValue="0" maxValue="539922.07076000003"/>
    </cacheField>
    <cacheField name="Stock2" numFmtId="3">
      <sharedItems containsSemiMixedTypes="0" containsString="0" containsNumber="1" minValue="0" maxValue="28778.358595500002"/>
    </cacheField>
    <cacheField name="ค้างเคลือบ" numFmtId="3">
      <sharedItems containsSemiMixedTypes="0" containsString="0" containsNumber="1" minValue="0" maxValue="471087.2639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7-19T00:00:00"/>
    <x v="4"/>
    <x v="4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30250"/>
    <n v="0"/>
    <n v="30250"/>
    <n v="0"/>
    <n v="31762.5"/>
    <x v="2"/>
    <n v="23242.587500000001"/>
    <n v="23242.587500000001"/>
    <n v="0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23242.587500000001"/>
    <n v="23242.587500000001"/>
    <n v="0"/>
    <n v="0"/>
    <n v="0"/>
    <s v="ระบุในSD"/>
  </r>
  <r>
    <s v="ประมาณการ"/>
    <x v="3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7-22T00:00:00"/>
    <x v="5"/>
    <x v="7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4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6990"/>
    <n v="1811.1000000000004"/>
    <n v="1997"/>
    <n v="6804.1"/>
    <s v="ระบุในSD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5"/>
    <n v="88010.999999999985"/>
    <n v="56115"/>
    <n v="31895.999999999985"/>
    <n v="0"/>
    <n v="0"/>
    <n v="0"/>
  </r>
  <r>
    <s v="ประมาณการ"/>
    <x v="3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5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76921.51432999998"/>
    <n v="74616.714330000003"/>
    <n v="102304.79999999999"/>
    <n v="0"/>
    <n v="0"/>
    <s v="ระบุในSD"/>
  </r>
  <r>
    <d v="2025-07-05T00:00:00"/>
    <x v="6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6"/>
    <n v="0"/>
    <n v="0"/>
    <n v="0"/>
    <n v="0"/>
    <n v="0"/>
    <s v="PDR250212"/>
  </r>
  <r>
    <d v="2025-07-05T00:00:00"/>
    <x v="6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128"/>
    <n v="0"/>
    <n v="5400"/>
    <n v="0"/>
    <x v="6"/>
    <n v="0"/>
    <n v="0"/>
    <n v="0"/>
    <n v="0"/>
    <n v="0"/>
    <s v="PDR250212"/>
  </r>
  <r>
    <d v="2025-07-05T00:00:00"/>
    <x v="6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49"/>
    <n v="0"/>
    <n v="5400"/>
    <n v="0"/>
    <x v="6"/>
    <n v="0"/>
    <n v="0"/>
    <n v="0"/>
    <n v="0"/>
    <n v="0"/>
    <s v="PDR250212"/>
  </r>
  <r>
    <d v="2025-07-05T00:00:00"/>
    <x v="6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72"/>
    <n v="0"/>
    <n v="5400"/>
    <n v="0"/>
    <x v="6"/>
    <n v="0"/>
    <n v="0"/>
    <n v="0"/>
    <n v="0"/>
    <n v="0"/>
    <s v="PDR250212"/>
  </r>
  <r>
    <d v="2025-07-05T00:00:00"/>
    <x v="6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597"/>
    <n v="403"/>
    <n v="5380"/>
    <n v="0"/>
    <x v="6"/>
    <n v="0"/>
    <n v="0"/>
    <n v="0"/>
    <n v="0"/>
    <n v="0"/>
    <s v="PDR250213"/>
  </r>
  <r>
    <d v="2025-07-05T00:00:00"/>
    <x v="6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72"/>
    <n v="0"/>
    <n v="5400"/>
    <n v="0"/>
    <x v="6"/>
    <n v="0"/>
    <n v="0"/>
    <n v="0"/>
    <n v="0"/>
    <n v="0"/>
    <s v="PDR250213"/>
  </r>
  <r>
    <d v="2025-07-05T00:00:00"/>
    <x v="6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88"/>
    <n v="312"/>
    <n v="5400"/>
    <n v="0"/>
    <x v="6"/>
    <n v="0"/>
    <n v="0"/>
    <n v="0"/>
    <n v="0"/>
    <n v="0"/>
    <s v="PDR250213"/>
  </r>
  <r>
    <d v="2025-07-16T00:00:00"/>
    <x v="7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220"/>
    <n v="0"/>
    <n v="5400"/>
    <n v="0"/>
    <x v="6"/>
    <n v="0"/>
    <n v="0"/>
    <n v="0"/>
    <n v="0"/>
    <n v="0"/>
    <s v="PDR250226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6"/>
    <n v="0"/>
    <n v="0"/>
    <n v="0"/>
    <n v="0"/>
    <n v="0"/>
    <s v="PDR250226"/>
  </r>
  <r>
    <d v="2025-07-16T00:00:00"/>
    <x v="7"/>
    <x v="11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124"/>
    <n v="0"/>
    <n v="5300"/>
    <n v="0"/>
    <x v="6"/>
    <n v="0"/>
    <n v="0"/>
    <n v="0"/>
    <n v="0"/>
    <n v="0"/>
    <s v="PDR250226"/>
  </r>
  <r>
    <d v="2025-07-16T00:00:00"/>
    <x v="8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00"/>
    <n v="0"/>
    <x v="6"/>
    <n v="0"/>
    <n v="0"/>
    <n v="0"/>
    <n v="0"/>
    <n v="0"/>
    <s v="PDR250227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00"/>
    <n v="0"/>
    <x v="6"/>
    <n v="0"/>
    <n v="0"/>
    <n v="0"/>
    <n v="0"/>
    <n v="0"/>
    <s v="PDR250228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1110"/>
    <n v="0"/>
    <x v="6"/>
    <n v="0"/>
    <n v="0"/>
    <n v="0"/>
    <n v="0"/>
    <n v="0"/>
    <s v="PDR250228"/>
  </r>
  <r>
    <d v="2025-07-16T00:00:00"/>
    <x v="7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500"/>
    <n v="0"/>
    <x v="6"/>
    <n v="0"/>
    <n v="0"/>
    <n v="0"/>
    <n v="0"/>
    <n v="0"/>
    <s v="PDR250228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250"/>
    <n v="0"/>
    <x v="6"/>
    <n v="0"/>
    <n v="0"/>
    <n v="0"/>
    <n v="0"/>
    <n v="0"/>
    <s v="PDR250228"/>
  </r>
  <r>
    <d v="2025-07-16T00:00:00"/>
    <x v="8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8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s v="PDR250229"/>
  </r>
  <r>
    <d v="2025-07-16T00:00:00"/>
    <x v="8"/>
    <x v="11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9359.9000000000015"/>
    <n v="9359.9000000000015"/>
    <n v="0"/>
    <n v="0"/>
    <n v="0"/>
    <s v="PDR250230"/>
  </r>
  <r>
    <d v="2025-07-16T00:00:00"/>
    <x v="7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800"/>
    <n v="0"/>
    <x v="6"/>
    <n v="0"/>
    <n v="0"/>
    <n v="0"/>
    <n v="0"/>
    <n v="0"/>
    <s v="PDR250230"/>
  </r>
  <r>
    <d v="2025-07-16T00:00:00"/>
    <x v="7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6"/>
    <n v="0"/>
    <n v="0"/>
    <n v="0"/>
    <n v="0"/>
    <n v="0"/>
    <s v="PDR250230"/>
  </r>
  <r>
    <d v="2025-07-16T00:00:00"/>
    <x v="7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0"/>
  </r>
  <r>
    <d v="2025-07-16T00:00:00"/>
    <x v="8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6T00:00:00"/>
    <x v="8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9T00:00:00"/>
    <x v="9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6"/>
    <n v="0"/>
    <n v="0"/>
    <n v="0"/>
    <n v="0"/>
    <n v="0"/>
    <s v="PDR250235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3314"/>
    <n v="1365.9500000000007"/>
    <n v="0"/>
    <n v="0"/>
    <s v="PDR250232"/>
  </r>
  <r>
    <d v="2025-07-16T00:00:00"/>
    <x v="7"/>
    <x v="11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2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250"/>
    <n v="0"/>
    <x v="6"/>
    <n v="0"/>
    <n v="0"/>
    <n v="0"/>
    <n v="0"/>
    <n v="0"/>
    <s v="PDR250232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9359.9000000000015"/>
    <n v="0"/>
    <n v="9359.9000000000015"/>
    <n v="0"/>
    <n v="0"/>
    <s v="PDR250236"/>
  </r>
  <r>
    <d v="2025-07-19T00:00:00"/>
    <x v="9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237"/>
  </r>
  <r>
    <d v="2025-07-19T00:00:00"/>
    <x v="9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198"/>
    <n v="0"/>
    <x v="6"/>
    <n v="0"/>
    <n v="0"/>
    <n v="0"/>
    <n v="0"/>
    <n v="0"/>
    <s v="PDR250237"/>
  </r>
  <r>
    <d v="2025-07-19T00:00:00"/>
    <x v="9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000"/>
    <n v="0"/>
    <n v="5250"/>
    <n v="0"/>
    <x v="6"/>
    <n v="0"/>
    <n v="0"/>
    <n v="0"/>
    <n v="0"/>
    <n v="0"/>
    <s v="PDR250243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3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6T00:00:00"/>
    <x v="7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233"/>
  </r>
  <r>
    <d v="2025-07-16T00:00:00"/>
    <x v="7"/>
    <x v="11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9T00:00:00"/>
    <x v="9"/>
    <x v="11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8"/>
  </r>
  <r>
    <d v="2025-07-19T00:00:00"/>
    <x v="9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9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6"/>
    <n v="10477.5"/>
    <n v="0"/>
    <n v="10477.5"/>
    <n v="0"/>
    <n v="0"/>
    <s v="PDR250239"/>
  </r>
  <r>
    <d v="2025-07-19T00:00:00"/>
    <x v="10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6"/>
    <n v="0"/>
    <n v="0"/>
    <n v="0"/>
    <n v="0"/>
    <n v="0"/>
    <s v="PDR250239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6"/>
    <n v="9359.9000000000015"/>
    <n v="0"/>
    <n v="9359.9000000000015"/>
    <n v="0"/>
    <n v="0"/>
    <s v="PDR250240"/>
  </r>
  <r>
    <d v="2025-07-19T00:00:00"/>
    <x v="10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000"/>
    <n v="0"/>
    <n v="5250"/>
    <n v="0"/>
    <x v="6"/>
    <n v="0"/>
    <n v="0"/>
    <n v="0"/>
    <n v="0"/>
    <n v="0"/>
    <s v="PDR250240"/>
  </r>
  <r>
    <d v="2025-07-19T00:00:00"/>
    <x v="10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240"/>
  </r>
  <r>
    <d v="2025-07-19T00:00:00"/>
    <x v="10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5200"/>
    <n v="0"/>
    <x v="6"/>
    <n v="0"/>
    <n v="0"/>
    <n v="0"/>
    <n v="0"/>
    <n v="0"/>
    <s v="PDR250240"/>
  </r>
  <r>
    <d v="2025-07-19T00:00:00"/>
    <x v="10"/>
    <x v="11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9359.9000000000015"/>
    <n v="0"/>
    <n v="9359.9000000000015"/>
    <n v="0"/>
    <n v="0"/>
    <s v="PDR250241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250000"/>
    <n v="0"/>
    <n v="250000"/>
    <n v="0"/>
    <n v="262500"/>
    <x v="6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08273.25000000012"/>
    <n v="36073.650000000009"/>
    <n v="372199.6"/>
    <n v="0"/>
    <n v="0"/>
    <s v="ระบุในSD"/>
  </r>
  <r>
    <d v="2025-07-17T00:00:00"/>
    <x v="12"/>
    <x v="12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7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11525.250000000002"/>
    <n v="11525.250000000002"/>
    <n v="0"/>
    <n v="0"/>
    <n v="11525.250000000002"/>
    <s v="ระบุในSD"/>
  </r>
  <r>
    <d v="2025-05-19T00:00:00"/>
    <x v="13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7-15T00:00:00"/>
    <x v="14"/>
    <x v="14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20000"/>
    <n v="0"/>
    <n v="22975"/>
    <n v="0"/>
    <x v="9"/>
    <n v="0"/>
    <n v="0"/>
    <n v="0"/>
    <n v="0"/>
    <n v="0"/>
    <n v="0"/>
  </r>
  <r>
    <d v="2025-07-15T00:00:00"/>
    <x v="14"/>
    <x v="14"/>
    <s v="JET 88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4878"/>
    <n v="122"/>
    <n v="5050"/>
    <n v="0"/>
    <x v="9"/>
    <n v="0"/>
    <n v="0"/>
    <n v="0"/>
    <n v="0"/>
    <n v="0"/>
    <n v="0"/>
  </r>
  <r>
    <d v="2025-05-19T00:00:00"/>
    <x v="15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9"/>
    <n v="0"/>
    <n v="0"/>
    <n v="0"/>
    <n v="0"/>
    <n v="0"/>
    <s v="ลบสี"/>
  </r>
  <r>
    <d v="2025-07-19T00:00:00"/>
    <x v="16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9"/>
    <n v="0"/>
    <n v="0"/>
    <n v="0"/>
    <n v="0"/>
    <n v="0"/>
    <s v="ลบสี"/>
  </r>
  <r>
    <d v="2025-07-19T00:00:00"/>
    <x v="16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409"/>
    <n v="0"/>
    <x v="9"/>
    <n v="0"/>
    <n v="0"/>
    <n v="0"/>
    <n v="0"/>
    <n v="0"/>
    <n v="0"/>
  </r>
  <r>
    <d v="2025-07-19T00:00:00"/>
    <x v="1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000"/>
    <n v="0"/>
    <x v="9"/>
    <n v="0"/>
    <n v="0"/>
    <n v="0"/>
    <n v="0"/>
    <n v="0"/>
    <n v="0"/>
  </r>
  <r>
    <d v="2025-05-19T00:00:00"/>
    <x v="18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200"/>
    <n v="0"/>
    <x v="9"/>
    <n v="0"/>
    <n v="0"/>
    <n v="0"/>
    <n v="0"/>
    <n v="0"/>
    <n v="0"/>
  </r>
  <r>
    <d v="2025-07-19T00:00:00"/>
    <x v="17"/>
    <x v="13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7"/>
    <x v="13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9"/>
    <x v="13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0"/>
    <n v="5280.6600000000008"/>
    <n v="0"/>
  </r>
  <r>
    <d v="2025-07-09T00:00:00"/>
    <x v="20"/>
    <x v="15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1-24T00:00:00"/>
    <x v="21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478.5300000000007"/>
    <n v="0"/>
    <n v="3478.5300000000007"/>
    <n v="0"/>
    <n v="3478.5300000000007"/>
    <n v="0"/>
  </r>
  <r>
    <d v="2025-07-12T00:00:00"/>
    <x v="22"/>
    <x v="16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4414.5199999999995"/>
    <n v="0"/>
    <n v="0"/>
    <n v="4414.5199999999995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9"/>
    <n v="104775.00000000001"/>
    <n v="62750"/>
    <n v="42025.000000000015"/>
    <n v="0"/>
    <n v="104775.00000000001"/>
    <n v="0"/>
  </r>
  <r>
    <s v="ประมาณการ"/>
    <x v="3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d v="2025-06-17T00:00:00"/>
    <x v="2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9"/>
    <n v="0"/>
    <n v="0"/>
    <n v="0"/>
    <n v="0"/>
    <n v="0"/>
    <n v="0"/>
  </r>
  <r>
    <d v="2025-06-17T00:00:00"/>
    <x v="24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9"/>
    <n v="0"/>
    <n v="0"/>
    <n v="0"/>
    <n v="0"/>
    <n v="0"/>
    <n v="0"/>
  </r>
  <r>
    <d v="2025-06-19T00:00:00"/>
    <x v="25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19T00:00:00"/>
    <x v="26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7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8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18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9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7-12T00:00:00"/>
    <x v="30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0"/>
    <n v="3310.89"/>
    <n v="0"/>
    <n v="3310.89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41"/>
    <n v="0"/>
    <n v="5250"/>
    <n v="0"/>
    <x v="9"/>
    <n v="0"/>
    <n v="0"/>
    <n v="0"/>
    <n v="0"/>
    <n v="0"/>
    <n v="0"/>
  </r>
  <r>
    <d v="2025-05-22T00:00:00"/>
    <x v="32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3840"/>
    <n v="160"/>
    <n v="8450"/>
    <n v="0"/>
    <x v="9"/>
    <n v="0"/>
    <n v="0"/>
    <n v="0"/>
    <n v="0"/>
    <n v="0"/>
    <s v="ห้ามขาด-ห้ามเกิน"/>
  </r>
  <r>
    <d v="2025-07-12T00:00:00"/>
    <x v="33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9"/>
    <n v="4414.5199999999995"/>
    <n v="0"/>
    <n v="4414.5199999999995"/>
    <n v="0"/>
    <n v="4414.5199999999995"/>
    <n v="0"/>
  </r>
  <r>
    <d v="2025-05-21T00:00:00"/>
    <x v="34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5"/>
    <x v="15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17T00:00:00"/>
    <x v="36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7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8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8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9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57"/>
    <n v="143"/>
    <n v="4200"/>
    <n v="0"/>
    <x v="9"/>
    <n v="0"/>
    <n v="0"/>
    <n v="0"/>
    <n v="0"/>
    <n v="0"/>
    <n v="0"/>
  </r>
  <r>
    <d v="2025-03-04T00:00:00"/>
    <x v="40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9"/>
    <n v="0"/>
    <n v="0"/>
    <n v="0"/>
    <n v="0"/>
    <n v="0"/>
    <n v="0"/>
  </r>
  <r>
    <d v="2025-03-04T00:00:00"/>
    <x v="40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9"/>
    <n v="0"/>
    <n v="0"/>
    <n v="0"/>
    <n v="0"/>
    <n v="0"/>
    <n v="0"/>
  </r>
  <r>
    <d v="2024-09-06T00:00:00"/>
    <x v="41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2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5568.33000000007"/>
    <n v="86317.39"/>
    <n v="229250.93999999997"/>
    <n v="10561.320000000002"/>
    <n v="305007.01000000007"/>
    <s v="ระบุในSD"/>
  </r>
  <r>
    <s v="ประมาณการ"/>
    <x v="3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43"/>
    <x v="20"/>
    <s v="SD GOAT"/>
    <n v="20"/>
    <n v="37"/>
    <s v="ขาว"/>
    <n v="0"/>
    <n v="80"/>
    <s v="±"/>
    <n v="5"/>
    <s v="ไม่"/>
    <n v="22"/>
    <n v="40"/>
    <n v="40"/>
    <n v="0"/>
    <n v="0"/>
    <n v="0"/>
    <s v="500กระสอบ"/>
    <x v="6"/>
    <n v="5000"/>
    <n v="5710"/>
    <n v="0"/>
    <n v="5730"/>
    <n v="0"/>
    <x v="11"/>
    <n v="0"/>
    <n v="0"/>
    <n v="0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d v="2025-07-04T00:00:00"/>
    <x v="44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12"/>
    <n v="0"/>
    <n v="0"/>
    <n v="0"/>
    <n v="0"/>
    <n v="0"/>
    <n v="0"/>
  </r>
  <r>
    <d v="2025-07-19T00:00:00"/>
    <x v="45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96560"/>
    <n v="26000"/>
    <n v="70560"/>
    <n v="26315"/>
    <n v="73757.25"/>
    <x v="12"/>
    <n v="77279.158687500007"/>
    <n v="77279.158687500007"/>
    <n v="0"/>
    <n v="0"/>
    <n v="0"/>
    <s v="ห้ามขาด-ห้ามเกิน"/>
  </r>
  <r>
    <d v="2025-07-19T00:00:00"/>
    <x v="46"/>
    <x v="13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0000"/>
    <n v="20000"/>
    <n v="0"/>
    <n v="21030"/>
    <n v="0"/>
    <x v="12"/>
    <n v="0"/>
    <n v="0"/>
    <n v="0"/>
    <n v="0"/>
    <n v="0"/>
    <s v="ห้ามขาด-ห้ามเกิน"/>
  </r>
  <r>
    <d v="2025-07-19T00:00:00"/>
    <x v="47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20000"/>
    <n v="0"/>
    <n v="120000"/>
    <n v="14924"/>
    <n v="110329.8"/>
    <x v="12"/>
    <n v="115598.04795000001"/>
    <n v="115598.04795000001"/>
    <n v="0"/>
    <n v="0"/>
    <n v="0"/>
    <s v="ห้ามขาด-ห้ามเกิน"/>
  </r>
  <r>
    <d v="2025-06-17T00:00:00"/>
    <x v="4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800"/>
    <n v="0"/>
    <n v="2800"/>
    <n v="0"/>
    <n v="2940"/>
    <x v="12"/>
    <n v="2933.7000000000003"/>
    <n v="2933.7000000000003"/>
    <n v="0"/>
    <n v="0"/>
    <n v="0"/>
    <s v="ห้ามขาด-ห้ามเกิน"/>
  </r>
  <r>
    <d v="2025-07-24T00:00:00"/>
    <x v="40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24000"/>
    <n v="0"/>
    <n v="124000"/>
    <n v="0"/>
    <n v="130200"/>
    <x v="12"/>
    <n v="133385.56000000003"/>
    <n v="19359"/>
    <n v="114026.56000000003"/>
    <n v="0"/>
    <n v="0"/>
    <s v="หนองบุญมาก"/>
  </r>
  <r>
    <d v="2025-07-24T00:00:00"/>
    <x v="40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8000"/>
    <n v="0"/>
    <n v="28000"/>
    <n v="0"/>
    <n v="29400"/>
    <x v="12"/>
    <n v="30119.320000000003"/>
    <n v="0"/>
    <n v="30119.320000000003"/>
    <n v="0"/>
    <n v="0"/>
    <s v="หนองบุญมาก"/>
  </r>
  <r>
    <d v="2025-07-24T00:00:00"/>
    <x v="40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7-24T00:00:00"/>
    <x v="40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0"/>
    <n v="14700"/>
    <x v="12"/>
    <n v="15059.660000000002"/>
    <n v="0"/>
    <n v="15059.660000000002"/>
    <n v="0"/>
    <n v="0"/>
    <s v="หนองบุญมาก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50000"/>
    <n v="0"/>
    <n v="250000"/>
    <n v="0"/>
    <n v="262500"/>
    <x v="12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656751.05663750018"/>
    <n v="215169.90663750004"/>
    <n v="441581.15"/>
    <n v="0"/>
    <n v="0"/>
    <s v="ระบุในSD"/>
  </r>
  <r>
    <d v="2025-07-19T00:00:00"/>
    <x v="4"/>
    <x v="4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4100"/>
    <n v="0"/>
    <n v="4100"/>
    <n v="4300"/>
    <n v="0"/>
    <x v="13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07-22T00:00:00"/>
    <x v="4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10000"/>
    <n v="10000"/>
    <n v="0"/>
    <n v="10500"/>
    <n v="0"/>
    <x v="14"/>
    <n v="0"/>
    <n v="0"/>
    <n v="0"/>
    <n v="0"/>
    <n v="0"/>
    <n v="0"/>
  </r>
  <r>
    <d v="2025-07-22T00:00:00"/>
    <x v="49"/>
    <x v="22"/>
    <s v="NB FISH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5000"/>
    <n v="5000"/>
    <n v="0"/>
    <n v="5400"/>
    <n v="0"/>
    <x v="14"/>
    <n v="0"/>
    <n v="0"/>
    <n v="0"/>
    <n v="0"/>
    <n v="0"/>
    <n v="0"/>
  </r>
  <r>
    <d v="2025-07-22T00:00:00"/>
    <x v="50"/>
    <x v="22"/>
    <s v="นิค 103B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7"/>
    <n v="5000"/>
    <n v="3000"/>
    <n v="2000"/>
    <n v="3260"/>
    <n v="1827"/>
    <x v="14"/>
    <n v="1965.2856300000001"/>
    <n v="1965.2856300000001"/>
    <n v="0"/>
    <n v="1965.2856300000001"/>
    <n v="0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5"/>
    <n v="40000"/>
    <n v="0"/>
    <n v="40000"/>
    <n v="0"/>
    <n v="42000"/>
    <x v="14"/>
    <n v="43027.600000000006"/>
    <n v="43027.600000000006"/>
    <n v="0"/>
    <n v="0"/>
    <n v="43027.600000000006"/>
    <n v="0"/>
  </r>
  <r>
    <s v="ประมาณการ"/>
    <x v="3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5"/>
    <n v="300000"/>
    <n v="0"/>
    <n v="300000"/>
    <n v="0"/>
    <n v="315000"/>
    <x v="14"/>
    <n v="322707"/>
    <n v="180883"/>
    <n v="141824"/>
    <n v="0"/>
    <n v="322707"/>
    <n v="0"/>
  </r>
  <r>
    <s v="ประมาณการ"/>
    <x v="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4"/>
    <n v="10756.900000000001"/>
    <n v="10756.900000000001"/>
    <n v="0"/>
    <n v="0"/>
    <n v="10756.900000000001"/>
    <n v="0"/>
  </r>
  <r>
    <d v="2025-07-16T00:00:00"/>
    <x v="51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7-16T00:00:00"/>
    <x v="52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6-18T00:00:00"/>
    <x v="53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4"/>
    <n v="8310.3338999999996"/>
    <n v="8310.3338999999996"/>
    <n v="0"/>
    <n v="0"/>
    <n v="8310.3338999999996"/>
    <n v="0"/>
  </r>
  <r>
    <d v="2024-12-02T00:00:00"/>
    <x v="5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4000"/>
    <n v="4605.5200000000004"/>
    <n v="0"/>
    <n v="8605.52"/>
    <n v="0"/>
  </r>
  <r>
    <d v="2024-12-05T00:00:00"/>
    <x v="5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6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57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53529.74953000009"/>
    <n v="255564.89953000002"/>
    <n v="197964.85"/>
    <n v="1965.2856300000001"/>
    <n v="451564.46390000003"/>
    <s v="ระบุในSD"/>
  </r>
  <r>
    <d v="1900-01-08T00:00:00"/>
    <x v="58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7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7-22T00:00:00"/>
    <x v="5"/>
    <x v="7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518.15"/>
    <n v="5518.15"/>
    <n v="0"/>
    <n v="0"/>
    <n v="5518.15"/>
    <n v="0"/>
  </r>
  <r>
    <s v="ประมาณการ"/>
    <x v="3"/>
    <x v="26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6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5274.25"/>
    <n v="10108.15"/>
    <n v="25166.100000000002"/>
    <n v="0"/>
    <n v="5518.15"/>
    <s v="ระบุในSD"/>
  </r>
  <r>
    <s v="ประมาณการ"/>
    <x v="3"/>
    <x v="27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5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2930.9051059199996"/>
    <n v="0"/>
    <n v="2930.9051059199996"/>
    <s v="300แบน"/>
    <x v="5"/>
    <n v="100000"/>
    <n v="10000"/>
    <n v="90000"/>
    <n v="0"/>
    <n v="94500"/>
    <x v="19"/>
    <n v="96812.1"/>
    <n v="27186"/>
    <n v="69626.100000000006"/>
    <n v="0"/>
    <n v="0"/>
    <s v="สั่งเวียดนามสำเร็จรูปทั้งหมด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9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67833.08582000004"/>
    <n v="27186"/>
    <n v="540647.08582000004"/>
    <n v="0"/>
    <n v="0"/>
    <s v="ระบุในSD"/>
  </r>
  <r>
    <s v="ประมาณการ"/>
    <x v="3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5790"/>
    <n v="3709.6000000000004"/>
    <n v="0"/>
    <n v="0"/>
    <s v="ระบุในSD"/>
  </r>
  <r>
    <d v="2025-07-15T00:00:00"/>
    <x v="6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21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0"/>
    <n v="0"/>
    <n v="0"/>
    <n v="0"/>
    <n v="0"/>
    <s v="ระบุในSD"/>
  </r>
  <r>
    <s v="ประมาณการ"/>
    <x v="3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d v="2025-07-23T00:00:00"/>
    <x v="62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3"/>
    <n v="18649.949999999997"/>
    <n v="18649.949999999997"/>
    <n v="0"/>
    <n v="3005"/>
    <n v="15644.949999999997"/>
    <s v="ห้ามขาด-เกินได้5%"/>
  </r>
  <r>
    <d v="2025-07-23T00:00:00"/>
    <x v="63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1291"/>
    <n v="8709"/>
    <n v="0"/>
    <n v="9144.4500000000007"/>
    <x v="23"/>
    <n v="10828.160969999999"/>
    <n v="10828.160969999999"/>
    <n v="0"/>
    <n v="0"/>
    <n v="10828.160969999999"/>
    <s v="ห้ามขาด-เกินได้5%"/>
  </r>
  <r>
    <d v="2025-06-24T00:00:00"/>
    <x v="6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3"/>
    <n v="24866.6"/>
    <n v="21527"/>
    <n v="3339.5999999999985"/>
    <n v="0"/>
    <n v="24866.6"/>
    <s v="ห้ามขาด-เกินได้5%"/>
  </r>
  <r>
    <d v="2025-07-23T00:00:00"/>
    <x v="6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5000"/>
    <n v="0"/>
    <n v="15000"/>
    <n v="0"/>
    <n v="0"/>
    <x v="23"/>
    <n v="18649.949999999997"/>
    <n v="0"/>
    <n v="18649.949999999997"/>
    <n v="0"/>
    <n v="18649.949999999997"/>
    <s v="ห้ามขาด-เกินได้5%"/>
  </r>
  <r>
    <s v="ประมาณการ"/>
    <x v="3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97861.260970000003"/>
    <n v="51005.110969999994"/>
    <n v="46856.149999999994"/>
    <n v="3005"/>
    <n v="94856.260970000003"/>
    <s v="ระบุในSD"/>
  </r>
  <r>
    <s v="ประมาณการ"/>
    <x v="3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6775.4500000000007"/>
    <n v="0"/>
    <n v="0"/>
    <n v="6775.4500000000007"/>
    <n v="0"/>
  </r>
  <r>
    <d v="2025-07-19T00:00:00"/>
    <x v="66"/>
    <x v="3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4"/>
    <n v="59372.5"/>
    <n v="22569"/>
    <n v="368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6147.95"/>
    <n v="29344.45"/>
    <n v="36803.5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7-22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6990"/>
    <n v="1811.1000000000004"/>
    <n v="1997"/>
    <n v="6804.1"/>
    <s v="ระบุในSD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4"/>
    <n v="88010.999999999985"/>
    <n v="56115"/>
    <n v="31895.999999999985"/>
    <n v="0"/>
    <n v="0"/>
    <n v="0"/>
  </r>
  <r>
    <s v="ประมาณการ"/>
    <x v="3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4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2999998"/>
    <n v="74616.714330000003"/>
    <n v="102304.79999999999"/>
    <n v="0"/>
    <n v="0"/>
    <s v="ระบุในSD"/>
  </r>
  <r>
    <d v="2025-07-16T00:00:00"/>
    <x v="5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20"/>
    <n v="0"/>
    <n v="5400"/>
    <n v="0"/>
    <x v="5"/>
    <n v="0"/>
    <n v="0"/>
    <n v="0"/>
    <n v="0"/>
    <n v="0"/>
    <s v="PDR250226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198"/>
    <n v="0"/>
    <x v="5"/>
    <n v="0"/>
    <n v="0"/>
    <n v="0"/>
    <n v="0"/>
    <n v="0"/>
    <s v="PDR250226"/>
  </r>
  <r>
    <d v="2025-07-16T00:00:00"/>
    <x v="5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124"/>
    <n v="0"/>
    <n v="5300"/>
    <n v="0"/>
    <x v="5"/>
    <n v="0"/>
    <n v="0"/>
    <n v="0"/>
    <n v="0"/>
    <n v="0"/>
    <s v="PDR250226"/>
  </r>
  <r>
    <d v="2025-07-16T00:00:00"/>
    <x v="6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300"/>
    <n v="0"/>
    <x v="5"/>
    <n v="0"/>
    <n v="0"/>
    <n v="0"/>
    <n v="0"/>
    <n v="0"/>
    <s v="PDR250227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00"/>
    <n v="0"/>
    <x v="5"/>
    <n v="0"/>
    <n v="0"/>
    <n v="0"/>
    <n v="0"/>
    <n v="0"/>
    <s v="PDR250228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1110"/>
    <n v="0"/>
    <x v="5"/>
    <n v="0"/>
    <n v="0"/>
    <n v="0"/>
    <n v="0"/>
    <n v="0"/>
    <s v="PDR250228"/>
  </r>
  <r>
    <d v="2025-07-16T00:00:00"/>
    <x v="5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500"/>
    <n v="0"/>
    <x v="5"/>
    <n v="0"/>
    <n v="0"/>
    <n v="0"/>
    <n v="0"/>
    <n v="0"/>
    <s v="PDR250228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8"/>
  </r>
  <r>
    <d v="2025-07-16T00:00:00"/>
    <x v="6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229"/>
  </r>
  <r>
    <d v="2025-07-16T00:00:00"/>
    <x v="6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300"/>
    <n v="0"/>
    <x v="5"/>
    <n v="0"/>
    <n v="0"/>
    <n v="0"/>
    <n v="0"/>
    <n v="0"/>
    <s v="PDR250229"/>
  </r>
  <r>
    <d v="2025-07-16T00:00:00"/>
    <x v="6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5"/>
    <n v="0"/>
    <n v="0"/>
    <n v="0"/>
    <n v="0"/>
    <n v="0"/>
    <s v="PDR250229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9359.9000000000015"/>
    <n v="9359.9000000000015"/>
    <n v="0"/>
    <n v="0"/>
    <n v="0"/>
    <s v="PDR250230"/>
  </r>
  <r>
    <d v="2025-07-16T00:00:00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800"/>
    <n v="0"/>
    <x v="5"/>
    <n v="0"/>
    <n v="0"/>
    <n v="0"/>
    <n v="0"/>
    <n v="0"/>
    <s v="PDR250230"/>
  </r>
  <r>
    <d v="2025-07-16T00:00:00"/>
    <x v="5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50"/>
    <n v="0"/>
    <x v="5"/>
    <n v="0"/>
    <n v="0"/>
    <n v="0"/>
    <n v="0"/>
    <n v="0"/>
    <s v="PDR250230"/>
  </r>
  <r>
    <d v="2025-07-16T00:00:00"/>
    <x v="5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230"/>
  </r>
  <r>
    <d v="2025-07-16T00:00:00"/>
    <x v="6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4679.9500000000007"/>
    <n v="0"/>
    <n v="0"/>
    <n v="0"/>
    <s v="PDR250231"/>
  </r>
  <r>
    <d v="2025-07-16T00:00:00"/>
    <x v="6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3561"/>
    <n v="1118.9500000000007"/>
    <n v="0"/>
    <n v="0"/>
    <s v="PDR250231"/>
  </r>
  <r>
    <d v="2025-07-16T00:00:00"/>
    <x v="6"/>
    <x v="1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231"/>
  </r>
  <r>
    <d v="2025-07-16T00:00:00"/>
    <x v="6"/>
    <x v="1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2400"/>
    <n v="2730"/>
    <x v="5"/>
    <n v="2555.2527"/>
    <n v="2555.2527"/>
    <n v="0"/>
    <n v="0"/>
    <n v="0"/>
    <s v="PDR250231"/>
  </r>
  <r>
    <d v="2025-07-19T00:00:00"/>
    <x v="7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00"/>
    <n v="0"/>
    <x v="5"/>
    <n v="0"/>
    <n v="0"/>
    <n v="0"/>
    <n v="0"/>
    <n v="0"/>
    <s v="PDR250235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232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5000"/>
    <n v="5000"/>
    <n v="10400"/>
    <n v="0"/>
    <x v="5"/>
    <n v="0"/>
    <n v="0"/>
    <n v="0"/>
    <n v="0"/>
    <n v="0"/>
    <s v="PDR250236"/>
  </r>
  <r>
    <d v="2025-07-19T00:00:00"/>
    <x v="7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000"/>
    <n v="0"/>
    <n v="5200"/>
    <n v="0"/>
    <x v="5"/>
    <n v="0"/>
    <n v="0"/>
    <n v="0"/>
    <n v="0"/>
    <n v="0"/>
    <s v="PDR250237"/>
  </r>
  <r>
    <d v="2025-07-19T00:00:00"/>
    <x v="7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5"/>
    <n v="0"/>
    <n v="0"/>
    <n v="0"/>
    <n v="0"/>
    <n v="0"/>
    <s v="PDR250237"/>
  </r>
  <r>
    <d v="2025-07-19T00:00:00"/>
    <x v="7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4923"/>
    <n v="77"/>
    <n v="5250"/>
    <n v="0"/>
    <x v="5"/>
    <n v="0"/>
    <n v="0"/>
    <n v="0"/>
    <n v="0"/>
    <n v="0"/>
    <s v="PDR250243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3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6T00:00:00"/>
    <x v="5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5"/>
    <n v="0"/>
    <n v="0"/>
    <n v="0"/>
    <n v="0"/>
    <n v="0"/>
    <s v="PDR250233"/>
  </r>
  <r>
    <d v="2025-07-16T00:00:00"/>
    <x v="5"/>
    <x v="1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9T00:00:00"/>
    <x v="7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8"/>
  </r>
  <r>
    <d v="2025-07-19T00:00:00"/>
    <x v="7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7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5"/>
    <n v="10477.5"/>
    <n v="0"/>
    <n v="10477.5"/>
    <n v="0"/>
    <n v="0"/>
    <s v="PDR250239"/>
  </r>
  <r>
    <d v="2025-07-19T00:00:00"/>
    <x v="8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5"/>
    <n v="0"/>
    <n v="0"/>
    <n v="0"/>
    <n v="0"/>
    <n v="0"/>
    <s v="PDR250239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240"/>
  </r>
  <r>
    <d v="2025-07-19T00:00:00"/>
    <x v="8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250"/>
    <n v="0"/>
    <x v="5"/>
    <n v="0"/>
    <n v="0"/>
    <n v="0"/>
    <n v="0"/>
    <n v="0"/>
    <s v="PDR250240"/>
  </r>
  <r>
    <d v="2025-07-19T00:00:00"/>
    <x v="8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40"/>
  </r>
  <r>
    <d v="2025-07-19T00:00:00"/>
    <x v="8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5"/>
    <n v="0"/>
    <n v="0"/>
    <n v="0"/>
    <n v="0"/>
    <n v="0"/>
    <s v="PDR250240"/>
  </r>
  <r>
    <d v="2025-07-19T00:00:00"/>
    <x v="8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241"/>
  </r>
  <r>
    <s v="ประมาณการ"/>
    <x v="3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50000"/>
    <n v="0"/>
    <n v="250000"/>
    <n v="0"/>
    <n v="262500"/>
    <x v="5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382748.8027"/>
    <n v="20156.102700000003"/>
    <n v="362592.7"/>
    <n v="0"/>
    <n v="0"/>
    <s v="ระบุในSD"/>
  </r>
  <r>
    <d v="2025-07-17T00:00:00"/>
    <x v="10"/>
    <x v="11"/>
    <s v="A.C.C.ภาษาอังกฤษ 8-118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2"/>
    <n v="15000"/>
    <n v="15000"/>
    <n v="0"/>
    <n v="18758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5-19T00:00:00"/>
    <x v="11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5-19T00:00:00"/>
    <x v="12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8"/>
    <n v="0"/>
    <n v="0"/>
    <n v="0"/>
    <n v="0"/>
    <n v="0"/>
    <s v="ลบสี"/>
  </r>
  <r>
    <d v="2025-07-19T00:00:00"/>
    <x v="13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8"/>
    <n v="0"/>
    <n v="0"/>
    <n v="0"/>
    <n v="0"/>
    <n v="0"/>
    <s v="ลบสี"/>
  </r>
  <r>
    <d v="2025-07-19T00:00:00"/>
    <x v="14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9880"/>
    <n v="120"/>
    <n v="11000"/>
    <n v="0"/>
    <x v="8"/>
    <n v="0"/>
    <n v="0"/>
    <n v="0"/>
    <n v="0"/>
    <n v="0"/>
    <n v="0"/>
  </r>
  <r>
    <d v="2025-05-19T00:00:00"/>
    <x v="15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179"/>
    <n v="0"/>
    <n v="200"/>
    <n v="0"/>
    <x v="8"/>
    <n v="0"/>
    <n v="0"/>
    <n v="0"/>
    <n v="0"/>
    <n v="0"/>
    <n v="0"/>
  </r>
  <r>
    <d v="2025-07-19T00:00:00"/>
    <x v="14"/>
    <x v="12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010"/>
    <n v="0"/>
    <x v="8"/>
    <n v="0"/>
    <n v="0"/>
    <n v="0"/>
    <n v="0"/>
    <n v="0"/>
    <n v="0"/>
  </r>
  <r>
    <d v="2025-07-19T00:00:00"/>
    <x v="14"/>
    <x v="12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145"/>
    <n v="0"/>
    <x v="8"/>
    <n v="0"/>
    <n v="0"/>
    <n v="0"/>
    <n v="0"/>
    <n v="0"/>
    <n v="0"/>
  </r>
  <r>
    <d v="2025-07-19T00:00:00"/>
    <x v="16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5040"/>
    <n v="0"/>
    <n v="6000"/>
    <n v="0"/>
    <x v="8"/>
    <n v="0"/>
    <n v="0"/>
    <n v="0"/>
    <n v="0"/>
    <n v="0"/>
    <n v="0"/>
  </r>
  <r>
    <d v="2025-07-09T00:00:00"/>
    <x v="17"/>
    <x v="13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310.89"/>
    <n v="3310.89"/>
    <n v="0"/>
    <n v="3310.89"/>
    <n v="0"/>
    <n v="0"/>
  </r>
  <r>
    <d v="2025-07-25T00:00:00"/>
    <x v="18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478.5300000000007"/>
    <n v="3478.5300000000007"/>
    <n v="0"/>
    <n v="3478.5300000000007"/>
    <n v="0"/>
    <n v="0"/>
  </r>
  <r>
    <d v="2025-07-12T00:00:00"/>
    <x v="19"/>
    <x v="14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8"/>
    <n v="4414.5199999999995"/>
    <n v="4414.5199999999995"/>
    <n v="0"/>
    <n v="4414.5199999999995"/>
    <n v="0"/>
    <n v="0"/>
  </r>
  <r>
    <d v="2025-07-30T00:00:00"/>
    <x v="20"/>
    <x v="15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0"/>
    <n v="0"/>
    <n v="30000"/>
    <n v="0"/>
    <n v="31500"/>
    <x v="8"/>
    <n v="32270.700000000004"/>
    <n v="0"/>
    <n v="32270.700000000004"/>
    <n v="0"/>
    <n v="32270.700000000004"/>
    <n v="0"/>
  </r>
  <r>
    <d v="2025-07-30T00:00:00"/>
    <x v="20"/>
    <x v="15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8"/>
    <n v="21513.800000000003"/>
    <n v="0"/>
    <n v="21513.800000000003"/>
    <n v="0"/>
    <n v="21513.800000000003"/>
    <n v="0"/>
  </r>
  <r>
    <d v="2025-07-30T00:00:00"/>
    <x v="20"/>
    <x v="15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8"/>
    <n v="5378.4500000000007"/>
    <n v="0"/>
    <n v="5378.4500000000007"/>
    <n v="0"/>
    <n v="5378.4500000000007"/>
    <n v="0"/>
  </r>
  <r>
    <s v="ประมาณการ"/>
    <x v="3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0"/>
    <n v="0"/>
    <n v="100000"/>
    <n v="0"/>
    <n v="105000"/>
    <x v="8"/>
    <n v="104775.00000000001"/>
    <n v="56666"/>
    <n v="48109.000000000015"/>
    <n v="0"/>
    <n v="104775.00000000001"/>
    <n v="0"/>
  </r>
  <r>
    <s v="ประมาณการ"/>
    <x v="3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3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0363"/>
    <n v="0"/>
    <n v="110363"/>
    <n v="0"/>
    <n v="110363"/>
    <n v="0"/>
  </r>
  <r>
    <d v="2025-06-17T00:00:00"/>
    <x v="21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8"/>
    <n v="0"/>
    <n v="0"/>
    <n v="0"/>
    <n v="0"/>
    <n v="0"/>
    <n v="0"/>
  </r>
  <r>
    <d v="2025-06-17T00:00:00"/>
    <x v="22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6-19T00:00:00"/>
    <x v="2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8"/>
    <n v="0"/>
    <n v="0"/>
    <n v="0"/>
    <n v="0"/>
    <n v="0"/>
    <n v="0"/>
  </r>
  <r>
    <d v="2025-05-19T00:00:00"/>
    <x v="24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8"/>
    <n v="0"/>
    <n v="0"/>
    <n v="0"/>
    <n v="0"/>
    <n v="0"/>
    <n v="0"/>
  </r>
  <r>
    <d v="2025-05-19T00:00:00"/>
    <x v="25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8"/>
    <n v="0"/>
    <n v="0"/>
    <n v="0"/>
    <n v="0"/>
    <n v="0"/>
    <n v="0"/>
  </r>
  <r>
    <d v="2025-05-19T00:00:00"/>
    <x v="2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8"/>
    <n v="0"/>
    <n v="0"/>
    <n v="0"/>
    <n v="0"/>
    <n v="0"/>
    <n v="0"/>
  </r>
  <r>
    <d v="2025-05-19T00:00:00"/>
    <x v="15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5-19T00:00:00"/>
    <x v="27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8"/>
    <n v="0"/>
    <n v="0"/>
    <n v="0"/>
    <n v="0"/>
    <n v="0"/>
    <n v="0"/>
  </r>
  <r>
    <d v="2025-07-12T00:00:00"/>
    <x v="28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5041"/>
    <n v="0"/>
    <n v="5250"/>
    <n v="0"/>
    <x v="8"/>
    <n v="0"/>
    <n v="0"/>
    <n v="0"/>
    <n v="0"/>
    <n v="0"/>
    <n v="0"/>
  </r>
  <r>
    <d v="2025-05-22T00:00:00"/>
    <x v="30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840"/>
    <n v="160"/>
    <n v="8450"/>
    <n v="0"/>
    <x v="8"/>
    <n v="0"/>
    <n v="0"/>
    <n v="0"/>
    <n v="0"/>
    <n v="0"/>
    <s v="ห้ามขาด-ห้ามเกิน"/>
  </r>
  <r>
    <d v="2025-07-12T00:00:00"/>
    <x v="31"/>
    <x v="14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n v="0"/>
  </r>
  <r>
    <d v="2025-05-21T00:00:00"/>
    <x v="32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6-02T00:00:00"/>
    <x v="33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1-17T00:00:00"/>
    <x v="3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3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3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3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37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8"/>
    <n v="0"/>
    <n v="0"/>
    <n v="0"/>
    <n v="0"/>
    <n v="0"/>
    <n v="0"/>
  </r>
  <r>
    <d v="2025-03-04T00:00:00"/>
    <x v="20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8"/>
    <n v="0"/>
    <n v="0"/>
    <n v="0"/>
    <n v="0"/>
    <n v="0"/>
    <n v="0"/>
  </r>
  <r>
    <d v="2025-03-04T00:00:00"/>
    <x v="20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8"/>
    <n v="0"/>
    <n v="0"/>
    <n v="0"/>
    <n v="0"/>
    <n v="0"/>
    <n v="0"/>
  </r>
  <r>
    <d v="2024-09-06T00:00:00"/>
    <x v="38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39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358889.3000000001"/>
    <n v="67869.94"/>
    <n v="291019.3600000001"/>
    <n v="11203.939999999999"/>
    <n v="347685.3600000001"/>
    <s v="ระบุในSD"/>
  </r>
  <r>
    <s v="ประมาณการ"/>
    <x v="3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13157.00000000001"/>
    <n v="0"/>
    <n v="113157.00000000001"/>
    <n v="0"/>
    <n v="0"/>
    <s v="ระบุในSD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0"/>
    <n v="10000"/>
    <n v="9984"/>
    <n v="16.8"/>
    <x v="10"/>
    <n v="17.602200000000003"/>
    <n v="17.60220000000000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10"/>
    <n v="0"/>
    <n v="0"/>
    <n v="0"/>
    <n v="0"/>
    <n v="0"/>
    <s v="ห้ามขาด-ห้ามเกิน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2480"/>
    <n v="0"/>
    <n v="62480"/>
    <n v="0"/>
    <n v="65604"/>
    <x v="10"/>
    <n v="65463.420000000013"/>
    <n v="65463.42000000001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42240"/>
    <n v="42240"/>
    <n v="0"/>
    <n v="76256"/>
    <n v="0"/>
    <x v="10"/>
    <n v="0"/>
    <n v="0"/>
    <n v="0"/>
    <n v="0"/>
    <n v="0"/>
    <s v="ห้ามขาด-ห้ามเกิน"/>
  </r>
  <r>
    <d v="2025-07-24T00:00:00"/>
    <x v="42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24000"/>
    <n v="0"/>
    <n v="124000"/>
    <n v="0"/>
    <n v="130200"/>
    <x v="10"/>
    <n v="133385.56000000003"/>
    <n v="62295"/>
    <n v="71090.560000000027"/>
    <n v="0"/>
    <n v="0"/>
    <s v="หนองบุญมาก"/>
  </r>
  <r>
    <d v="2025-07-24T00:00:00"/>
    <x v="43"/>
    <x v="19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8000"/>
    <n v="0"/>
    <n v="28000"/>
    <n v="0"/>
    <n v="29400"/>
    <x v="10"/>
    <n v="30119.320000000003"/>
    <n v="0"/>
    <n v="30119.320000000003"/>
    <n v="0"/>
    <n v="0"/>
    <s v="หนองบุญมาก"/>
  </r>
  <r>
    <d v="2025-07-24T00:00:00"/>
    <x v="44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4"/>
    <x v="19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0"/>
    <n v="5378.4500000000007"/>
    <n v="0"/>
    <n v="5378.4500000000007"/>
    <n v="0"/>
    <n v="0"/>
    <s v="หนองบุญมาก"/>
  </r>
  <r>
    <d v="2025-07-24T00:00:00"/>
    <x v="45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5"/>
    <x v="19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0"/>
    <n v="14000"/>
    <n v="0"/>
    <n v="14700"/>
    <x v="10"/>
    <n v="15059.660000000002"/>
    <n v="0"/>
    <n v="15059.660000000002"/>
    <n v="0"/>
    <n v="0"/>
    <s v="หนองบุญมาก"/>
  </r>
  <r>
    <s v="ประมาณการ"/>
    <x v="3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50000"/>
    <n v="0"/>
    <n v="250000"/>
    <n v="0"/>
    <n v="262500"/>
    <x v="10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26421.17220000003"/>
    <n v="127776.02220000001"/>
    <n v="398645.15"/>
    <n v="0"/>
    <n v="0"/>
    <s v="ระบุในSD"/>
  </r>
  <r>
    <d v="2025-07-29T00:00:00"/>
    <x v="46"/>
    <x v="20"/>
    <s v="กัสโซ่ฟีด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1991"/>
    <n v="3387.4500000000007"/>
    <n v="0"/>
  </r>
  <r>
    <d v="2025-07-29T00:00:00"/>
    <x v="46"/>
    <x v="20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0"/>
    <n v="10500"/>
    <x v="11"/>
    <n v="10756.900000000001"/>
    <n v="10756.900000000001"/>
    <n v="0"/>
    <n v="0"/>
    <n v="10756.900000000001"/>
    <n v="0"/>
  </r>
  <r>
    <d v="2025-07-29T00:00:00"/>
    <x v="47"/>
    <x v="21"/>
    <s v="เมอรี่ 882S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0"/>
    <n v="5378.4500000000007"/>
    <n v="0"/>
  </r>
  <r>
    <s v="ประมาณการ"/>
    <x v="3"/>
    <x v="20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2"/>
    <n v="40000"/>
    <n v="0"/>
    <n v="40000"/>
    <n v="0"/>
    <n v="42000"/>
    <x v="11"/>
    <n v="43027.600000000006"/>
    <n v="43027.600000000006"/>
    <n v="0"/>
    <n v="0"/>
    <n v="43027.600000000006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300000"/>
    <n v="0"/>
    <n v="300000"/>
    <n v="0"/>
    <n v="315000"/>
    <x v="11"/>
    <n v="322707"/>
    <n v="159370"/>
    <n v="163337"/>
    <n v="0"/>
    <n v="322707"/>
    <n v="0"/>
  </r>
  <r>
    <s v="ประมาณการ"/>
    <x v="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48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49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0"/>
    <x v="14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4-12-02T00:00:00"/>
    <x v="5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1"/>
    <n v="8605.52"/>
    <n v="4000"/>
    <n v="4605.5200000000004"/>
    <n v="0"/>
    <n v="8605.52"/>
    <n v="0"/>
  </r>
  <r>
    <d v="2024-12-05T00:00:00"/>
    <x v="52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d v="2024-12-05T00:00:00"/>
    <x v="5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s v="ประมาณการ"/>
    <x v="3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1"/>
    <n v="11595.1"/>
    <n v="0"/>
    <n v="11595.1"/>
    <n v="0"/>
    <n v="11595.1"/>
    <n v="0"/>
  </r>
  <r>
    <d v="2023-05-20T00:00:00"/>
    <x v="54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473078.26390000008"/>
    <n v="253600.41390000004"/>
    <n v="219477.85"/>
    <n v="1991"/>
    <n v="471087.26390000008"/>
    <s v="ระบุในSD"/>
  </r>
  <r>
    <d v="2025-07-22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2"/>
    <n v="5518.15"/>
    <n v="5518.15"/>
    <n v="0"/>
    <n v="1715"/>
    <n v="3803.1499999999996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2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35274.25"/>
    <n v="10108.15"/>
    <n v="25166.100000000002"/>
    <n v="1715"/>
    <n v="3803.1499999999996"/>
    <s v="ระบุในSD"/>
  </r>
  <r>
    <s v="ประมาณการ"/>
    <x v="3"/>
    <x v="25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3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9918.7000000000007"/>
    <n v="0"/>
    <n v="9918.7000000000007"/>
    <n v="0"/>
    <n v="0"/>
    <n v="0"/>
  </r>
  <r>
    <d v="2025-03-11T00:00:00"/>
    <x v="55"/>
    <x v="22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4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.5100000000002"/>
    <n v="1159.5100000000002"/>
    <n v="0"/>
    <n v="1159.5100000000002"/>
    <n v="0"/>
    <s v="ระบุในSD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2908.9558832378875"/>
    <n v="0"/>
    <n v="2908.9558832378875"/>
    <s v="300แบน"/>
    <x v="5"/>
    <n v="100000"/>
    <n v="10674"/>
    <n v="89326"/>
    <n v="0"/>
    <n v="93792.3"/>
    <x v="15"/>
    <n v="96087.084940000001"/>
    <n v="27186"/>
    <n v="68901.084940000001"/>
    <n v="0"/>
    <n v="0"/>
    <s v="สั่งเวียดนามสำเร็จรูปทั้งหมด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5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567108.07076000003"/>
    <n v="27186"/>
    <n v="539922.07076000003"/>
    <n v="0"/>
    <n v="0"/>
    <s v="ระบุในSD"/>
  </r>
  <r>
    <s v="ประมาณการ"/>
    <x v="3"/>
    <x v="27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16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9499.6"/>
    <n v="5790"/>
    <n v="3709.6000000000004"/>
    <n v="0"/>
    <n v="0"/>
    <s v="ระบุในSD"/>
  </r>
  <r>
    <d v="2025-07-15T00:00:00"/>
    <x v="57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0"/>
    <n v="0"/>
    <n v="0"/>
    <n v="0"/>
    <n v="0"/>
    <s v="ระบุในSD"/>
  </r>
  <r>
    <s v="ประมาณการ"/>
    <x v="3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2433.3"/>
    <n v="12433.3"/>
    <n v="0"/>
    <n v="0"/>
    <n v="0"/>
    <s v="ระบุในSD"/>
  </r>
  <r>
    <d v="2025-07-23T00:00:00"/>
    <x v="58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15000"/>
    <n v="15000"/>
    <n v="0"/>
    <n v="0"/>
    <n v="0"/>
    <x v="19"/>
    <n v="0"/>
    <n v="0"/>
    <n v="0"/>
    <n v="0"/>
    <n v="0"/>
    <s v="ห้ามขาด-เกินได้5%"/>
  </r>
  <r>
    <d v="2025-07-23T00:00:00"/>
    <x v="59"/>
    <x v="23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5"/>
    <n v="10000"/>
    <n v="1291"/>
    <n v="8709"/>
    <n v="4313"/>
    <n v="5971.35"/>
    <x v="19"/>
    <n v="7424.3585954999999"/>
    <n v="7424.3585954999999"/>
    <n v="0"/>
    <n v="7424.3585954999999"/>
    <n v="0"/>
    <s v="ห้ามขาด-เกินได้5%"/>
  </r>
  <r>
    <d v="2025-06-24T00:00:00"/>
    <x v="60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3000"/>
    <n v="17000"/>
    <n v="0"/>
    <n v="17850"/>
    <x v="19"/>
    <n v="21136.61"/>
    <n v="19371"/>
    <n v="1765.6100000000006"/>
    <n v="19371"/>
    <n v="1765.6100000000006"/>
    <s v="ห้ามขาด-เกินได้5%"/>
  </r>
  <r>
    <d v="2025-07-23T00:00:00"/>
    <x v="61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9"/>
    <n v="18649.949999999997"/>
    <n v="1983"/>
    <n v="16666.949999999997"/>
    <n v="1983"/>
    <n v="16666.949999999997"/>
    <s v="ห้ามขาด-เกินได้5%"/>
  </r>
  <r>
    <s v="ประมาณการ"/>
    <x v="3"/>
    <x v="23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19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72077.518595500005"/>
    <n v="28778.358595500002"/>
    <n v="43299.159999999996"/>
    <n v="28778.358595500002"/>
    <n v="43299.159999999996"/>
    <s v="ระบุในSD"/>
  </r>
  <r>
    <s v="ประมาณการ"/>
    <x v="3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0"/>
    <n v="6775.4500000000007"/>
    <n v="6775.4500000000007"/>
    <n v="0"/>
    <n v="0"/>
    <n v="6775.4500000000007"/>
    <n v="0"/>
  </r>
  <r>
    <d v="2025-07-19T00:00:00"/>
    <x v="62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0"/>
    <n v="59372.5"/>
    <n v="23669"/>
    <n v="357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30444.45"/>
    <n v="35703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outline="0" fieldPosition="0">
        <references count="1">
          <reference field="4294967294" count="1" selected="0">
            <x v="3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5A4C-F5F4-4E1A-B7C3-3DF3A3EBA0BA}" name="PivotTable2" cacheId="1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64">
        <item x="1"/>
        <item x="54"/>
        <item x="3"/>
        <item x="36"/>
        <item x="38"/>
        <item x="39"/>
        <item x="20"/>
        <item x="56"/>
        <item x="35"/>
        <item x="51"/>
        <item x="52"/>
        <item x="53"/>
        <item x="34"/>
        <item x="37"/>
        <item x="55"/>
        <item x="11"/>
        <item x="26"/>
        <item x="12"/>
        <item x="24"/>
        <item x="25"/>
        <item x="30"/>
        <item x="21"/>
        <item x="22"/>
        <item x="29"/>
        <item x="15"/>
        <item x="27"/>
        <item x="32"/>
        <item x="33"/>
        <item x="50"/>
        <item x="23"/>
        <item x="60"/>
        <item x="0"/>
        <item x="2"/>
        <item x="4"/>
        <item x="5"/>
        <item x="6"/>
        <item x="7"/>
        <item x="8"/>
        <item x="9"/>
        <item x="10"/>
        <item x="13"/>
        <item x="14"/>
        <item x="16"/>
        <item x="17"/>
        <item x="19"/>
        <item x="28"/>
        <item x="31"/>
        <item x="40"/>
        <item x="41"/>
        <item x="48"/>
        <item x="49"/>
        <item x="57"/>
        <item x="58"/>
        <item x="59"/>
        <item x="61"/>
        <item x="62"/>
        <item x="18"/>
        <item x="42"/>
        <item x="43"/>
        <item x="44"/>
        <item x="45"/>
        <item x="46"/>
        <item x="47"/>
        <item t="default"/>
      </items>
    </pivotField>
    <pivotField axis="axisPage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15"/>
        <item x="25"/>
        <item x="3"/>
        <item x="24"/>
        <item x="4"/>
        <item x="5"/>
        <item x="9"/>
        <item x="8"/>
        <item x="18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x="2"/>
        <item h="1" x="6"/>
        <item h="1" x="7"/>
        <item h="1" x="15"/>
        <item h="1" x="8"/>
        <item h="1" x="9"/>
        <item h="1" x="4"/>
        <item h="1" x="0"/>
        <item h="1" x="10"/>
        <item h="1" x="16"/>
        <item h="1" x="11"/>
        <item h="1" x="13"/>
        <item h="1" x="5"/>
        <item h="1" x="12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1"/>
    </i>
    <i>
      <x v="4"/>
    </i>
    <i>
      <x v="7"/>
    </i>
    <i>
      <x v="8"/>
    </i>
    <i>
      <x v="9"/>
    </i>
    <i>
      <x v="16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outline="0" fieldPosition="0">
        <references count="2">
          <reference field="4294967294" count="1" selected="0">
            <x v="3"/>
          </reference>
          <reference field="25" count="1" selected="0">
            <x v="15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1" selected="0">
            <x v="13"/>
          </reference>
        </references>
      </pivotArea>
    </format>
    <format dxfId="54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8"/>
            <x v="9"/>
            <x v="11"/>
            <x v="12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F210-6C56-4ECA-821A-77B1430C1AEB}" name="PivotTable2" cacheId="11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8">
        <item h="1" x="1"/>
        <item x="57"/>
        <item h="1" x="3"/>
        <item x="38"/>
        <item x="41"/>
        <item x="42"/>
        <item x="40"/>
        <item x="60"/>
        <item x="37"/>
        <item x="54"/>
        <item x="55"/>
        <item x="56"/>
        <item x="36"/>
        <item x="21"/>
        <item x="39"/>
        <item x="59"/>
        <item x="13"/>
        <item x="28"/>
        <item x="15"/>
        <item x="26"/>
        <item x="27"/>
        <item x="32"/>
        <item x="23"/>
        <item x="24"/>
        <item x="31"/>
        <item x="18"/>
        <item x="29"/>
        <item x="34"/>
        <item x="35"/>
        <item x="48"/>
        <item x="53"/>
        <item x="58"/>
        <item x="25"/>
        <item x="64"/>
        <item x="0"/>
        <item x="2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9"/>
        <item x="20"/>
        <item x="22"/>
        <item x="30"/>
        <item x="33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5"/>
        <item x="66"/>
        <item t="default"/>
      </items>
    </pivotField>
    <pivotField axis="axisRow" compact="0" outline="0" subtotalTop="0" showAll="0">
      <items count="33">
        <item x="1"/>
        <item x="11"/>
        <item x="24"/>
        <item x="17"/>
        <item x="28"/>
        <item x="21"/>
        <item x="8"/>
        <item x="13"/>
        <item x="16"/>
        <item x="15"/>
        <item x="23"/>
        <item x="29"/>
        <item x="31"/>
        <item x="30"/>
        <item x="14"/>
        <item x="27"/>
        <item x="3"/>
        <item x="26"/>
        <item x="5"/>
        <item x="6"/>
        <item x="10"/>
        <item x="9"/>
        <item x="19"/>
        <item x="25"/>
        <item x="2"/>
        <item x="12"/>
        <item x="18"/>
        <item x="0"/>
        <item x="4"/>
        <item x="7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3"/>
        <item h="1" x="17"/>
        <item x="6"/>
        <item x="7"/>
        <item x="2"/>
        <item x="8"/>
        <item h="1" x="9"/>
        <item h="1" x="10"/>
        <item h="1" x="18"/>
        <item h="1" x="11"/>
        <item h="1" x="12"/>
        <item h="1" x="4"/>
        <item h="1" x="0"/>
        <item h="1" x="13"/>
        <item h="1" x="19"/>
        <item h="1" x="14"/>
        <item h="1" x="16"/>
        <item h="1" x="5"/>
        <item h="1" x="1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4"/>
        <item x="6"/>
        <item x="8"/>
        <item x="5"/>
        <item x="7"/>
        <item x="11"/>
        <item x="12"/>
        <item x="9"/>
        <item x="10"/>
        <item x="14"/>
        <item x="13"/>
        <item x="15"/>
        <item x="19"/>
        <item x="18"/>
        <item x="16"/>
        <item x="20"/>
        <item x="21"/>
        <item x="22"/>
        <item x="23"/>
        <item x="24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1"/>
      <x v="24"/>
    </i>
    <i t="default">
      <x v="1"/>
    </i>
    <i>
      <x v="2"/>
      <x v="28"/>
    </i>
    <i t="default">
      <x v="2"/>
    </i>
    <i>
      <x v="5"/>
      <x v="1"/>
    </i>
    <i t="default">
      <x v="5"/>
    </i>
    <i>
      <x v="8"/>
      <x v="25"/>
    </i>
    <i t="default">
      <x v="8"/>
    </i>
    <i>
      <x v="9"/>
      <x v="30"/>
    </i>
    <i t="default">
      <x v="9"/>
    </i>
    <i>
      <x v="10"/>
      <x v="1"/>
    </i>
    <i r="1">
      <x v="7"/>
    </i>
    <i t="default">
      <x v="10"/>
    </i>
    <i>
      <x v="11"/>
      <x v="7"/>
    </i>
    <i r="1">
      <x v="14"/>
    </i>
    <i t="default">
      <x v="11"/>
    </i>
    <i>
      <x v="13"/>
      <x v="31"/>
    </i>
    <i t="default">
      <x v="13"/>
    </i>
    <i>
      <x v="14"/>
      <x v="28"/>
    </i>
    <i t="default">
      <x v="14"/>
    </i>
    <i>
      <x v="20"/>
      <x v="13"/>
    </i>
    <i t="default">
      <x v="20"/>
    </i>
    <i>
      <x v="22"/>
      <x v="2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1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outline="0" fieldPosition="0">
        <references count="1">
          <reference field="24" count="0" defaultSubtotal="1"/>
        </references>
      </pivotArea>
    </format>
    <format dxfId="45">
      <pivotArea dataOnly="0" outline="0" fieldPosition="0">
        <references count="1">
          <reference field="24" count="0" defaultSubtotal="1"/>
        </references>
      </pivotArea>
    </format>
    <format dxfId="44">
      <pivotArea dataOnly="0" outline="0" fieldPosition="0">
        <references count="1">
          <reference field="24" count="0" defaultSubtotal="1"/>
        </references>
      </pivotArea>
    </format>
    <format dxfId="43">
      <pivotArea dataOnly="0" outline="0" fieldPosition="0">
        <references count="1">
          <reference field="1" count="1">
            <x v="11"/>
          </reference>
        </references>
      </pivotArea>
    </format>
    <format dxfId="42">
      <pivotArea dataOnly="0" outline="0" fieldPosition="0">
        <references count="1">
          <reference field="1" count="1">
            <x v="16"/>
          </reference>
        </references>
      </pivotArea>
    </format>
    <format dxfId="41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40">
      <pivotArea dataOnly="0" labelOnly="1" outline="0" fieldPosition="0">
        <references count="1">
          <reference field="24" count="1">
            <x v="22"/>
          </reference>
        </references>
      </pivotArea>
    </format>
    <format dxfId="39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38">
      <pivotArea dataOnly="0" labelOnly="1" outline="0" fieldPosition="0">
        <references count="1">
          <reference field="24" count="1">
            <x v="19"/>
          </reference>
        </references>
      </pivotArea>
    </format>
    <format dxfId="37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6">
      <pivotArea dataOnly="0" labelOnly="1" outline="0" fieldPosition="0">
        <references count="1">
          <reference field="24" count="1">
            <x v="18"/>
          </reference>
        </references>
      </pivotArea>
    </format>
    <format dxfId="35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4">
      <pivotArea dataOnly="0" labelOnly="1" outline="0" fieldPosition="0">
        <references count="1">
          <reference field="24" count="1">
            <x v="12"/>
          </reference>
        </references>
      </pivotArea>
    </format>
    <format dxfId="33">
      <pivotArea dataOnly="0" labelOnly="1" outline="0" fieldPosition="0">
        <references count="1">
          <reference field="24" count="1">
            <x v="10"/>
          </reference>
        </references>
      </pivotArea>
    </format>
    <format dxfId="32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31">
      <pivotArea dataOnly="0" labelOnly="1" outline="0" fieldPosition="0">
        <references count="1">
          <reference field="24" count="1">
            <x v="6"/>
          </reference>
        </references>
      </pivotArea>
    </format>
    <format dxfId="30">
      <pivotArea dataOnly="0" labelOnly="1" outline="0" fieldPosition="0">
        <references count="1">
          <reference field="24" count="1">
            <x v="4"/>
          </reference>
        </references>
      </pivotArea>
    </format>
    <format dxfId="29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1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4" count="0" defaultSubtotal="1"/>
        </references>
      </pivotArea>
    </format>
    <format dxfId="25">
      <pivotArea dataOnly="0" outline="0" fieldPosition="0">
        <references count="1">
          <reference field="24" count="0" defaultSubtotal="1"/>
        </references>
      </pivotArea>
    </format>
    <format dxfId="2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16D1D-0F73-4EC1-8EE8-BE79EDF7ABD8}" name="PivotTable2" cacheId="1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64">
        <item h="1" x="1"/>
        <item x="54"/>
        <item h="1" x="3"/>
        <item x="36"/>
        <item x="38"/>
        <item x="39"/>
        <item x="20"/>
        <item x="56"/>
        <item x="35"/>
        <item x="51"/>
        <item x="52"/>
        <item x="53"/>
        <item x="34"/>
        <item x="37"/>
        <item x="55"/>
        <item x="11"/>
        <item x="26"/>
        <item x="12"/>
        <item x="15"/>
        <item x="27"/>
        <item x="24"/>
        <item x="25"/>
        <item x="30"/>
        <item x="29"/>
        <item x="32"/>
        <item x="21"/>
        <item x="22"/>
        <item x="33"/>
        <item x="50"/>
        <item x="23"/>
        <item x="60"/>
        <item x="0"/>
        <item x="2"/>
        <item x="4"/>
        <item x="5"/>
        <item x="6"/>
        <item x="7"/>
        <item x="8"/>
        <item x="9"/>
        <item x="10"/>
        <item x="13"/>
        <item x="14"/>
        <item x="16"/>
        <item x="17"/>
        <item x="19"/>
        <item x="28"/>
        <item x="31"/>
        <item x="40"/>
        <item x="41"/>
        <item x="48"/>
        <item x="49"/>
        <item x="57"/>
        <item x="58"/>
        <item x="59"/>
        <item x="61"/>
        <item x="62"/>
        <item x="18"/>
        <item x="42"/>
        <item x="43"/>
        <item x="44"/>
        <item x="45"/>
        <item x="46"/>
        <item x="47"/>
        <item t="default"/>
      </items>
    </pivotField>
    <pivotField axis="axisPage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25"/>
        <item x="3"/>
        <item x="24"/>
        <item x="4"/>
        <item x="5"/>
        <item x="9"/>
        <item x="18"/>
        <item x="8"/>
        <item x="15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h="1" x="2"/>
        <item x="6"/>
        <item x="7"/>
        <item x="15"/>
        <item x="8"/>
        <item x="9"/>
        <item x="4"/>
        <item x="0"/>
        <item x="10"/>
        <item x="16"/>
        <item x="11"/>
        <item x="13"/>
        <item x="5"/>
        <item x="12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1">
    <i>
      <x/>
    </i>
    <i>
      <x v="3"/>
    </i>
    <i>
      <x v="4"/>
    </i>
    <i>
      <x v="8"/>
    </i>
    <i>
      <x v="9"/>
    </i>
    <i>
      <x v="11"/>
    </i>
    <i>
      <x v="12"/>
    </i>
    <i>
      <x v="14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outline="0" fieldPosition="0">
        <references count="2">
          <reference field="4294967294" count="1" selected="0">
            <x v="3"/>
          </reference>
          <reference field="25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1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outline="0" fieldPosition="0">
        <references count="1">
          <reference field="24" count="0" defaultSubtotal="1"/>
        </references>
      </pivotArea>
    </format>
    <format dxfId="14">
      <pivotArea dataOnly="0" outline="0" fieldPosition="0">
        <references count="1">
          <reference field="24" count="0" defaultSubtotal="1"/>
        </references>
      </pivotArea>
    </format>
    <format dxfId="1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119D-F19B-4AD6-B258-C7CF924DBCCE}" name="PivotTable2" cacheId="1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4">
        <item h="1" x="1"/>
        <item h="1" x="54"/>
        <item x="3"/>
        <item h="1" x="36"/>
        <item h="1" x="38"/>
        <item h="1" x="39"/>
        <item h="1" x="20"/>
        <item h="1" x="56"/>
        <item h="1" x="35"/>
        <item h="1" x="51"/>
        <item h="1" x="52"/>
        <item h="1" x="53"/>
        <item h="1" x="34"/>
        <item h="1" x="37"/>
        <item h="1" x="55"/>
        <item h="1" x="11"/>
        <item h="1" x="26"/>
        <item h="1" x="12"/>
        <item h="1" x="15"/>
        <item h="1" x="27"/>
        <item h="1" x="24"/>
        <item h="1" x="25"/>
        <item h="1" x="30"/>
        <item h="1" x="29"/>
        <item h="1" x="32"/>
        <item h="1" x="21"/>
        <item h="1" x="22"/>
        <item h="1" x="33"/>
        <item h="1" x="50"/>
        <item h="1" x="23"/>
        <item h="1" x="60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3"/>
        <item h="1" x="14"/>
        <item h="1" x="16"/>
        <item h="1" x="17"/>
        <item h="1" x="18"/>
        <item h="1" x="19"/>
        <item h="1" x="28"/>
        <item h="1" x="31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7"/>
        <item h="1" x="58"/>
        <item h="1" x="59"/>
        <item h="1" x="61"/>
        <item h="1" x="62"/>
        <item t="default"/>
      </items>
    </pivotField>
    <pivotField axis="axisRow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25"/>
        <item x="3"/>
        <item x="24"/>
        <item x="4"/>
        <item x="5"/>
        <item x="9"/>
        <item x="18"/>
        <item x="8"/>
        <item x="15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h="1" x="2"/>
        <item x="6"/>
        <item x="7"/>
        <item x="15"/>
        <item x="8"/>
        <item x="9"/>
        <item x="4"/>
        <item x="0"/>
        <item x="10"/>
        <item x="16"/>
        <item x="11"/>
        <item x="13"/>
        <item x="5"/>
        <item x="12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6"/>
      <x v="6"/>
    </i>
    <i r="1">
      <x v="19"/>
    </i>
    <i r="1">
      <x v="21"/>
    </i>
    <i t="default">
      <x v="6"/>
    </i>
    <i>
      <x v="8"/>
      <x v="7"/>
    </i>
    <i t="default">
      <x v="8"/>
    </i>
    <i>
      <x v="9"/>
      <x v="3"/>
    </i>
    <i r="1">
      <x v="7"/>
    </i>
    <i r="1">
      <x v="9"/>
    </i>
    <i t="default">
      <x v="9"/>
    </i>
    <i>
      <x v="11"/>
      <x v="10"/>
    </i>
    <i r="1">
      <x v="28"/>
    </i>
    <i t="default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dataOnly="0" outline="0" fieldPosition="0">
        <references count="1">
          <reference field="25" count="0" defaultSubtotal="1"/>
        </references>
      </pivotArea>
    </format>
    <format dxfId="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H569" sqref="H56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3" t="s">
        <v>52</v>
      </c>
      <c r="F3" s="83"/>
      <c r="G3" s="84">
        <v>10.31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1" t="s">
        <v>46</v>
      </c>
      <c r="AA4" s="82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45868</v>
      </c>
      <c r="B7" s="14" t="str">
        <f>[2]หน้าผ้า!B16</f>
        <v>MK68-000933</v>
      </c>
      <c r="C7" s="9" t="str">
        <f>[2]หน้าผ้า!E16</f>
        <v>บจก.มารีน ลีดเดอร์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24</v>
      </c>
      <c r="O7" s="9">
        <f>[2]หน้าผ้า!V16</f>
        <v>40</v>
      </c>
      <c r="P7" s="10">
        <f>[2]หน้าผ้า!AB16</f>
        <v>71.052244991999984</v>
      </c>
      <c r="Q7" s="10">
        <f>[2]หน้าผ้า!AC16</f>
        <v>0</v>
      </c>
      <c r="R7" s="10">
        <f>[2]หน้าผ้า!AD16</f>
        <v>71.052244991999984</v>
      </c>
      <c r="S7" s="9" t="str">
        <f>[2]หน้าผ้า!Z16</f>
        <v>500กระสอบแบน</v>
      </c>
      <c r="T7" s="12">
        <f>[2]หน้าผ้า!X16</f>
        <v>45882</v>
      </c>
      <c r="U7" s="11">
        <f>[2]หน้าผ้า!AA16</f>
        <v>8000</v>
      </c>
      <c r="V7" s="10">
        <f>[2]หน้าผ้า!AJ16</f>
        <v>0</v>
      </c>
      <c r="W7" s="10">
        <f>[2]หน้าผ้า!AL16</f>
        <v>8000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5252.72</v>
      </c>
      <c r="AB7" s="8">
        <f>[2]หน้าผ้า!AR16</f>
        <v>5252.72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5252.72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P9</v>
      </c>
      <c r="AI7" s="1">
        <f>[2]หน้าผ้า!DM16</f>
        <v>3</v>
      </c>
      <c r="AJ7" s="3">
        <f>[2]หน้าผ้า!DN16</f>
        <v>45882</v>
      </c>
      <c r="AK7" s="3">
        <f>[2]หน้าผ้า!DQ16</f>
        <v>45878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45879</v>
      </c>
      <c r="AP7" s="3">
        <f>[2]หน้าผ้า!DP16</f>
        <v>45877</v>
      </c>
      <c r="AQ7" s="3">
        <f>[2]หน้าผ้า!DW16</f>
        <v>45880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45860</v>
      </c>
      <c r="B8" s="14" t="str">
        <f>[2]หน้าผ้า!B17</f>
        <v>MK68-000920</v>
      </c>
      <c r="C8" s="9" t="str">
        <f>[2]หน้าผ้า!E17</f>
        <v>หจก.ปึงเป้งน้ำ</v>
      </c>
      <c r="D8" s="13" t="str">
        <f>[2]หน้าผ้า!F17</f>
        <v>เกลือตรามือ 10กก.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42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 t="str">
        <f>[2]หน้าผ้า!T17</f>
        <v>ไม่สวมถุงใน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 t="str">
        <f>[2]หน้าผ้า!Z17</f>
        <v>500กระสอบแบน</v>
      </c>
      <c r="T8" s="12">
        <f>[2]หน้าผ้า!X17</f>
        <v>45884</v>
      </c>
      <c r="U8" s="11">
        <f>[2]หน้าผ้า!AA17</f>
        <v>10000</v>
      </c>
      <c r="V8" s="10">
        <f>[2]หน้าผ้า!AJ17</f>
        <v>0</v>
      </c>
      <c r="W8" s="10">
        <f>[2]หน้าผ้า!AL17</f>
        <v>10000</v>
      </c>
      <c r="X8" s="10">
        <f>[2]หน้าผ้า!AM17</f>
        <v>0</v>
      </c>
      <c r="Y8" s="10">
        <f>[2]หน้าผ้า!AN17</f>
        <v>10500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6565.9000000000005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P6</v>
      </c>
      <c r="AI8" s="1">
        <f>[2]หน้าผ้า!DM17</f>
        <v>4</v>
      </c>
      <c r="AJ8" s="3">
        <f>[2]หน้าผ้า!DN17</f>
        <v>45884</v>
      </c>
      <c r="AK8" s="3">
        <f>[2]หน้าผ้า!DQ17</f>
        <v>45880</v>
      </c>
      <c r="AL8" s="3">
        <f>[2]หน้าผ้า!DR17</f>
        <v>45873</v>
      </c>
      <c r="AM8" s="3">
        <f>[2]หน้าผ้า!DS17</f>
        <v>45881</v>
      </c>
      <c r="AN8" s="3">
        <f>[2]หน้าผ้า!DT17</f>
        <v>45882</v>
      </c>
      <c r="AO8" s="3">
        <f>[2]หน้าผ้า!DU17</f>
        <v>45883</v>
      </c>
      <c r="AP8" s="3">
        <f>[2]หน้าผ้า!DP17</f>
        <v>45879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14</v>
      </c>
      <c r="F9" s="9">
        <f>[2]หน้าผ้า!H18</f>
        <v>22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36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WSWT1425800</v>
      </c>
      <c r="AA9" s="8">
        <f>[2]หน้าผ้า!AQ18</f>
        <v>11818.62</v>
      </c>
      <c r="AB9" s="8">
        <f>[2]หน้าผ้า!AR18</f>
        <v>11818.62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11818.62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WRWT140800/WRWT25800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45842</v>
      </c>
      <c r="B10" s="14" t="str">
        <f>[2]หน้าผ้า!B19</f>
        <v>MK68-000868</v>
      </c>
      <c r="C10" s="9" t="str">
        <f>[2]หน้าผ้า!E19</f>
        <v>พีมินเนอร์</v>
      </c>
      <c r="D10" s="13" t="str">
        <f>[2]หน้าผ้า!F19</f>
        <v>พี-มินเนอร์ นิวพลัส</v>
      </c>
      <c r="E10" s="9">
        <f>[2]หน้าผ้า!G19</f>
        <v>16</v>
      </c>
      <c r="F10" s="9">
        <f>[2]หน้าผ้า!H19</f>
        <v>28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56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>
        <f>[2]หน้าผ้า!T19</f>
        <v>19</v>
      </c>
      <c r="N10" s="9">
        <f>[2]หน้าผ้า!U19</f>
        <v>31</v>
      </c>
      <c r="O10" s="9">
        <f>[2]หน้าผ้า!V19</f>
        <v>40</v>
      </c>
      <c r="P10" s="10">
        <f>[2]หน้าผ้า!AB19</f>
        <v>1.1334313331327999</v>
      </c>
      <c r="Q10" s="10">
        <f>[2]หน้าผ้า!AC19</f>
        <v>0</v>
      </c>
      <c r="R10" s="10">
        <f>[2]หน้าผ้า!AD19</f>
        <v>1.1334313331327999</v>
      </c>
      <c r="S10" s="9" t="str">
        <f>[2]หน้าผ้า!Z19</f>
        <v>500กระสอบ</v>
      </c>
      <c r="T10" s="12" t="str">
        <f>[2]หน้าผ้า!X19</f>
        <v>รอส่ง</v>
      </c>
      <c r="U10" s="11">
        <f>[2]หน้าผ้า!AA19</f>
        <v>4000</v>
      </c>
      <c r="V10" s="10">
        <f>[2]หน้าผ้า!AJ19</f>
        <v>3922</v>
      </c>
      <c r="W10" s="10">
        <f>[2]หน้าผ้า!AL19</f>
        <v>78</v>
      </c>
      <c r="X10" s="10">
        <f>[2]หน้าผ้า!AM19</f>
        <v>5295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รอส่ง รอลูกค้ามารับเอง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รอส่ง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 xml:space="preserve"> /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 t="str">
        <f>[2]หน้าผ้า!C20</f>
        <v>ประมาณการ</v>
      </c>
      <c r="B11" s="14" t="str">
        <f>[2]หน้าผ้า!B20</f>
        <v>ประมาณการ</v>
      </c>
      <c r="C11" s="9" t="str">
        <f>[2]หน้าผ้า!E20</f>
        <v>บจก.ซัน ซีเมนต์ โพรเซส</v>
      </c>
      <c r="D11" s="13" t="str">
        <f>[2]หน้าผ้า!F20</f>
        <v>พระอาทิตย์(ปูนนอน-ชริงค์)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 t="str">
        <f>[2]หน้าผ้า!J20</f>
        <v>ใส</v>
      </c>
      <c r="I11" s="9">
        <f>[2]หน้าผ้า!L20</f>
        <v>50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บิด</v>
      </c>
      <c r="M11" s="10">
        <f>[2]หน้าผ้า!T20</f>
        <v>19</v>
      </c>
      <c r="N11" s="9">
        <f>[2]หน้าผ้า!U20</f>
        <v>28</v>
      </c>
      <c r="O11" s="9">
        <f>[2]หน้าผ้า!V20</f>
        <v>40</v>
      </c>
      <c r="P11" s="10">
        <f>[2]หน้าผ้า!AB20</f>
        <v>65.624642943999987</v>
      </c>
      <c r="Q11" s="10">
        <f>[2]หน้าผ้า!AC20</f>
        <v>0</v>
      </c>
      <c r="R11" s="10">
        <f>[2]หน้าผ้า!AD20</f>
        <v>65.624642943999987</v>
      </c>
      <c r="S11" s="9" t="str">
        <f>[2]หน้าผ้า!Z20</f>
        <v>500กระสอบ</v>
      </c>
      <c r="T11" s="12" t="str">
        <f>[2]หน้าผ้า!X20</f>
        <v>รอแจ้ง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>
        <f>[2]หน้าผ้า!AI20</f>
        <v>0</v>
      </c>
      <c r="AG11" s="1" t="str">
        <f>[3]หน้าผ้า!DC23</f>
        <v>พร้อมส่ง</v>
      </c>
      <c r="AH11" s="1" t="str">
        <f>[2]หน้าผ้า!DL20</f>
        <v>P8</v>
      </c>
      <c r="AI11" s="1">
        <f>[2]หน้าผ้า!DM20</f>
        <v>4</v>
      </c>
      <c r="AJ11" s="3" t="str">
        <f>[2]หน้าผ้า!DN20</f>
        <v>รอแจ้ง</v>
      </c>
      <c r="AK11" s="3" t="e">
        <f>[2]หน้าผ้า!DQ20</f>
        <v>#VALUE!</v>
      </c>
      <c r="AL11" s="3" t="e">
        <f>[2]หน้าผ้า!DR20</f>
        <v>#VALUE!</v>
      </c>
      <c r="AM11" s="3" t="e">
        <f>[2]หน้าผ้า!DS20</f>
        <v>#VALUE!</v>
      </c>
      <c r="AN11" s="3" t="e">
        <f>[2]หน้าผ้า!DT20</f>
        <v>#VALUE!</v>
      </c>
      <c r="AO11" s="3" t="e">
        <f>[2]หน้าผ้า!DU20</f>
        <v>#VALUE!</v>
      </c>
      <c r="AP11" s="3" t="e">
        <f>[2]หน้าผ้า!DP20</f>
        <v>#VALUE!</v>
      </c>
      <c r="AQ11" s="3" t="e">
        <f>[2]หน้าผ้า!DW20</f>
        <v>#VALUE!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งานเคลือบ+พิมพ์</v>
      </c>
      <c r="AX11" s="2" t="str">
        <f>[2]หน้าผ้า!ED20</f>
        <v>รอART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210.60551111111116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 t="str">
        <f>[2]หน้าผ้า!F21</f>
        <v xml:space="preserve"> 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WSWT1625800SM</v>
      </c>
      <c r="AA12" s="8">
        <f>[2]หน้าผ้า!AQ21</f>
        <v>3702.0499999999997</v>
      </c>
      <c r="AB12" s="8">
        <f>[2]หน้าผ้า!AR21</f>
        <v>0</v>
      </c>
      <c r="AC12" s="8">
        <f>[2]หน้าผ้า!AS21</f>
        <v>3702.0499999999997</v>
      </c>
      <c r="AD12" s="8">
        <f>[2]หน้าผ้า!AT21</f>
        <v>0</v>
      </c>
      <c r="AE12" s="8">
        <f>[2]หน้าผ้า!AU21</f>
        <v>3702.0499999999997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WSWT1621720SMFX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WRWT160720/WRWT21720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 t="e">
        <f>[2]หน้าผ้า!AQ24</f>
        <v>#REF!</v>
      </c>
      <c r="AB15" s="8" t="e">
        <f>[2]หน้าผ้า!AR24</f>
        <v>#REF!</v>
      </c>
      <c r="AC15" s="8" t="e">
        <f>[2]หน้าผ้า!AS24</f>
        <v>#REF!</v>
      </c>
      <c r="AD15" s="8" t="e">
        <f>[2]หน้าผ้า!AT24</f>
        <v>#REF!</v>
      </c>
      <c r="AE15" s="8" t="e">
        <f>[2]หน้าผ้า!AU24</f>
        <v>#REF!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45873</v>
      </c>
      <c r="B16" s="14" t="str">
        <f>[2]หน้าผ้า!B25</f>
        <v>MK68-000958</v>
      </c>
      <c r="C16" s="9" t="str">
        <f>[2]หน้าผ้า!E25</f>
        <v>คุณสมยศ กิตตินราภรณ์</v>
      </c>
      <c r="D16" s="13" t="str">
        <f>[2]หน้าผ้า!F25</f>
        <v>กุ้งปลา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45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28</v>
      </c>
      <c r="O16" s="9">
        <f>[2]หน้าผ้า!V25</f>
        <v>40</v>
      </c>
      <c r="P16" s="10">
        <f>[2]หน้าผ้า!AB25</f>
        <v>65.624642943999987</v>
      </c>
      <c r="Q16" s="10">
        <f>[2]หน้าผ้า!AC25</f>
        <v>0</v>
      </c>
      <c r="R16" s="10">
        <f>[2]หน้าผ้า!AD25</f>
        <v>65.624642943999987</v>
      </c>
      <c r="S16" s="9" t="str">
        <f>[2]หน้าผ้า!Z25</f>
        <v>500กระสอบ</v>
      </c>
      <c r="T16" s="12">
        <f>[2]หน้าผ้า!X25</f>
        <v>45883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</v>
      </c>
      <c r="AA16" s="8">
        <f>[2]หน้าผ้า!AQ25</f>
        <v>3702.0499999999997</v>
      </c>
      <c r="AB16" s="8">
        <f>[2]หน้าผ้า!AR25</f>
        <v>3702.0499999999997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45883</v>
      </c>
      <c r="AK16" s="3">
        <f>[2]หน้าผ้า!DQ25</f>
        <v>0</v>
      </c>
      <c r="AL16" s="3">
        <f>[2]หน้าผ้า!DR25</f>
        <v>45873</v>
      </c>
      <c r="AM16" s="3">
        <f>[2]หน้าผ้า!DS25</f>
        <v>45880</v>
      </c>
      <c r="AN16" s="3">
        <f>[2]หน้าผ้า!DT25</f>
        <v>45881</v>
      </c>
      <c r="AO16" s="3">
        <f>[2]หน้าผ้า!DU25</f>
        <v>45881</v>
      </c>
      <c r="AP16" s="3">
        <f>[2]หน้าผ้า!DP25</f>
        <v>45878</v>
      </c>
      <c r="AQ16" s="3">
        <f>[2]หน้าผ้า!DW25</f>
        <v>45882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บจก.ฟาร์เธอร์ส วิง ซัพพลาย</v>
      </c>
      <c r="D17" s="13" t="str">
        <f>[2]หน้าผ้า!F26</f>
        <v>รถไฟ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40</v>
      </c>
      <c r="P17" s="10">
        <f>[2]หน้าผ้า!AB26</f>
        <v>232.02998755199997</v>
      </c>
      <c r="Q17" s="10">
        <f>[2]หน้าผ้า!AC26</f>
        <v>0</v>
      </c>
      <c r="R17" s="10">
        <f>[2]หน้าผ้า!AD26</f>
        <v>232.02998755199997</v>
      </c>
      <c r="S17" s="9" t="str">
        <f>[2]หน้าผ้า!Z26</f>
        <v>500กระสอบ</v>
      </c>
      <c r="T17" s="12" t="str">
        <f>[2]หน้าผ้า!X26</f>
        <v>รอแจ้ง</v>
      </c>
      <c r="U17" s="11">
        <f>[2]หน้าผ้า!AA26</f>
        <v>15000</v>
      </c>
      <c r="V17" s="10">
        <f>[2]หน้าผ้า!AJ26</f>
        <v>0</v>
      </c>
      <c r="W17" s="10">
        <f>[2]หน้าผ้า!AL26</f>
        <v>15000</v>
      </c>
      <c r="X17" s="10">
        <f>[2]หน้าผ้า!AM26</f>
        <v>0</v>
      </c>
      <c r="Y17" s="10">
        <f>[2]หน้าผ้า!AN26</f>
        <v>15750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2599</v>
      </c>
      <c r="AC17" s="8">
        <f>[2]หน้าผ้า!AS26</f>
        <v>10602.65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 t="str">
        <f>[2]หน้าผ้า!DN26</f>
        <v>รอแจ้ง</v>
      </c>
      <c r="AK17" s="3">
        <f>[2]หน้าผ้า!DQ26</f>
        <v>0</v>
      </c>
      <c r="AL17" s="3" t="e">
        <f>[2]หน้าผ้า!DR26</f>
        <v>#VALUE!</v>
      </c>
      <c r="AM17" s="3" t="e">
        <f>[2]หน้าผ้า!DS26</f>
        <v>#VALUE!</v>
      </c>
      <c r="AN17" s="3" t="e">
        <f>[2]หน้าผ้า!DT26</f>
        <v>#VALUE!</v>
      </c>
      <c r="AO17" s="3" t="e">
        <f>[2]หน้าผ้า!DU26</f>
        <v>#VALUE!</v>
      </c>
      <c r="AP17" s="3" t="e">
        <f>[2]หน้าผ้า!DP26</f>
        <v>#VALUE!</v>
      </c>
      <c r="AQ17" s="3" t="e">
        <f>[2]หน้าผ้า!DW26</f>
        <v>#VALUE!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729.46232000000009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16903.7</v>
      </c>
      <c r="AB18" s="8">
        <f>[2]หน้าผ้า!AR27</f>
        <v>6301.0499999999993</v>
      </c>
      <c r="AC18" s="8">
        <f>[2]หน้าผ้า!AS27</f>
        <v>10602.65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45860</v>
      </c>
      <c r="B19" s="14" t="str">
        <f>[2]หน้าผ้า!B28</f>
        <v>MK68-000917</v>
      </c>
      <c r="C19" s="9" t="str">
        <f>[2]หน้าผ้า!E28</f>
        <v>บจก.ซิเบลโก้(บางเลน)</v>
      </c>
      <c r="D19" s="13" t="str">
        <f>[2]หน้าผ้า!F28</f>
        <v>PORTARYTE B15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45883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0</v>
      </c>
      <c r="Y19" s="10">
        <f>[2]หน้าผ้า!AN28</f>
        <v>10500</v>
      </c>
      <c r="Z19" s="9" t="str">
        <f>[2]หน้าผ้า!AO28</f>
        <v>WSWT1825800SM</v>
      </c>
      <c r="AA19" s="8">
        <f>[2]หน้าผ้า!AQ28</f>
        <v>8801.1</v>
      </c>
      <c r="AB19" s="8">
        <f>[2]หน้าผ้า!AR28</f>
        <v>8801.1</v>
      </c>
      <c r="AC19" s="8">
        <f>[2]หน้าผ้า!AS28</f>
        <v>0</v>
      </c>
      <c r="AD19" s="8">
        <f>[2]หน้าผ้า!AT28</f>
        <v>2648</v>
      </c>
      <c r="AE19" s="8">
        <f>[2]หน้าผ้า!AU28</f>
        <v>6153.1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45883</v>
      </c>
      <c r="AK19" s="3">
        <f>[2]หน้าผ้า!DQ28</f>
        <v>45879</v>
      </c>
      <c r="AL19" s="3">
        <f>[2]หน้าผ้า!DR28</f>
        <v>45872</v>
      </c>
      <c r="AM19" s="3">
        <f>[2]หน้าผ้า!DS28</f>
        <v>45880</v>
      </c>
      <c r="AN19" s="3">
        <f>[2]หน้าผ้า!DT28</f>
        <v>45881</v>
      </c>
      <c r="AO19" s="3">
        <f>[2]หน้าผ้า!DU28</f>
        <v>45882</v>
      </c>
      <c r="AP19" s="3">
        <f>[2]หน้าผ้า!DP28</f>
        <v>45878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>
        <f>[2]หน้าผ้า!AQ29</f>
        <v>8801.1</v>
      </c>
      <c r="AB20" s="8">
        <f>[2]หน้าผ้า!AR29</f>
        <v>8801.1</v>
      </c>
      <c r="AC20" s="8">
        <f>[2]หน้าผ้า!AS29</f>
        <v>0</v>
      </c>
      <c r="AD20" s="8">
        <f>[2]หน้าผ้า!AT29</f>
        <v>2648</v>
      </c>
      <c r="AE20" s="8">
        <f>[2]หน้าผ้า!AU29</f>
        <v>6153.1</v>
      </c>
      <c r="AF20" s="8" t="str">
        <f>[2]หน้าผ้า!AI29</f>
        <v>ระบุในSD</v>
      </c>
      <c r="AG20" s="1" t="str">
        <f>[3]หน้าผ้า!DC32</f>
        <v>ยังไม่ได้พิมพ์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45870</v>
      </c>
      <c r="B21" s="14" t="str">
        <f>[2]หน้าผ้า!B30</f>
        <v>MK68-000951</v>
      </c>
      <c r="C21" s="9" t="str">
        <f>[2]หน้าผ้า!E30</f>
        <v>บจก.ซีแมน</v>
      </c>
      <c r="D21" s="13" t="str">
        <f>[2]หน้าผ้า!F30</f>
        <v>W30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1332.2295935999998</v>
      </c>
      <c r="Q21" s="10">
        <f>[2]หน้าผ้า!AC30</f>
        <v>0</v>
      </c>
      <c r="R21" s="10">
        <f>[2]หน้าผ้า!AD30</f>
        <v>1332.2295935999998</v>
      </c>
      <c r="S21" s="9" t="str">
        <f>[2]หน้าผ้า!Z30</f>
        <v>มัด100</v>
      </c>
      <c r="T21" s="12">
        <f>[2]หน้าผ้า!X30</f>
        <v>45889</v>
      </c>
      <c r="U21" s="11">
        <f>[2]หน้าผ้า!AA30</f>
        <v>40000</v>
      </c>
      <c r="V21" s="10">
        <f>[2]หน้าผ้า!AJ30</f>
        <v>0</v>
      </c>
      <c r="W21" s="10">
        <f>[2]หน้าผ้า!AL30</f>
        <v>40000</v>
      </c>
      <c r="X21" s="10">
        <f>[2]หน้าผ้า!AM30</f>
        <v>0</v>
      </c>
      <c r="Y21" s="10">
        <f>[2]หน้าผ้า!AN30</f>
        <v>42000</v>
      </c>
      <c r="Z21" s="9" t="str">
        <f>[2]หน้าผ้า!AO30</f>
        <v>WSWT1925800</v>
      </c>
      <c r="AA21" s="8">
        <f>[2]หน้าผ้า!AQ30</f>
        <v>32969.200000000004</v>
      </c>
      <c r="AB21" s="8">
        <f>[2]หน้าผ้า!AR30</f>
        <v>32969.200000000004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รอแบบ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45889</v>
      </c>
      <c r="AK21" s="3">
        <f>[2]หน้าผ้า!DQ30</f>
        <v>0</v>
      </c>
      <c r="AL21" s="3">
        <f>[2]หน้าผ้า!DR30</f>
        <v>45879</v>
      </c>
      <c r="AM21" s="3">
        <f>[2]หน้าผ้า!DS30</f>
        <v>45886</v>
      </c>
      <c r="AN21" s="3">
        <f>[2]หน้าผ้า!DT30</f>
        <v>45887</v>
      </c>
      <c r="AO21" s="3">
        <f>[2]หน้าผ้า!DU30</f>
        <v>45887</v>
      </c>
      <c r="AP21" s="3">
        <f>[2]หน้าผ้า!DP30</f>
        <v>45884</v>
      </c>
      <c r="AQ21" s="3">
        <f>[2]หน้าผ้า!DW30</f>
        <v>45888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45894</v>
      </c>
      <c r="U22" s="11">
        <f>[2]หน้าผ้า!AA31</f>
        <v>100000</v>
      </c>
      <c r="V22" s="10">
        <f>[2]หน้าผ้า!AJ31</f>
        <v>0</v>
      </c>
      <c r="W22" s="10">
        <f>[2]หน้าผ้า!AL31</f>
        <v>100000</v>
      </c>
      <c r="X22" s="10">
        <f>[2]หน้าผ้า!AM31</f>
        <v>0</v>
      </c>
      <c r="Y22" s="10">
        <f>[2]หน้าผ้า!AN31</f>
        <v>105000</v>
      </c>
      <c r="Z22" s="9" t="str">
        <f>[2]หน้าผ้า!AO31</f>
        <v>WSWT1925800</v>
      </c>
      <c r="AA22" s="8">
        <f>[2]หน้าผ้า!AQ31</f>
        <v>88010.999999999985</v>
      </c>
      <c r="AB22" s="8">
        <f>[2]หน้าผ้า!AR31</f>
        <v>56993</v>
      </c>
      <c r="AC22" s="8">
        <f>[2]หน้าผ้า!AS31</f>
        <v>31017.999999999985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45894</v>
      </c>
      <c r="AK22" s="3">
        <f>[2]หน้าผ้า!DQ31</f>
        <v>0</v>
      </c>
      <c r="AL22" s="3">
        <f>[2]หน้าผ้า!DR31</f>
        <v>45885</v>
      </c>
      <c r="AM22" s="3">
        <f>[2]หน้าผ้า!DS31</f>
        <v>45892</v>
      </c>
      <c r="AN22" s="3">
        <f>[2]หน้าผ้า!DT31</f>
        <v>45893</v>
      </c>
      <c r="AO22" s="3">
        <f>[2]หน้าผ้า!DU31</f>
        <v>45893</v>
      </c>
      <c r="AP22" s="3">
        <f>[2]หน้าผ้า!DP31</f>
        <v>45889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2252.5960888888881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45894</v>
      </c>
      <c r="U23" s="11">
        <f>[2]หน้าผ้า!AA32</f>
        <v>40000</v>
      </c>
      <c r="V23" s="10">
        <f>[2]หน้าผ้า!AJ32</f>
        <v>0</v>
      </c>
      <c r="W23" s="10">
        <f>[2]หน้าผ้า!AL32</f>
        <v>40000</v>
      </c>
      <c r="X23" s="10">
        <f>[2]หน้าผ้า!AM32</f>
        <v>0</v>
      </c>
      <c r="Y23" s="10">
        <f>[2]หน้าผ้า!AN32</f>
        <v>42000</v>
      </c>
      <c r="Z23" s="9" t="str">
        <f>[2]หน้าผ้า!AO32</f>
        <v>WSWT1925800</v>
      </c>
      <c r="AA23" s="8">
        <f>[2]หน้าผ้า!AQ32</f>
        <v>35204.400000000001</v>
      </c>
      <c r="AB23" s="8">
        <f>[2]หน้าผ้า!AR32</f>
        <v>0</v>
      </c>
      <c r="AC23" s="8">
        <f>[2]หน้าผ้า!AS32</f>
        <v>35204.400000000001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45894</v>
      </c>
      <c r="AK23" s="3">
        <f>[2]หน้าผ้า!DQ32</f>
        <v>0</v>
      </c>
      <c r="AL23" s="3">
        <f>[2]หน้าผ้า!DR32</f>
        <v>45885</v>
      </c>
      <c r="AM23" s="3">
        <f>[2]หน้าผ้า!DS32</f>
        <v>45892</v>
      </c>
      <c r="AN23" s="3">
        <f>[2]หน้าผ้า!DT32</f>
        <v>45893</v>
      </c>
      <c r="AO23" s="3">
        <f>[2]หน้าผ้า!DU32</f>
        <v>45893</v>
      </c>
      <c r="AP23" s="3">
        <f>[2]หน้าผ้า!DP32</f>
        <v>45889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2556.6217600000009</v>
      </c>
    </row>
    <row r="24" spans="1:56" ht="27.7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บจก.เอ็กเซลเล้นท์</v>
      </c>
      <c r="D24" s="13" t="str">
        <f>[2]หน้าผ้า!F33</f>
        <v>รอแบบ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45894</v>
      </c>
      <c r="U24" s="11">
        <f>[2]หน้าผ้า!AA33</f>
        <v>40000</v>
      </c>
      <c r="V24" s="10">
        <f>[2]หน้าผ้า!AJ33</f>
        <v>0</v>
      </c>
      <c r="W24" s="10">
        <f>[2]หน้าผ้า!AL33</f>
        <v>40000</v>
      </c>
      <c r="X24" s="10">
        <f>[2]หน้าผ้า!AM33</f>
        <v>0</v>
      </c>
      <c r="Y24" s="10">
        <f>[2]หน้าผ้า!AN33</f>
        <v>42000</v>
      </c>
      <c r="Z24" s="9" t="str">
        <f>[2]หน้าผ้า!AO33</f>
        <v>WSWT1925800</v>
      </c>
      <c r="AA24" s="8">
        <f>[2]หน้าผ้า!AQ33</f>
        <v>35204.400000000001</v>
      </c>
      <c r="AB24" s="8">
        <f>[2]หน้าผ้า!AR33</f>
        <v>0</v>
      </c>
      <c r="AC24" s="8">
        <f>[2]หน้าผ้า!AS33</f>
        <v>35204.400000000001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45894</v>
      </c>
      <c r="AK24" s="3">
        <f>[2]หน้าผ้า!DQ33</f>
        <v>0</v>
      </c>
      <c r="AL24" s="3">
        <f>[2]หน้าผ้า!DR33</f>
        <v>45885</v>
      </c>
      <c r="AM24" s="3">
        <f>[2]หน้าผ้า!DS33</f>
        <v>45892</v>
      </c>
      <c r="AN24" s="3">
        <f>[2]หน้าผ้า!DT33</f>
        <v>45893</v>
      </c>
      <c r="AO24" s="3">
        <f>[2]หน้าผ้า!DU33</f>
        <v>45893</v>
      </c>
      <c r="AP24" s="3">
        <f>[2]หน้าผ้า!DP33</f>
        <v>45889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2556.6217600000009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341.36903080895991</v>
      </c>
      <c r="Q25" s="10">
        <f>[2]หน้าผ้า!AC34</f>
        <v>0</v>
      </c>
      <c r="R25" s="10">
        <f>[2]หน้าผ้า!AD34</f>
        <v>341.36903080895991</v>
      </c>
      <c r="S25" s="9" t="str">
        <f>[2]หน้าผ้า!Z34</f>
        <v>500กระสอบแบน</v>
      </c>
      <c r="T25" s="12">
        <f>[2]หน้าผ้า!X34</f>
        <v>45894</v>
      </c>
      <c r="U25" s="11">
        <f>[2]หน้าผ้า!AA34</f>
        <v>20000</v>
      </c>
      <c r="V25" s="10">
        <f>[2]หน้าผ้า!AJ34</f>
        <v>233</v>
      </c>
      <c r="W25" s="10">
        <f>[2]หน้าผ้า!AL34</f>
        <v>19767</v>
      </c>
      <c r="X25" s="10">
        <f>[2]หน้าผ้า!AM34</f>
        <v>0</v>
      </c>
      <c r="Y25" s="10">
        <f>[2]หน้าผ้า!AN34</f>
        <v>20755.350000000002</v>
      </c>
      <c r="Z25" s="9" t="str">
        <f>[2]หน้าผ้า!AO34</f>
        <v>WSWT1925800</v>
      </c>
      <c r="AA25" s="8">
        <f>[2]หน้าผ้า!AQ34</f>
        <v>18501.714330000003</v>
      </c>
      <c r="AB25" s="8">
        <f>[2]หน้าผ้า!AR34</f>
        <v>0</v>
      </c>
      <c r="AC25" s="8">
        <f>[2]หน้าผ้า!AS34</f>
        <v>18501.714330000003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45894</v>
      </c>
      <c r="AK25" s="3">
        <f>[2]หน้าผ้า!DQ34</f>
        <v>0</v>
      </c>
      <c r="AL25" s="3">
        <f>[2]หน้าผ้า!DR34</f>
        <v>45884</v>
      </c>
      <c r="AM25" s="3">
        <f>[2]หน้าผ้า!DS34</f>
        <v>45891</v>
      </c>
      <c r="AN25" s="3">
        <f>[2]หน้าผ้า!DT34</f>
        <v>45892</v>
      </c>
      <c r="AO25" s="3">
        <f>[2]หน้าผ้า!DU34</f>
        <v>45892</v>
      </c>
      <c r="AP25" s="3">
        <f>[2]หน้าผ้า!DP34</f>
        <v>45889</v>
      </c>
      <c r="AQ25" s="3">
        <f>[2]หน้าผ้า!DW34</f>
        <v>45893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1343.6356095653334</v>
      </c>
    </row>
    <row r="26" spans="1:56" ht="27.75" customHeight="1" x14ac:dyDescent="0.45">
      <c r="A26" s="3">
        <f>[2]หน้าผ้า!C35</f>
        <v>0</v>
      </c>
      <c r="B26" s="14">
        <f>[2]หน้าผ้า!B35</f>
        <v>0</v>
      </c>
      <c r="C26" s="9">
        <f>[2]หน้าผ้า!E35</f>
        <v>0</v>
      </c>
      <c r="D26" s="13">
        <f>[2]หน้าผ้า!F35</f>
        <v>0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>
        <f>[2]หน้าผ้า!R35</f>
        <v>0</v>
      </c>
      <c r="M26" s="10">
        <f>[2]หน้าผ้า!T35</f>
        <v>0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>
        <f>[2]หน้าผ้า!Z35</f>
        <v>0</v>
      </c>
      <c r="T26" s="12">
        <f>[2]หน้าผ้า!X35</f>
        <v>0</v>
      </c>
      <c r="U26" s="11">
        <f>[2]หน้าผ้า!AA35</f>
        <v>0</v>
      </c>
      <c r="V26" s="10">
        <f>[2]หน้าผ้า!AJ35</f>
        <v>0</v>
      </c>
      <c r="W26" s="10">
        <f>[2]หน้าผ้า!AL35</f>
        <v>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WSWT1925800</v>
      </c>
      <c r="AA26" s="8">
        <f>[2]หน้าผ้า!AQ35</f>
        <v>209890.71432999999</v>
      </c>
      <c r="AB26" s="8">
        <f>[2]หน้าผ้า!AR35</f>
        <v>89962.200000000012</v>
      </c>
      <c r="AC26" s="8">
        <f>[2]หน้าผ้า!AS35</f>
        <v>119928.51432999999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ระบุในSD</v>
      </c>
      <c r="AG26" s="1" t="str">
        <f>[3]หน้าผ้า!DC38</f>
        <v>พร้อมส่ง</v>
      </c>
      <c r="AH26" s="1">
        <f>[2]หน้าผ้า!DL35</f>
        <v>0</v>
      </c>
      <c r="AI26" s="1" t="str">
        <f>[2]หน้าผ้า!DM35</f>
        <v>Lead time</v>
      </c>
      <c r="AJ26" s="3">
        <f>[2]หน้าผ้า!DN35</f>
        <v>0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0</v>
      </c>
      <c r="AP26" s="3">
        <f>[2]หน้าผ้า!DP35</f>
        <v>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>
        <f>[2]หน้าผ้า!EC35</f>
        <v>0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45854</v>
      </c>
      <c r="B27" s="14" t="str">
        <f>[2]หน้าผ้า!B36</f>
        <v>MK68-000890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ปลาโลมาเทา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45876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PDR250232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45876</v>
      </c>
      <c r="AK27" s="3">
        <f>[2]หน้าผ้า!DQ36</f>
        <v>0</v>
      </c>
      <c r="AL27" s="3">
        <f>[2]หน้าผ้า!DR36</f>
        <v>45867</v>
      </c>
      <c r="AM27" s="3">
        <f>[2]หน้าผ้า!DS36</f>
        <v>45874</v>
      </c>
      <c r="AN27" s="3">
        <f>[2]หน้าผ้า!DT36</f>
        <v>45875</v>
      </c>
      <c r="AO27" s="3">
        <f>[2]หน้าผ้า!DU36</f>
        <v>45875</v>
      </c>
      <c r="AP27" s="3">
        <f>[2]หน้าผ้า!DP36</f>
        <v>45871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45854</v>
      </c>
      <c r="B28" s="14" t="str">
        <f>[2]หน้าผ้า!B37</f>
        <v>MK68-000890</v>
      </c>
      <c r="C28" s="9" t="str">
        <f>[2]หน้าผ้า!E37</f>
        <v>บจก.เคอรี่ฟลาวมิลล์</v>
      </c>
      <c r="D28" s="13" t="str">
        <f>[2]หน้าผ้า!F37</f>
        <v>NHR-1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45876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5250</v>
      </c>
      <c r="Z28" s="9" t="str">
        <f>[2]หน้าผ้า!AO37</f>
        <v>WSWT1921720</v>
      </c>
      <c r="AA28" s="8">
        <f>[2]หน้าผ้า!AQ37</f>
        <v>4679.9500000000007</v>
      </c>
      <c r="AB28" s="8">
        <f>[2]หน้าผ้า!AR37</f>
        <v>4679.9500000000007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PDR250232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45876</v>
      </c>
      <c r="AK28" s="3">
        <f>[2]หน้าผ้า!DQ37</f>
        <v>0</v>
      </c>
      <c r="AL28" s="3">
        <f>[2]หน้าผ้า!DR37</f>
        <v>45867</v>
      </c>
      <c r="AM28" s="3">
        <f>[2]หน้าผ้า!DS37</f>
        <v>45874</v>
      </c>
      <c r="AN28" s="3">
        <f>[2]หน้าผ้า!DT37</f>
        <v>45875</v>
      </c>
      <c r="AO28" s="3">
        <f>[2]หน้าผ้า!DU37</f>
        <v>45875</v>
      </c>
      <c r="AP28" s="3">
        <f>[2]หน้าผ้า!DP37</f>
        <v>45871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45854</v>
      </c>
      <c r="B29" s="14" t="str">
        <f>[2]หน้าผ้า!B38</f>
        <v>MK68-000890</v>
      </c>
      <c r="C29" s="9" t="str">
        <f>[2]หน้าผ้า!E38</f>
        <v>บจก.เคอรี่ฟลาวมิลล์</v>
      </c>
      <c r="D29" s="13" t="str">
        <f>[2]หน้าผ้า!F38</f>
        <v>ถุงเงิน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45876</v>
      </c>
      <c r="U29" s="11">
        <f>[2]หน้าผ้า!AA38</f>
        <v>5000</v>
      </c>
      <c r="V29" s="10">
        <f>[2]หน้าผ้า!AJ38</f>
        <v>5000</v>
      </c>
      <c r="W29" s="10">
        <f>[2]หน้าผ้า!AL38</f>
        <v>0</v>
      </c>
      <c r="X29" s="10">
        <f>[2]หน้าผ้า!AM38</f>
        <v>5250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PDR250232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45876</v>
      </c>
      <c r="AK29" s="3">
        <f>[2]หน้าผ้า!DQ38</f>
        <v>0</v>
      </c>
      <c r="AL29" s="3">
        <f>[2]หน้าผ้า!DR38</f>
        <v>45867</v>
      </c>
      <c r="AM29" s="3">
        <f>[2]หน้าผ้า!DS38</f>
        <v>45874</v>
      </c>
      <c r="AN29" s="3">
        <f>[2]หน้าผ้า!DT38</f>
        <v>45875</v>
      </c>
      <c r="AO29" s="3">
        <f>[2]หน้าผ้า!DU38</f>
        <v>45875</v>
      </c>
      <c r="AP29" s="3">
        <f>[2]หน้าผ้า!DP38</f>
        <v>45871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45857</v>
      </c>
      <c r="B30" s="14" t="str">
        <f>[2]หน้าผ้า!B39</f>
        <v>MK68-000910</v>
      </c>
      <c r="C30" s="9" t="str">
        <f>[2]หน้าผ้า!E39</f>
        <v>บจก.เคอรี่ฟลาวมิลล์</v>
      </c>
      <c r="D30" s="13" t="str">
        <f>[2]หน้าผ้า!F39</f>
        <v>ถุงทองแซนวิช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45876</v>
      </c>
      <c r="U30" s="11">
        <f>[2]หน้าผ้า!AA39</f>
        <v>10000</v>
      </c>
      <c r="V30" s="10">
        <f>[2]หน้าผ้า!AJ39</f>
        <v>10000</v>
      </c>
      <c r="W30" s="10">
        <f>[2]หน้าผ้า!AL39</f>
        <v>0</v>
      </c>
      <c r="X30" s="10">
        <f>[2]หน้าผ้า!AM39</f>
        <v>10400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PDR250236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45876</v>
      </c>
      <c r="AK30" s="3">
        <f>[2]หน้าผ้า!DQ39</f>
        <v>0</v>
      </c>
      <c r="AL30" s="3">
        <f>[2]หน้าผ้า!DR39</f>
        <v>45867</v>
      </c>
      <c r="AM30" s="3">
        <f>[2]หน้าผ้า!DS39</f>
        <v>45874</v>
      </c>
      <c r="AN30" s="3">
        <f>[2]หน้าผ้า!DT39</f>
        <v>45875</v>
      </c>
      <c r="AO30" s="3">
        <f>[2]หน้าผ้า!DU39</f>
        <v>45875</v>
      </c>
      <c r="AP30" s="3">
        <f>[2]หน้าผ้า!DP39</f>
        <v>45871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45857</v>
      </c>
      <c r="B31" s="14" t="str">
        <f>[2]หน้าผ้า!B40</f>
        <v>MK68-000909</v>
      </c>
      <c r="C31" s="9" t="str">
        <f>[2]หน้าผ้า!E40</f>
        <v>บจก.เคอรี่ฟลาวมิลล์</v>
      </c>
      <c r="D31" s="13" t="str">
        <f>[2]หน้าผ้า!F40</f>
        <v>HARD FLOUR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45876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PDR250237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45876</v>
      </c>
      <c r="AK31" s="3">
        <f>[2]หน้าผ้า!DQ40</f>
        <v>0</v>
      </c>
      <c r="AL31" s="3">
        <f>[2]หน้าผ้า!DR40</f>
        <v>45867</v>
      </c>
      <c r="AM31" s="3">
        <f>[2]หน้าผ้า!DS40</f>
        <v>45874</v>
      </c>
      <c r="AN31" s="3">
        <f>[2]หน้าผ้า!DT40</f>
        <v>45875</v>
      </c>
      <c r="AO31" s="3">
        <f>[2]หน้าผ้า!DU40</f>
        <v>45875</v>
      </c>
      <c r="AP31" s="3">
        <f>[2]หน้าผ้า!DP40</f>
        <v>45871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45857</v>
      </c>
      <c r="B32" s="14" t="str">
        <f>[2]หน้าผ้า!B41</f>
        <v>MK68-000909</v>
      </c>
      <c r="C32" s="9" t="str">
        <f>[2]หน้าผ้า!E41</f>
        <v>บจก.เคอรี่ฟลาวมิลล์</v>
      </c>
      <c r="D32" s="13" t="str">
        <f>[2]หน้าผ้า!F41</f>
        <v>ปลาโลมาแดง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45876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5200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PDR250237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45876</v>
      </c>
      <c r="AK32" s="3">
        <f>[2]หน้าผ้า!DQ41</f>
        <v>0</v>
      </c>
      <c r="AL32" s="3">
        <f>[2]หน้าผ้า!DR41</f>
        <v>45867</v>
      </c>
      <c r="AM32" s="3">
        <f>[2]หน้าผ้า!DS41</f>
        <v>45874</v>
      </c>
      <c r="AN32" s="3">
        <f>[2]หน้าผ้า!DT41</f>
        <v>45875</v>
      </c>
      <c r="AO32" s="3">
        <f>[2]หน้าผ้า!DU41</f>
        <v>45875</v>
      </c>
      <c r="AP32" s="3">
        <f>[2]หน้าผ้า!DP41</f>
        <v>45871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45857</v>
      </c>
      <c r="B33" s="14" t="str">
        <f>[2]หน้าผ้า!B42</f>
        <v>MK68-000909</v>
      </c>
      <c r="C33" s="9" t="str">
        <f>[2]หน้าผ้า!E42</f>
        <v>บจก.เคอรี่ฟลาวมิลล์</v>
      </c>
      <c r="D33" s="13" t="str">
        <f>[2]หน้าผ้า!F42</f>
        <v>FW-Y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45876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5200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PDR250237</v>
      </c>
      <c r="AG33" s="1" t="str">
        <f>[3]หน้าผ้า!DC45</f>
        <v>ผ้าขาว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45876</v>
      </c>
      <c r="AK33" s="3">
        <f>[2]หน้าผ้า!DQ42</f>
        <v>0</v>
      </c>
      <c r="AL33" s="3">
        <f>[2]หน้าผ้า!DR42</f>
        <v>45867</v>
      </c>
      <c r="AM33" s="3">
        <f>[2]หน้าผ้า!DS42</f>
        <v>45874</v>
      </c>
      <c r="AN33" s="3">
        <f>[2]หน้าผ้า!DT42</f>
        <v>45875</v>
      </c>
      <c r="AO33" s="3">
        <f>[2]หน้าผ้า!DU42</f>
        <v>45875</v>
      </c>
      <c r="AP33" s="3">
        <f>[2]หน้าผ้า!DP42</f>
        <v>45871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45857</v>
      </c>
      <c r="B34" s="14" t="str">
        <f>[2]หน้าผ้า!B43</f>
        <v>MK68-000909</v>
      </c>
      <c r="C34" s="9" t="str">
        <f>[2]หน้าผ้า!E43</f>
        <v>บจก.เคอรี่ฟลาวมิลล์</v>
      </c>
      <c r="D34" s="13" t="str">
        <f>[2]หน้าผ้า!F43</f>
        <v>WHOLE WHEAT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45876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5500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PDR250237</v>
      </c>
      <c r="AG34" s="1" t="str">
        <f>[3]หน้าผ้า!DC46</f>
        <v>ผ้าขาว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45876</v>
      </c>
      <c r="AK34" s="3">
        <f>[2]หน้าผ้า!DQ43</f>
        <v>0</v>
      </c>
      <c r="AL34" s="3">
        <f>[2]หน้าผ้า!DR43</f>
        <v>45867</v>
      </c>
      <c r="AM34" s="3">
        <f>[2]หน้าผ้า!DS43</f>
        <v>45874</v>
      </c>
      <c r="AN34" s="3">
        <f>[2]หน้าผ้า!DT43</f>
        <v>45875</v>
      </c>
      <c r="AO34" s="3">
        <f>[2]หน้าผ้า!DU43</f>
        <v>45875</v>
      </c>
      <c r="AP34" s="3">
        <f>[2]หน้าผ้า!DP43</f>
        <v>45871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45854</v>
      </c>
      <c r="B35" s="14" t="str">
        <f>[2]หน้าผ้า!B44</f>
        <v>MK68-000890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45876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PDR250233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45876</v>
      </c>
      <c r="AK35" s="3">
        <f>[2]หน้าผ้า!DQ44</f>
        <v>0</v>
      </c>
      <c r="AL35" s="3">
        <f>[2]หน้าผ้า!DR44</f>
        <v>45867</v>
      </c>
      <c r="AM35" s="3">
        <f>[2]หน้าผ้า!DS44</f>
        <v>45874</v>
      </c>
      <c r="AN35" s="3">
        <f>[2]หน้าผ้า!DT44</f>
        <v>45875</v>
      </c>
      <c r="AO35" s="3">
        <f>[2]หน้าผ้า!DU44</f>
        <v>45875</v>
      </c>
      <c r="AP35" s="3">
        <f>[2]หน้าผ้า!DP44</f>
        <v>45871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45870</v>
      </c>
      <c r="B36" s="14" t="str">
        <f>[2]หน้าผ้า!B45</f>
        <v>MK68-000953</v>
      </c>
      <c r="C36" s="9" t="str">
        <f>[2]หน้าผ้า!E45</f>
        <v>บจก.เคอรี่ฟลาวมิลล์</v>
      </c>
      <c r="D36" s="13" t="str">
        <f>[2]หน้าผ้า!F45</f>
        <v>ไม่พิมพ์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45877</v>
      </c>
      <c r="U36" s="11">
        <f>[2]หน้าผ้า!AA45</f>
        <v>20000</v>
      </c>
      <c r="V36" s="10">
        <f>[2]หน้าผ้า!AJ45</f>
        <v>20000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พร้อมส่ง</v>
      </c>
      <c r="AH36" s="1" t="str">
        <f>[2]หน้าผ้า!DL45</f>
        <v>P3</v>
      </c>
      <c r="AI36" s="1">
        <f>[2]หน้าผ้า!DM45</f>
        <v>1</v>
      </c>
      <c r="AJ36" s="3">
        <f>[2]หน้าผ้า!DN45</f>
        <v>45877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45876</v>
      </c>
      <c r="AP36" s="3">
        <f>[2]หน้าผ้า!DP45</f>
        <v>45872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ตัด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45870</v>
      </c>
      <c r="B37" s="14" t="str">
        <f>[2]หน้าผ้า!B46</f>
        <v>MK68-000954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45877</v>
      </c>
      <c r="U37" s="11">
        <f>[2]หน้าผ้า!AA46</f>
        <v>20000</v>
      </c>
      <c r="V37" s="10">
        <f>[2]หน้าผ้า!AJ46</f>
        <v>10000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9359.9000000000015</v>
      </c>
      <c r="AB37" s="8">
        <f>[2]หน้าผ้า!AR46</f>
        <v>9359.9000000000015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P3</v>
      </c>
      <c r="AI37" s="1">
        <f>[2]หน้าผ้า!DM46</f>
        <v>1</v>
      </c>
      <c r="AJ37" s="3">
        <f>[2]หน้าผ้า!DN46</f>
        <v>45877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45876</v>
      </c>
      <c r="AP37" s="3">
        <f>[2]หน้าผ้า!DP46</f>
        <v>45872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ตัด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45857</v>
      </c>
      <c r="B38" s="14" t="str">
        <f>[2]หน้าผ้า!B47</f>
        <v>MK68-000909</v>
      </c>
      <c r="C38" s="9" t="str">
        <f>[2]หน้าผ้า!E47</f>
        <v>บจก.เคอรี่ฟลาวมิลล์</v>
      </c>
      <c r="D38" s="13" t="str">
        <f>[2]หน้าผ้า!F47</f>
        <v>BS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45878</v>
      </c>
      <c r="U38" s="11">
        <f>[2]หน้าผ้า!AA47</f>
        <v>5000</v>
      </c>
      <c r="V38" s="10">
        <f>[2]หน้าผ้า!AJ47</f>
        <v>4923</v>
      </c>
      <c r="W38" s="10">
        <f>[2]หน้าผ้า!AL47</f>
        <v>77</v>
      </c>
      <c r="X38" s="10">
        <f>[2]หน้าผ้า!AM47</f>
        <v>5250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PDR250243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45878</v>
      </c>
      <c r="AK38" s="3">
        <f>[2]หน้าผ้า!DQ47</f>
        <v>0</v>
      </c>
      <c r="AL38" s="3">
        <f>[2]หน้าผ้า!DR47</f>
        <v>45869</v>
      </c>
      <c r="AM38" s="3">
        <f>[2]หน้าผ้า!DS47</f>
        <v>45876</v>
      </c>
      <c r="AN38" s="3">
        <f>[2]หน้าผ้า!DT47</f>
        <v>45877</v>
      </c>
      <c r="AO38" s="3">
        <f>[2]หน้าผ้า!DU47</f>
        <v>45877</v>
      </c>
      <c r="AP38" s="3">
        <f>[2]หน้าผ้า!DP47</f>
        <v>45873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45854</v>
      </c>
      <c r="B39" s="14" t="str">
        <f>[2]หน้าผ้า!B48</f>
        <v>MK68-000890</v>
      </c>
      <c r="C39" s="9" t="str">
        <f>[2]หน้าผ้า!E48</f>
        <v>บจก.เคอรี่ฟลาวมิลล์</v>
      </c>
      <c r="D39" s="13" t="str">
        <f>[2]หน้าผ้า!F48</f>
        <v>ถุงเขียว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45878</v>
      </c>
      <c r="U39" s="11">
        <f>[2]หน้าผ้า!AA48</f>
        <v>10000</v>
      </c>
      <c r="V39" s="10">
        <f>[2]หน้าผ้า!AJ48</f>
        <v>9367</v>
      </c>
      <c r="W39" s="10">
        <f>[2]หน้าผ้า!AL48</f>
        <v>633</v>
      </c>
      <c r="X39" s="10">
        <f>[2]หน้าผ้า!AM48</f>
        <v>10300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PDR250233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45878</v>
      </c>
      <c r="AK39" s="3">
        <f>[2]หน้าผ้า!DQ48</f>
        <v>0</v>
      </c>
      <c r="AL39" s="3">
        <f>[2]หน้าผ้า!DR48</f>
        <v>45869</v>
      </c>
      <c r="AM39" s="3">
        <f>[2]หน้าผ้า!DS48</f>
        <v>45876</v>
      </c>
      <c r="AN39" s="3">
        <f>[2]หน้าผ้า!DT48</f>
        <v>45877</v>
      </c>
      <c r="AO39" s="3">
        <f>[2]หน้าผ้า!DU48</f>
        <v>45877</v>
      </c>
      <c r="AP39" s="3">
        <f>[2]หน้าผ้า!DP48</f>
        <v>45873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45857</v>
      </c>
      <c r="B40" s="14" t="str">
        <f>[2]หน้าผ้า!B49</f>
        <v>MK68-000909</v>
      </c>
      <c r="C40" s="9" t="str">
        <f>[2]หน้าผ้า!E49</f>
        <v>บจก.เคอรี่ฟลาวมิลล์</v>
      </c>
      <c r="D40" s="13" t="str">
        <f>[2]หน้าผ้า!F49</f>
        <v>บะหมี่เตี๊ยว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45878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PDR250238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45878</v>
      </c>
      <c r="AK40" s="3">
        <f>[2]หน้าผ้า!DQ49</f>
        <v>0</v>
      </c>
      <c r="AL40" s="3">
        <f>[2]หน้าผ้า!DR49</f>
        <v>45869</v>
      </c>
      <c r="AM40" s="3">
        <f>[2]หน้าผ้า!DS49</f>
        <v>45876</v>
      </c>
      <c r="AN40" s="3">
        <f>[2]หน้าผ้า!DT49</f>
        <v>45877</v>
      </c>
      <c r="AO40" s="3">
        <f>[2]หน้าผ้า!DU49</f>
        <v>45877</v>
      </c>
      <c r="AP40" s="3">
        <f>[2]หน้าผ้า!DP49</f>
        <v>45873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45857</v>
      </c>
      <c r="B41" s="14" t="str">
        <f>[2]หน้าผ้า!B50</f>
        <v>MK68-000909</v>
      </c>
      <c r="C41" s="9" t="str">
        <f>[2]หน้าผ้า!E50</f>
        <v>บจก.เคอรี่ฟลาวมิลล์</v>
      </c>
      <c r="D41" s="13" t="str">
        <f>[2]หน้าผ้า!F50</f>
        <v>ถุงทองแซนวิช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45878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9359.9000000000015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PDR250238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45878</v>
      </c>
      <c r="AK41" s="3">
        <f>[2]หน้าผ้า!DQ50</f>
        <v>0</v>
      </c>
      <c r="AL41" s="3">
        <f>[2]หน้าผ้า!DR50</f>
        <v>45869</v>
      </c>
      <c r="AM41" s="3">
        <f>[2]หน้าผ้า!DS50</f>
        <v>45876</v>
      </c>
      <c r="AN41" s="3">
        <f>[2]หน้าผ้า!DT50</f>
        <v>45877</v>
      </c>
      <c r="AO41" s="3">
        <f>[2]หน้าผ้า!DU50</f>
        <v>45877</v>
      </c>
      <c r="AP41" s="3">
        <f>[2]หน้าผ้า!DP50</f>
        <v>45873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45857</v>
      </c>
      <c r="B42" s="14" t="str">
        <f>[2]หน้าผ้า!B51</f>
        <v>MK68-000911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36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75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45883</v>
      </c>
      <c r="U42" s="11">
        <f>[2]หน้าผ้า!AA51</f>
        <v>10000</v>
      </c>
      <c r="V42" s="10">
        <f>[2]หน้าผ้า!AJ51</f>
        <v>10000</v>
      </c>
      <c r="W42" s="10">
        <f>[2]หน้าผ้า!AL51</f>
        <v>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PDR250239</v>
      </c>
      <c r="AG42" s="1" t="str">
        <f>[3]หน้าผ้า!DC54</f>
        <v>พร้อมส่ง</v>
      </c>
      <c r="AH42" s="1" t="str">
        <f>[2]หน้าผ้า!DL51</f>
        <v>P3</v>
      </c>
      <c r="AI42" s="1">
        <f>[2]หน้าผ้า!DM51</f>
        <v>1</v>
      </c>
      <c r="AJ42" s="3">
        <f>[2]หน้าผ้า!DN51</f>
        <v>45883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45882</v>
      </c>
      <c r="AP42" s="3">
        <f>[2]หน้าผ้า!DP51</f>
        <v>45878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45857</v>
      </c>
      <c r="B43" s="14" t="str">
        <f>[2]หน้าผ้า!B52</f>
        <v>MK68-000910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ดอกไม้ม่วง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45883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PDR250239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45883</v>
      </c>
      <c r="AK43" s="3">
        <f>[2]หน้าผ้า!DQ52</f>
        <v>0</v>
      </c>
      <c r="AL43" s="3">
        <f>[2]หน้าผ้า!DR52</f>
        <v>45874</v>
      </c>
      <c r="AM43" s="3">
        <f>[2]หน้าผ้า!DS52</f>
        <v>45881</v>
      </c>
      <c r="AN43" s="3">
        <f>[2]หน้าผ้า!DT52</f>
        <v>45882</v>
      </c>
      <c r="AO43" s="3">
        <f>[2]หน้าผ้า!DU52</f>
        <v>45882</v>
      </c>
      <c r="AP43" s="3">
        <f>[2]หน้าผ้า!DP52</f>
        <v>45878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45857</v>
      </c>
      <c r="B44" s="14" t="str">
        <f>[2]หน้าผ้า!B53</f>
        <v>MK68-000910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45883</v>
      </c>
      <c r="U44" s="11">
        <f>[2]หน้าผ้า!AA53</f>
        <v>5000</v>
      </c>
      <c r="V44" s="10">
        <f>[2]หน้าผ้า!AJ53</f>
        <v>5000</v>
      </c>
      <c r="W44" s="10">
        <f>[2]หน้าผ้า!AL53</f>
        <v>0</v>
      </c>
      <c r="X44" s="10">
        <f>[2]หน้าผ้า!AM53</f>
        <v>5199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PDR250239</v>
      </c>
      <c r="AG44" s="1" t="str">
        <f>[3]หน้าผ้า!DC56</f>
        <v>พร้อมส่ง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45883</v>
      </c>
      <c r="AK44" s="3">
        <f>[2]หน้าผ้า!DQ53</f>
        <v>0</v>
      </c>
      <c r="AL44" s="3">
        <f>[2]หน้าผ้า!DR53</f>
        <v>45874</v>
      </c>
      <c r="AM44" s="3">
        <f>[2]หน้าผ้า!DS53</f>
        <v>45881</v>
      </c>
      <c r="AN44" s="3">
        <f>[2]หน้าผ้า!DT53</f>
        <v>45882</v>
      </c>
      <c r="AO44" s="3">
        <f>[2]หน้าผ้า!DU53</f>
        <v>45882</v>
      </c>
      <c r="AP44" s="3">
        <f>[2]หน้าผ้า!DP53</f>
        <v>45878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45857</v>
      </c>
      <c r="B45" s="14" t="str">
        <f>[2]หน้าผ้า!B54</f>
        <v>MK68-000910</v>
      </c>
      <c r="C45" s="9" t="str">
        <f>[2]หน้าผ้า!E54</f>
        <v>บจก.เคอรี่ฟลาวมิลล์</v>
      </c>
      <c r="D45" s="13" t="str">
        <f>[2]หน้าผ้า!F54</f>
        <v>KFM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ไม่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45883</v>
      </c>
      <c r="U45" s="11">
        <f>[2]หน้าผ้า!AA54</f>
        <v>5000</v>
      </c>
      <c r="V45" s="10">
        <f>[2]หน้าผ้า!AJ54</f>
        <v>5000</v>
      </c>
      <c r="W45" s="10">
        <f>[2]หน้าผ้า!AL54</f>
        <v>0</v>
      </c>
      <c r="X45" s="10">
        <f>[2]หน้าผ้า!AM54</f>
        <v>5300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PDR250239</v>
      </c>
      <c r="AG45" s="1" t="str">
        <f>[3]หน้าผ้า!DC57</f>
        <v>พร้อมส่ง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45883</v>
      </c>
      <c r="AK45" s="3">
        <f>[2]หน้าผ้า!DQ54</f>
        <v>0</v>
      </c>
      <c r="AL45" s="3">
        <f>[2]หน้าผ้า!DR54</f>
        <v>45874</v>
      </c>
      <c r="AM45" s="3">
        <f>[2]หน้าผ้า!DS54</f>
        <v>45881</v>
      </c>
      <c r="AN45" s="3">
        <f>[2]หน้าผ้า!DT54</f>
        <v>45882</v>
      </c>
      <c r="AO45" s="3">
        <f>[2]หน้าผ้า!DU54</f>
        <v>45882</v>
      </c>
      <c r="AP45" s="3">
        <f>[2]หน้าผ้า!DP54</f>
        <v>45878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45857</v>
      </c>
      <c r="B46" s="14" t="str">
        <f>[2]หน้าผ้า!B55</f>
        <v>MK68-000910</v>
      </c>
      <c r="C46" s="9" t="str">
        <f>[2]หน้าผ้า!E55</f>
        <v>บจก.เคอรี่ฟลาวมิลล์</v>
      </c>
      <c r="D46" s="13" t="str">
        <f>[2]หน้าผ้า!F55</f>
        <v>ถุงทองแซนวิช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45885</v>
      </c>
      <c r="U46" s="11">
        <f>[2]หน้าผ้า!AA55</f>
        <v>10000</v>
      </c>
      <c r="V46" s="10">
        <f>[2]หน้าผ้า!AJ55</f>
        <v>0</v>
      </c>
      <c r="W46" s="10">
        <f>[2]หน้าผ้า!AL55</f>
        <v>10000</v>
      </c>
      <c r="X46" s="10">
        <f>[2]หน้าผ้า!AM55</f>
        <v>0</v>
      </c>
      <c r="Y46" s="10">
        <f>[2]หน้าผ้า!AN55</f>
        <v>10500</v>
      </c>
      <c r="Z46" s="9" t="str">
        <f>[2]หน้าผ้า!AO55</f>
        <v>WSWT1921720</v>
      </c>
      <c r="AA46" s="8">
        <f>[2]หน้าผ้า!AQ55</f>
        <v>9359.9000000000015</v>
      </c>
      <c r="AB46" s="8">
        <f>[2]หน้าผ้า!AR55</f>
        <v>0</v>
      </c>
      <c r="AC46" s="8">
        <f>[2]หน้าผ้า!AS55</f>
        <v>9359.9000000000015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PDR250240</v>
      </c>
      <c r="AG46" s="1" t="str">
        <f>[3]หน้าผ้า!DC58</f>
        <v>พร้อมส่ง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45885</v>
      </c>
      <c r="AK46" s="3">
        <f>[2]หน้าผ้า!DQ55</f>
        <v>0</v>
      </c>
      <c r="AL46" s="3">
        <f>[2]หน้าผ้า!DR55</f>
        <v>45876</v>
      </c>
      <c r="AM46" s="3">
        <f>[2]หน้าผ้า!DS55</f>
        <v>45883</v>
      </c>
      <c r="AN46" s="3">
        <f>[2]หน้าผ้า!DT55</f>
        <v>45884</v>
      </c>
      <c r="AO46" s="3">
        <f>[2]หน้าผ้า!DU55</f>
        <v>45884</v>
      </c>
      <c r="AP46" s="3">
        <f>[2]หน้าผ้า!DP55</f>
        <v>45880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705.02926755555563</v>
      </c>
    </row>
    <row r="47" spans="1:56" ht="27.75" customHeight="1" x14ac:dyDescent="0.45">
      <c r="A47" s="3">
        <f>[2]หน้าผ้า!C56</f>
        <v>45857</v>
      </c>
      <c r="B47" s="14" t="str">
        <f>[2]หน้าผ้า!B56</f>
        <v>MK68-000910</v>
      </c>
      <c r="C47" s="9" t="str">
        <f>[2]หน้าผ้า!E56</f>
        <v>บจก.เคอรี่ฟลาวมิลล์</v>
      </c>
      <c r="D47" s="13" t="str">
        <f>[2]หน้าผ้า!F56</f>
        <v>ถุงเงิน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45885</v>
      </c>
      <c r="U47" s="11">
        <f>[2]หน้าผ้า!AA56</f>
        <v>5000</v>
      </c>
      <c r="V47" s="10">
        <f>[2]หน้าผ้า!AJ56</f>
        <v>5000</v>
      </c>
      <c r="W47" s="10">
        <f>[2]หน้าผ้า!AL56</f>
        <v>0</v>
      </c>
      <c r="X47" s="10">
        <f>[2]หน้าผ้า!AM56</f>
        <v>5250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PDR250240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45885</v>
      </c>
      <c r="AK47" s="3">
        <f>[2]หน้าผ้า!DQ56</f>
        <v>0</v>
      </c>
      <c r="AL47" s="3">
        <f>[2]หน้าผ้า!DR56</f>
        <v>45876</v>
      </c>
      <c r="AM47" s="3">
        <f>[2]หน้าผ้า!DS56</f>
        <v>45883</v>
      </c>
      <c r="AN47" s="3">
        <f>[2]หน้าผ้า!DT56</f>
        <v>45884</v>
      </c>
      <c r="AO47" s="3">
        <f>[2]หน้าผ้า!DU56</f>
        <v>45884</v>
      </c>
      <c r="AP47" s="3">
        <f>[2]หน้าผ้า!DP56</f>
        <v>45880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45857</v>
      </c>
      <c r="B48" s="14" t="str">
        <f>[2]หน้าผ้า!B57</f>
        <v>MK68-000910</v>
      </c>
      <c r="C48" s="9" t="str">
        <f>[2]หน้าผ้า!E57</f>
        <v>บจก.เคอรี่ฟลาวมิลล์</v>
      </c>
      <c r="D48" s="13" t="str">
        <f>[2]หน้าผ้า!F57</f>
        <v>ปลาโลมาแดง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45885</v>
      </c>
      <c r="U48" s="11">
        <f>[2]หน้าผ้า!AA57</f>
        <v>5000</v>
      </c>
      <c r="V48" s="10">
        <f>[2]หน้าผ้า!AJ57</f>
        <v>5000</v>
      </c>
      <c r="W48" s="10">
        <f>[2]หน้าผ้า!AL57</f>
        <v>0</v>
      </c>
      <c r="X48" s="10">
        <f>[2]หน้าผ้า!AM57</f>
        <v>5200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PDR250240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45885</v>
      </c>
      <c r="AK48" s="3">
        <f>[2]หน้าผ้า!DQ57</f>
        <v>0</v>
      </c>
      <c r="AL48" s="3">
        <f>[2]หน้าผ้า!DR57</f>
        <v>45876</v>
      </c>
      <c r="AM48" s="3">
        <f>[2]หน้าผ้า!DS57</f>
        <v>45883</v>
      </c>
      <c r="AN48" s="3">
        <f>[2]หน้าผ้า!DT57</f>
        <v>45884</v>
      </c>
      <c r="AO48" s="3">
        <f>[2]หน้าผ้า!DU57</f>
        <v>45884</v>
      </c>
      <c r="AP48" s="3">
        <f>[2]หน้าผ้า!DP57</f>
        <v>45880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45857</v>
      </c>
      <c r="B49" s="14" t="str">
        <f>[2]หน้าผ้า!B58</f>
        <v>MK68-000910</v>
      </c>
      <c r="C49" s="9" t="str">
        <f>[2]หน้าผ้า!E58</f>
        <v>บจก.เคอรี่ฟลาวมิลล์</v>
      </c>
      <c r="D49" s="13" t="str">
        <f>[2]หน้าผ้า!F58</f>
        <v>FW-Y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45885</v>
      </c>
      <c r="U49" s="11">
        <f>[2]หน้าผ้า!AA58</f>
        <v>5000</v>
      </c>
      <c r="V49" s="10">
        <f>[2]หน้าผ้า!AJ58</f>
        <v>5000</v>
      </c>
      <c r="W49" s="10">
        <f>[2]หน้าผ้า!AL58</f>
        <v>0</v>
      </c>
      <c r="X49" s="10">
        <f>[2]หน้าผ้า!AM58</f>
        <v>5200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PDR250240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45885</v>
      </c>
      <c r="AK49" s="3">
        <f>[2]หน้าผ้า!DQ58</f>
        <v>0</v>
      </c>
      <c r="AL49" s="3">
        <f>[2]หน้าผ้า!DR58</f>
        <v>45876</v>
      </c>
      <c r="AM49" s="3">
        <f>[2]หน้าผ้า!DS58</f>
        <v>45883</v>
      </c>
      <c r="AN49" s="3">
        <f>[2]หน้าผ้า!DT58</f>
        <v>45884</v>
      </c>
      <c r="AO49" s="3">
        <f>[2]หน้าผ้า!DU58</f>
        <v>45884</v>
      </c>
      <c r="AP49" s="3">
        <f>[2]หน้าผ้า!DP58</f>
        <v>45880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45857</v>
      </c>
      <c r="B50" s="14" t="str">
        <f>[2]หน้าผ้า!B59</f>
        <v>MK68-000910</v>
      </c>
      <c r="C50" s="9" t="str">
        <f>[2]หน้าผ้า!E59</f>
        <v>บจก.เคอรี่ฟลาวมิลล์</v>
      </c>
      <c r="D50" s="13" t="str">
        <f>[2]หน้าผ้า!F59</f>
        <v>เคเอ็ม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45888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4679.9500000000007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PDR250241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45888</v>
      </c>
      <c r="AK50" s="3">
        <f>[2]หน้าผ้า!DQ59</f>
        <v>0</v>
      </c>
      <c r="AL50" s="3">
        <f>[2]หน้าผ้า!DR59</f>
        <v>45879</v>
      </c>
      <c r="AM50" s="3">
        <f>[2]หน้าผ้า!DS59</f>
        <v>45886</v>
      </c>
      <c r="AN50" s="3">
        <f>[2]หน้าผ้า!DT59</f>
        <v>45887</v>
      </c>
      <c r="AO50" s="3">
        <f>[2]หน้าผ้า!DU59</f>
        <v>45887</v>
      </c>
      <c r="AP50" s="3">
        <f>[2]หน้าผ้า!DP59</f>
        <v>45883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45857</v>
      </c>
      <c r="B51" s="14" t="str">
        <f>[2]หน้าผ้า!B60</f>
        <v>MK68-000910</v>
      </c>
      <c r="C51" s="9" t="str">
        <f>[2]หน้าผ้า!E60</f>
        <v>บจก.เคอรี่ฟลาวมิลล์</v>
      </c>
      <c r="D51" s="13" t="str">
        <f>[2]หน้าผ้า!F60</f>
        <v>แต้มแดง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45888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PDR250241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45888</v>
      </c>
      <c r="AK51" s="3">
        <f>[2]หน้าผ้า!DQ60</f>
        <v>0</v>
      </c>
      <c r="AL51" s="3">
        <f>[2]หน้าผ้า!DR60</f>
        <v>45879</v>
      </c>
      <c r="AM51" s="3">
        <f>[2]หน้าผ้า!DS60</f>
        <v>45886</v>
      </c>
      <c r="AN51" s="3">
        <f>[2]หน้าผ้า!DT60</f>
        <v>45887</v>
      </c>
      <c r="AO51" s="3">
        <f>[2]หน้าผ้า!DU60</f>
        <v>45887</v>
      </c>
      <c r="AP51" s="3">
        <f>[2]หน้าผ้า!DP60</f>
        <v>45883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45857</v>
      </c>
      <c r="B52" s="14" t="str">
        <f>[2]หน้าผ้า!B61</f>
        <v>MK68-000910</v>
      </c>
      <c r="C52" s="9" t="str">
        <f>[2]หน้าผ้า!E61</f>
        <v>บจก.เคอรี่ฟลาวมิลล์</v>
      </c>
      <c r="D52" s="13" t="str">
        <f>[2]หน้าผ้า!F61</f>
        <v>ดอกไม้เขียว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45888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PDR250241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45888</v>
      </c>
      <c r="AK52" s="3">
        <f>[2]หน้าผ้า!DQ61</f>
        <v>0</v>
      </c>
      <c r="AL52" s="3">
        <f>[2]หน้าผ้า!DR61</f>
        <v>45879</v>
      </c>
      <c r="AM52" s="3">
        <f>[2]หน้าผ้า!DS61</f>
        <v>45886</v>
      </c>
      <c r="AN52" s="3">
        <f>[2]หน้าผ้า!DT61</f>
        <v>45887</v>
      </c>
      <c r="AO52" s="3">
        <f>[2]หน้าผ้า!DU61</f>
        <v>45887</v>
      </c>
      <c r="AP52" s="3">
        <f>[2]หน้าผ้า!DP61</f>
        <v>45883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45857</v>
      </c>
      <c r="B53" s="14" t="str">
        <f>[2]หน้าผ้า!B62</f>
        <v>MK68-000910</v>
      </c>
      <c r="C53" s="9" t="str">
        <f>[2]หน้าผ้า!E62</f>
        <v>บจก.เคอรี่ฟลาวมิลล์</v>
      </c>
      <c r="D53" s="13" t="str">
        <f>[2]หน้าผ้า!F62</f>
        <v>ถุงเขียว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45888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0</v>
      </c>
      <c r="Y53" s="10">
        <f>[2]หน้าผ้า!AN62</f>
        <v>10500</v>
      </c>
      <c r="Z53" s="9" t="str">
        <f>[2]หน้าผ้า!AO62</f>
        <v>WSWT1921720</v>
      </c>
      <c r="AA53" s="8">
        <f>[2]หน้าผ้า!AQ62</f>
        <v>9359.9000000000015</v>
      </c>
      <c r="AB53" s="8">
        <f>[2]หน้าผ้า!AR62</f>
        <v>0</v>
      </c>
      <c r="AC53" s="8">
        <f>[2]หน้าผ้า!AS62</f>
        <v>9359.9000000000015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PDR250241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45888</v>
      </c>
      <c r="AK53" s="3">
        <f>[2]หน้าผ้า!DQ62</f>
        <v>0</v>
      </c>
      <c r="AL53" s="3">
        <f>[2]หน้าผ้า!DR62</f>
        <v>45879</v>
      </c>
      <c r="AM53" s="3">
        <f>[2]หน้าผ้า!DS62</f>
        <v>45886</v>
      </c>
      <c r="AN53" s="3">
        <f>[2]หน้าผ้า!DT62</f>
        <v>45887</v>
      </c>
      <c r="AO53" s="3">
        <f>[2]หน้าผ้า!DU62</f>
        <v>45887</v>
      </c>
      <c r="AP53" s="3">
        <f>[2]หน้าผ้า!DP62</f>
        <v>45883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705.02926755555563</v>
      </c>
    </row>
    <row r="54" spans="1:56" ht="27.75" customHeight="1" x14ac:dyDescent="0.45">
      <c r="A54" s="3">
        <f>[2]หน้าผ้า!C63</f>
        <v>45869</v>
      </c>
      <c r="B54" s="14" t="str">
        <f>[2]หน้าผ้า!B63</f>
        <v>MK68-000944</v>
      </c>
      <c r="C54" s="9" t="str">
        <f>[2]หน้าผ้า!E63</f>
        <v>บจก.เคอรี่ฟลาวมิลล์</v>
      </c>
      <c r="D54" s="13" t="str">
        <f>[2]หน้าผ้า!F63</f>
        <v>บะหมี่เตี๊ยว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45890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PDR250250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45890</v>
      </c>
      <c r="AK54" s="3">
        <f>[2]หน้าผ้า!DQ63</f>
        <v>0</v>
      </c>
      <c r="AL54" s="3">
        <f>[2]หน้าผ้า!DR63</f>
        <v>45881</v>
      </c>
      <c r="AM54" s="3">
        <f>[2]หน้าผ้า!DS63</f>
        <v>45888</v>
      </c>
      <c r="AN54" s="3">
        <f>[2]หน้าผ้า!DT63</f>
        <v>45889</v>
      </c>
      <c r="AO54" s="3">
        <f>[2]หน้าผ้า!DU63</f>
        <v>45889</v>
      </c>
      <c r="AP54" s="3">
        <f>[2]หน้าผ้า!DP63</f>
        <v>45885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>
        <f>[2]หน้าผ้า!C64</f>
        <v>45869</v>
      </c>
      <c r="B55" s="14" t="str">
        <f>[2]หน้าผ้า!B64</f>
        <v>MK68-000944</v>
      </c>
      <c r="C55" s="9" t="str">
        <f>[2]หน้าผ้า!E64</f>
        <v>บจก.เคอรี่ฟลาวมิลล์</v>
      </c>
      <c r="D55" s="13" t="str">
        <f>[2]หน้าผ้า!F64</f>
        <v>ดอกไม้แดง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45890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PDR250250</v>
      </c>
      <c r="AG55" s="1" t="str">
        <f>[3]หน้าผ้า!DC67</f>
        <v>ผ้าขาว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45890</v>
      </c>
      <c r="AK55" s="3">
        <f>[2]หน้าผ้า!DQ64</f>
        <v>0</v>
      </c>
      <c r="AL55" s="3">
        <f>[2]หน้าผ้า!DR64</f>
        <v>45881</v>
      </c>
      <c r="AM55" s="3">
        <f>[2]หน้าผ้า!DS64</f>
        <v>45888</v>
      </c>
      <c r="AN55" s="3">
        <f>[2]หน้าผ้า!DT64</f>
        <v>45889</v>
      </c>
      <c r="AO55" s="3">
        <f>[2]หน้าผ้า!DU64</f>
        <v>45889</v>
      </c>
      <c r="AP55" s="3">
        <f>[2]หน้าผ้า!DP64</f>
        <v>45885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45869</v>
      </c>
      <c r="B56" s="14" t="str">
        <f>[2]หน้าผ้า!B65</f>
        <v>MK68-000944</v>
      </c>
      <c r="C56" s="9" t="str">
        <f>[2]หน้าผ้า!E65</f>
        <v>บจก.เคอรี่ฟลาวมิลล์</v>
      </c>
      <c r="D56" s="13" t="str">
        <f>[2]หน้าผ้า!F65</f>
        <v>โบว์น้ำเงิน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45890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PDR250250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45890</v>
      </c>
      <c r="AK56" s="3">
        <f>[2]หน้าผ้า!DQ65</f>
        <v>0</v>
      </c>
      <c r="AL56" s="3">
        <f>[2]หน้าผ้า!DR65</f>
        <v>45881</v>
      </c>
      <c r="AM56" s="3">
        <f>[2]หน้าผ้า!DS65</f>
        <v>45888</v>
      </c>
      <c r="AN56" s="3">
        <f>[2]หน้าผ้า!DT65</f>
        <v>45889</v>
      </c>
      <c r="AO56" s="3">
        <f>[2]หน้าผ้า!DU65</f>
        <v>45889</v>
      </c>
      <c r="AP56" s="3">
        <f>[2]หน้าผ้า!DP65</f>
        <v>45885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7.75" customHeight="1" x14ac:dyDescent="0.45">
      <c r="A57" s="3">
        <f>[2]หน้าผ้า!C66</f>
        <v>45869</v>
      </c>
      <c r="B57" s="14" t="str">
        <f>[2]หน้าผ้า!B66</f>
        <v>MK68-000944</v>
      </c>
      <c r="C57" s="9" t="str">
        <f>[2]หน้าผ้า!E66</f>
        <v>บจก.เคอรี่ฟลาวมิลล์</v>
      </c>
      <c r="D57" s="13" t="str">
        <f>[2]หน้าผ้า!F66</f>
        <v>บลูทีมเหลือง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45890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0</v>
      </c>
      <c r="AC57" s="8">
        <f>[2]หน้าผ้า!AS66</f>
        <v>4679.9500000000007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PDR250250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45890</v>
      </c>
      <c r="AK57" s="3">
        <f>[2]หน้าผ้า!DQ66</f>
        <v>0</v>
      </c>
      <c r="AL57" s="3">
        <f>[2]หน้าผ้า!DR66</f>
        <v>45881</v>
      </c>
      <c r="AM57" s="3">
        <f>[2]หน้าผ้า!DS66</f>
        <v>45888</v>
      </c>
      <c r="AN57" s="3">
        <f>[2]หน้าผ้า!DT66</f>
        <v>45889</v>
      </c>
      <c r="AO57" s="3">
        <f>[2]หน้าผ้า!DU66</f>
        <v>45889</v>
      </c>
      <c r="AP57" s="3">
        <f>[2]หน้าผ้า!DP66</f>
        <v>45885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352.51463377777782</v>
      </c>
    </row>
    <row r="58" spans="1:56" ht="27.75" customHeight="1" x14ac:dyDescent="0.45">
      <c r="A58" s="3">
        <f>[2]หน้าผ้า!C67</f>
        <v>45869</v>
      </c>
      <c r="B58" s="14" t="str">
        <f>[2]หน้าผ้า!B67</f>
        <v>MK68-000945</v>
      </c>
      <c r="C58" s="9" t="str">
        <f>[2]หน้าผ้า!E67</f>
        <v>บจก.เคอรี่ฟลาวมิลล์</v>
      </c>
      <c r="D58" s="13" t="str">
        <f>[2]หน้าผ้า!F67</f>
        <v>ไม่พิมพ์</v>
      </c>
      <c r="E58" s="9">
        <f>[2]หน้าผ้า!G67</f>
        <v>19</v>
      </c>
      <c r="F58" s="9">
        <f>[2]หน้าผ้า!H67</f>
        <v>36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75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45890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WSWT1921720</v>
      </c>
      <c r="AA58" s="8">
        <f>[2]หน้าผ้า!AQ67</f>
        <v>5238.75</v>
      </c>
      <c r="AB58" s="8">
        <f>[2]หน้าผ้า!AR67</f>
        <v>0</v>
      </c>
      <c r="AC58" s="8">
        <f>[2]หน้าผ้า!AS67</f>
        <v>5238.75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PDR250250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45890</v>
      </c>
      <c r="AK58" s="3">
        <f>[2]หน้าผ้า!DQ67</f>
        <v>0</v>
      </c>
      <c r="AL58" s="3">
        <f>[2]หน้าผ้า!DR67</f>
        <v>45881</v>
      </c>
      <c r="AM58" s="3">
        <f>[2]หน้าผ้า!DS67</f>
        <v>45888</v>
      </c>
      <c r="AN58" s="3">
        <f>[2]หน้าผ้า!DT67</f>
        <v>45889</v>
      </c>
      <c r="AO58" s="3">
        <f>[2]หน้าผ้า!DU67</f>
        <v>45889</v>
      </c>
      <c r="AP58" s="3">
        <f>[2]หน้าผ้า!DP67</f>
        <v>45885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394.60593333333333</v>
      </c>
    </row>
    <row r="59" spans="1:56" ht="27.75" customHeight="1" x14ac:dyDescent="0.45">
      <c r="A59" s="3">
        <f>[2]หน้าผ้า!C68</f>
        <v>45869</v>
      </c>
      <c r="B59" s="14" t="str">
        <f>[2]หน้าผ้า!B68</f>
        <v>MK68-000944</v>
      </c>
      <c r="C59" s="9" t="str">
        <f>[2]หน้าผ้า!E68</f>
        <v>บจก.เคอรี่ฟลาวมิลล์</v>
      </c>
      <c r="D59" s="13" t="str">
        <f>[2]หน้าผ้า!F68</f>
        <v>ชามแดง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45892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0</v>
      </c>
      <c r="AC59" s="8">
        <f>[2]หน้าผ้า!AS68</f>
        <v>4679.9500000000007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PDR250251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45892</v>
      </c>
      <c r="AK59" s="3">
        <f>[2]หน้าผ้า!DQ68</f>
        <v>0</v>
      </c>
      <c r="AL59" s="3">
        <f>[2]หน้าผ้า!DR68</f>
        <v>45883</v>
      </c>
      <c r="AM59" s="3">
        <f>[2]หน้าผ้า!DS68</f>
        <v>45890</v>
      </c>
      <c r="AN59" s="3">
        <f>[2]หน้าผ้า!DT68</f>
        <v>45891</v>
      </c>
      <c r="AO59" s="3">
        <f>[2]หน้าผ้า!DU68</f>
        <v>45891</v>
      </c>
      <c r="AP59" s="3">
        <f>[2]หน้าผ้า!DP68</f>
        <v>45887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352.51463377777782</v>
      </c>
    </row>
    <row r="60" spans="1:56" ht="27.75" customHeight="1" x14ac:dyDescent="0.45">
      <c r="A60" s="3">
        <f>[2]หน้าผ้า!C69</f>
        <v>45869</v>
      </c>
      <c r="B60" s="14" t="str">
        <f>[2]หน้าผ้า!B69</f>
        <v>MK68-000944</v>
      </c>
      <c r="C60" s="9" t="str">
        <f>[2]หน้าผ้า!E69</f>
        <v>บจก.เคอรี่ฟลาวมิลล์</v>
      </c>
      <c r="D60" s="13" t="str">
        <f>[2]หน้าผ้า!F69</f>
        <v>ปลาโลมาเทา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45892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PDR250251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45892</v>
      </c>
      <c r="AK60" s="3">
        <f>[2]หน้าผ้า!DQ69</f>
        <v>0</v>
      </c>
      <c r="AL60" s="3">
        <f>[2]หน้าผ้า!DR69</f>
        <v>45883</v>
      </c>
      <c r="AM60" s="3">
        <f>[2]หน้าผ้า!DS69</f>
        <v>45890</v>
      </c>
      <c r="AN60" s="3">
        <f>[2]หน้าผ้า!DT69</f>
        <v>45891</v>
      </c>
      <c r="AO60" s="3">
        <f>[2]หน้าผ้า!DU69</f>
        <v>45891</v>
      </c>
      <c r="AP60" s="3">
        <f>[2]หน้าผ้า!DP69</f>
        <v>45887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7.75" customHeight="1" x14ac:dyDescent="0.45">
      <c r="A61" s="3">
        <f>[2]หน้าผ้า!C70</f>
        <v>45869</v>
      </c>
      <c r="B61" s="14" t="str">
        <f>[2]หน้าผ้า!B70</f>
        <v>MK68-000944</v>
      </c>
      <c r="C61" s="9" t="str">
        <f>[2]หน้าผ้า!E70</f>
        <v>บจก.เคอรี่ฟลาวมิลล์</v>
      </c>
      <c r="D61" s="13" t="str">
        <f>[2]หน้าผ้า!F70</f>
        <v>ปลาโลมาแดง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45892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PDR250251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45892</v>
      </c>
      <c r="AK61" s="3">
        <f>[2]หน้าผ้า!DQ70</f>
        <v>0</v>
      </c>
      <c r="AL61" s="3">
        <f>[2]หน้าผ้า!DR70</f>
        <v>45883</v>
      </c>
      <c r="AM61" s="3">
        <f>[2]หน้าผ้า!DS70</f>
        <v>45890</v>
      </c>
      <c r="AN61" s="3">
        <f>[2]หน้าผ้า!DT70</f>
        <v>45891</v>
      </c>
      <c r="AO61" s="3">
        <f>[2]หน้าผ้า!DU70</f>
        <v>45891</v>
      </c>
      <c r="AP61" s="3">
        <f>[2]หน้าผ้า!DP70</f>
        <v>45887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45869</v>
      </c>
      <c r="B62" s="14" t="str">
        <f>[2]หน้าผ้า!B71</f>
        <v>MK68-000944</v>
      </c>
      <c r="C62" s="9" t="str">
        <f>[2]หน้าผ้า!E71</f>
        <v>บจก.เคอรี่ฟลาวมิลล์</v>
      </c>
      <c r="D62" s="13" t="str">
        <f>[2]หน้าผ้า!F71</f>
        <v>KFM-HF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45892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4679.9500000000007</v>
      </c>
      <c r="AB62" s="8">
        <f>[2]หน้าผ้า!AR71</f>
        <v>0</v>
      </c>
      <c r="AC62" s="8">
        <f>[2]หน้าผ้า!AS71</f>
        <v>4679.9500000000007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PDR250251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45892</v>
      </c>
      <c r="AK62" s="3">
        <f>[2]หน้าผ้า!DQ71</f>
        <v>0</v>
      </c>
      <c r="AL62" s="3">
        <f>[2]หน้าผ้า!DR71</f>
        <v>45883</v>
      </c>
      <c r="AM62" s="3">
        <f>[2]หน้าผ้า!DS71</f>
        <v>45890</v>
      </c>
      <c r="AN62" s="3">
        <f>[2]หน้าผ้า!DT71</f>
        <v>45891</v>
      </c>
      <c r="AO62" s="3">
        <f>[2]หน้าผ้า!DU71</f>
        <v>45891</v>
      </c>
      <c r="AP62" s="3">
        <f>[2]หน้าผ้า!DP71</f>
        <v>45887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352.51463377777782</v>
      </c>
    </row>
    <row r="63" spans="1:56" ht="27.75" customHeight="1" x14ac:dyDescent="0.45">
      <c r="A63" s="3">
        <f>[2]หน้าผ้า!C72</f>
        <v>45869</v>
      </c>
      <c r="B63" s="14" t="str">
        <f>[2]หน้าผ้า!B72</f>
        <v>MK68-000944</v>
      </c>
      <c r="C63" s="9" t="str">
        <f>[2]หน้าผ้า!E72</f>
        <v>บจก.เคอรี่ฟลาวมิลล์</v>
      </c>
      <c r="D63" s="13" t="str">
        <f>[2]หน้าผ้า!F72</f>
        <v>FW-Y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45892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PDR250251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45892</v>
      </c>
      <c r="AK63" s="3">
        <f>[2]หน้าผ้า!DQ72</f>
        <v>0</v>
      </c>
      <c r="AL63" s="3">
        <f>[2]หน้าผ้า!DR72</f>
        <v>45883</v>
      </c>
      <c r="AM63" s="3">
        <f>[2]หน้าผ้า!DS72</f>
        <v>45890</v>
      </c>
      <c r="AN63" s="3">
        <f>[2]หน้าผ้า!DT72</f>
        <v>45891</v>
      </c>
      <c r="AO63" s="3">
        <f>[2]หน้าผ้า!DU72</f>
        <v>45891</v>
      </c>
      <c r="AP63" s="3">
        <f>[2]หน้าผ้า!DP72</f>
        <v>45887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45869</v>
      </c>
      <c r="B64" s="14" t="str">
        <f>[2]หน้าผ้า!B73</f>
        <v>MK68-000944</v>
      </c>
      <c r="C64" s="9" t="str">
        <f>[2]หน้าผ้า!E73</f>
        <v>บจก.เคอรี่ฟลาวมิลล์</v>
      </c>
      <c r="D64" s="13" t="str">
        <f>[2]หน้าผ้า!F73</f>
        <v>เคเอ็ม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45895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4679.9500000000007</v>
      </c>
      <c r="AB64" s="8">
        <f>[2]หน้าผ้า!AR73</f>
        <v>0</v>
      </c>
      <c r="AC64" s="8">
        <f>[2]หน้าผ้า!AS73</f>
        <v>4679.9500000000007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PDR250252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45895</v>
      </c>
      <c r="AK64" s="3">
        <f>[2]หน้าผ้า!DQ73</f>
        <v>0</v>
      </c>
      <c r="AL64" s="3">
        <f>[2]หน้าผ้า!DR73</f>
        <v>45886</v>
      </c>
      <c r="AM64" s="3">
        <f>[2]หน้าผ้า!DS73</f>
        <v>45893</v>
      </c>
      <c r="AN64" s="3">
        <f>[2]หน้าผ้า!DT73</f>
        <v>45894</v>
      </c>
      <c r="AO64" s="3">
        <f>[2]หน้าผ้า!DU73</f>
        <v>45894</v>
      </c>
      <c r="AP64" s="3">
        <f>[2]หน้าผ้า!DP73</f>
        <v>45890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352.51463377777782</v>
      </c>
    </row>
    <row r="65" spans="1:56" ht="27.75" customHeight="1" x14ac:dyDescent="0.45">
      <c r="A65" s="3">
        <f>[2]หน้าผ้า!C74</f>
        <v>45869</v>
      </c>
      <c r="B65" s="14" t="str">
        <f>[2]หน้าผ้า!B74</f>
        <v>MK68-000944</v>
      </c>
      <c r="C65" s="9" t="str">
        <f>[2]หน้าผ้า!E74</f>
        <v>บจก.เคอรี่ฟลาวมิลล์</v>
      </c>
      <c r="D65" s="13" t="str">
        <f>[2]หน้าผ้า!F74</f>
        <v>แต้มแดง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45895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PDR250252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45895</v>
      </c>
      <c r="AK65" s="3">
        <f>[2]หน้าผ้า!DQ74</f>
        <v>0</v>
      </c>
      <c r="AL65" s="3">
        <f>[2]หน้าผ้า!DR74</f>
        <v>45886</v>
      </c>
      <c r="AM65" s="3">
        <f>[2]หน้าผ้า!DS74</f>
        <v>45893</v>
      </c>
      <c r="AN65" s="3">
        <f>[2]หน้าผ้า!DT74</f>
        <v>45894</v>
      </c>
      <c r="AO65" s="3">
        <f>[2]หน้าผ้า!DU74</f>
        <v>45894</v>
      </c>
      <c r="AP65" s="3">
        <f>[2]หน้าผ้า!DP74</f>
        <v>45890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7.75" customHeight="1" x14ac:dyDescent="0.45">
      <c r="A66" s="3">
        <f>[2]หน้าผ้า!C75</f>
        <v>45869</v>
      </c>
      <c r="B66" s="14" t="str">
        <f>[2]หน้าผ้า!B75</f>
        <v>MK68-000944</v>
      </c>
      <c r="C66" s="9" t="str">
        <f>[2]หน้าผ้า!E75</f>
        <v>บจก.เคอรี่ฟลาวมิลล์</v>
      </c>
      <c r="D66" s="13" t="str">
        <f>[2]หน้าผ้า!F75</f>
        <v>ถุงเงิน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45895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4679.9500000000007</v>
      </c>
      <c r="AB66" s="8">
        <f>[2]หน้าผ้า!AR75</f>
        <v>0</v>
      </c>
      <c r="AC66" s="8">
        <f>[2]หน้าผ้า!AS75</f>
        <v>4679.9500000000007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PDR250252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45895</v>
      </c>
      <c r="AK66" s="3">
        <f>[2]หน้าผ้า!DQ75</f>
        <v>0</v>
      </c>
      <c r="AL66" s="3">
        <f>[2]หน้าผ้า!DR75</f>
        <v>45886</v>
      </c>
      <c r="AM66" s="3">
        <f>[2]หน้าผ้า!DS75</f>
        <v>45893</v>
      </c>
      <c r="AN66" s="3">
        <f>[2]หน้าผ้า!DT75</f>
        <v>45894</v>
      </c>
      <c r="AO66" s="3">
        <f>[2]หน้าผ้า!DU75</f>
        <v>45894</v>
      </c>
      <c r="AP66" s="3">
        <f>[2]หน้าผ้า!DP75</f>
        <v>45890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352.51463377777782</v>
      </c>
    </row>
    <row r="67" spans="1:56" ht="27.75" customHeight="1" x14ac:dyDescent="0.45">
      <c r="A67" s="3">
        <f>[2]หน้าผ้า!C76</f>
        <v>45869</v>
      </c>
      <c r="B67" s="14" t="str">
        <f>[2]หน้าผ้า!B76</f>
        <v>MK68-000944</v>
      </c>
      <c r="C67" s="9" t="str">
        <f>[2]หน้าผ้า!E76</f>
        <v>บจก.เคอรี่ฟลาวมิลล์</v>
      </c>
      <c r="D67" s="13" t="str">
        <f>[2]หน้าผ้า!F76</f>
        <v>ดอกไม้เขียว</v>
      </c>
      <c r="E67" s="9">
        <f>[2]หน้าผ้า!G76</f>
        <v>19</v>
      </c>
      <c r="F67" s="9">
        <f>[2]หน้าผ้า!H76</f>
        <v>32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67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45895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WSWT1921720</v>
      </c>
      <c r="AA67" s="8">
        <f>[2]หน้าผ้า!AQ76</f>
        <v>4679.9500000000007</v>
      </c>
      <c r="AB67" s="8">
        <f>[2]หน้าผ้า!AR76</f>
        <v>0</v>
      </c>
      <c r="AC67" s="8">
        <f>[2]หน้าผ้า!AS76</f>
        <v>4679.9500000000007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PDR250252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45895</v>
      </c>
      <c r="AK67" s="3">
        <f>[2]หน้าผ้า!DQ76</f>
        <v>0</v>
      </c>
      <c r="AL67" s="3">
        <f>[2]หน้าผ้า!DR76</f>
        <v>45886</v>
      </c>
      <c r="AM67" s="3">
        <f>[2]หน้าผ้า!DS76</f>
        <v>45893</v>
      </c>
      <c r="AN67" s="3">
        <f>[2]หน้าผ้า!DT76</f>
        <v>45894</v>
      </c>
      <c r="AO67" s="3">
        <f>[2]หน้าผ้า!DU76</f>
        <v>45894</v>
      </c>
      <c r="AP67" s="3">
        <f>[2]หน้าผ้า!DP76</f>
        <v>45890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352.51463377777782</v>
      </c>
    </row>
    <row r="68" spans="1:56" ht="27.75" customHeight="1" x14ac:dyDescent="0.45">
      <c r="A68" s="3">
        <f>[2]หน้าผ้า!C77</f>
        <v>45869</v>
      </c>
      <c r="B68" s="14" t="str">
        <f>[2]หน้าผ้า!B77</f>
        <v>MK68-000944</v>
      </c>
      <c r="C68" s="9" t="str">
        <f>[2]หน้าผ้า!E77</f>
        <v>บจก.เคอรี่ฟลาวมิลล์</v>
      </c>
      <c r="D68" s="13">
        <f>[2]หน้าผ้า!F77</f>
        <v>997</v>
      </c>
      <c r="E68" s="9">
        <f>[2]หน้าผ้า!G77</f>
        <v>19</v>
      </c>
      <c r="F68" s="9">
        <f>[2]หน้าผ้า!H77</f>
        <v>32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67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45895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4679.9500000000007</v>
      </c>
      <c r="AB68" s="8">
        <f>[2]หน้าผ้า!AR77</f>
        <v>0</v>
      </c>
      <c r="AC68" s="8">
        <f>[2]หน้าผ้า!AS77</f>
        <v>4679.9500000000007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PDR250252</v>
      </c>
      <c r="AG68" s="1" t="str">
        <f>[3]หน้าผ้า!DC80</f>
        <v>ยังไม่ได้พิมพ์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45895</v>
      </c>
      <c r="AK68" s="3">
        <f>[2]หน้าผ้า!DQ77</f>
        <v>0</v>
      </c>
      <c r="AL68" s="3">
        <f>[2]หน้าผ้า!DR77</f>
        <v>45886</v>
      </c>
      <c r="AM68" s="3">
        <f>[2]หน้าผ้า!DS77</f>
        <v>45893</v>
      </c>
      <c r="AN68" s="3">
        <f>[2]หน้าผ้า!DT77</f>
        <v>45894</v>
      </c>
      <c r="AO68" s="3">
        <f>[2]หน้าผ้า!DU77</f>
        <v>45894</v>
      </c>
      <c r="AP68" s="3">
        <f>[2]หน้าผ้า!DP77</f>
        <v>45890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352.51463377777782</v>
      </c>
    </row>
    <row r="69" spans="1:56" ht="27.75" customHeight="1" x14ac:dyDescent="0.45">
      <c r="A69" s="3">
        <f>[2]หน้าผ้า!C78</f>
        <v>45869</v>
      </c>
      <c r="B69" s="14" t="str">
        <f>[2]หน้าผ้า!B78</f>
        <v>MK68-000944</v>
      </c>
      <c r="C69" s="9" t="str">
        <f>[2]หน้าผ้า!E78</f>
        <v>บจก.เคอรี่ฟลาวมิลล์</v>
      </c>
      <c r="D69" s="13" t="str">
        <f>[2]หน้าผ้า!F78</f>
        <v>ถุงทองแซนวิช</v>
      </c>
      <c r="E69" s="9">
        <f>[2]หน้าผ้า!G78</f>
        <v>19</v>
      </c>
      <c r="F69" s="9">
        <f>[2]หน้าผ้า!H78</f>
        <v>32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67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45897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4679.9500000000007</v>
      </c>
      <c r="AB69" s="8">
        <f>[2]หน้าผ้า!AR78</f>
        <v>0</v>
      </c>
      <c r="AC69" s="8">
        <f>[2]หน้าผ้า!AS78</f>
        <v>4679.9500000000007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PDR250253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45897</v>
      </c>
      <c r="AK69" s="3">
        <f>[2]หน้าผ้า!DQ78</f>
        <v>0</v>
      </c>
      <c r="AL69" s="3">
        <f>[2]หน้าผ้า!DR78</f>
        <v>45888</v>
      </c>
      <c r="AM69" s="3">
        <f>[2]หน้าผ้า!DS78</f>
        <v>45895</v>
      </c>
      <c r="AN69" s="3">
        <f>[2]หน้าผ้า!DT78</f>
        <v>45896</v>
      </c>
      <c r="AO69" s="3">
        <f>[2]หน้าผ้า!DU78</f>
        <v>45896</v>
      </c>
      <c r="AP69" s="3">
        <f>[2]หน้าผ้า!DP78</f>
        <v>45892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352.51463377777782</v>
      </c>
    </row>
    <row r="70" spans="1:56" ht="27.75" customHeight="1" x14ac:dyDescent="0.45">
      <c r="A70" s="3">
        <f>[2]หน้าผ้า!C79</f>
        <v>45869</v>
      </c>
      <c r="B70" s="14" t="str">
        <f>[2]หน้าผ้า!B79</f>
        <v>MK68-000944</v>
      </c>
      <c r="C70" s="9" t="str">
        <f>[2]หน้าผ้า!E79</f>
        <v>บจก.เคอรี่ฟลาวมิลล์</v>
      </c>
      <c r="D70" s="13" t="str">
        <f>[2]หน้าผ้า!F79</f>
        <v>แต้มฟ้า</v>
      </c>
      <c r="E70" s="9">
        <f>[2]หน้าผ้า!G79</f>
        <v>19</v>
      </c>
      <c r="F70" s="9">
        <f>[2]หน้าผ้า!H79</f>
        <v>32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67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45897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4679.9500000000007</v>
      </c>
      <c r="AB70" s="8">
        <f>[2]หน้าผ้า!AR79</f>
        <v>0</v>
      </c>
      <c r="AC70" s="8">
        <f>[2]หน้าผ้า!AS79</f>
        <v>4679.9500000000007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PDR250253</v>
      </c>
      <c r="AG70" s="1" t="str">
        <f>[3]หน้าผ้า!DC82</f>
        <v>ผ้าขาว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45897</v>
      </c>
      <c r="AK70" s="3">
        <f>[2]หน้าผ้า!DQ79</f>
        <v>0</v>
      </c>
      <c r="AL70" s="3">
        <f>[2]หน้าผ้า!DR79</f>
        <v>45888</v>
      </c>
      <c r="AM70" s="3">
        <f>[2]หน้าผ้า!DS79</f>
        <v>45895</v>
      </c>
      <c r="AN70" s="3">
        <f>[2]หน้าผ้า!DT79</f>
        <v>45896</v>
      </c>
      <c r="AO70" s="3">
        <f>[2]หน้าผ้า!DU79</f>
        <v>45896</v>
      </c>
      <c r="AP70" s="3">
        <f>[2]หน้าผ้า!DP79</f>
        <v>45892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352.51463377777782</v>
      </c>
    </row>
    <row r="71" spans="1:56" ht="27.75" customHeight="1" x14ac:dyDescent="0.45">
      <c r="A71" s="3">
        <f>[2]หน้าผ้า!C80</f>
        <v>45869</v>
      </c>
      <c r="B71" s="14" t="str">
        <f>[2]หน้าผ้า!B80</f>
        <v>MK68-000944</v>
      </c>
      <c r="C71" s="9" t="str">
        <f>[2]หน้าผ้า!E80</f>
        <v>บจก.เคอรี่ฟลาวมิลล์</v>
      </c>
      <c r="D71" s="13" t="str">
        <f>[2]หน้าผ้า!F80</f>
        <v>หีบเพลงฟ้า</v>
      </c>
      <c r="E71" s="9">
        <f>[2]หน้าผ้า!G80</f>
        <v>19</v>
      </c>
      <c r="F71" s="9">
        <f>[2]หน้าผ้า!H80</f>
        <v>32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67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45897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5250</v>
      </c>
      <c r="Z71" s="9" t="str">
        <f>[2]หน้าผ้า!AO80</f>
        <v>WSWT1921720</v>
      </c>
      <c r="AA71" s="8">
        <f>[2]หน้าผ้า!AQ80</f>
        <v>4679.9500000000007</v>
      </c>
      <c r="AB71" s="8">
        <f>[2]หน้าผ้า!AR80</f>
        <v>0</v>
      </c>
      <c r="AC71" s="8">
        <f>[2]หน้าผ้า!AS80</f>
        <v>4679.9500000000007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PDR250253</v>
      </c>
      <c r="AG71" s="1" t="str">
        <f>[3]หน้าผ้า!DC83</f>
        <v>ผ้าขาว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45897</v>
      </c>
      <c r="AK71" s="3">
        <f>[2]หน้าผ้า!DQ80</f>
        <v>0</v>
      </c>
      <c r="AL71" s="3">
        <f>[2]หน้าผ้า!DR80</f>
        <v>45888</v>
      </c>
      <c r="AM71" s="3">
        <f>[2]หน้าผ้า!DS80</f>
        <v>45895</v>
      </c>
      <c r="AN71" s="3">
        <f>[2]หน้าผ้า!DT80</f>
        <v>45896</v>
      </c>
      <c r="AO71" s="3">
        <f>[2]หน้าผ้า!DU80</f>
        <v>45896</v>
      </c>
      <c r="AP71" s="3">
        <f>[2]หน้าผ้า!DP80</f>
        <v>45892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352.51463377777782</v>
      </c>
    </row>
    <row r="72" spans="1:56" ht="27.75" customHeight="1" x14ac:dyDescent="0.45">
      <c r="A72" s="3">
        <f>[2]หน้าผ้า!C81</f>
        <v>45869</v>
      </c>
      <c r="B72" s="14" t="str">
        <f>[2]หน้าผ้า!B81</f>
        <v>MK68-000944</v>
      </c>
      <c r="C72" s="9" t="str">
        <f>[2]หน้าผ้า!E81</f>
        <v>บจก.เคอรี่ฟลาวมิลล์</v>
      </c>
      <c r="D72" s="13" t="str">
        <f>[2]หน้าผ้า!F81</f>
        <v>หีบเพลงเหลือง</v>
      </c>
      <c r="E72" s="9">
        <f>[2]หน้าผ้า!G81</f>
        <v>19</v>
      </c>
      <c r="F72" s="9">
        <f>[2]หน้าผ้า!H81</f>
        <v>32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67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45897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4679.9500000000007</v>
      </c>
      <c r="AB72" s="8">
        <f>[2]หน้าผ้า!AR81</f>
        <v>0</v>
      </c>
      <c r="AC72" s="8">
        <f>[2]หน้าผ้า!AS81</f>
        <v>4679.9500000000007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PDR250253</v>
      </c>
      <c r="AG72" s="1" t="str">
        <f>[3]หน้าผ้า!DC84</f>
        <v>ผ้าขาว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45897</v>
      </c>
      <c r="AK72" s="3">
        <f>[2]หน้าผ้า!DQ81</f>
        <v>0</v>
      </c>
      <c r="AL72" s="3">
        <f>[2]หน้าผ้า!DR81</f>
        <v>45888</v>
      </c>
      <c r="AM72" s="3">
        <f>[2]หน้าผ้า!DS81</f>
        <v>45895</v>
      </c>
      <c r="AN72" s="3">
        <f>[2]หน้าผ้า!DT81</f>
        <v>45896</v>
      </c>
      <c r="AO72" s="3">
        <f>[2]หน้าผ้า!DU81</f>
        <v>45896</v>
      </c>
      <c r="AP72" s="3">
        <f>[2]หน้าผ้า!DP81</f>
        <v>45892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352.51463377777782</v>
      </c>
    </row>
    <row r="73" spans="1:56" ht="27.75" customHeight="1" x14ac:dyDescent="0.45">
      <c r="A73" s="3">
        <f>[2]หน้าผ้า!C82</f>
        <v>45869</v>
      </c>
      <c r="B73" s="14" t="str">
        <f>[2]หน้าผ้า!B82</f>
        <v>MK68-000945</v>
      </c>
      <c r="C73" s="9" t="str">
        <f>[2]หน้าผ้า!E82</f>
        <v>บจก.เคอรี่ฟลาวมิลล์</v>
      </c>
      <c r="D73" s="13" t="str">
        <f>[2]หน้าผ้า!F82</f>
        <v>ไม่พิมพ์</v>
      </c>
      <c r="E73" s="9">
        <f>[2]หน้าผ้า!G82</f>
        <v>19</v>
      </c>
      <c r="F73" s="9">
        <f>[2]หน้าผ้า!H82</f>
        <v>36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75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45897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WSWT1921720</v>
      </c>
      <c r="AA73" s="8">
        <f>[2]หน้าผ้า!AQ82</f>
        <v>5238.75</v>
      </c>
      <c r="AB73" s="8">
        <f>[2]หน้าผ้า!AR82</f>
        <v>0</v>
      </c>
      <c r="AC73" s="8">
        <f>[2]หน้าผ้า!AS82</f>
        <v>5238.75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PDR250253</v>
      </c>
      <c r="AG73" s="1" t="str">
        <f>[3]หน้าผ้า!DC85</f>
        <v>พร้อมส่ง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45897</v>
      </c>
      <c r="AK73" s="3">
        <f>[2]หน้าผ้า!DQ82</f>
        <v>0</v>
      </c>
      <c r="AL73" s="3">
        <f>[2]หน้าผ้า!DR82</f>
        <v>45888</v>
      </c>
      <c r="AM73" s="3">
        <f>[2]หน้าผ้า!DS82</f>
        <v>45895</v>
      </c>
      <c r="AN73" s="3">
        <f>[2]หน้าผ้า!DT82</f>
        <v>45896</v>
      </c>
      <c r="AO73" s="3">
        <f>[2]หน้าผ้า!DU82</f>
        <v>45896</v>
      </c>
      <c r="AP73" s="3">
        <f>[2]หน้าผ้า!DP82</f>
        <v>45892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394.60593333333333</v>
      </c>
    </row>
    <row r="74" spans="1:56" ht="27.75" customHeight="1" x14ac:dyDescent="0.45">
      <c r="A74" s="3">
        <f>[2]หน้าผ้า!C83</f>
        <v>45870</v>
      </c>
      <c r="B74" s="14" t="str">
        <f>[2]หน้าผ้า!B83</f>
        <v>MK68-000953</v>
      </c>
      <c r="C74" s="9" t="str">
        <f>[2]หน้าผ้า!E83</f>
        <v>บจก.เคอรี่ฟลาวมิลล์</v>
      </c>
      <c r="D74" s="13" t="str">
        <f>[2]หน้าผ้า!F83</f>
        <v>ไม่พิมพ์</v>
      </c>
      <c r="E74" s="9">
        <f>[2]หน้าผ้า!G83</f>
        <v>19</v>
      </c>
      <c r="F74" s="9">
        <f>[2]หน้าผ้า!H83</f>
        <v>32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67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45898</v>
      </c>
      <c r="U74" s="11">
        <f>[2]หน้าผ้า!AA83</f>
        <v>20000</v>
      </c>
      <c r="V74" s="10">
        <f>[2]หน้าผ้า!AJ83</f>
        <v>0</v>
      </c>
      <c r="W74" s="10">
        <f>[2]หน้าผ้า!AL83</f>
        <v>20000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WSWT1921720</v>
      </c>
      <c r="AA74" s="8">
        <f>[2]หน้าผ้า!AQ83</f>
        <v>18719.800000000003</v>
      </c>
      <c r="AB74" s="8">
        <f>[2]หน้าผ้า!AR83</f>
        <v>0</v>
      </c>
      <c r="AC74" s="8">
        <f>[2]หน้าผ้า!AS83</f>
        <v>18719.800000000003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P3</v>
      </c>
      <c r="AI74" s="1">
        <f>[2]หน้าผ้า!DM83</f>
        <v>1</v>
      </c>
      <c r="AJ74" s="3">
        <f>[2]หน้าผ้า!DN83</f>
        <v>45898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45897</v>
      </c>
      <c r="AP74" s="3">
        <f>[2]หน้าผ้า!DP83</f>
        <v>45893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ตัด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1410.0585351111113</v>
      </c>
    </row>
    <row r="75" spans="1:56" ht="27.75" customHeight="1" x14ac:dyDescent="0.45">
      <c r="A75" s="3">
        <f>[2]หน้าผ้า!C84</f>
        <v>45870</v>
      </c>
      <c r="B75" s="14" t="str">
        <f>[2]หน้าผ้า!B84</f>
        <v>MK68-000954</v>
      </c>
      <c r="C75" s="9" t="str">
        <f>[2]หน้าผ้า!E84</f>
        <v>บจก.เคอรี่ฟลาวมิลล์</v>
      </c>
      <c r="D75" s="13" t="str">
        <f>[2]หน้าผ้า!F84</f>
        <v>ไม่พิมพ์</v>
      </c>
      <c r="E75" s="9">
        <f>[2]หน้าผ้า!G84</f>
        <v>19</v>
      </c>
      <c r="F75" s="9">
        <f>[2]หน้าผ้า!H84</f>
        <v>32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67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45898</v>
      </c>
      <c r="U75" s="11">
        <f>[2]หน้าผ้า!AA84</f>
        <v>20000</v>
      </c>
      <c r="V75" s="10">
        <f>[2]หน้าผ้า!AJ84</f>
        <v>0</v>
      </c>
      <c r="W75" s="10">
        <f>[2]หน้าผ้า!AL84</f>
        <v>20000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WSWT1921720</v>
      </c>
      <c r="AA75" s="8">
        <f>[2]หน้าผ้า!AQ84</f>
        <v>18719.800000000003</v>
      </c>
      <c r="AB75" s="8">
        <f>[2]หน้าผ้า!AR84</f>
        <v>0</v>
      </c>
      <c r="AC75" s="8">
        <f>[2]หน้าผ้า!AS84</f>
        <v>18719.800000000003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P3</v>
      </c>
      <c r="AI75" s="1">
        <f>[2]หน้าผ้า!DM84</f>
        <v>1</v>
      </c>
      <c r="AJ75" s="3">
        <f>[2]หน้าผ้า!DN84</f>
        <v>45898</v>
      </c>
      <c r="AK75" s="3">
        <f>[2]หน้าผ้า!DQ84</f>
        <v>0</v>
      </c>
      <c r="AL75" s="3">
        <f>[2]หน้าผ้า!DR84</f>
        <v>0</v>
      </c>
      <c r="AM75" s="3">
        <f>[2]หน้าผ้า!DS84</f>
        <v>0</v>
      </c>
      <c r="AN75" s="3">
        <f>[2]หน้าผ้า!DT84</f>
        <v>0</v>
      </c>
      <c r="AO75" s="3">
        <f>[2]หน้าผ้า!DU84</f>
        <v>45897</v>
      </c>
      <c r="AP75" s="3">
        <f>[2]หน้าผ้า!DP84</f>
        <v>45893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ตัด</v>
      </c>
      <c r="AX75" s="2">
        <f>[2]หน้าผ้า!ED84</f>
        <v>0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1410.0585351111113</v>
      </c>
    </row>
    <row r="76" spans="1:56" ht="27.7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19</v>
      </c>
      <c r="F76" s="9">
        <f>[2]หน้าผ้า!H85</f>
        <v>30</v>
      </c>
      <c r="G76" s="9">
        <f>[2]หน้าผ้า!I85</f>
        <v>0</v>
      </c>
      <c r="H76" s="9">
        <f>[2]หน้าผ้า!J85</f>
        <v>0</v>
      </c>
      <c r="I76" s="9">
        <f>[2]หน้าผ้า!L85</f>
        <v>63</v>
      </c>
      <c r="J76" s="9" t="str">
        <f>[2]หน้าผ้า!M85</f>
        <v>+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WSWT1921720</v>
      </c>
      <c r="AA76" s="8">
        <f>[2]หน้าผ้า!AQ85</f>
        <v>202355.45</v>
      </c>
      <c r="AB76" s="8">
        <f>[2]หน้าผ้า!AR85</f>
        <v>37439.600000000006</v>
      </c>
      <c r="AC76" s="8">
        <f>[2]หน้าผ้า!AS85</f>
        <v>164915.84999999998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ระบุในSD</v>
      </c>
      <c r="AG76" s="1" t="str">
        <f>[3]หน้าผ้า!DC88</f>
        <v>ยังไม่ได้พิมพ์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WRWT190720/WRWT25800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45874</v>
      </c>
      <c r="B77" s="14" t="str">
        <f>[2]หน้าผ้า!B86</f>
        <v>MK68-000959</v>
      </c>
      <c r="C77" s="9" t="str">
        <f>[2]หน้าผ้า!E86</f>
        <v>บจก.เอเชี่ยนเคมิคัล</v>
      </c>
      <c r="D77" s="13" t="str">
        <f>[2]หน้าผ้า!F86</f>
        <v>A.C.C.ภาษาอังกฤษ</v>
      </c>
      <c r="E77" s="9">
        <f>[2]หน้าผ้า!G86</f>
        <v>19</v>
      </c>
      <c r="F77" s="9">
        <f>[2]หน้าผ้า!H86</f>
        <v>26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70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>
        <f>[2]หน้าผ้า!T86</f>
        <v>20</v>
      </c>
      <c r="N77" s="9">
        <f>[2]หน้าผ้า!U86</f>
        <v>28</v>
      </c>
      <c r="O77" s="9">
        <f>[2]หน้าผ้า!V86</f>
        <v>50</v>
      </c>
      <c r="P77" s="10">
        <f>[2]หน้าผ้า!AB86</f>
        <v>172.69642879999998</v>
      </c>
      <c r="Q77" s="10">
        <f>[2]หน้าผ้า!AC86</f>
        <v>0</v>
      </c>
      <c r="R77" s="10">
        <f>[2]หน้าผ้า!AD86</f>
        <v>172.69642879999998</v>
      </c>
      <c r="S77" s="9" t="str">
        <f>[2]หน้าผ้า!Z86</f>
        <v>มัด100</v>
      </c>
      <c r="T77" s="12">
        <f>[2]หน้าผ้า!X86</f>
        <v>45887</v>
      </c>
      <c r="U77" s="11">
        <f>[2]หน้าผ้า!AA86</f>
        <v>10000</v>
      </c>
      <c r="V77" s="10">
        <f>[2]หน้าผ้า!AJ86</f>
        <v>0</v>
      </c>
      <c r="W77" s="10">
        <f>[2]หน้าผ้า!AL86</f>
        <v>10000</v>
      </c>
      <c r="X77" s="10">
        <f>[2]หน้าผ้า!AM86</f>
        <v>0</v>
      </c>
      <c r="Y77" s="10">
        <f>[2]หน้าผ้า!AN86</f>
        <v>10500</v>
      </c>
      <c r="Z77" s="9" t="str">
        <f>[2]หน้าผ้า!AO86</f>
        <v>WSWT1925800SM</v>
      </c>
      <c r="AA77" s="8">
        <f>[2]หน้าผ้า!AQ86</f>
        <v>7683.5000000000009</v>
      </c>
      <c r="AB77" s="8">
        <f>[2]หน้าผ้า!AR86</f>
        <v>7683.5000000000009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7683.5000000000009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P8</v>
      </c>
      <c r="AI77" s="1">
        <f>[2]หน้าผ้า!DM86</f>
        <v>4</v>
      </c>
      <c r="AJ77" s="3">
        <f>[2]หน้าผ้า!DN86</f>
        <v>45887</v>
      </c>
      <c r="AK77" s="3">
        <f>[2]หน้าผ้า!DQ86</f>
        <v>45883</v>
      </c>
      <c r="AL77" s="3">
        <f>[2]หน้าผ้า!DR86</f>
        <v>45877</v>
      </c>
      <c r="AM77" s="3">
        <f>[2]หน้าผ้า!DS86</f>
        <v>45884</v>
      </c>
      <c r="AN77" s="3">
        <f>[2]หน้าผ้า!DT86</f>
        <v>45885</v>
      </c>
      <c r="AO77" s="3">
        <f>[2]หน้าผ้า!DU86</f>
        <v>45885</v>
      </c>
      <c r="AP77" s="3">
        <f>[2]หน้าผ้า!DP86</f>
        <v>45882</v>
      </c>
      <c r="AQ77" s="3">
        <f>[2]หน้าผ้า!DW86</f>
        <v>45886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WRWT25800/WRWT25800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0</v>
      </c>
      <c r="B78" s="14">
        <f>[2]หน้าผ้า!B87</f>
        <v>0</v>
      </c>
      <c r="C78" s="9">
        <f>[2]หน้าผ้า!E87</f>
        <v>0</v>
      </c>
      <c r="D78" s="13">
        <f>[2]หน้าผ้า!F87</f>
        <v>0</v>
      </c>
      <c r="E78" s="9">
        <f>[2]หน้าผ้า!G87</f>
        <v>19</v>
      </c>
      <c r="F78" s="9">
        <f>[2]หน้าผ้า!H87</f>
        <v>30</v>
      </c>
      <c r="G78" s="9">
        <f>[2]หน้าผ้า!I87</f>
        <v>0</v>
      </c>
      <c r="H78" s="9">
        <f>[2]หน้าผ้า!J87</f>
        <v>0</v>
      </c>
      <c r="I78" s="9">
        <f>[2]หน้าผ้า!L87</f>
        <v>56</v>
      </c>
      <c r="J78" s="9" t="str">
        <f>[2]หน้าผ้า!M87</f>
        <v>±</v>
      </c>
      <c r="K78" s="9">
        <f>[2]หน้าผ้า!N87</f>
        <v>5</v>
      </c>
      <c r="L78" s="9">
        <f>[2]หน้าผ้า!R87</f>
        <v>0</v>
      </c>
      <c r="M78" s="10">
        <f>[2]หน้าผ้า!T87</f>
        <v>0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>
        <f>[2]หน้าผ้า!Z87</f>
        <v>0</v>
      </c>
      <c r="T78" s="12">
        <f>[2]หน้าผ้า!X87</f>
        <v>0</v>
      </c>
      <c r="U78" s="11">
        <f>[2]หน้าผ้า!AA87</f>
        <v>0</v>
      </c>
      <c r="V78" s="10" t="str">
        <f>[2]หน้าผ้า!AJ87</f>
        <v xml:space="preserve"> </v>
      </c>
      <c r="W78" s="10">
        <f>[2]หน้าผ้า!AL87</f>
        <v>0</v>
      </c>
      <c r="X78" s="10">
        <f>[2]หน้าผ้า!AM87</f>
        <v>0</v>
      </c>
      <c r="Y78" s="10">
        <f>[2]หน้าผ้า!AN87</f>
        <v>0</v>
      </c>
      <c r="Z78" s="9" t="str">
        <f>[2]หน้าผ้า!AO87</f>
        <v>WSWT1925800SM</v>
      </c>
      <c r="AA78" s="8">
        <f>[2]หน้าผ้า!AQ87</f>
        <v>7683.5000000000009</v>
      </c>
      <c r="AB78" s="8">
        <f>[2]หน้าผ้า!AR87</f>
        <v>7683.5000000000009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7683.5000000000009</v>
      </c>
      <c r="AF78" s="8" t="str">
        <f>[2]หน้าผ้า!AI87</f>
        <v>ระบุในSD</v>
      </c>
      <c r="AG78" s="1" t="str">
        <f>[3]หน้าผ้า!DC90</f>
        <v>พร้อมส่ง</v>
      </c>
      <c r="AH78" s="1">
        <f>[2]หน้าผ้า!DL87</f>
        <v>0</v>
      </c>
      <c r="AI78" s="1" t="str">
        <f>[2]หน้าผ้า!DM87</f>
        <v>Lead time</v>
      </c>
      <c r="AJ78" s="3">
        <f>[2]หน้าผ้า!DN87</f>
        <v>0</v>
      </c>
      <c r="AK78" s="3">
        <f>[2]หน้าผ้า!DQ87</f>
        <v>0</v>
      </c>
      <c r="AL78" s="3">
        <f>[2]หน้าผ้า!DR87</f>
        <v>0</v>
      </c>
      <c r="AM78" s="3">
        <f>[2]หน้าผ้า!DS87</f>
        <v>0</v>
      </c>
      <c r="AN78" s="3">
        <f>[2]หน้าผ้า!DT87</f>
        <v>0</v>
      </c>
      <c r="AO78" s="3">
        <f>[2]หน้าผ้า!DU87</f>
        <v>0</v>
      </c>
      <c r="AP78" s="3">
        <f>[2]หน้าผ้า!DP87</f>
        <v>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>
        <f>[2]หน้าผ้า!EC87</f>
        <v>0</v>
      </c>
      <c r="AX78" s="2">
        <f>[2]หน้าผ้า!ED87</f>
        <v>0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WRWT190800/WRWT25800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45874</v>
      </c>
      <c r="B79" s="14" t="str">
        <f>[2]หน้าผ้า!B88</f>
        <v>ใบรับคำสั่งซื้อ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104Sโกลด์</v>
      </c>
      <c r="E79" s="9">
        <f>[2]หน้าผ้า!G88</f>
        <v>19</v>
      </c>
      <c r="F79" s="9">
        <f>[2]หน้าผ้า!H88</f>
        <v>34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จับจีบ4"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45889</v>
      </c>
      <c r="U79" s="11">
        <f>[2]หน้าผ้า!AA88</f>
        <v>5040</v>
      </c>
      <c r="V79" s="10">
        <f>[2]หน้าผ้า!AJ88</f>
        <v>0</v>
      </c>
      <c r="W79" s="10">
        <f>[2]หน้าผ้า!AL88</f>
        <v>5040</v>
      </c>
      <c r="X79" s="10">
        <f>[2]หน้าผ้า!AM88</f>
        <v>0</v>
      </c>
      <c r="Y79" s="10">
        <f>[2]หน้าผ้า!AN88</f>
        <v>5292</v>
      </c>
      <c r="Z79" s="9" t="str">
        <f>[2]หน้าผ้า!AO88</f>
        <v>WSWT19251000SM</v>
      </c>
      <c r="AA79" s="8">
        <f>[2]หน้าผ้า!AQ88</f>
        <v>4999.0247999999992</v>
      </c>
      <c r="AB79" s="8">
        <f>[2]หน้าผ้า!AR88</f>
        <v>0</v>
      </c>
      <c r="AC79" s="8">
        <f>[2]หน้าผ้า!AS88</f>
        <v>4999.0247999999992</v>
      </c>
      <c r="AD79" s="8">
        <f>[2]หน้าผ้า!AT88</f>
        <v>0</v>
      </c>
      <c r="AE79" s="8">
        <f>[2]หน้าผ้า!AU88</f>
        <v>4999.0247999999992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45889</v>
      </c>
      <c r="AK79" s="3">
        <f>[2]หน้าผ้า!DQ88</f>
        <v>45885</v>
      </c>
      <c r="AL79" s="3">
        <f>[2]หน้าผ้า!DR88</f>
        <v>45878</v>
      </c>
      <c r="AM79" s="3">
        <f>[2]หน้าผ้า!DS88</f>
        <v>45886</v>
      </c>
      <c r="AN79" s="3">
        <f>[2]หน้าผ้า!DT88</f>
        <v>45887</v>
      </c>
      <c r="AO79" s="3">
        <f>[2]หน้าผ้า!DU88</f>
        <v>45888</v>
      </c>
      <c r="AP79" s="3">
        <f>[2]หน้าผ้า!DP88</f>
        <v>45884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WRWT251000/WRWT251000</v>
      </c>
      <c r="BD79" s="56">
        <f>[2]หน้าผ้า!CA88</f>
        <v>422.13987199999997</v>
      </c>
    </row>
    <row r="80" spans="1:56" ht="27.75" customHeight="1" x14ac:dyDescent="0.45">
      <c r="A80" s="3">
        <f>[2]หน้าผ้า!C89</f>
        <v>45796</v>
      </c>
      <c r="B80" s="14" t="str">
        <f>[2]หน้าผ้า!B89</f>
        <v>MK68-000680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เพอเฟคค์103P โกลด์</v>
      </c>
      <c r="E80" s="9">
        <f>[2]หน้าผ้า!G89</f>
        <v>19</v>
      </c>
      <c r="F80" s="9">
        <f>[2]หน้าผ้า!H89</f>
        <v>34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จับจีบ4"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 t="str">
        <f>[2]หน้าผ้า!X89</f>
        <v>รอแจ้ง</v>
      </c>
      <c r="U80" s="11">
        <f>[2]หน้าผ้า!AA89</f>
        <v>503</v>
      </c>
      <c r="V80" s="10">
        <f>[2]หน้าผ้า!AJ89</f>
        <v>0</v>
      </c>
      <c r="W80" s="10">
        <f>[2]หน้าผ้า!AL89</f>
        <v>503</v>
      </c>
      <c r="X80" s="10">
        <f>[2]หน้าผ้า!AM89</f>
        <v>5250</v>
      </c>
      <c r="Y80" s="10">
        <f>[2]หน้าผ้า!AN89</f>
        <v>0</v>
      </c>
      <c r="Z80" s="9" t="str">
        <f>[2]หน้าผ้า!AO89</f>
        <v>WSWT19251000SM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WRWT251000/WRWT251000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19</v>
      </c>
      <c r="F81" s="9">
        <f>[2]หน้าผ้า!H90</f>
        <v>34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80</v>
      </c>
      <c r="J81" s="9" t="str">
        <f>[2]หน้าผ้า!M90</f>
        <v>±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WSWT19251000SM</v>
      </c>
      <c r="AA81" s="8">
        <f>[2]หน้าผ้า!AQ90</f>
        <v>4999.0247999999992</v>
      </c>
      <c r="AB81" s="8">
        <f>[2]หน้าผ้า!AR90</f>
        <v>0</v>
      </c>
      <c r="AC81" s="8">
        <f>[2]หน้าผ้า!AS90</f>
        <v>4999.0247999999992</v>
      </c>
      <c r="AD81" s="8">
        <f>[2]หน้าผ้า!AT90</f>
        <v>0</v>
      </c>
      <c r="AE81" s="8">
        <f>[2]หน้าผ้า!AU90</f>
        <v>4999.0247999999992</v>
      </c>
      <c r="AF81" s="8" t="str">
        <f>[2]หน้าผ้า!AI90</f>
        <v>ระบุในSD</v>
      </c>
      <c r="AG81" s="1" t="str">
        <f>[3]หน้าผ้า!DC93</f>
        <v>พร้อมส่ง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WRWT251000/WRYL251000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0</v>
      </c>
      <c r="B82" s="14">
        <f>[2]หน้าผ้า!B91</f>
        <v>0</v>
      </c>
      <c r="C82" s="9">
        <f>[2]หน้าผ้า!E91</f>
        <v>0</v>
      </c>
      <c r="D82" s="13">
        <f>[2]หน้าผ้า!F91</f>
        <v>0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65</v>
      </c>
      <c r="J82" s="9" t="str">
        <f>[2]หน้าผ้า!M91</f>
        <v>±</v>
      </c>
      <c r="K82" s="9">
        <f>[2]หน้าผ้า!N91</f>
        <v>5</v>
      </c>
      <c r="L82" s="9">
        <f>[2]หน้าผ้า!R91</f>
        <v>0</v>
      </c>
      <c r="M82" s="10">
        <f>[2]หน้าผ้า!T91</f>
        <v>0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>
        <f>[2]หน้าผ้า!Z91</f>
        <v>0</v>
      </c>
      <c r="T82" s="12">
        <f>[2]หน้าผ้า!X91</f>
        <v>0</v>
      </c>
      <c r="U82" s="11">
        <f>[2]หน้าผ้า!AA91</f>
        <v>0</v>
      </c>
      <c r="V82" s="10">
        <f>[2]หน้าผ้า!AJ91</f>
        <v>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WSWT2025650</v>
      </c>
      <c r="AA82" s="8" t="e">
        <f>[2]หน้าผ้า!AQ91</f>
        <v>#REF!</v>
      </c>
      <c r="AB82" s="8" t="e">
        <f>[2]หน้าผ้า!AR91</f>
        <v>#REF!</v>
      </c>
      <c r="AC82" s="8" t="e">
        <f>[2]หน้าผ้า!AS91</f>
        <v>#REF!</v>
      </c>
      <c r="AD82" s="8" t="e">
        <f>[2]หน้าผ้า!AT91</f>
        <v>#REF!</v>
      </c>
      <c r="AE82" s="8" t="e">
        <f>[2]หน้าผ้า!AU91</f>
        <v>#REF!</v>
      </c>
      <c r="AF82" s="8" t="str">
        <f>[2]หน้าผ้า!AI91</f>
        <v>ระบุในSD</v>
      </c>
      <c r="AG82" s="1" t="str">
        <f>[3]หน้าผ้า!DC94</f>
        <v>พร้อมส่ง</v>
      </c>
      <c r="AH82" s="1">
        <f>[2]หน้าผ้า!DL91</f>
        <v>0</v>
      </c>
      <c r="AI82" s="1" t="str">
        <f>[2]หน้าผ้า!DM91</f>
        <v>Lead time</v>
      </c>
      <c r="AJ82" s="3">
        <f>[2]หน้าผ้า!DN91</f>
        <v>0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0</v>
      </c>
      <c r="AP82" s="3">
        <f>[2]หน้าผ้า!DP91</f>
        <v>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>
        <f>[2]หน้าผ้า!EC91</f>
        <v>0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WRWT25650/WRWT25650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70</v>
      </c>
      <c r="J83" s="9" t="str">
        <f>[2]หน้าผ้า!M92</f>
        <v>±</v>
      </c>
      <c r="K83" s="9">
        <f>[2]หน้าผ้า!N92</f>
        <v>5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>
        <f>[2]หน้าผ้า!AJ92</f>
        <v>0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WSWT2025700</v>
      </c>
      <c r="AA83" s="8" t="e">
        <f>[2]หน้าผ้า!AQ92</f>
        <v>#REF!</v>
      </c>
      <c r="AB83" s="8" t="e">
        <f>[2]หน้าผ้า!AR92</f>
        <v>#REF!</v>
      </c>
      <c r="AC83" s="8" t="e">
        <f>[2]หน้าผ้า!AS92</f>
        <v>#REF!</v>
      </c>
      <c r="AD83" s="8" t="e">
        <f>[2]หน้าผ้า!AT92</f>
        <v>#REF!</v>
      </c>
      <c r="AE83" s="8" t="e">
        <f>[2]หน้าผ้า!AU92</f>
        <v>#REF!</v>
      </c>
      <c r="AF83" s="8" t="str">
        <f>[2]หน้าผ้า!AI92</f>
        <v>ระบุในSD</v>
      </c>
      <c r="AG83" s="1" t="str">
        <f>[3]หน้าผ้า!DC95</f>
        <v>พร้อมส่ง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WRWT25800/WRWT25650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45857</v>
      </c>
      <c r="B84" s="14" t="str">
        <f>[2]หน้าผ้า!B93</f>
        <v>MK68-000902</v>
      </c>
      <c r="C84" s="9" t="str">
        <f>[2]หน้าผ้า!E93</f>
        <v>บจก.อินเทคค์ โกลบอล</v>
      </c>
      <c r="D84" s="13" t="str">
        <f>[2]หน้าผ้า!F93</f>
        <v>เพอเฟคค์ 000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120</v>
      </c>
      <c r="V84" s="10">
        <f>[2]หน้าผ้า!AJ93</f>
        <v>0</v>
      </c>
      <c r="W84" s="10">
        <f>[2]หน้าผ้า!AL93</f>
        <v>120</v>
      </c>
      <c r="X84" s="10">
        <f>[2]หน้าผ้า!AM93</f>
        <v>11000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45810</v>
      </c>
      <c r="B85" s="14" t="str">
        <f>[2]หน้าผ้า!B94</f>
        <v>MK68-000742</v>
      </c>
      <c r="C85" s="9" t="str">
        <f>[2]หน้าผ้า!E94</f>
        <v>บจก.เอสพีเอ็ม อาหารสัตว์</v>
      </c>
      <c r="D85" s="13" t="str">
        <f>[2]หน้าผ้า!F94</f>
        <v>นีโอ 05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 t="str">
        <f>[2]หน้าผ้า!X94</f>
        <v>รอส่ง</v>
      </c>
      <c r="U85" s="11">
        <f>[2]หน้าผ้า!AA94</f>
        <v>2500</v>
      </c>
      <c r="V85" s="10">
        <f>[2]หน้าผ้า!AJ94</f>
        <v>2500</v>
      </c>
      <c r="W85" s="10">
        <f>[2]หน้าผ้า!AL94</f>
        <v>0</v>
      </c>
      <c r="X85" s="10">
        <f>[2]หน้าผ้า!AM94</f>
        <v>5560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รอส่ง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45847</v>
      </c>
      <c r="B86" s="14" t="str">
        <f>[2]หน้าผ้า!B95</f>
        <v>MK68-000874</v>
      </c>
      <c r="C86" s="9" t="str">
        <f>[2]หน้าผ้า!E95</f>
        <v>บจก.เอสพีเอ็ม อาหารสัตว์</v>
      </c>
      <c r="D86" s="13" t="str">
        <f>[2]หน้าผ้า!F95</f>
        <v>SPM 912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45876</v>
      </c>
      <c r="U86" s="11">
        <f>[2]หน้าผ้า!AA95</f>
        <v>3000</v>
      </c>
      <c r="V86" s="10">
        <f>[2]หน้าผ้า!AJ95</f>
        <v>3000</v>
      </c>
      <c r="W86" s="10">
        <f>[2]หน้าผ้า!AL95</f>
        <v>0</v>
      </c>
      <c r="X86" s="10">
        <f>[2]หน้าผ้า!AM95</f>
        <v>3841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45876</v>
      </c>
      <c r="AK86" s="3">
        <f>[2]หน้าผ้า!DQ95</f>
        <v>45872</v>
      </c>
      <c r="AL86" s="3">
        <f>[2]หน้าผ้า!DR95</f>
        <v>45865</v>
      </c>
      <c r="AM86" s="3">
        <f>[2]หน้าผ้า!DS95</f>
        <v>45873</v>
      </c>
      <c r="AN86" s="3">
        <f>[2]หน้าผ้า!DT95</f>
        <v>45874</v>
      </c>
      <c r="AO86" s="3">
        <f>[2]หน้าผ้า!DU95</f>
        <v>45875</v>
      </c>
      <c r="AP86" s="3">
        <f>[2]หน้าผ้า!DP95</f>
        <v>45871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45870</v>
      </c>
      <c r="B87" s="14" t="str">
        <f>[2]หน้าผ้า!B96</f>
        <v>MK68-000948</v>
      </c>
      <c r="C87" s="9" t="str">
        <f>[2]หน้าผ้า!E96</f>
        <v>บจก.เอสพีเอ็ม อาหารสัตว์</v>
      </c>
      <c r="D87" s="13" t="str">
        <f>[2]หน้าผ้า!F96</f>
        <v>SPM 202</v>
      </c>
      <c r="E87" s="9">
        <f>[2]หน้าผ้า!G96</f>
        <v>20</v>
      </c>
      <c r="F87" s="9">
        <f>[2]หน้าผ้า!H96</f>
        <v>40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108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45876</v>
      </c>
      <c r="U87" s="11">
        <f>[2]หน้าผ้า!AA96</f>
        <v>3000</v>
      </c>
      <c r="V87" s="10">
        <f>[2]หน้าผ้า!AJ96</f>
        <v>3000</v>
      </c>
      <c r="W87" s="10">
        <f>[2]หน้าผ้า!AL96</f>
        <v>0</v>
      </c>
      <c r="X87" s="10">
        <f>[2]หน้าผ้า!AM96</f>
        <v>3300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พิมพ์ไม่ครบ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45876</v>
      </c>
      <c r="AK87" s="3">
        <f>[2]หน้าผ้า!DQ96</f>
        <v>45872</v>
      </c>
      <c r="AL87" s="3">
        <f>[2]หน้าผ้า!DR96</f>
        <v>45865</v>
      </c>
      <c r="AM87" s="3">
        <f>[2]หน้าผ้า!DS96</f>
        <v>45873</v>
      </c>
      <c r="AN87" s="3">
        <f>[2]หน้าผ้า!DT96</f>
        <v>45874</v>
      </c>
      <c r="AO87" s="3">
        <f>[2]หน้าผ้า!DU96</f>
        <v>45875</v>
      </c>
      <c r="AP87" s="3">
        <f>[2]หน้าผ้า!DP96</f>
        <v>45871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45870</v>
      </c>
      <c r="B88" s="14" t="str">
        <f>[2]หน้าผ้า!B97</f>
        <v>MK68-000947</v>
      </c>
      <c r="C88" s="9" t="str">
        <f>[2]หน้าผ้า!E97</f>
        <v>บจก.เอสพีเอ็ม อาหารสัตว์</v>
      </c>
      <c r="D88" s="13" t="str">
        <f>[2]หน้าผ้า!F97</f>
        <v>SPM 914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45876</v>
      </c>
      <c r="U88" s="11">
        <f>[2]หน้าผ้า!AA97</f>
        <v>3000</v>
      </c>
      <c r="V88" s="10">
        <f>[2]หน้าผ้า!AJ97</f>
        <v>2631</v>
      </c>
      <c r="W88" s="10">
        <f>[2]หน้าผ้า!AL97</f>
        <v>369</v>
      </c>
      <c r="X88" s="10">
        <f>[2]หน้าผ้า!AM97</f>
        <v>3480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45876</v>
      </c>
      <c r="AK88" s="3">
        <f>[2]หน้าผ้า!DQ97</f>
        <v>45872</v>
      </c>
      <c r="AL88" s="3">
        <f>[2]หน้าผ้า!DR97</f>
        <v>45865</v>
      </c>
      <c r="AM88" s="3">
        <f>[2]หน้าผ้า!DS97</f>
        <v>45873</v>
      </c>
      <c r="AN88" s="3">
        <f>[2]หน้าผ้า!DT97</f>
        <v>45874</v>
      </c>
      <c r="AO88" s="3">
        <f>[2]หน้าผ้า!DU97</f>
        <v>45875</v>
      </c>
      <c r="AP88" s="3">
        <f>[2]หน้าผ้า!DP97</f>
        <v>45871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45850</v>
      </c>
      <c r="B89" s="14" t="str">
        <f>[2]หน้าผ้า!B98</f>
        <v>MK68-000880</v>
      </c>
      <c r="C89" s="9" t="str">
        <f>[2]หน้าผ้า!E98</f>
        <v>บจก.เอพีเอ็ม อะโกร</v>
      </c>
      <c r="D89" s="13" t="str">
        <f>[2]หน้าผ้า!F98</f>
        <v>SPM195 GOAL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45883</v>
      </c>
      <c r="U89" s="11">
        <f>[2]หน้าผ้า!AA98</f>
        <v>4000</v>
      </c>
      <c r="V89" s="10">
        <f>[2]หน้าผ้า!AJ98</f>
        <v>0</v>
      </c>
      <c r="W89" s="10">
        <f>[2]หน้าผ้า!AL98</f>
        <v>4000</v>
      </c>
      <c r="X89" s="10">
        <f>[2]หน้าผ้า!AM98</f>
        <v>4100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45883</v>
      </c>
      <c r="AK89" s="3">
        <f>[2]หน้าผ้า!DQ98</f>
        <v>45879</v>
      </c>
      <c r="AL89" s="3">
        <f>[2]หน้าผ้า!DR98</f>
        <v>45872</v>
      </c>
      <c r="AM89" s="3">
        <f>[2]หน้าผ้า!DS98</f>
        <v>45880</v>
      </c>
      <c r="AN89" s="3">
        <f>[2]หน้าผ้า!DT98</f>
        <v>45881</v>
      </c>
      <c r="AO89" s="3">
        <f>[2]หน้าผ้า!DU98</f>
        <v>45882</v>
      </c>
      <c r="AP89" s="3">
        <f>[2]หน้าผ้า!DP98</f>
        <v>45878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45868</v>
      </c>
      <c r="B90" s="14" t="str">
        <f>[2]หน้าผ้า!B99</f>
        <v>MK68-000952</v>
      </c>
      <c r="C90" s="9" t="str">
        <f>[2]หน้าผ้า!E99</f>
        <v>บจก.วีซีเอฟ</v>
      </c>
      <c r="D90" s="13" t="str">
        <f>[2]หน้าผ้า!F99</f>
        <v>VC 100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45894</v>
      </c>
      <c r="U90" s="11">
        <f>[2]หน้าผ้า!AA99</f>
        <v>30000</v>
      </c>
      <c r="V90" s="10">
        <f>[2]หน้าผ้า!AJ99</f>
        <v>10000</v>
      </c>
      <c r="W90" s="10">
        <f>[2]หน้าผ้า!AL99</f>
        <v>20000</v>
      </c>
      <c r="X90" s="10">
        <f>[2]หน้าผ้า!AM99</f>
        <v>24370</v>
      </c>
      <c r="Y90" s="10">
        <f>[2]หน้าผ้า!AN99</f>
        <v>5911.5</v>
      </c>
      <c r="Z90" s="9" t="str">
        <f>[2]หน้าผ้า!AO99</f>
        <v>WSWT2025800SM</v>
      </c>
      <c r="AA90" s="8">
        <f>[2]หน้าผ้า!AQ99</f>
        <v>6358.9414350000006</v>
      </c>
      <c r="AB90" s="8">
        <f>[2]หน้าผ้า!AR99</f>
        <v>6358.9414350000006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6358.9414350000006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45894</v>
      </c>
      <c r="AK90" s="3">
        <f>[2]หน้าผ้า!DQ99</f>
        <v>45890</v>
      </c>
      <c r="AL90" s="3">
        <f>[2]หน้าผ้า!DR99</f>
        <v>45883</v>
      </c>
      <c r="AM90" s="3">
        <f>[2]หน้าผ้า!DS99</f>
        <v>45891</v>
      </c>
      <c r="AN90" s="3">
        <f>[2]หน้าผ้า!DT99</f>
        <v>45892</v>
      </c>
      <c r="AO90" s="3">
        <f>[2]หน้าผ้า!DU99</f>
        <v>45893</v>
      </c>
      <c r="AP90" s="3">
        <f>[2]หน้าผ้า!DP99</f>
        <v>45889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45868</v>
      </c>
      <c r="B91" s="14" t="str">
        <f>[2]หน้าผ้า!B100</f>
        <v>MK68-000952</v>
      </c>
      <c r="C91" s="9" t="str">
        <f>[2]หน้าผ้า!E100</f>
        <v>บจก.วีซีเอฟ</v>
      </c>
      <c r="D91" s="13" t="str">
        <f>[2]หน้าผ้า!F100</f>
        <v>VC 193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45894</v>
      </c>
      <c r="U91" s="11">
        <f>[2]หน้าผ้า!AA100</f>
        <v>20000</v>
      </c>
      <c r="V91" s="10">
        <f>[2]หน้าผ้า!AJ100</f>
        <v>20000</v>
      </c>
      <c r="W91" s="10">
        <f>[2]หน้าผ้า!AL100</f>
        <v>0</v>
      </c>
      <c r="X91" s="10">
        <f>[2]หน้าผ้า!AM100</f>
        <v>20197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45894</v>
      </c>
      <c r="AK91" s="3">
        <f>[2]หน้าผ้า!DQ100</f>
        <v>45890</v>
      </c>
      <c r="AL91" s="3">
        <f>[2]หน้าผ้า!DR100</f>
        <v>45883</v>
      </c>
      <c r="AM91" s="3">
        <f>[2]หน้าผ้า!DS100</f>
        <v>45891</v>
      </c>
      <c r="AN91" s="3">
        <f>[2]หน้าผ้า!DT100</f>
        <v>45892</v>
      </c>
      <c r="AO91" s="3">
        <f>[2]หน้าผ้า!DU100</f>
        <v>45893</v>
      </c>
      <c r="AP91" s="3">
        <f>[2]หน้าผ้า!DP100</f>
        <v>45889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45868</v>
      </c>
      <c r="B92" s="14" t="str">
        <f>[2]หน้าผ้า!B101</f>
        <v>MK68-000952</v>
      </c>
      <c r="C92" s="9" t="str">
        <f>[2]หน้าผ้า!E101</f>
        <v>บจก.วีซีเอฟ</v>
      </c>
      <c r="D92" s="13" t="str">
        <f>[2]หน้าผ้า!F101</f>
        <v>JET 180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45894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0</v>
      </c>
      <c r="Y92" s="10">
        <f>[2]หน้าผ้า!AN101</f>
        <v>5250</v>
      </c>
      <c r="Z92" s="9" t="str">
        <f>[2]หน้าผ้า!AO101</f>
        <v>WSWT2025800SM</v>
      </c>
      <c r="AA92" s="8">
        <f>[2]หน้าผ้า!AQ101</f>
        <v>5378.4500000000007</v>
      </c>
      <c r="AB92" s="8">
        <f>[2]หน้าผ้า!AR101</f>
        <v>5378.4500000000007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5378.4500000000007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45894</v>
      </c>
      <c r="AK92" s="3">
        <f>[2]หน้าผ้า!DQ101</f>
        <v>45890</v>
      </c>
      <c r="AL92" s="3">
        <f>[2]หน้าผ้า!DR101</f>
        <v>45883</v>
      </c>
      <c r="AM92" s="3">
        <f>[2]หน้าผ้า!DS101</f>
        <v>45891</v>
      </c>
      <c r="AN92" s="3">
        <f>[2]หน้าผ้า!DT101</f>
        <v>45892</v>
      </c>
      <c r="AO92" s="3">
        <f>[2]หน้าผ้า!DU101</f>
        <v>45893</v>
      </c>
      <c r="AP92" s="3">
        <f>[2]หน้าผ้า!DP101</f>
        <v>45889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45873</v>
      </c>
      <c r="B93" s="14" t="str">
        <f>[2]หน้าผ้า!B102</f>
        <v>MK68-000957</v>
      </c>
      <c r="C93" s="9" t="str">
        <f>[2]หน้าผ้า!E102</f>
        <v>บจก.วีซีเอฟ</v>
      </c>
      <c r="D93" s="13" t="str">
        <f>[2]หน้าผ้า!F102</f>
        <v>JET 405โปรตีน16%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45894</v>
      </c>
      <c r="U93" s="11">
        <f>[2]หน้าผ้า!AA102</f>
        <v>10000</v>
      </c>
      <c r="V93" s="10">
        <f>[2]หน้าผ้า!AJ102</f>
        <v>0</v>
      </c>
      <c r="W93" s="10">
        <f>[2]หน้าผ้า!AL102</f>
        <v>10000</v>
      </c>
      <c r="X93" s="10">
        <f>[2]หน้าผ้า!AM102</f>
        <v>0</v>
      </c>
      <c r="Y93" s="10">
        <f>[2]หน้าผ้า!AN102</f>
        <v>10500</v>
      </c>
      <c r="Z93" s="9" t="str">
        <f>[2]หน้าผ้า!AO102</f>
        <v>WSWT2025800SM</v>
      </c>
      <c r="AA93" s="8">
        <f>[2]หน้าผ้า!AQ102</f>
        <v>10756.900000000001</v>
      </c>
      <c r="AB93" s="8">
        <f>[2]หน้าผ้า!AR102</f>
        <v>1503</v>
      </c>
      <c r="AC93" s="8">
        <f>[2]หน้าผ้า!AS102</f>
        <v>9253.9000000000015</v>
      </c>
      <c r="AD93" s="8">
        <f>[2]หน้าผ้า!AT102</f>
        <v>0</v>
      </c>
      <c r="AE93" s="8">
        <f>[2]หน้าผ้า!AU102</f>
        <v>10756.900000000001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45894</v>
      </c>
      <c r="AK93" s="3">
        <f>[2]หน้าผ้า!DQ102</f>
        <v>45890</v>
      </c>
      <c r="AL93" s="3">
        <f>[2]หน้าผ้า!DR102</f>
        <v>45883</v>
      </c>
      <c r="AM93" s="3">
        <f>[2]หน้าผ้า!DS102</f>
        <v>45891</v>
      </c>
      <c r="AN93" s="3">
        <f>[2]หน้าผ้า!DT102</f>
        <v>45892</v>
      </c>
      <c r="AO93" s="3">
        <f>[2]หน้าผ้า!DU102</f>
        <v>45893</v>
      </c>
      <c r="AP93" s="3">
        <f>[2]หน้าผ้า!DP102</f>
        <v>45889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699.18355555555559</v>
      </c>
    </row>
    <row r="94" spans="1:56" ht="27.75" customHeight="1" x14ac:dyDescent="0.45">
      <c r="A94" s="3">
        <f>[2]หน้าผ้า!C103</f>
        <v>45873</v>
      </c>
      <c r="B94" s="14" t="str">
        <f>[2]หน้าผ้า!B103</f>
        <v>MK68-000957</v>
      </c>
      <c r="C94" s="9" t="str">
        <f>[2]หน้าผ้า!E103</f>
        <v>บจก.วีซีเอฟ</v>
      </c>
      <c r="D94" s="13" t="str">
        <f>[2]หน้าผ้า!F103</f>
        <v>JET 405โปรตีน18%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45894</v>
      </c>
      <c r="U94" s="11">
        <f>[2]หน้าผ้า!AA103</f>
        <v>20000</v>
      </c>
      <c r="V94" s="10">
        <f>[2]หน้าผ้า!AJ103</f>
        <v>0</v>
      </c>
      <c r="W94" s="10">
        <f>[2]หน้าผ้า!AL103</f>
        <v>20000</v>
      </c>
      <c r="X94" s="10">
        <f>[2]หน้าผ้า!AM103</f>
        <v>0</v>
      </c>
      <c r="Y94" s="10">
        <f>[2]หน้าผ้า!AN103</f>
        <v>21000</v>
      </c>
      <c r="Z94" s="9" t="str">
        <f>[2]หน้าผ้า!AO103</f>
        <v>WSWT2025800SM</v>
      </c>
      <c r="AA94" s="8">
        <f>[2]หน้าผ้า!AQ103</f>
        <v>21513.800000000003</v>
      </c>
      <c r="AB94" s="8">
        <f>[2]หน้าผ้า!AR103</f>
        <v>0</v>
      </c>
      <c r="AC94" s="8">
        <f>[2]หน้าผ้า!AS103</f>
        <v>21513.800000000003</v>
      </c>
      <c r="AD94" s="8">
        <f>[2]หน้าผ้า!AT103</f>
        <v>0</v>
      </c>
      <c r="AE94" s="8">
        <f>[2]หน้าผ้า!AU103</f>
        <v>21513.800000000003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45894</v>
      </c>
      <c r="AK94" s="3">
        <f>[2]หน้าผ้า!DQ103</f>
        <v>45890</v>
      </c>
      <c r="AL94" s="3">
        <f>[2]หน้าผ้า!DR103</f>
        <v>45883</v>
      </c>
      <c r="AM94" s="3">
        <f>[2]หน้าผ้า!DS103</f>
        <v>45891</v>
      </c>
      <c r="AN94" s="3">
        <f>[2]หน้าผ้า!DT103</f>
        <v>45892</v>
      </c>
      <c r="AO94" s="3">
        <f>[2]หน้าผ้า!DU103</f>
        <v>45893</v>
      </c>
      <c r="AP94" s="3">
        <f>[2]หน้าผ้า!DP103</f>
        <v>45889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1625.4871111111113</v>
      </c>
    </row>
    <row r="95" spans="1:56" ht="27.75" customHeight="1" x14ac:dyDescent="0.45">
      <c r="A95" s="3">
        <f>[2]หน้าผ้า!C104</f>
        <v>45873</v>
      </c>
      <c r="B95" s="14" t="str">
        <f>[2]หน้าผ้า!B104</f>
        <v>MK68-000956</v>
      </c>
      <c r="C95" s="9" t="str">
        <f>[2]หน้าผ้า!E104</f>
        <v>บจก.วีซีเอฟ</v>
      </c>
      <c r="D95" s="13" t="str">
        <f>[2]หน้าผ้า!F104</f>
        <v>R FEED 405A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45894</v>
      </c>
      <c r="U95" s="11">
        <f>[2]หน้าผ้า!AA104</f>
        <v>10000</v>
      </c>
      <c r="V95" s="10">
        <f>[2]หน้าผ้า!AJ104</f>
        <v>0</v>
      </c>
      <c r="W95" s="10">
        <f>[2]หน้าผ้า!AL104</f>
        <v>10000</v>
      </c>
      <c r="X95" s="10">
        <f>[2]หน้าผ้า!AM104</f>
        <v>0</v>
      </c>
      <c r="Y95" s="10">
        <f>[2]หน้าผ้า!AN104</f>
        <v>10500</v>
      </c>
      <c r="Z95" s="9" t="str">
        <f>[2]หน้าผ้า!AO104</f>
        <v>WSWT2025800SM</v>
      </c>
      <c r="AA95" s="8">
        <f>[2]หน้าผ้า!AQ104</f>
        <v>10756.900000000001</v>
      </c>
      <c r="AB95" s="8">
        <f>[2]หน้าผ้า!AR104</f>
        <v>0</v>
      </c>
      <c r="AC95" s="8">
        <f>[2]หน้าผ้า!AS104</f>
        <v>10756.900000000001</v>
      </c>
      <c r="AD95" s="8">
        <f>[2]หน้าผ้า!AT104</f>
        <v>0</v>
      </c>
      <c r="AE95" s="8">
        <f>[2]หน้าผ้า!AU104</f>
        <v>10756.900000000001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45894</v>
      </c>
      <c r="AK95" s="3">
        <f>[2]หน้าผ้า!DQ104</f>
        <v>45890</v>
      </c>
      <c r="AL95" s="3">
        <f>[2]หน้าผ้า!DR104</f>
        <v>45883</v>
      </c>
      <c r="AM95" s="3">
        <f>[2]หน้าผ้า!DS104</f>
        <v>45891</v>
      </c>
      <c r="AN95" s="3">
        <f>[2]หน้าผ้า!DT104</f>
        <v>45892</v>
      </c>
      <c r="AO95" s="3">
        <f>[2]หน้าผ้า!DU104</f>
        <v>45893</v>
      </c>
      <c r="AP95" s="3">
        <f>[2]หน้าผ้า!DP104</f>
        <v>45889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812.74355555555564</v>
      </c>
    </row>
    <row r="96" spans="1:56" ht="27.75" customHeight="1" x14ac:dyDescent="0.45">
      <c r="A96" s="3">
        <f>[2]หน้าผ้า!C105</f>
        <v>45873</v>
      </c>
      <c r="B96" s="14" t="str">
        <f>[2]หน้าผ้า!B105</f>
        <v>MK68-000956</v>
      </c>
      <c r="C96" s="9" t="str">
        <f>[2]หน้าผ้า!E105</f>
        <v>บจก.วีซีเอฟ</v>
      </c>
      <c r="D96" s="13" t="str">
        <f>[2]หน้าผ้า!F105</f>
        <v>SPEED PLUS 999 ENG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45894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5378.4500000000007</v>
      </c>
      <c r="AB96" s="8">
        <f>[2]หน้าผ้า!AR105</f>
        <v>0</v>
      </c>
      <c r="AC96" s="8">
        <f>[2]หน้าผ้า!AS105</f>
        <v>5378.4500000000007</v>
      </c>
      <c r="AD96" s="8">
        <f>[2]หน้าผ้า!AT105</f>
        <v>0</v>
      </c>
      <c r="AE96" s="8">
        <f>[2]หน้าผ้า!AU105</f>
        <v>5378.4500000000007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45894</v>
      </c>
      <c r="AK96" s="3">
        <f>[2]หน้าผ้า!DQ105</f>
        <v>45890</v>
      </c>
      <c r="AL96" s="3">
        <f>[2]หน้าผ้า!DR105</f>
        <v>45883</v>
      </c>
      <c r="AM96" s="3">
        <f>[2]หน้าผ้า!DS105</f>
        <v>45891</v>
      </c>
      <c r="AN96" s="3">
        <f>[2]หน้าผ้า!DT105</f>
        <v>45892</v>
      </c>
      <c r="AO96" s="3">
        <f>[2]หน้าผ้า!DU105</f>
        <v>45893</v>
      </c>
      <c r="AP96" s="3">
        <f>[2]หน้าผ้า!DP105</f>
        <v>45889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406.37177777777782</v>
      </c>
    </row>
    <row r="97" spans="1:56" ht="27.75" customHeight="1" x14ac:dyDescent="0.45">
      <c r="A97" s="3">
        <f>[2]หน้าผ้า!C106</f>
        <v>45874</v>
      </c>
      <c r="B97" s="14" t="str">
        <f>[2]หน้าผ้า!B106</f>
        <v>ใบรับคำสั่งซื้อ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912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>
        <f>[2]หน้าผ้า!X106</f>
        <v>45888</v>
      </c>
      <c r="U97" s="11">
        <f>[2]หน้าผ้า!AA106</f>
        <v>10000</v>
      </c>
      <c r="V97" s="10">
        <f>[2]หน้าผ้า!AJ106</f>
        <v>0</v>
      </c>
      <c r="W97" s="10">
        <f>[2]หน้าผ้า!AL106</f>
        <v>10000</v>
      </c>
      <c r="X97" s="10">
        <f>[2]หน้าผ้า!AM106</f>
        <v>0</v>
      </c>
      <c r="Y97" s="10">
        <f>[2]หน้าผ้า!AN106</f>
        <v>10500</v>
      </c>
      <c r="Z97" s="9" t="str">
        <f>[2]หน้าผ้า!AO106</f>
        <v>WSWT2025800SM</v>
      </c>
      <c r="AA97" s="8">
        <f>[2]หน้าผ้า!AQ106</f>
        <v>10477.5</v>
      </c>
      <c r="AB97" s="8">
        <f>[2]หน้าผ้า!AR106</f>
        <v>0</v>
      </c>
      <c r="AC97" s="8">
        <f>[2]หน้าผ้า!AS106</f>
        <v>10477.5</v>
      </c>
      <c r="AD97" s="8">
        <f>[2]หน้าผ้า!AT106</f>
        <v>0</v>
      </c>
      <c r="AE97" s="8">
        <f>[2]หน้าผ้า!AU106</f>
        <v>10477.5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45888</v>
      </c>
      <c r="AK97" s="3">
        <f>[2]หน้าผ้า!DQ106</f>
        <v>45884</v>
      </c>
      <c r="AL97" s="3">
        <f>[2]หน้าผ้า!DR106</f>
        <v>45877</v>
      </c>
      <c r="AM97" s="3">
        <f>[2]หน้าผ้า!DS106</f>
        <v>45885</v>
      </c>
      <c r="AN97" s="3">
        <f>[2]หน้าผ้า!DT106</f>
        <v>45886</v>
      </c>
      <c r="AO97" s="3">
        <f>[2]หน้าผ้า!DU106</f>
        <v>45887</v>
      </c>
      <c r="AP97" s="3">
        <f>[2]หน้าผ้า!DP106</f>
        <v>45883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>รอART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791.63333333333321</v>
      </c>
    </row>
    <row r="98" spans="1:56" ht="27.75" customHeight="1" x14ac:dyDescent="0.45">
      <c r="A98" s="3">
        <f>[2]หน้าผ้า!C107</f>
        <v>45874</v>
      </c>
      <c r="B98" s="14" t="str">
        <f>[2]หน้าผ้า!B107</f>
        <v>ใบรับคำสั่งซื้อ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916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45887</v>
      </c>
      <c r="U98" s="11">
        <f>[2]หน้าผ้า!AA107</f>
        <v>10000</v>
      </c>
      <c r="V98" s="10">
        <f>[2]หน้าผ้า!AJ107</f>
        <v>0</v>
      </c>
      <c r="W98" s="10">
        <f>[2]หน้าผ้า!AL107</f>
        <v>10000</v>
      </c>
      <c r="X98" s="10">
        <f>[2]หน้าผ้า!AM107</f>
        <v>0</v>
      </c>
      <c r="Y98" s="10">
        <f>[2]หน้าผ้า!AN107</f>
        <v>10500</v>
      </c>
      <c r="Z98" s="9" t="str">
        <f>[2]หน้าผ้า!AO107</f>
        <v>WSWT2025800SM</v>
      </c>
      <c r="AA98" s="8">
        <f>[2]หน้าผ้า!AQ107</f>
        <v>10477.5</v>
      </c>
      <c r="AB98" s="8">
        <f>[2]หน้าผ้า!AR107</f>
        <v>0</v>
      </c>
      <c r="AC98" s="8">
        <f>[2]หน้าผ้า!AS107</f>
        <v>10477.5</v>
      </c>
      <c r="AD98" s="8">
        <f>[2]หน้าผ้า!AT107</f>
        <v>0</v>
      </c>
      <c r="AE98" s="8">
        <f>[2]หน้าผ้า!AU107</f>
        <v>10477.5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45887</v>
      </c>
      <c r="AK98" s="3">
        <f>[2]หน้าผ้า!DQ107</f>
        <v>45883</v>
      </c>
      <c r="AL98" s="3">
        <f>[2]หน้าผ้า!DR107</f>
        <v>45876</v>
      </c>
      <c r="AM98" s="3">
        <f>[2]หน้าผ้า!DS107</f>
        <v>45884</v>
      </c>
      <c r="AN98" s="3">
        <f>[2]หน้าผ้า!DT107</f>
        <v>45885</v>
      </c>
      <c r="AO98" s="3">
        <f>[2]หน้าผ้า!DU107</f>
        <v>45886</v>
      </c>
      <c r="AP98" s="3">
        <f>[2]หน้าผ้า!DP107</f>
        <v>45882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791.63333333333321</v>
      </c>
    </row>
    <row r="99" spans="1:56" ht="27.75" customHeight="1" x14ac:dyDescent="0.45">
      <c r="A99" s="3">
        <f>[2]หน้าผ้า!C108</f>
        <v>45796</v>
      </c>
      <c r="B99" s="14" t="str">
        <f>[2]หน้าผ้า!B108</f>
        <v>MK68-000676</v>
      </c>
      <c r="C99" s="9" t="str">
        <f>[2]หน้าผ้า!E108</f>
        <v>บจก.อินเทคค์ โกลบอล</v>
      </c>
      <c r="D99" s="13" t="str">
        <f>[2]หน้าผ้า!F108</f>
        <v>เพอเฟคค์ 916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>
        <f>[2]หน้าผ้า!X108</f>
        <v>45887</v>
      </c>
      <c r="U99" s="11">
        <f>[2]หน้าผ้า!AA108</f>
        <v>614</v>
      </c>
      <c r="V99" s="10">
        <f>[2]หน้าผ้า!AJ108</f>
        <v>0</v>
      </c>
      <c r="W99" s="10">
        <f>[2]หน้าผ้า!AL108</f>
        <v>614</v>
      </c>
      <c r="X99" s="10">
        <f>[2]หน้าผ้า!AM108</f>
        <v>0</v>
      </c>
      <c r="Y99" s="10">
        <f>[2]หน้าผ้า!AN108</f>
        <v>644.70000000000005</v>
      </c>
      <c r="Z99" s="9" t="str">
        <f>[2]หน้าผ้า!AO108</f>
        <v>WSWT2025800SM</v>
      </c>
      <c r="AA99" s="8">
        <f>[2]หน้าผ้า!AQ108</f>
        <v>643.31850000000009</v>
      </c>
      <c r="AB99" s="8">
        <f>[2]หน้าผ้า!AR108</f>
        <v>0</v>
      </c>
      <c r="AC99" s="8">
        <f>[2]หน้าผ้า!AS108</f>
        <v>643.31850000000009</v>
      </c>
      <c r="AD99" s="8">
        <f>[2]หน้าผ้า!AT108</f>
        <v>0</v>
      </c>
      <c r="AE99" s="8">
        <f>[2]หน้าผ้า!AU108</f>
        <v>643.31850000000009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45887</v>
      </c>
      <c r="AK99" s="3">
        <f>[2]หน้าผ้า!DQ108</f>
        <v>45883</v>
      </c>
      <c r="AL99" s="3">
        <f>[2]หน้าผ้า!DR108</f>
        <v>45876</v>
      </c>
      <c r="AM99" s="3">
        <f>[2]หน้าผ้า!DS108</f>
        <v>45884</v>
      </c>
      <c r="AN99" s="3">
        <f>[2]หน้าผ้า!DT108</f>
        <v>45885</v>
      </c>
      <c r="AO99" s="3">
        <f>[2]หน้าผ้า!DU108</f>
        <v>45886</v>
      </c>
      <c r="AP99" s="3">
        <f>[2]หน้าผ้า!DP108</f>
        <v>45882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48.606286666666669</v>
      </c>
    </row>
    <row r="100" spans="1:56" ht="27.75" customHeight="1" x14ac:dyDescent="0.45">
      <c r="A100" s="3">
        <f>[2]หน้าผ้า!C109</f>
        <v>45874</v>
      </c>
      <c r="B100" s="14" t="str">
        <f>[2]หน้าผ้า!B109</f>
        <v>ใบรับคำสั่งซื้อ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เฟิร์สคลาส 912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>
        <f>[2]หน้าผ้า!X109</f>
        <v>45887</v>
      </c>
      <c r="U100" s="11">
        <f>[2]หน้าผ้า!AA109</f>
        <v>5040</v>
      </c>
      <c r="V100" s="10">
        <f>[2]หน้าผ้า!AJ109</f>
        <v>0</v>
      </c>
      <c r="W100" s="10">
        <f>[2]หน้าผ้า!AL109</f>
        <v>5040</v>
      </c>
      <c r="X100" s="10">
        <f>[2]หน้าผ้า!AM109</f>
        <v>0</v>
      </c>
      <c r="Y100" s="10">
        <f>[2]หน้าผ้า!AN109</f>
        <v>5292</v>
      </c>
      <c r="Z100" s="9" t="str">
        <f>[2]หน้าผ้า!AO109</f>
        <v>WSWT2025800SM</v>
      </c>
      <c r="AA100" s="8">
        <f>[2]หน้าผ้า!AQ109</f>
        <v>5139.8424000000005</v>
      </c>
      <c r="AB100" s="8">
        <f>[2]หน้าผ้า!AR109</f>
        <v>0</v>
      </c>
      <c r="AC100" s="8">
        <f>[2]หน้าผ้า!AS109</f>
        <v>5139.8424000000005</v>
      </c>
      <c r="AD100" s="8">
        <f>[2]หน้าผ้า!AT109</f>
        <v>0</v>
      </c>
      <c r="AE100" s="8">
        <f>[2]หน้าผ้า!AU109</f>
        <v>5139.8424000000005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45887</v>
      </c>
      <c r="AK100" s="3">
        <f>[2]หน้าผ้า!DQ109</f>
        <v>45883</v>
      </c>
      <c r="AL100" s="3">
        <f>[2]หน้าผ้า!DR109</f>
        <v>45876</v>
      </c>
      <c r="AM100" s="3">
        <f>[2]หน้าผ้า!DS109</f>
        <v>45884</v>
      </c>
      <c r="AN100" s="3">
        <f>[2]หน้าผ้า!DT109</f>
        <v>45885</v>
      </c>
      <c r="AO100" s="3">
        <f>[2]หน้าผ้า!DU109</f>
        <v>45886</v>
      </c>
      <c r="AP100" s="3">
        <f>[2]หน้าผ้า!DP109</f>
        <v>45882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388.34364799999992</v>
      </c>
    </row>
    <row r="101" spans="1:56" ht="27.75" customHeight="1" x14ac:dyDescent="0.45">
      <c r="A101" s="3">
        <f>[2]หน้าผ้า!C110</f>
        <v>45827</v>
      </c>
      <c r="B101" s="14" t="str">
        <f>[2]หน้าผ้า!B110</f>
        <v>MK68-000810</v>
      </c>
      <c r="C101" s="9" t="str">
        <f>[2]หน้าผ้า!E110</f>
        <v>บจก.อินเทคค์ โกลบอล</v>
      </c>
      <c r="D101" s="13" t="str">
        <f>[2]หน้าผ้า!F110</f>
        <v>เฟิร์สคลาส 912</v>
      </c>
      <c r="E101" s="9">
        <f>[2]หน้าผ้า!G110</f>
        <v>20</v>
      </c>
      <c r="F101" s="9">
        <f>[2]หน้าผ้า!H110</f>
        <v>35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97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45887</v>
      </c>
      <c r="U101" s="11">
        <f>[2]หน้าผ้า!AA110</f>
        <v>455</v>
      </c>
      <c r="V101" s="10">
        <f>[2]หน้าผ้า!AJ110</f>
        <v>0</v>
      </c>
      <c r="W101" s="10">
        <f>[2]หน้าผ้า!AL110</f>
        <v>455</v>
      </c>
      <c r="X101" s="10">
        <f>[2]หน้าผ้า!AM110</f>
        <v>0</v>
      </c>
      <c r="Y101" s="10">
        <f>[2]หน้าผ้า!AN110</f>
        <v>477.75</v>
      </c>
      <c r="Z101" s="9" t="str">
        <f>[2]หน้าผ้า!AO110</f>
        <v>WSWT2025800SM</v>
      </c>
      <c r="AA101" s="8">
        <f>[2]หน้าผ้า!AQ110</f>
        <v>464.01355000000001</v>
      </c>
      <c r="AB101" s="8">
        <f>[2]หน้าผ้า!AR110</f>
        <v>0</v>
      </c>
      <c r="AC101" s="8">
        <f>[2]หน้าผ้า!AS110</f>
        <v>464.01355000000001</v>
      </c>
      <c r="AD101" s="8">
        <f>[2]หน้าผ้า!AT110</f>
        <v>0</v>
      </c>
      <c r="AE101" s="8">
        <f>[2]หน้าผ้า!AU110</f>
        <v>464.01355000000001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45887</v>
      </c>
      <c r="AK101" s="3">
        <f>[2]หน้าผ้า!DQ110</f>
        <v>45883</v>
      </c>
      <c r="AL101" s="3">
        <f>[2]หน้าผ้า!DR110</f>
        <v>45876</v>
      </c>
      <c r="AM101" s="3">
        <f>[2]หน้าผ้า!DS110</f>
        <v>45884</v>
      </c>
      <c r="AN101" s="3">
        <f>[2]หน้าผ้า!DT110</f>
        <v>45885</v>
      </c>
      <c r="AO101" s="3">
        <f>[2]หน้าผ้า!DU110</f>
        <v>45886</v>
      </c>
      <c r="AP101" s="3">
        <f>[2]หน้าผ้า!DP110</f>
        <v>45882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35.058801555555547</v>
      </c>
    </row>
    <row r="102" spans="1:56" ht="27.75" customHeight="1" x14ac:dyDescent="0.45">
      <c r="A102" s="3">
        <f>[2]หน้าผ้า!C111</f>
        <v>45873</v>
      </c>
      <c r="B102" s="14" t="str">
        <f>[2]หน้าผ้า!B111</f>
        <v>MK68-000960</v>
      </c>
      <c r="C102" s="9" t="str">
        <f>[2]หน้าผ้า!E111</f>
        <v>บจก.เอพีเอ็ม อะโกร</v>
      </c>
      <c r="D102" s="13" t="str">
        <f>[2]หน้าผ้า!F111</f>
        <v>U-FEED U4(เอส)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4000</v>
      </c>
      <c r="V102" s="10">
        <f>[2]หน้าผ้า!AJ111</f>
        <v>0</v>
      </c>
      <c r="W102" s="10">
        <f>[2]หน้าผ้า!AL111</f>
        <v>4000</v>
      </c>
      <c r="X102" s="10">
        <f>[2]หน้าผ้า!AM111</f>
        <v>0</v>
      </c>
      <c r="Y102" s="10">
        <f>[2]หน้าผ้า!AN111</f>
        <v>4200</v>
      </c>
      <c r="Z102" s="9" t="str">
        <f>[2]หน้าผ้า!AO111</f>
        <v>WSWT2025800SM</v>
      </c>
      <c r="AA102" s="8">
        <f>[2]หน้าผ้า!AQ111</f>
        <v>4414.5199999999995</v>
      </c>
      <c r="AB102" s="8">
        <f>[2]หน้าผ้า!AR111</f>
        <v>0</v>
      </c>
      <c r="AC102" s="8">
        <f>[2]หน้าผ้า!AS111</f>
        <v>4414.5199999999995</v>
      </c>
      <c r="AD102" s="8">
        <f>[2]หน้าผ้า!AT111</f>
        <v>0</v>
      </c>
      <c r="AE102" s="8">
        <f>[2]หน้าผ้า!AU111</f>
        <v>4414.5199999999995</v>
      </c>
      <c r="AF102" s="8" t="str">
        <f>[2]หน้าผ้า!AI111</f>
        <v>ห้ามเกิน-ขาดได้5%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333.54151111111111</v>
      </c>
    </row>
    <row r="103" spans="1:56" ht="27.75" customHeight="1" x14ac:dyDescent="0.45">
      <c r="A103" s="3">
        <f>[2]หน้าผ้า!C112</f>
        <v>45873</v>
      </c>
      <c r="B103" s="14" t="str">
        <f>[2]หน้าผ้า!B112</f>
        <v>MK68-000961</v>
      </c>
      <c r="C103" s="9" t="str">
        <f>[2]หน้าผ้า!E112</f>
        <v>บจก.เอพีเอ็ม อะโกร</v>
      </c>
      <c r="D103" s="13" t="str">
        <f>[2]หน้าผ้า!F112</f>
        <v>U-FEED U2(เอส)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4000</v>
      </c>
      <c r="V103" s="10">
        <f>[2]หน้าผ้า!AJ112</f>
        <v>0</v>
      </c>
      <c r="W103" s="10">
        <f>[2]หน้าผ้า!AL112</f>
        <v>4000</v>
      </c>
      <c r="X103" s="10">
        <f>[2]หน้าผ้า!AM112</f>
        <v>0</v>
      </c>
      <c r="Y103" s="10">
        <f>[2]หน้าผ้า!AN112</f>
        <v>4200</v>
      </c>
      <c r="Z103" s="9" t="str">
        <f>[2]หน้าผ้า!AO112</f>
        <v>WSWT2025800SM</v>
      </c>
      <c r="AA103" s="8">
        <f>[2]หน้าผ้า!AQ112</f>
        <v>4414.5199999999995</v>
      </c>
      <c r="AB103" s="8">
        <f>[2]หน้าผ้า!AR112</f>
        <v>0</v>
      </c>
      <c r="AC103" s="8">
        <f>[2]หน้าผ้า!AS112</f>
        <v>4414.5199999999995</v>
      </c>
      <c r="AD103" s="8">
        <f>[2]หน้าผ้า!AT112</f>
        <v>0</v>
      </c>
      <c r="AE103" s="8">
        <f>[2]หน้าผ้า!AU112</f>
        <v>4414.5199999999995</v>
      </c>
      <c r="AF103" s="8" t="str">
        <f>[2]หน้าผ้า!AI112</f>
        <v>ห้ามเกิน-ขาดได้5%</v>
      </c>
      <c r="AG103" s="1" t="str">
        <f>[3]หน้าผ้า!DC115</f>
        <v>รอแบบ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333.54151111111111</v>
      </c>
    </row>
    <row r="104" spans="1:56" ht="27.75" customHeight="1" x14ac:dyDescent="0.45">
      <c r="A104" s="3">
        <f>[2]หน้าผ้า!C113</f>
        <v>45873</v>
      </c>
      <c r="B104" s="14" t="str">
        <f>[2]หน้าผ้า!B113</f>
        <v>MK68-000963</v>
      </c>
      <c r="C104" s="9" t="str">
        <f>[2]หน้าผ้า!E113</f>
        <v>บจก.เอพีเอ็ม อะโกร</v>
      </c>
      <c r="D104" s="13" t="str">
        <f>[2]หน้าผ้า!F113</f>
        <v>ยู-ฟีด ดี3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4000</v>
      </c>
      <c r="V104" s="10">
        <f>[2]หน้าผ้า!AJ113</f>
        <v>0</v>
      </c>
      <c r="W104" s="10">
        <f>[2]หน้าผ้า!AL113</f>
        <v>4000</v>
      </c>
      <c r="X104" s="10">
        <f>[2]หน้าผ้า!AM113</f>
        <v>0</v>
      </c>
      <c r="Y104" s="10">
        <f>[2]หน้าผ้า!AN113</f>
        <v>4200</v>
      </c>
      <c r="Z104" s="9" t="str">
        <f>[2]หน้าผ้า!AO113</f>
        <v>WSWT2025800SM</v>
      </c>
      <c r="AA104" s="8">
        <f>[2]หน้าผ้า!AQ113</f>
        <v>4414.5199999999995</v>
      </c>
      <c r="AB104" s="8">
        <f>[2]หน้าผ้า!AR113</f>
        <v>0</v>
      </c>
      <c r="AC104" s="8">
        <f>[2]หน้าผ้า!AS113</f>
        <v>4414.5199999999995</v>
      </c>
      <c r="AD104" s="8">
        <f>[2]หน้าผ้า!AT113</f>
        <v>0</v>
      </c>
      <c r="AE104" s="8">
        <f>[2]หน้าผ้า!AU113</f>
        <v>4414.5199999999995</v>
      </c>
      <c r="AF104" s="8" t="str">
        <f>[2]หน้าผ้า!AI113</f>
        <v>ห้ามเกิน-ขาดได้5%</v>
      </c>
      <c r="AG104" s="1" t="str">
        <f>[3]หน้าผ้า!DC116</f>
        <v>รอแบบ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333.54151111111111</v>
      </c>
    </row>
    <row r="105" spans="1:56" ht="27.75" customHeight="1" x14ac:dyDescent="0.45">
      <c r="A105" s="3">
        <f>[2]หน้าผ้า!C114</f>
        <v>45873</v>
      </c>
      <c r="B105" s="14" t="str">
        <f>[2]หน้าผ้า!B114</f>
        <v>MK68-000962</v>
      </c>
      <c r="C105" s="9" t="str">
        <f>[2]หน้าผ้า!E114</f>
        <v>บจก.เอพีเอ็ม อะโกร</v>
      </c>
      <c r="D105" s="13" t="str">
        <f>[2]หน้าผ้า!F114</f>
        <v>SPM190 GOAL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รอแจ้ง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0</v>
      </c>
      <c r="Y105" s="10">
        <f>[2]หน้าผ้า!AN114</f>
        <v>4200</v>
      </c>
      <c r="Z105" s="9" t="str">
        <f>[2]หน้าผ้า!AO114</f>
        <v>WSWT2025800SM</v>
      </c>
      <c r="AA105" s="8">
        <f>[2]หน้าผ้า!AQ114</f>
        <v>4414.5199999999995</v>
      </c>
      <c r="AB105" s="8">
        <f>[2]หน้าผ้า!AR114</f>
        <v>0</v>
      </c>
      <c r="AC105" s="8">
        <f>[2]หน้าผ้า!AS114</f>
        <v>4414.5199999999995</v>
      </c>
      <c r="AD105" s="8">
        <f>[2]หน้าผ้า!AT114</f>
        <v>0</v>
      </c>
      <c r="AE105" s="8">
        <f>[2]หน้าผ้า!AU114</f>
        <v>4414.5199999999995</v>
      </c>
      <c r="AF105" s="8" t="str">
        <f>[2]หน้าผ้า!AI114</f>
        <v>ห้ามเกิน-ขาดได้5%</v>
      </c>
      <c r="AG105" s="1" t="str">
        <f>[3]หน้าผ้า!DC117</f>
        <v>รอแบบ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333.54151111111111</v>
      </c>
    </row>
    <row r="106" spans="1:56" ht="27.75" customHeight="1" x14ac:dyDescent="0.45">
      <c r="A106" s="3" t="str">
        <f>[2]หน้าผ้า!C115</f>
        <v>ประมาณการ</v>
      </c>
      <c r="B106" s="14" t="str">
        <f>[2]หน้าผ้า!B115</f>
        <v>ประมาณการ</v>
      </c>
      <c r="C106" s="9" t="str">
        <f>[2]หน้าผ้า!E115</f>
        <v>บจก.อินเทคค์ โกลบอล</v>
      </c>
      <c r="D106" s="13" t="str">
        <f>[2]หน้าผ้า!F115</f>
        <v>รอแบบ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>
        <f>[2]หน้าผ้า!X115</f>
        <v>45899</v>
      </c>
      <c r="U106" s="11">
        <f>[2]หน้าผ้า!AA115</f>
        <v>100000</v>
      </c>
      <c r="V106" s="10">
        <f>[2]หน้าผ้า!AJ115</f>
        <v>0</v>
      </c>
      <c r="W106" s="10">
        <f>[2]หน้าผ้า!AL115</f>
        <v>100000</v>
      </c>
      <c r="X106" s="10">
        <f>[2]หน้าผ้า!AM115</f>
        <v>0</v>
      </c>
      <c r="Y106" s="10">
        <f>[2]หน้าผ้า!AN115</f>
        <v>105000</v>
      </c>
      <c r="Z106" s="9" t="str">
        <f>[2]หน้าผ้า!AO115</f>
        <v>WSWT2025800SM</v>
      </c>
      <c r="AA106" s="8">
        <f>[2]หน้าผ้า!AQ115</f>
        <v>104775.00000000001</v>
      </c>
      <c r="AB106" s="8">
        <f>[2]หน้าผ้า!AR115</f>
        <v>0</v>
      </c>
      <c r="AC106" s="8">
        <f>[2]หน้าผ้า!AS115</f>
        <v>104775.00000000001</v>
      </c>
      <c r="AD106" s="8">
        <f>[2]หน้าผ้า!AT115</f>
        <v>0</v>
      </c>
      <c r="AE106" s="8">
        <f>[2]หน้าผ้า!AU115</f>
        <v>104775.00000000001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45899</v>
      </c>
      <c r="AK106" s="3">
        <f>[2]หน้าผ้า!DQ115</f>
        <v>45895</v>
      </c>
      <c r="AL106" s="3">
        <f>[2]หน้าผ้า!DR115</f>
        <v>45888</v>
      </c>
      <c r="AM106" s="3">
        <f>[2]หน้าผ้า!DS115</f>
        <v>45896</v>
      </c>
      <c r="AN106" s="3">
        <f>[2]หน้าผ้า!DT115</f>
        <v>45897</v>
      </c>
      <c r="AO106" s="3">
        <f>[2]หน้าผ้า!DU115</f>
        <v>45898</v>
      </c>
      <c r="AP106" s="3">
        <f>[2]หน้าผ้า!DP115</f>
        <v>45894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7916.333333333333</v>
      </c>
    </row>
    <row r="107" spans="1:56" ht="27.75" customHeight="1" x14ac:dyDescent="0.45">
      <c r="A107" s="3" t="str">
        <f>[2]หน้าผ้า!C116</f>
        <v>ประมาณการ</v>
      </c>
      <c r="B107" s="14" t="str">
        <f>[2]หน้าผ้า!B116</f>
        <v>ประมาณการ</v>
      </c>
      <c r="C107" s="9" t="str">
        <f>[2]หน้าผ้า!E116</f>
        <v>บจก.เอสพีเอ็ม อาหารสัตว์</v>
      </c>
      <c r="D107" s="13" t="str">
        <f>[2]หน้าผ้า!F116</f>
        <v>รอแบบ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45899</v>
      </c>
      <c r="U107" s="11">
        <f>[2]หน้าผ้า!AA116</f>
        <v>20000</v>
      </c>
      <c r="V107" s="10">
        <f>[2]หน้าผ้า!AJ116</f>
        <v>0</v>
      </c>
      <c r="W107" s="10">
        <f>[2]หน้าผ้า!AL116</f>
        <v>20000</v>
      </c>
      <c r="X107" s="10">
        <f>[2]หน้าผ้า!AM116</f>
        <v>0</v>
      </c>
      <c r="Y107" s="10">
        <f>[2]หน้าผ้า!AN116</f>
        <v>21000</v>
      </c>
      <c r="Z107" s="9" t="str">
        <f>[2]หน้าผ้า!AO116</f>
        <v>WSWT2025800SM</v>
      </c>
      <c r="AA107" s="8">
        <f>[2]หน้าผ้า!AQ116</f>
        <v>22072.6</v>
      </c>
      <c r="AB107" s="8">
        <f>[2]หน้าผ้า!AR116</f>
        <v>0</v>
      </c>
      <c r="AC107" s="8">
        <f>[2]หน้าผ้า!AS116</f>
        <v>22072.6</v>
      </c>
      <c r="AD107" s="8">
        <f>[2]หน้าผ้า!AT116</f>
        <v>0</v>
      </c>
      <c r="AE107" s="8">
        <f>[2]หน้าผ้า!AU116</f>
        <v>22072.6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45899</v>
      </c>
      <c r="AK107" s="3">
        <f>[2]หน้าผ้า!DQ116</f>
        <v>45895</v>
      </c>
      <c r="AL107" s="3">
        <f>[2]หน้าผ้า!DR116</f>
        <v>45888</v>
      </c>
      <c r="AM107" s="3">
        <f>[2]หน้าผ้า!DS116</f>
        <v>45896</v>
      </c>
      <c r="AN107" s="3">
        <f>[2]หน้าผ้า!DT116</f>
        <v>45897</v>
      </c>
      <c r="AO107" s="3">
        <f>[2]หน้าผ้า!DU116</f>
        <v>45898</v>
      </c>
      <c r="AP107" s="3">
        <f>[2]หน้าผ้า!DP116</f>
        <v>45894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1667.7075555555555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บจก.ไทยธรรมดี</v>
      </c>
      <c r="D108" s="13" t="str">
        <f>[2]หน้าผ้า!F117</f>
        <v>รอแบบ</v>
      </c>
      <c r="E108" s="9">
        <f>[2]หน้าผ้า!G117</f>
        <v>20</v>
      </c>
      <c r="F108" s="9">
        <f>[2]หน้าผ้า!H117</f>
        <v>37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97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</v>
      </c>
      <c r="T108" s="12">
        <f>[2]หน้าผ้า!X117</f>
        <v>45899</v>
      </c>
      <c r="U108" s="11">
        <f>[2]หน้าผ้า!AA117</f>
        <v>20000</v>
      </c>
      <c r="V108" s="10">
        <f>[2]หน้าผ้า!AJ117</f>
        <v>0</v>
      </c>
      <c r="W108" s="10">
        <f>[2]หน้าผ้า!AL117</f>
        <v>20000</v>
      </c>
      <c r="X108" s="10">
        <f>[2]หน้าผ้า!AM117</f>
        <v>0</v>
      </c>
      <c r="Y108" s="10">
        <f>[2]หน้าผ้า!AN117</f>
        <v>21000</v>
      </c>
      <c r="Z108" s="9" t="str">
        <f>[2]หน้าผ้า!AO117</f>
        <v>WSWT2025800SM</v>
      </c>
      <c r="AA108" s="8">
        <f>[2]หน้าผ้า!AQ117</f>
        <v>21513.800000000003</v>
      </c>
      <c r="AB108" s="8">
        <f>[2]หน้าผ้า!AR117</f>
        <v>0</v>
      </c>
      <c r="AC108" s="8">
        <f>[2]หน้าผ้า!AS117</f>
        <v>21513.800000000003</v>
      </c>
      <c r="AD108" s="8">
        <f>[2]หน้าผ้า!AT117</f>
        <v>0</v>
      </c>
      <c r="AE108" s="8">
        <f>[2]หน้าผ้า!AU117</f>
        <v>21513.800000000003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45899</v>
      </c>
      <c r="AK108" s="3">
        <f>[2]หน้าผ้า!DQ117</f>
        <v>45895</v>
      </c>
      <c r="AL108" s="3">
        <f>[2]หน้าผ้า!DR117</f>
        <v>45888</v>
      </c>
      <c r="AM108" s="3">
        <f>[2]หน้าผ้า!DS117</f>
        <v>45896</v>
      </c>
      <c r="AN108" s="3">
        <f>[2]หน้าผ้า!DT117</f>
        <v>45897</v>
      </c>
      <c r="AO108" s="3">
        <f>[2]หน้าผ้า!DU117</f>
        <v>45898</v>
      </c>
      <c r="AP108" s="3">
        <f>[2]หน้าผ้า!DP117</f>
        <v>45894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1625.4871111111113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บจก.ซันฟีด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+</v>
      </c>
      <c r="K109" s="9">
        <f>[2]หน้าผ้า!N118</f>
        <v>0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 t="str">
        <f>[2]หน้าผ้า!X118</f>
        <v>รอแจ้ง</v>
      </c>
      <c r="U109" s="11">
        <f>[2]หน้าผ้า!AA118</f>
        <v>100000</v>
      </c>
      <c r="V109" s="10">
        <f>[2]หน้าผ้า!AJ118</f>
        <v>0</v>
      </c>
      <c r="W109" s="10">
        <f>[2]หน้าผ้า!AL118</f>
        <v>100000</v>
      </c>
      <c r="X109" s="10">
        <f>[2]หน้าผ้า!AM118</f>
        <v>0</v>
      </c>
      <c r="Y109" s="10">
        <f>[2]หน้าผ้า!AN118</f>
        <v>105000</v>
      </c>
      <c r="Z109" s="9" t="str">
        <f>[2]หน้าผ้า!AO118</f>
        <v>WSWT2025800SM</v>
      </c>
      <c r="AA109" s="8">
        <f>[2]หน้าผ้า!AQ118</f>
        <v>110363</v>
      </c>
      <c r="AB109" s="8">
        <f>[2]หน้าผ้า!AR118</f>
        <v>0</v>
      </c>
      <c r="AC109" s="8">
        <f>[2]หน้าผ้า!AS118</f>
        <v>110363</v>
      </c>
      <c r="AD109" s="8">
        <f>[2]หน้าผ้า!AT118</f>
        <v>0</v>
      </c>
      <c r="AE109" s="8">
        <f>[2]หน้าผ้า!AU118</f>
        <v>110363</v>
      </c>
      <c r="AF109" s="8">
        <f>[2]หน้าผ้า!AI118</f>
        <v>0</v>
      </c>
      <c r="AG109" s="1" t="str">
        <f>[3]หน้าผ้า!DC121</f>
        <v>รอตัด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8338.5377777777776</v>
      </c>
    </row>
    <row r="110" spans="1:56" ht="27.75" customHeight="1" x14ac:dyDescent="0.45">
      <c r="A110" s="3">
        <f>[2]หน้าผ้า!C119</f>
        <v>45825</v>
      </c>
      <c r="B110" s="14" t="str">
        <f>[2]หน้าผ้า!B119</f>
        <v>MK68-000796</v>
      </c>
      <c r="C110" s="9" t="str">
        <f>[2]หน้าผ้า!E119</f>
        <v>บจก.อินเทคค์ โกลบอล</v>
      </c>
      <c r="D110" s="13" t="str">
        <f>[2]หน้าผ้า!F119</f>
        <v>เฟิร์สช้อย 911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จับจีบ4"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127</v>
      </c>
      <c r="V110" s="10">
        <f>[2]หน้าผ้า!AJ119</f>
        <v>0</v>
      </c>
      <c r="W110" s="10">
        <f>[2]หน้าผ้า!AL119</f>
        <v>127</v>
      </c>
      <c r="X110" s="10">
        <f>[2]หน้าผ้า!AM119</f>
        <v>6000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45825</v>
      </c>
      <c r="B111" s="14" t="str">
        <f>[2]หน้าผ้า!B120</f>
        <v>MK68-000801</v>
      </c>
      <c r="C111" s="9" t="str">
        <f>[2]หน้าผ้า!E120</f>
        <v>บจก.อินเทคค์ โกลบอล</v>
      </c>
      <c r="D111" s="13" t="str">
        <f>[2]หน้าผ้า!F120</f>
        <v>สุบรรณ 111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จับจีบ3.5"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894</v>
      </c>
      <c r="V111" s="10">
        <f>[2]หน้าผ้า!AJ120</f>
        <v>525</v>
      </c>
      <c r="W111" s="10">
        <f>[2]หน้าผ้า!AL120</f>
        <v>369</v>
      </c>
      <c r="X111" s="10">
        <f>[2]หน้าผ้า!AM120</f>
        <v>6000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 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45796</v>
      </c>
      <c r="B112" s="14" t="str">
        <f>[2]หน้าผ้า!B121</f>
        <v>MK68-000675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เพอเฟคค์ 914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3360</v>
      </c>
      <c r="V112" s="10">
        <f>[2]หน้าผ้า!AJ121</f>
        <v>0</v>
      </c>
      <c r="W112" s="10">
        <f>[2]หน้าผ้า!AL121</f>
        <v>3360</v>
      </c>
      <c r="X112" s="10">
        <f>[2]หน้าผ้า!AM121</f>
        <v>35200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2/6---6/6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45796</v>
      </c>
      <c r="B113" s="14" t="str">
        <f>[2]หน้าผ้า!B122</f>
        <v>MK68-000671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902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366</v>
      </c>
      <c r="V113" s="10">
        <f>[2]หน้าผ้า!AJ122</f>
        <v>0</v>
      </c>
      <c r="W113" s="10">
        <f>[2]หน้าผ้า!AL122</f>
        <v>366</v>
      </c>
      <c r="X113" s="10">
        <f>[2]หน้าผ้า!AM122</f>
        <v>5113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45796</v>
      </c>
      <c r="B114" s="14" t="str">
        <f>[2]หน้าผ้า!B123</f>
        <v>MK68-000673</v>
      </c>
      <c r="C114" s="9" t="str">
        <f>[2]หน้าผ้า!E123</f>
        <v>บจก.อินเทคค์ โกลบอล</v>
      </c>
      <c r="D114" s="13" t="str">
        <f>[2]หน้าผ้า!F123</f>
        <v>เพอเฟคค์ 902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302</v>
      </c>
      <c r="V114" s="10">
        <f>[2]หน้าผ้า!AJ123</f>
        <v>0</v>
      </c>
      <c r="W114" s="10">
        <f>[2]หน้าผ้า!AL123</f>
        <v>302</v>
      </c>
      <c r="X114" s="10">
        <f>[2]หน้าผ้า!AM123</f>
        <v>5300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45796</v>
      </c>
      <c r="B115" s="14" t="str">
        <f>[2]หน้าผ้า!B124</f>
        <v>MK68-000674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913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1200</v>
      </c>
      <c r="V115" s="10">
        <f>[2]หน้าผ้า!AJ124</f>
        <v>0</v>
      </c>
      <c r="W115" s="10">
        <f>[2]หน้าผ้า!AL124</f>
        <v>1200</v>
      </c>
      <c r="X115" s="10">
        <f>[2]หน้าผ้า!AM124</f>
        <v>10700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45850</v>
      </c>
      <c r="B116" s="14" t="str">
        <f>[2]หน้าผ้า!B125</f>
        <v>MK68-000877</v>
      </c>
      <c r="C116" s="9" t="str">
        <f>[2]หน้าผ้า!E125</f>
        <v>บจก.เอพีเอ็ม อะโกร</v>
      </c>
      <c r="D116" s="13" t="str">
        <f>[2]หน้าผ้า!F125</f>
        <v>ยู-ฟีด รวมหมู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รอแจ้ง</v>
      </c>
      <c r="U116" s="11">
        <f>[2]หน้าผ้า!AA125</f>
        <v>3000</v>
      </c>
      <c r="V116" s="10">
        <f>[2]หน้าผ้า!AJ125</f>
        <v>0</v>
      </c>
      <c r="W116" s="10">
        <f>[2]หน้าผ้า!AL125</f>
        <v>3000</v>
      </c>
      <c r="X116" s="10">
        <f>[2]หน้าผ้า!AM125</f>
        <v>0</v>
      </c>
      <c r="Y116" s="10">
        <f>[2]หน้าผ้า!AN125</f>
        <v>3150</v>
      </c>
      <c r="Z116" s="9" t="str">
        <f>[2]หน้าผ้า!AO125</f>
        <v>WSWT2025800SM</v>
      </c>
      <c r="AA116" s="8">
        <f>[2]หน้าผ้า!AQ125</f>
        <v>3310.89</v>
      </c>
      <c r="AB116" s="8">
        <f>[2]หน้าผ้า!AR125</f>
        <v>0</v>
      </c>
      <c r="AC116" s="8">
        <f>[2]หน้าผ้า!AS125</f>
        <v>3310.89</v>
      </c>
      <c r="AD116" s="8">
        <f>[2]หน้าผ้า!AT125</f>
        <v>0</v>
      </c>
      <c r="AE116" s="8">
        <f>[2]หน้าผ้า!AU125</f>
        <v>3310.89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250.15613333333337</v>
      </c>
    </row>
    <row r="117" spans="1:56" ht="27.75" customHeight="1" x14ac:dyDescent="0.45">
      <c r="A117" s="3">
        <f>[2]หน้าผ้า!C126</f>
        <v>45782</v>
      </c>
      <c r="B117" s="14" t="str">
        <f>[2]หน้าผ้า!B126</f>
        <v>MK68-000609</v>
      </c>
      <c r="C117" s="9" t="str">
        <f>[2]หน้าผ้า!E126</f>
        <v>บจก.เอสพีเอ็ม อาหารสัตว์</v>
      </c>
      <c r="D117" s="13" t="str">
        <f>[2]หน้าผ้า!F126</f>
        <v xml:space="preserve">SW 441 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รอแจ้ง</v>
      </c>
      <c r="U117" s="11">
        <f>[2]หน้าผ้า!AA126</f>
        <v>10000</v>
      </c>
      <c r="V117" s="10">
        <f>[2]หน้าผ้า!AJ126</f>
        <v>0</v>
      </c>
      <c r="W117" s="10">
        <f>[2]หน้าผ้า!AL126</f>
        <v>10000</v>
      </c>
      <c r="X117" s="10">
        <f>[2]หน้าผ้า!AM126</f>
        <v>0</v>
      </c>
      <c r="Y117" s="10">
        <f>[2]หน้าผ้า!AN126</f>
        <v>10500</v>
      </c>
      <c r="Z117" s="9" t="str">
        <f>[2]หน้าผ้า!AO126</f>
        <v>WSWT2025800SM</v>
      </c>
      <c r="AA117" s="8">
        <f>[2]หน้าผ้า!AQ126</f>
        <v>11036.3</v>
      </c>
      <c r="AB117" s="8">
        <f>[2]หน้าผ้า!AR126</f>
        <v>0</v>
      </c>
      <c r="AC117" s="8">
        <f>[2]หน้าผ้า!AS126</f>
        <v>11036.3</v>
      </c>
      <c r="AD117" s="8">
        <f>[2]หน้าผ้า!AT126</f>
        <v>0</v>
      </c>
      <c r="AE117" s="8">
        <f>[2]หน้าผ้า!AU126</f>
        <v>11036.3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 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833.85377777777774</v>
      </c>
    </row>
    <row r="118" spans="1:56" ht="27.75" customHeight="1" x14ac:dyDescent="0.45">
      <c r="A118" s="3">
        <f>[2]หน้าผ้า!C127</f>
        <v>45799</v>
      </c>
      <c r="B118" s="14" t="str">
        <f>[2]หน้าผ้า!B127</f>
        <v>MK68-000694</v>
      </c>
      <c r="C118" s="9" t="str">
        <f>[2]หน้าผ้า!E127</f>
        <v>บจก.เอ.เจ.ฟาร์ม่าแล็บ</v>
      </c>
      <c r="D118" s="13" t="str">
        <f>[2]หน้าผ้า!F127</f>
        <v>เบส-มิน</v>
      </c>
      <c r="E118" s="9">
        <f>[2]หน้าผ้า!G127</f>
        <v>20</v>
      </c>
      <c r="F118" s="9">
        <f>[2]หน้าผ้า!H127</f>
        <v>34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95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3840</v>
      </c>
      <c r="W118" s="10">
        <f>[2]หน้าผ้า!AL127</f>
        <v>160</v>
      </c>
      <c r="X118" s="10">
        <f>[2]หน้าผ้า!AM127</f>
        <v>8450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45850</v>
      </c>
      <c r="B119" s="14" t="str">
        <f>[2]หน้าผ้า!B128</f>
        <v>MK68-000879</v>
      </c>
      <c r="C119" s="9" t="str">
        <f>[2]หน้าผ้า!E128</f>
        <v>บจก.เอพีเอ็ม อะโกร</v>
      </c>
      <c r="D119" s="13" t="str">
        <f>[2]หน้าผ้า!F128</f>
        <v>ฟีล กู๊ด พี6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รอแจ้ง</v>
      </c>
      <c r="U119" s="11">
        <f>[2]หน้าผ้า!AA128</f>
        <v>4000</v>
      </c>
      <c r="V119" s="10">
        <f>[2]หน้าผ้า!AJ128</f>
        <v>0</v>
      </c>
      <c r="W119" s="10">
        <f>[2]หน้าผ้า!AL128</f>
        <v>4000</v>
      </c>
      <c r="X119" s="10">
        <f>[2]หน้าผ้า!AM128</f>
        <v>0</v>
      </c>
      <c r="Y119" s="10">
        <f>[2]หน้าผ้า!AN128</f>
        <v>4200</v>
      </c>
      <c r="Z119" s="9" t="str">
        <f>[2]หน้าผ้า!AO128</f>
        <v>WSWT2025800SM</v>
      </c>
      <c r="AA119" s="8">
        <f>[2]หน้าผ้า!AQ128</f>
        <v>4414.5199999999995</v>
      </c>
      <c r="AB119" s="8">
        <f>[2]หน้าผ้า!AR128</f>
        <v>0</v>
      </c>
      <c r="AC119" s="8">
        <f>[2]หน้าผ้า!AS128</f>
        <v>4414.5199999999995</v>
      </c>
      <c r="AD119" s="8">
        <f>[2]หน้าผ้า!AT128</f>
        <v>0</v>
      </c>
      <c r="AE119" s="8">
        <f>[2]หน้าผ้า!AU128</f>
        <v>4414.5199999999995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 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333.54151111111111</v>
      </c>
    </row>
    <row r="120" spans="1:56" ht="27.75" customHeight="1" x14ac:dyDescent="0.45">
      <c r="A120" s="3">
        <f>[2]หน้าผ้า!C129</f>
        <v>45798</v>
      </c>
      <c r="B120" s="14" t="str">
        <f>[2]หน้าผ้า!B129</f>
        <v>MK68-000693</v>
      </c>
      <c r="C120" s="9" t="str">
        <f>[2]หน้าผ้า!E129</f>
        <v>บจก.เอพีเอ็ม อะโกร</v>
      </c>
      <c r="D120" s="13" t="str">
        <f>[2]หน้าผ้า!F129</f>
        <v>ฟีล กู๊ด พี07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5250</v>
      </c>
      <c r="Z120" s="9" t="str">
        <f>[2]หน้าผ้า!AO129</f>
        <v>WSWT2025800SM</v>
      </c>
      <c r="AA120" s="8">
        <f>[2]หน้าผ้า!AQ129</f>
        <v>5518.15</v>
      </c>
      <c r="AB120" s="8">
        <f>[2]หน้าผ้า!AR129</f>
        <v>0</v>
      </c>
      <c r="AC120" s="8">
        <f>[2]หน้าผ้า!AS129</f>
        <v>5518.15</v>
      </c>
      <c r="AD120" s="8">
        <f>[2]หน้าผ้า!AT129</f>
        <v>0</v>
      </c>
      <c r="AE120" s="8">
        <f>[2]หน้าผ้า!AU129</f>
        <v>5518.15</v>
      </c>
      <c r="AF120" s="8">
        <f>[2]หน้าผ้า!AI129</f>
        <v>0</v>
      </c>
      <c r="AG120" s="1" t="str">
        <f>[3]หน้าผ้า!DC132</f>
        <v>รอตัด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 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416.92688888888887</v>
      </c>
    </row>
    <row r="121" spans="1:56" ht="27.75" customHeight="1" x14ac:dyDescent="0.45">
      <c r="A121" s="3">
        <f>[2]หน้าผ้า!C130</f>
        <v>45674</v>
      </c>
      <c r="B121" s="14" t="str">
        <f>[2]หน้าผ้า!B130</f>
        <v>MK68-000093</v>
      </c>
      <c r="C121" s="9" t="str">
        <f>[2]หน้าผ้า!E130</f>
        <v>บจก.อินเทคค์ โกลบอล</v>
      </c>
      <c r="D121" s="13" t="str">
        <f>[2]หน้าผ้า!F130</f>
        <v>เฟิร์สคลาส 902</v>
      </c>
      <c r="E121" s="9">
        <f>[2]หน้าผ้า!G130</f>
        <v>20</v>
      </c>
      <c r="F121" s="9">
        <f>[2]หน้าผ้า!H130</f>
        <v>35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97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จับจีบ4"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 t="str">
        <f>[2]หน้าผ้า!X130</f>
        <v>รอแจ้ง</v>
      </c>
      <c r="U121" s="11">
        <f>[2]หน้าผ้า!AA130</f>
        <v>152</v>
      </c>
      <c r="V121" s="10">
        <f>[2]หน้าผ้า!AJ130</f>
        <v>0</v>
      </c>
      <c r="W121" s="10">
        <f>[2]หน้าผ้า!AL130</f>
        <v>152</v>
      </c>
      <c r="X121" s="10">
        <f>[2]หน้าผ้า!AM130</f>
        <v>6000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5987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 t="str">
        <f>[2]หน้าผ้า!AG130</f>
        <v>ลบสี 5040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45611</v>
      </c>
      <c r="B122" s="14" t="str">
        <f>[2]หน้าผ้า!B131</f>
        <v>MK67-001532</v>
      </c>
      <c r="C122" s="9" t="str">
        <f>[2]หน้าผ้า!E131</f>
        <v>บจก.อินเทคค์ โกลบอล</v>
      </c>
      <c r="D122" s="13" t="str">
        <f>[2]หน้าผ้า!F131</f>
        <v>เฟิร์สช้อย 903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117</v>
      </c>
      <c r="V122" s="10">
        <f>[2]หน้าผ้า!AJ131</f>
        <v>0</v>
      </c>
      <c r="W122" s="10">
        <f>[2]หน้าผ้า!AL131</f>
        <v>117</v>
      </c>
      <c r="X122" s="10">
        <f>[2]หน้าผ้า!AM131</f>
        <v>10065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45523</v>
      </c>
      <c r="B123" s="14" t="str">
        <f>[2]หน้าผ้า!B132</f>
        <v>MK67-001153</v>
      </c>
      <c r="C123" s="9" t="str">
        <f>[2]หน้าผ้า!E132</f>
        <v>บจก.อินเทคค์ โกลบอล</v>
      </c>
      <c r="D123" s="13" t="str">
        <f>[2]หน้าผ้า!F132</f>
        <v>สุบรรณ 777</v>
      </c>
      <c r="E123" s="9">
        <f>[2]หน้าผ้า!G132</f>
        <v>20</v>
      </c>
      <c r="F123" s="9">
        <f>[2]หน้าผ้า!H132</f>
        <v>36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มัด80 ใช้สายรัด</v>
      </c>
      <c r="T123" s="12" t="str">
        <f>[2]หน้าผ้า!X132</f>
        <v>รอแจ้ง</v>
      </c>
      <c r="U123" s="11">
        <f>[2]หน้าผ้า!AA132</f>
        <v>1260</v>
      </c>
      <c r="V123" s="10">
        <f>[2]หน้าผ้า!AJ132</f>
        <v>0</v>
      </c>
      <c r="W123" s="10">
        <f>[2]หน้าผ้า!AL132</f>
        <v>1260</v>
      </c>
      <c r="X123" s="10">
        <f>[2]หน้าผ้า!AM132</f>
        <v>11095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45523</v>
      </c>
      <c r="B124" s="14" t="str">
        <f>[2]หน้าผ้า!B133</f>
        <v>MK67-001153</v>
      </c>
      <c r="C124" s="9" t="str">
        <f>[2]หน้าผ้า!E133</f>
        <v>บจก.อินเทคค์ โกลบอล</v>
      </c>
      <c r="D124" s="13" t="str">
        <f>[2]หน้าผ้า!F133</f>
        <v>สุบรรณ 666</v>
      </c>
      <c r="E124" s="9">
        <f>[2]หน้าผ้า!G133</f>
        <v>20</v>
      </c>
      <c r="F124" s="9">
        <f>[2]หน้าผ้า!H133</f>
        <v>36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มัด80 ใช้สายรัด</v>
      </c>
      <c r="T124" s="12" t="str">
        <f>[2]หน้าผ้า!X133</f>
        <v>รอแจ้ง</v>
      </c>
      <c r="U124" s="11">
        <f>[2]หน้าผ้า!AA133</f>
        <v>89</v>
      </c>
      <c r="V124" s="10">
        <f>[2]หน้าผ้า!AJ133</f>
        <v>0</v>
      </c>
      <c r="W124" s="10">
        <f>[2]หน้าผ้า!AL133</f>
        <v>89</v>
      </c>
      <c r="X124" s="10">
        <f>[2]หน้าผ้า!AM133</f>
        <v>11180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45741</v>
      </c>
      <c r="B125" s="14" t="str">
        <f>[2]หน้าผ้า!B134</f>
        <v>MK68-000452</v>
      </c>
      <c r="C125" s="9" t="str">
        <f>[2]หน้าผ้า!E134</f>
        <v>บจก.เอพีเอ็ม อะโกร</v>
      </c>
      <c r="D125" s="13" t="str">
        <f>[2]หน้าผ้า!F134</f>
        <v>วี-ฟีด วี 07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รอส่ง</v>
      </c>
      <c r="U125" s="11">
        <f>[2]หน้าผ้า!AA134</f>
        <v>4000</v>
      </c>
      <c r="V125" s="10">
        <f>[2]หน้าผ้า!AJ134</f>
        <v>3857</v>
      </c>
      <c r="W125" s="10">
        <f>[2]หน้าผ้า!AL134</f>
        <v>143</v>
      </c>
      <c r="X125" s="10">
        <f>[2]หน้าผ้า!AM134</f>
        <v>4200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รอส่ง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มีลบสี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45720</v>
      </c>
      <c r="B126" s="14" t="str">
        <f>[2]หน้าผ้า!B135</f>
        <v>ใบรับคำสั่งซื้อ</v>
      </c>
      <c r="C126" s="9" t="str">
        <f>[2]หน้าผ้า!E135</f>
        <v>บจก.เอพีเอ็ม อะโกร</v>
      </c>
      <c r="D126" s="13" t="str">
        <f>[2]หน้าผ้า!F135</f>
        <v>นีโอ พี3(เอส)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รอส่ง</v>
      </c>
      <c r="U126" s="11">
        <f>[2]หน้าผ้า!AA135</f>
        <v>4000</v>
      </c>
      <c r="V126" s="10">
        <f>[2]หน้าผ้า!AJ135</f>
        <v>4010</v>
      </c>
      <c r="W126" s="10">
        <f>[2]หน้าผ้า!AL135</f>
        <v>0</v>
      </c>
      <c r="X126" s="10">
        <f>[2]หน้าผ้า!AM135</f>
        <v>4470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รอส่ง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45720</v>
      </c>
      <c r="B127" s="14" t="str">
        <f>[2]หน้าผ้า!B136</f>
        <v>ใบรับคำสั่งซื้อ</v>
      </c>
      <c r="C127" s="9" t="str">
        <f>[2]หน้าผ้า!E136</f>
        <v>บจก.เอพีเอ็ม อะโกร</v>
      </c>
      <c r="D127" s="13" t="str">
        <f>[2]หน้าผ้า!F136</f>
        <v>นีโอ พี4(เอส)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รอส่ง</v>
      </c>
      <c r="U127" s="11">
        <f>[2]หน้าผ้า!AA136</f>
        <v>3000</v>
      </c>
      <c r="V127" s="10">
        <f>[2]หน้าผ้า!AJ136</f>
        <v>3065</v>
      </c>
      <c r="W127" s="10">
        <f>[2]หน้าผ้า!AL136</f>
        <v>0</v>
      </c>
      <c r="X127" s="10">
        <f>[2]หน้าผ้า!AM136</f>
        <v>3300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รอส่ง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45541</v>
      </c>
      <c r="B128" s="14" t="str">
        <f>[2]หน้าผ้า!B137</f>
        <v>MK67-001236</v>
      </c>
      <c r="C128" s="9" t="str">
        <f>[2]หน้าผ้า!E137</f>
        <v>บจก.เอพีเอ็ม อะโกร</v>
      </c>
      <c r="D128" s="13" t="str">
        <f>[2]หน้าผ้า!F137</f>
        <v>ยูฟีด รวมไก่ วัว</v>
      </c>
      <c r="E128" s="9">
        <f>[2]หน้าผ้า!G137</f>
        <v>20</v>
      </c>
      <c r="F128" s="9">
        <f>[2]หน้าผ้า!H137</f>
        <v>40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108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รอส่ง</v>
      </c>
      <c r="U128" s="11">
        <f>[2]หน้าผ้า!AA137</f>
        <v>3000</v>
      </c>
      <c r="V128" s="10">
        <f>[2]หน้าผ้า!AJ137</f>
        <v>3318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ลูกค้าสั่งผิดเอาไปส่งเดือน10</v>
      </c>
      <c r="AG128" s="1" t="str">
        <f>[3]หน้าผ้า!DC140</f>
        <v>ผ้าขาว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รอส่ง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>
        <f>[2]หน้าผ้า!ED137</f>
        <v>0</v>
      </c>
      <c r="AY128" s="2" t="str">
        <f>[2]หน้าผ้า!AG137</f>
        <v>ลูกค้าต้องการเคลือบใส แต่เปิดมาเคลือบด้าน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45581</v>
      </c>
      <c r="B129" s="14" t="str">
        <f>[2]หน้าผ้า!B138</f>
        <v>MK67-001396</v>
      </c>
      <c r="C129" s="9" t="str">
        <f>[2]หน้าผ้า!E138</f>
        <v>บจก.เอพีเอ็ม อะโกร</v>
      </c>
      <c r="D129" s="13" t="str">
        <f>[2]หน้าผ้า!F138</f>
        <v>นีโอ พี4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รอส่ง</v>
      </c>
      <c r="U129" s="11">
        <f>[2]หน้าผ้า!AA138</f>
        <v>3000</v>
      </c>
      <c r="V129" s="10">
        <f>[2]หน้าผ้า!AJ138</f>
        <v>3194</v>
      </c>
      <c r="W129" s="10">
        <f>[2]หน้าผ้า!AL138</f>
        <v>0</v>
      </c>
      <c r="X129" s="10">
        <f>[2]หน้าผ้า!AM138</f>
        <v>5632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รอแบบ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รอส่ง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38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84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388007.95588500012</v>
      </c>
      <c r="AB130" s="8">
        <f>[2]หน้าผ้า!AR139</f>
        <v>13240.391435000001</v>
      </c>
      <c r="AC130" s="8">
        <f>[2]หน้าผ้า!AS139</f>
        <v>374767.56445000006</v>
      </c>
      <c r="AD130" s="8">
        <f>[2]หน้าผ้า!AT139</f>
        <v>0</v>
      </c>
      <c r="AE130" s="8">
        <f>[2]หน้าผ้า!AU139</f>
        <v>388007.95588500012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45875</v>
      </c>
      <c r="B131" s="14" t="str">
        <f>[2]หน้าผ้า!B140</f>
        <v>MK68-000970</v>
      </c>
      <c r="C131" s="9" t="str">
        <f>[2]หน้าผ้า!E140</f>
        <v>บจก.ไทยธรรมดี</v>
      </c>
      <c r="D131" s="13" t="str">
        <f>[2]หน้าผ้า!F140</f>
        <v>ไม่พิมพ์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</v>
      </c>
      <c r="T131" s="12">
        <f>[2]หน้าผ้า!X140</f>
        <v>45882</v>
      </c>
      <c r="U131" s="11">
        <f>[2]หน้าผ้า!AA140</f>
        <v>30000</v>
      </c>
      <c r="V131" s="10">
        <f>[2]หน้าผ้า!AJ140</f>
        <v>6000</v>
      </c>
      <c r="W131" s="10">
        <f>[2]หน้าผ้า!AL140</f>
        <v>24000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WSWT2025850</v>
      </c>
      <c r="AA131" s="8">
        <f>[2]หน้าผ้า!AQ140</f>
        <v>25816.560000000001</v>
      </c>
      <c r="AB131" s="8">
        <f>[2]หน้าผ้า!AR140</f>
        <v>25816.560000000001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P3</v>
      </c>
      <c r="AI131" s="1">
        <f>[2]หน้าผ้า!DM140</f>
        <v>1</v>
      </c>
      <c r="AJ131" s="3">
        <f>[2]หน้าผ้า!DN140</f>
        <v>45882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45881</v>
      </c>
      <c r="AP131" s="3">
        <f>[2]หน้าผ้า!DP140</f>
        <v>45877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ตัด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WRWT25850/WRWT25800</v>
      </c>
      <c r="BD131" s="56">
        <f>[2]หน้าผ้า!CA140</f>
        <v>0</v>
      </c>
    </row>
    <row r="132" spans="1:56" ht="27.75" customHeight="1" x14ac:dyDescent="0.45">
      <c r="A132" s="3" t="str">
        <f>[2]หน้าผ้า!C141</f>
        <v>ประมาณการ</v>
      </c>
      <c r="B132" s="14" t="str">
        <f>[2]หน้าผ้า!B141</f>
        <v>ประมาณการ</v>
      </c>
      <c r="C132" s="9" t="str">
        <f>[2]หน้าผ้า!E141</f>
        <v>บจก.ซันฟีด</v>
      </c>
      <c r="D132" s="13" t="str">
        <f>[2]หน้าผ้า!F141</f>
        <v>รอแบบ</v>
      </c>
      <c r="E132" s="9">
        <f>[2]หน้าผ้า!G141</f>
        <v>20</v>
      </c>
      <c r="F132" s="9">
        <f>[2]หน้าผ้า!H141</f>
        <v>39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84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 t="str">
        <f>[2]หน้าผ้า!X141</f>
        <v>รอแจ้ง</v>
      </c>
      <c r="U132" s="11">
        <f>[2]หน้าผ้า!AA141</f>
        <v>100000</v>
      </c>
      <c r="V132" s="10">
        <f>[2]หน้าผ้า!AJ141</f>
        <v>0</v>
      </c>
      <c r="W132" s="10">
        <f>[2]หน้าผ้า!AL141</f>
        <v>100000</v>
      </c>
      <c r="X132" s="10">
        <f>[2]หน้าผ้า!AM141</f>
        <v>0</v>
      </c>
      <c r="Y132" s="10">
        <f>[2]หน้าผ้า!AN141</f>
        <v>105000</v>
      </c>
      <c r="Z132" s="9" t="str">
        <f>[2]หน้าผ้า!AO141</f>
        <v>WSWT2025850</v>
      </c>
      <c r="AA132" s="8">
        <f>[2]หน้าผ้า!AQ141</f>
        <v>113157.00000000001</v>
      </c>
      <c r="AB132" s="8">
        <f>[2]หน้าผ้า!AR141</f>
        <v>0</v>
      </c>
      <c r="AC132" s="8">
        <f>[2]หน้าผ้า!AS141</f>
        <v>113157.00000000001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รอตัด</v>
      </c>
      <c r="AH132" s="1" t="str">
        <f>[2]หน้าผ้า!DL141</f>
        <v>P7</v>
      </c>
      <c r="AI132" s="1">
        <f>[2]หน้าผ้า!DM141</f>
        <v>2</v>
      </c>
      <c r="AJ132" s="3" t="str">
        <f>[2]หน้าผ้า!DN141</f>
        <v>รอแจ้ง</v>
      </c>
      <c r="AK132" s="3">
        <f>[2]หน้าผ้า!DQ141</f>
        <v>0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>รอART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8914.2570000000014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38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82</v>
      </c>
      <c r="J133" s="9" t="str">
        <f>[2]หน้าผ้า!M142</f>
        <v>+</v>
      </c>
      <c r="K133" s="9">
        <f>[2]หน้าผ้า!N142</f>
        <v>2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138973.56000000003</v>
      </c>
      <c r="AB133" s="8">
        <f>[2]หน้าผ้า!AR142</f>
        <v>25816.560000000001</v>
      </c>
      <c r="AC133" s="8">
        <f>[2]หน้าผ้า!AS142</f>
        <v>113157.00000000001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ระบุในSD</v>
      </c>
      <c r="AG133" s="1" t="str">
        <f>[3]หน้าผ้า!DC145</f>
        <v>พิมพ์ไม่ครบ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WRWT200850/WRWT25800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37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82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WSWT2021750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ยังไม่ได้พิมพ์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WRWT200750/WRWT21750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45857</v>
      </c>
      <c r="B135" s="14" t="str">
        <f>[2]หน้าผ้า!B144</f>
        <v>MK68-000905</v>
      </c>
      <c r="C135" s="9" t="str">
        <f>[2]หน้าผ้า!E144</f>
        <v>บจก.อินเทคค์ โกลบอล</v>
      </c>
      <c r="D135" s="13" t="str">
        <f>[2]หน้าผ้า!F144</f>
        <v>เพอเฟคค์ 664HP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78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จับจีบ4"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>
        <f>[2]หน้าผ้า!X144</f>
        <v>45876</v>
      </c>
      <c r="U135" s="11">
        <f>[2]หน้าผ้า!AA144</f>
        <v>27120</v>
      </c>
      <c r="V135" s="10">
        <f>[2]หน้าผ้า!AJ144</f>
        <v>25440</v>
      </c>
      <c r="W135" s="10">
        <f>[2]หน้าผ้า!AL144</f>
        <v>1680</v>
      </c>
      <c r="X135" s="10">
        <f>[2]หน้าผ้า!AM144</f>
        <v>152931</v>
      </c>
      <c r="Y135" s="10">
        <f>[2]หน้าผ้า!AN144</f>
        <v>0</v>
      </c>
      <c r="Z135" s="9" t="str">
        <f>[2]หน้าผ้า!AO144</f>
        <v>WSWT2025800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ห้ามขาด-ห้ามเกิน</v>
      </c>
      <c r="AG135" s="1" t="str">
        <f>[3]หน้าผ้า!DC147</f>
        <v>ยังไม่ได้พิมพ์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45876</v>
      </c>
      <c r="AK135" s="3">
        <f>[2]หน้าผ้า!DQ144</f>
        <v>0</v>
      </c>
      <c r="AL135" s="3">
        <f>[2]หน้าผ้า!DR144</f>
        <v>45867</v>
      </c>
      <c r="AM135" s="3">
        <f>[2]หน้าผ้า!DS144</f>
        <v>45874</v>
      </c>
      <c r="AN135" s="3">
        <f>[2]หน้าผ้า!DT144</f>
        <v>45875</v>
      </c>
      <c r="AO135" s="3">
        <f>[2]หน้าผ้า!DU144</f>
        <v>45875</v>
      </c>
      <c r="AP135" s="3">
        <f>[2]หน้าผ้า!DP144</f>
        <v>45871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 t="str">
        <f>[2]หน้าผ้า!AG144</f>
        <v>1/8 4/8 9/8 15/8 22/8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45862</v>
      </c>
      <c r="B136" s="14" t="str">
        <f>[2]หน้าผ้า!B145</f>
        <v>MK68-000924</v>
      </c>
      <c r="C136" s="9" t="str">
        <f>[2]หน้าผ้า!E145</f>
        <v>บจก.เบทาโกร</v>
      </c>
      <c r="D136" s="13" t="str">
        <f>[2]หน้าผ้า!F145</f>
        <v>WB เบทาโกร 124 30kg NM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45889</v>
      </c>
      <c r="U136" s="11">
        <f>[2]หน้าผ้า!AA145</f>
        <v>124000</v>
      </c>
      <c r="V136" s="10">
        <f>[2]หน้าผ้า!AJ145</f>
        <v>10000</v>
      </c>
      <c r="W136" s="10">
        <f>[2]หน้าผ้า!AL145</f>
        <v>114000</v>
      </c>
      <c r="X136" s="10">
        <f>[2]หน้าผ้า!AM145</f>
        <v>69035</v>
      </c>
      <c r="Y136" s="10">
        <f>[2]หน้าผ้า!AN145</f>
        <v>57713.25</v>
      </c>
      <c r="Z136" s="9" t="str">
        <f>[2]หน้าผ้า!AO145</f>
        <v>WSWT2025800</v>
      </c>
      <c r="AA136" s="8">
        <f>[2]หน้าผ้า!AQ145</f>
        <v>62081.565892500003</v>
      </c>
      <c r="AB136" s="8">
        <f>[2]หน้าผ้า!AR145</f>
        <v>62081.565892500003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หนองบุญมาก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45889</v>
      </c>
      <c r="AK136" s="3">
        <f>[2]หน้าผ้า!DQ145</f>
        <v>0</v>
      </c>
      <c r="AL136" s="3">
        <f>[2]หน้าผ้า!DR145</f>
        <v>45880</v>
      </c>
      <c r="AM136" s="3">
        <f>[2]หน้าผ้า!DS145</f>
        <v>45887</v>
      </c>
      <c r="AN136" s="3">
        <f>[2]หน้าผ้า!DT145</f>
        <v>45888</v>
      </c>
      <c r="AO136" s="3">
        <f>[2]หน้าผ้า!DU145</f>
        <v>45888</v>
      </c>
      <c r="AP136" s="3">
        <f>[2]หน้าผ้า!DP145</f>
        <v>45884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45862</v>
      </c>
      <c r="B137" s="14" t="str">
        <f>[2]หน้าผ้า!B146</f>
        <v>MK68-000925</v>
      </c>
      <c r="C137" s="9" t="str">
        <f>[2]หน้าผ้า!E146</f>
        <v>บจก.เบทาโกร</v>
      </c>
      <c r="D137" s="13" t="str">
        <f>[2]หน้าผ้า!F146</f>
        <v>WB ฟาร์ม F914M 30kg.NM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45889</v>
      </c>
      <c r="U137" s="11">
        <f>[2]หน้าผ้า!AA146</f>
        <v>28000</v>
      </c>
      <c r="V137" s="10">
        <f>[2]หน้าผ้า!AJ146</f>
        <v>0</v>
      </c>
      <c r="W137" s="10">
        <f>[2]หน้าผ้า!AL146</f>
        <v>28000</v>
      </c>
      <c r="X137" s="10">
        <f>[2]หน้าผ้า!AM146</f>
        <v>0</v>
      </c>
      <c r="Y137" s="10">
        <f>[2]หน้าผ้า!AN146</f>
        <v>29400</v>
      </c>
      <c r="Z137" s="9" t="str">
        <f>[2]หน้าผ้า!AO146</f>
        <v>WSWT2025800</v>
      </c>
      <c r="AA137" s="8">
        <f>[2]หน้าผ้า!AQ146</f>
        <v>30119.320000000003</v>
      </c>
      <c r="AB137" s="8">
        <f>[2]หน้าผ้า!AR146</f>
        <v>30119.320000000003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หนองบุญมาก</v>
      </c>
      <c r="AG137" s="1" t="str">
        <f>[3]หน้าผ้า!DC149</f>
        <v>ยังไม่ได้พิมพ์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45889</v>
      </c>
      <c r="AK137" s="3">
        <f>[2]หน้าผ้า!DQ146</f>
        <v>0</v>
      </c>
      <c r="AL137" s="3">
        <f>[2]หน้าผ้า!DR146</f>
        <v>45880</v>
      </c>
      <c r="AM137" s="3">
        <f>[2]หน้าผ้า!DS146</f>
        <v>45887</v>
      </c>
      <c r="AN137" s="3">
        <f>[2]หน้าผ้า!DT146</f>
        <v>45888</v>
      </c>
      <c r="AO137" s="3">
        <f>[2]หน้าผ้า!DU146</f>
        <v>45888</v>
      </c>
      <c r="AP137" s="3">
        <f>[2]หน้าผ้า!DP146</f>
        <v>45884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45862</v>
      </c>
      <c r="B138" s="14" t="str">
        <f>[2]หน้าผ้า!B147</f>
        <v>MK68-000926</v>
      </c>
      <c r="C138" s="9" t="str">
        <f>[2]หน้าผ้า!E147</f>
        <v>บจก.เบทาโกร</v>
      </c>
      <c r="D138" s="13" t="str">
        <f>[2]หน้าผ้า!F147</f>
        <v>WB บาลานส์ 924 30kg NM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±</v>
      </c>
      <c r="K138" s="9">
        <f>[2]หน้าผ้า!N147</f>
        <v>3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 พร้อมระบุชื่อบริษัท รายการสินค้า จำนวนแต่ละแพ็ค</v>
      </c>
      <c r="T138" s="12">
        <f>[2]หน้าผ้า!X147</f>
        <v>45889</v>
      </c>
      <c r="U138" s="11">
        <f>[2]หน้าผ้า!AA147</f>
        <v>7000</v>
      </c>
      <c r="V138" s="10">
        <f>[2]หน้าผ้า!AJ147</f>
        <v>0</v>
      </c>
      <c r="W138" s="10">
        <f>[2]หน้าผ้า!AL147</f>
        <v>7000</v>
      </c>
      <c r="X138" s="10">
        <f>[2]หน้าผ้า!AM147</f>
        <v>0</v>
      </c>
      <c r="Y138" s="10">
        <f>[2]หน้าผ้า!AN147</f>
        <v>7350</v>
      </c>
      <c r="Z138" s="9" t="str">
        <f>[2]หน้าผ้า!AO147</f>
        <v>WSWT2025800</v>
      </c>
      <c r="AA138" s="8">
        <f>[2]หน้าผ้า!AQ147</f>
        <v>7529.8300000000008</v>
      </c>
      <c r="AB138" s="8">
        <f>[2]หน้าผ้า!AR147</f>
        <v>7529.8300000000008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หนองบุญมาก</v>
      </c>
      <c r="AG138" s="1" t="str">
        <f>[3]หน้าผ้า!DC150</f>
        <v>ยังไม่ได้พิมพ์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45889</v>
      </c>
      <c r="AK138" s="3">
        <f>[2]หน้าผ้า!DQ147</f>
        <v>0</v>
      </c>
      <c r="AL138" s="3">
        <f>[2]หน้าผ้า!DR147</f>
        <v>45880</v>
      </c>
      <c r="AM138" s="3">
        <f>[2]หน้าผ้า!DS147</f>
        <v>45887</v>
      </c>
      <c r="AN138" s="3">
        <f>[2]หน้าผ้า!DT147</f>
        <v>45888</v>
      </c>
      <c r="AO138" s="3">
        <f>[2]หน้าผ้า!DU147</f>
        <v>45888</v>
      </c>
      <c r="AP138" s="3">
        <f>[2]หน้าผ้า!DP147</f>
        <v>45884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45862</v>
      </c>
      <c r="B139" s="14" t="str">
        <f>[2]หน้าผ้า!B148</f>
        <v>MK68-000926</v>
      </c>
      <c r="C139" s="9" t="str">
        <f>[2]หน้าผ้า!E148</f>
        <v>บจก.เบทาโกร</v>
      </c>
      <c r="D139" s="13" t="str">
        <f>[2]หน้าผ้า!F148</f>
        <v>WB เบทาโกร 326 30kg NM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 พร้อมระบุชื่อบริษัท รายการสินค้า จำนวนแต่ละแพ็ค</v>
      </c>
      <c r="T139" s="12">
        <f>[2]หน้าผ้า!X148</f>
        <v>45889</v>
      </c>
      <c r="U139" s="11">
        <f>[2]หน้าผ้า!AA148</f>
        <v>5000</v>
      </c>
      <c r="V139" s="10">
        <f>[2]หน้าผ้า!AJ148</f>
        <v>0</v>
      </c>
      <c r="W139" s="10">
        <f>[2]หน้าผ้า!AL148</f>
        <v>5000</v>
      </c>
      <c r="X139" s="10">
        <f>[2]หน้าผ้า!AM148</f>
        <v>0</v>
      </c>
      <c r="Y139" s="10">
        <f>[2]หน้าผ้า!AN148</f>
        <v>5250</v>
      </c>
      <c r="Z139" s="9" t="str">
        <f>[2]หน้าผ้า!AO148</f>
        <v>WSWT2025800</v>
      </c>
      <c r="AA139" s="8">
        <f>[2]หน้าผ้า!AQ148</f>
        <v>5378.4500000000007</v>
      </c>
      <c r="AB139" s="8">
        <f>[2]หน้าผ้า!AR148</f>
        <v>5378.4500000000007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หนองบุญมาก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45889</v>
      </c>
      <c r="AK139" s="3">
        <f>[2]หน้าผ้า!DQ148</f>
        <v>0</v>
      </c>
      <c r="AL139" s="3">
        <f>[2]หน้าผ้า!DR148</f>
        <v>45880</v>
      </c>
      <c r="AM139" s="3">
        <f>[2]หน้าผ้า!DS148</f>
        <v>45887</v>
      </c>
      <c r="AN139" s="3">
        <f>[2]หน้าผ้า!DT148</f>
        <v>45888</v>
      </c>
      <c r="AO139" s="3">
        <f>[2]หน้าผ้า!DU148</f>
        <v>45888</v>
      </c>
      <c r="AP139" s="3">
        <f>[2]หน้าผ้า!DP148</f>
        <v>45884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45862</v>
      </c>
      <c r="B140" s="14" t="str">
        <f>[2]หน้าผ้า!B149</f>
        <v>MK68-000927</v>
      </c>
      <c r="C140" s="9" t="str">
        <f>[2]หน้าผ้า!E149</f>
        <v>บจก.เบทาโกร</v>
      </c>
      <c r="D140" s="13" t="str">
        <f>[2]หน้าผ้า!F149</f>
        <v>WB เบทาโกร 323 30kg NM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 พร้อมระบุชื่อบริษัท รายการสินค้า จำนวนแต่ละแพ็ค</v>
      </c>
      <c r="T140" s="12">
        <f>[2]หน้าผ้า!X149</f>
        <v>45889</v>
      </c>
      <c r="U140" s="11">
        <f>[2]หน้าผ้า!AA149</f>
        <v>7000</v>
      </c>
      <c r="V140" s="10">
        <f>[2]หน้าผ้า!AJ149</f>
        <v>0</v>
      </c>
      <c r="W140" s="10">
        <f>[2]หน้าผ้า!AL149</f>
        <v>7000</v>
      </c>
      <c r="X140" s="10">
        <f>[2]หน้าผ้า!AM149</f>
        <v>0</v>
      </c>
      <c r="Y140" s="10">
        <f>[2]หน้าผ้า!AN149</f>
        <v>7350</v>
      </c>
      <c r="Z140" s="9" t="str">
        <f>[2]หน้าผ้า!AO149</f>
        <v>WSWT2025800</v>
      </c>
      <c r="AA140" s="8">
        <f>[2]หน้าผ้า!AQ149</f>
        <v>7529.8300000000008</v>
      </c>
      <c r="AB140" s="8">
        <f>[2]หน้าผ้า!AR149</f>
        <v>7529.8300000000008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หนองบุญมาก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45889</v>
      </c>
      <c r="AK140" s="3">
        <f>[2]หน้าผ้า!DQ149</f>
        <v>0</v>
      </c>
      <c r="AL140" s="3">
        <f>[2]หน้าผ้า!DR149</f>
        <v>45880</v>
      </c>
      <c r="AM140" s="3">
        <f>[2]หน้าผ้า!DS149</f>
        <v>45887</v>
      </c>
      <c r="AN140" s="3">
        <f>[2]หน้าผ้า!DT149</f>
        <v>45888</v>
      </c>
      <c r="AO140" s="3">
        <f>[2]หน้าผ้า!DU149</f>
        <v>45888</v>
      </c>
      <c r="AP140" s="3">
        <f>[2]หน้าผ้า!DP149</f>
        <v>45884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45862</v>
      </c>
      <c r="B141" s="14" t="str">
        <f>[2]หน้าผ้า!B150</f>
        <v>MK68-000927</v>
      </c>
      <c r="C141" s="9" t="str">
        <f>[2]หน้าผ้า!E150</f>
        <v>บจก.เบทาโกร</v>
      </c>
      <c r="D141" s="13" t="str">
        <f>[2]หน้าผ้า!F150</f>
        <v>WB เบทาโกร 405 30kg NM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±</v>
      </c>
      <c r="K141" s="9">
        <f>[2]หน้าผ้า!N150</f>
        <v>3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 พร้อมระบุชื่อบริษัท รายการสินค้า จำนวนแต่ละแพ็ค</v>
      </c>
      <c r="T141" s="12">
        <f>[2]หน้าผ้า!X150</f>
        <v>45889</v>
      </c>
      <c r="U141" s="11">
        <f>[2]หน้าผ้า!AA150</f>
        <v>14000</v>
      </c>
      <c r="V141" s="10">
        <f>[2]หน้าผ้า!AJ150</f>
        <v>0</v>
      </c>
      <c r="W141" s="10">
        <f>[2]หน้าผ้า!AL150</f>
        <v>14000</v>
      </c>
      <c r="X141" s="10">
        <f>[2]หน้าผ้า!AM150</f>
        <v>0</v>
      </c>
      <c r="Y141" s="10">
        <f>[2]หน้าผ้า!AN150</f>
        <v>14700</v>
      </c>
      <c r="Z141" s="9" t="str">
        <f>[2]หน้าผ้า!AO150</f>
        <v>WSWT2025800</v>
      </c>
      <c r="AA141" s="8">
        <f>[2]หน้าผ้า!AQ150</f>
        <v>15059.660000000002</v>
      </c>
      <c r="AB141" s="8">
        <f>[2]หน้าผ้า!AR150</f>
        <v>15059.660000000002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หนองบุญมาก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45889</v>
      </c>
      <c r="AK141" s="3">
        <f>[2]หน้าผ้า!DQ150</f>
        <v>0</v>
      </c>
      <c r="AL141" s="3">
        <f>[2]หน้าผ้า!DR150</f>
        <v>45880</v>
      </c>
      <c r="AM141" s="3">
        <f>[2]หน้าผ้า!DS150</f>
        <v>45887</v>
      </c>
      <c r="AN141" s="3">
        <f>[2]หน้าผ้า!DT150</f>
        <v>45888</v>
      </c>
      <c r="AO141" s="3">
        <f>[2]หน้าผ้า!DU150</f>
        <v>45888</v>
      </c>
      <c r="AP141" s="3">
        <f>[2]หน้าผ้า!DP150</f>
        <v>45884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WRWT25800/WRWT25800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45870</v>
      </c>
      <c r="B142" s="14" t="str">
        <f>[2]หน้าผ้า!B151</f>
        <v>MK68-000946</v>
      </c>
      <c r="C142" s="9" t="str">
        <f>[2]หน้าผ้า!E151</f>
        <v>บจก.เบทาโกร</v>
      </c>
      <c r="D142" s="13" t="str">
        <f>[2]หน้าผ้า!F151</f>
        <v>บาลานส์ 957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3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 พร้อมระบุชื่อบริษัท รายการสินค้า จำนวนแต่ละแพ็ค</v>
      </c>
      <c r="T142" s="12">
        <f>[2]หน้าผ้า!X151</f>
        <v>45894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WSWT2025800</v>
      </c>
      <c r="AA142" s="8">
        <f>[2]หน้าผ้า!AQ151</f>
        <v>5378.4500000000007</v>
      </c>
      <c r="AB142" s="8">
        <f>[2]หน้าผ้า!AR151</f>
        <v>5378.4500000000007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ลพบุรี3</v>
      </c>
      <c r="AG142" s="1" t="str">
        <f>[3]หน้าผ้า!DC154</f>
        <v>รอแบบ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45894</v>
      </c>
      <c r="AK142" s="3">
        <f>[2]หน้าผ้า!DQ151</f>
        <v>0</v>
      </c>
      <c r="AL142" s="3">
        <f>[2]หน้าผ้า!DR151</f>
        <v>45885</v>
      </c>
      <c r="AM142" s="3">
        <f>[2]หน้าผ้า!DS151</f>
        <v>45892</v>
      </c>
      <c r="AN142" s="3">
        <f>[2]หน้าผ้า!DT151</f>
        <v>45893</v>
      </c>
      <c r="AO142" s="3">
        <f>[2]หน้าผ้า!DU151</f>
        <v>45893</v>
      </c>
      <c r="AP142" s="3">
        <f>[2]หน้าผ้า!DP151</f>
        <v>45889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>รอART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45870</v>
      </c>
      <c r="B143" s="14" t="str">
        <f>[2]หน้าผ้า!B152</f>
        <v>MK68-000946</v>
      </c>
      <c r="C143" s="9" t="str">
        <f>[2]หน้าผ้า!E152</f>
        <v>บจก.เบทาโกร</v>
      </c>
      <c r="D143" s="13" t="str">
        <f>[2]หน้าผ้า!F152</f>
        <v xml:space="preserve">เบทาโกร 323 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3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 พร้อมระบุชื่อบริษัท รายการสินค้า จำนวนแต่ละแพ็ค</v>
      </c>
      <c r="T143" s="12">
        <f>[2]หน้าผ้า!X152</f>
        <v>45894</v>
      </c>
      <c r="U143" s="11">
        <f>[2]หน้าผ้า!AA152</f>
        <v>20000</v>
      </c>
      <c r="V143" s="10">
        <f>[2]หน้าผ้า!AJ152</f>
        <v>0</v>
      </c>
      <c r="W143" s="10">
        <f>[2]หน้าผ้า!AL152</f>
        <v>20000</v>
      </c>
      <c r="X143" s="10">
        <f>[2]หน้าผ้า!AM152</f>
        <v>0</v>
      </c>
      <c r="Y143" s="10">
        <f>[2]หน้าผ้า!AN152</f>
        <v>21000</v>
      </c>
      <c r="Z143" s="9" t="str">
        <f>[2]หน้าผ้า!AO152</f>
        <v>WSWT2025800</v>
      </c>
      <c r="AA143" s="8">
        <f>[2]หน้าผ้า!AQ152</f>
        <v>21513.800000000003</v>
      </c>
      <c r="AB143" s="8">
        <f>[2]หน้าผ้า!AR152</f>
        <v>14764</v>
      </c>
      <c r="AC143" s="8">
        <f>[2]หน้าผ้า!AS152</f>
        <v>6749.8000000000029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ลพบุรี3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45894</v>
      </c>
      <c r="AK143" s="3">
        <f>[2]หน้าผ้า!DQ152</f>
        <v>0</v>
      </c>
      <c r="AL143" s="3">
        <f>[2]หน้าผ้า!DR152</f>
        <v>45885</v>
      </c>
      <c r="AM143" s="3">
        <f>[2]หน้าผ้า!DS152</f>
        <v>45892</v>
      </c>
      <c r="AN143" s="3">
        <f>[2]หน้าผ้า!DT152</f>
        <v>45893</v>
      </c>
      <c r="AO143" s="3">
        <f>[2]หน้าผ้า!DU152</f>
        <v>45893</v>
      </c>
      <c r="AP143" s="3">
        <f>[2]หน้าผ้า!DP152</f>
        <v>45889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>รอART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515.98471111111132</v>
      </c>
    </row>
    <row r="144" spans="1:56" ht="27.75" customHeight="1" x14ac:dyDescent="0.45">
      <c r="A144" s="3">
        <f>[2]หน้าผ้า!C153</f>
        <v>45874</v>
      </c>
      <c r="B144" s="14" t="str">
        <f>[2]หน้าผ้า!B153</f>
        <v>ใบรับคำสั่งซื้อ</v>
      </c>
      <c r="C144" s="9" t="str">
        <f>[2]หน้าผ้า!E153</f>
        <v>บจก.อินเทคค์ โกลบอล</v>
      </c>
      <c r="D144" s="13" t="str">
        <f>[2]หน้าผ้า!F153</f>
        <v>เพอเฟคค์ 664HP</v>
      </c>
      <c r="E144" s="9">
        <f>[2]หน้าผ้า!G153</f>
        <v>20</v>
      </c>
      <c r="F144" s="9">
        <f>[2]หน้าผ้า!H153</f>
        <v>36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78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จับจีบ4"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มัด80 ใช้สายรัด</v>
      </c>
      <c r="T144" s="12">
        <f>[2]หน้าผ้า!X153</f>
        <v>45888</v>
      </c>
      <c r="U144" s="11">
        <f>[2]หน้าผ้า!AA153</f>
        <v>30000</v>
      </c>
      <c r="V144" s="10">
        <f>[2]หน้าผ้า!AJ153</f>
        <v>0</v>
      </c>
      <c r="W144" s="10">
        <f>[2]หน้าผ้า!AL153</f>
        <v>30000</v>
      </c>
      <c r="X144" s="10">
        <f>[2]หน้าผ้า!AM153</f>
        <v>0</v>
      </c>
      <c r="Y144" s="10">
        <f>[2]หน้าผ้า!AN153</f>
        <v>31500</v>
      </c>
      <c r="Z144" s="9" t="str">
        <f>[2]หน้าผ้า!AO153</f>
        <v>WSWT2025800</v>
      </c>
      <c r="AA144" s="8">
        <f>[2]หน้าผ้า!AQ153</f>
        <v>31432.500000000004</v>
      </c>
      <c r="AB144" s="8">
        <f>[2]หน้าผ้า!AR153</f>
        <v>0</v>
      </c>
      <c r="AC144" s="8">
        <f>[2]หน้าผ้า!AS153</f>
        <v>31432.500000000004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ห้ามขาด-ห้ามเกิน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45888</v>
      </c>
      <c r="AK144" s="3">
        <f>[2]หน้าผ้า!DQ153</f>
        <v>0</v>
      </c>
      <c r="AL144" s="3">
        <f>[2]หน้าผ้า!DR153</f>
        <v>45879</v>
      </c>
      <c r="AM144" s="3">
        <f>[2]หน้าผ้า!DS153</f>
        <v>45886</v>
      </c>
      <c r="AN144" s="3">
        <f>[2]หน้าผ้า!DT153</f>
        <v>45887</v>
      </c>
      <c r="AO144" s="3">
        <f>[2]หน้าผ้า!DU153</f>
        <v>45887</v>
      </c>
      <c r="AP144" s="3">
        <f>[2]หน้าผ้า!DP153</f>
        <v>45883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>รอART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2402.84</v>
      </c>
    </row>
    <row r="145" spans="1:56" ht="27.75" customHeight="1" x14ac:dyDescent="0.45">
      <c r="A145" s="3" t="str">
        <f>[2]หน้าผ้า!C154</f>
        <v>ประมาณการ</v>
      </c>
      <c r="B145" s="14" t="str">
        <f>[2]หน้าผ้า!B154</f>
        <v>ประมาณการ</v>
      </c>
      <c r="C145" s="9" t="str">
        <f>[2]หน้าผ้า!E154</f>
        <v>บจก.อินเทคค์ โกลบอล</v>
      </c>
      <c r="D145" s="13" t="str">
        <f>[2]หน้าผ้า!F154</f>
        <v>รอแบบ</v>
      </c>
      <c r="E145" s="9">
        <f>[2]หน้าผ้า!G154</f>
        <v>20</v>
      </c>
      <c r="F145" s="9">
        <f>[2]หน้าผ้า!H154</f>
        <v>36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78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จับจีบ4"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มัด80 ใช้สายรัด</v>
      </c>
      <c r="T145" s="12">
        <f>[2]หน้าผ้า!X154</f>
        <v>45899</v>
      </c>
      <c r="U145" s="11">
        <f>[2]หน้าผ้า!AA154</f>
        <v>170000</v>
      </c>
      <c r="V145" s="10">
        <f>[2]หน้าผ้า!AJ154</f>
        <v>0</v>
      </c>
      <c r="W145" s="10">
        <f>[2]หน้าผ้า!AL154</f>
        <v>170000</v>
      </c>
      <c r="X145" s="10">
        <f>[2]หน้าผ้า!AM154</f>
        <v>0</v>
      </c>
      <c r="Y145" s="10">
        <f>[2]หน้าผ้า!AN154</f>
        <v>178500</v>
      </c>
      <c r="Z145" s="9" t="str">
        <f>[2]หน้าผ้า!AO154</f>
        <v>WSWT2025800</v>
      </c>
      <c r="AA145" s="8">
        <f>[2]หน้าผ้า!AQ154</f>
        <v>178117.5</v>
      </c>
      <c r="AB145" s="8">
        <f>[2]หน้าผ้า!AR154</f>
        <v>0</v>
      </c>
      <c r="AC145" s="8">
        <f>[2]หน้าผ้า!AS154</f>
        <v>178117.5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ห้ามขาด-ห้ามเกิน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45899</v>
      </c>
      <c r="AK145" s="3">
        <f>[2]หน้าผ้า!DQ154</f>
        <v>0</v>
      </c>
      <c r="AL145" s="3">
        <f>[2]หน้าผ้า!DR154</f>
        <v>45890</v>
      </c>
      <c r="AM145" s="3">
        <f>[2]หน้าผ้า!DS154</f>
        <v>45897</v>
      </c>
      <c r="AN145" s="3">
        <f>[2]หน้าผ้า!DT154</f>
        <v>45898</v>
      </c>
      <c r="AO145" s="3">
        <f>[2]หน้าผ้า!DU154</f>
        <v>45898</v>
      </c>
      <c r="AP145" s="3">
        <f>[2]หน้าผ้า!DP154</f>
        <v>45894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13616.093333333334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20</v>
      </c>
      <c r="F146" s="9">
        <f>[2]หน้าผ้า!H155</f>
        <v>37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±</v>
      </c>
      <c r="K146" s="9">
        <f>[2]หน้าผ้า!N155</f>
        <v>3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WSWT2025800</v>
      </c>
      <c r="AA146" s="8">
        <f>[2]หน้าผ้า!AQ155</f>
        <v>364140.90589250001</v>
      </c>
      <c r="AB146" s="8">
        <f>[2]หน้าผ้า!AR155</f>
        <v>147841.10589250003</v>
      </c>
      <c r="AC146" s="8">
        <f>[2]หน้าผ้า!AS155</f>
        <v>216299.8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ระบุในSD</v>
      </c>
      <c r="AG146" s="1" t="str">
        <f>[3]หน้าผ้า!DC158</f>
        <v>พร้อมส่ง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20</v>
      </c>
      <c r="F147" s="9">
        <f>[2]หน้าผ้า!H156</f>
        <v>34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98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WSWT2021950UV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พร้อมส่ง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WRWT200950/WRWT21950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20</v>
      </c>
      <c r="F148" s="9">
        <f>[2]หน้าผ้า!H157</f>
        <v>34</v>
      </c>
      <c r="G148" s="9">
        <f>[2]หน้าผ้า!I157</f>
        <v>0</v>
      </c>
      <c r="H148" s="9">
        <f>[2]หน้าผ้า!J157</f>
        <v>0</v>
      </c>
      <c r="I148" s="9">
        <f>[2]หน้าผ้า!L157</f>
        <v>95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WSWT2021900UV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WRWT200900/WRWT21900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20</v>
      </c>
      <c r="F149" s="9">
        <f>[2]หน้าผ้า!H158</f>
        <v>34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WSWT2021750UV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WRWT200750/WRWT21750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20</v>
      </c>
      <c r="F150" s="9">
        <f>[2]หน้าผ้า!H159</f>
        <v>34</v>
      </c>
      <c r="G150" s="9">
        <f>[2]หน้าผ้า!I159</f>
        <v>0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WSWT2021800UV</v>
      </c>
      <c r="AA150" s="8" t="e">
        <f>[2]หน้าผ้า!AQ159</f>
        <v>#REF!</v>
      </c>
      <c r="AB150" s="8" t="e">
        <f>[2]หน้าผ้า!AR159</f>
        <v>#REF!</v>
      </c>
      <c r="AC150" s="8" t="e">
        <f>[2]หน้าผ้า!AS159</f>
        <v>#REF!</v>
      </c>
      <c r="AD150" s="8" t="e">
        <f>[2]หน้าผ้า!AT159</f>
        <v>#REF!</v>
      </c>
      <c r="AE150" s="8" t="e">
        <f>[2]หน้าผ้า!AU159</f>
        <v>#REF!</v>
      </c>
      <c r="AF150" s="8" t="str">
        <f>[2]หน้าผ้า!AI159</f>
        <v>ระบุในSD</v>
      </c>
      <c r="AG150" s="1" t="str">
        <f>[3]หน้าผ้า!DC162</f>
        <v>พร้อมส่ง</v>
      </c>
      <c r="AH150" s="1">
        <f>[2]หน้าผ้า!DL159</f>
        <v>0</v>
      </c>
      <c r="AI150" s="1" t="str">
        <f>[2]หน้าผ้า!DM159</f>
        <v>Lead time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WRWT200800/WRWT21800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70</v>
      </c>
      <c r="J151" s="9" t="str">
        <f>[2]หน้าผ้า!M160</f>
        <v>±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WSWT2025700(1)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WRWT200800/WRWT25650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20</v>
      </c>
      <c r="F152" s="9">
        <f>[2]หน้าผ้า!H161</f>
        <v>34</v>
      </c>
      <c r="G152" s="9">
        <f>[2]หน้าผ้า!I161</f>
        <v>0</v>
      </c>
      <c r="H152" s="9">
        <f>[2]หน้าผ้า!J161</f>
        <v>0</v>
      </c>
      <c r="I152" s="9">
        <f>[2]หน้าผ้า!L161</f>
        <v>85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WSWT2021850UV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ยังไม่ได้พิมพ์</v>
      </c>
      <c r="AH152" s="1">
        <f>[2]หน้าผ้า!DL161</f>
        <v>0</v>
      </c>
      <c r="AI152" s="1">
        <f>[2]หน้าผ้า!DM161</f>
        <v>0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WRWT200850/WRWT21850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20</v>
      </c>
      <c r="F153" s="9">
        <f>[2]หน้าผ้า!H162</f>
        <v>34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WSWT2021750UV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>
        <f>[2]หน้าผ้า!DM162</f>
        <v>0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WRWT200750/WRWT21750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21</v>
      </c>
      <c r="F154" s="9">
        <f>[2]หน้าผ้า!H163</f>
        <v>39</v>
      </c>
      <c r="G154" s="9">
        <f>[2]หน้าผ้า!I163</f>
        <v>0</v>
      </c>
      <c r="H154" s="9">
        <f>[2]หน้าผ้า!J163</f>
        <v>0</v>
      </c>
      <c r="I154" s="9">
        <f>[2]หน้าผ้า!L163</f>
        <v>78</v>
      </c>
      <c r="J154" s="9" t="str">
        <f>[2]หน้าผ้า!M163</f>
        <v>±</v>
      </c>
      <c r="K154" s="9">
        <f>[2]หน้าผ้า!N163</f>
        <v>3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WSWT2125700</v>
      </c>
      <c r="AA154" s="8" t="e">
        <f>[2]หน้าผ้า!AQ163</f>
        <v>#REF!</v>
      </c>
      <c r="AB154" s="8" t="e">
        <f>[2]หน้าผ้า!AR163</f>
        <v>#REF!</v>
      </c>
      <c r="AC154" s="8" t="e">
        <f>[2]หน้าผ้า!AS163</f>
        <v>#REF!</v>
      </c>
      <c r="AD154" s="8" t="e">
        <f>[2]หน้าผ้า!AT163</f>
        <v>#REF!</v>
      </c>
      <c r="AE154" s="8" t="e">
        <f>[2]หน้าผ้า!AU163</f>
        <v>#REF!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>
        <f>[2]หน้าผ้า!DM163</f>
        <v>0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WRWT210800/WRWT25650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 t="str">
        <f>[2]หน้าผ้า!B164</f>
        <v>ใบรับคำสั่งซื้อ</v>
      </c>
      <c r="C155" s="9" t="str">
        <f>[2]หน้าผ้า!E164</f>
        <v>บจก.ไลม์มาสเตอร์</v>
      </c>
      <c r="D155" s="13" t="str">
        <f>[2]หน้าผ้า!F164</f>
        <v>LMC 20KG</v>
      </c>
      <c r="E155" s="9">
        <f>[2]หน้าผ้า!G164</f>
        <v>21</v>
      </c>
      <c r="F155" s="9">
        <f>[2]หน้าผ้า!H164</f>
        <v>34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60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>
        <f>[2]หน้าผ้า!T164</f>
        <v>22</v>
      </c>
      <c r="N155" s="9">
        <f>[2]หน้าผ้า!U164</f>
        <v>36</v>
      </c>
      <c r="O155" s="9">
        <f>[2]หน้าผ้า!V164</f>
        <v>40</v>
      </c>
      <c r="P155" s="10">
        <f>[2]หน้าผ้า!AB164</f>
        <v>390.78734745599991</v>
      </c>
      <c r="Q155" s="10">
        <f>[2]หน้าผ้า!AC164</f>
        <v>0</v>
      </c>
      <c r="R155" s="10">
        <f>[2]หน้าผ้า!AD164</f>
        <v>390.78734745599991</v>
      </c>
      <c r="S155" s="9" t="str">
        <f>[2]หน้าผ้า!Z164</f>
        <v>500กระสอบ</v>
      </c>
      <c r="T155" s="12">
        <f>[2]หน้าผ้า!X164</f>
        <v>45889</v>
      </c>
      <c r="U155" s="11">
        <f>[2]หน้าผ้า!AA164</f>
        <v>20000</v>
      </c>
      <c r="V155" s="10">
        <f>[2]หน้าผ้า!AJ164</f>
        <v>0</v>
      </c>
      <c r="W155" s="10">
        <f>[2]หน้าผ้า!AL164</f>
        <v>20000</v>
      </c>
      <c r="X155" s="10">
        <f>[2]หน้าผ้า!AM164</f>
        <v>0</v>
      </c>
      <c r="Y155" s="10">
        <f>[2]หน้าผ้า!AN164</f>
        <v>21000</v>
      </c>
      <c r="Z155" s="9" t="str">
        <f>[2]หน้าผ้า!AO164</f>
        <v>WSWT2125650</v>
      </c>
      <c r="AA155" s="8">
        <f>[2]หน้าผ้า!AQ164</f>
        <v>19837.400000000001</v>
      </c>
      <c r="AB155" s="8">
        <f>[2]หน้าผ้า!AR164</f>
        <v>19837.400000000001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P9</v>
      </c>
      <c r="AI155" s="1">
        <f>[2]หน้าผ้า!DM164</f>
        <v>3</v>
      </c>
      <c r="AJ155" s="3">
        <f>[2]หน้าผ้า!DN164</f>
        <v>45889</v>
      </c>
      <c r="AK155" s="3">
        <f>[2]หน้าผ้า!DQ164</f>
        <v>0</v>
      </c>
      <c r="AL155" s="3">
        <f>[2]หน้าผ้า!DR164</f>
        <v>45879</v>
      </c>
      <c r="AM155" s="3">
        <f>[2]หน้าผ้า!DS164</f>
        <v>45886</v>
      </c>
      <c r="AN155" s="3">
        <f>[2]หน้าผ้า!DT164</f>
        <v>45887</v>
      </c>
      <c r="AO155" s="3">
        <f>[2]หน้าผ้า!DU164</f>
        <v>45887</v>
      </c>
      <c r="AP155" s="3">
        <f>[2]หน้าผ้า!DP164</f>
        <v>45884</v>
      </c>
      <c r="AQ155" s="3">
        <f>[2]หน้าผ้า!DW164</f>
        <v>45888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>รอART</v>
      </c>
      <c r="AY155" s="2" t="str">
        <f>[2]หน้าผ้า!AG164</f>
        <v>20/8เย็น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WRWT25650/WRWT25650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67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WSWT2125650</v>
      </c>
      <c r="AA156" s="8">
        <f>[2]หน้าผ้า!AQ165</f>
        <v>19837.400000000001</v>
      </c>
      <c r="AB156" s="8">
        <f>[2]หน้าผ้า!AR165</f>
        <v>19837.400000000001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WRWT25650/WRWT25650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ขาวแถบใส5</v>
      </c>
      <c r="H157" s="9">
        <f>[2]หน้าผ้า!J166</f>
        <v>0</v>
      </c>
      <c r="I157" s="9">
        <f>[2]หน้าผ้า!L166</f>
        <v>67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WSWTSCL052125650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พร้อมส่ง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WRWT25650/WRCL25680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21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83</v>
      </c>
      <c r="J158" s="9" t="str">
        <f>[2]หน้าผ้า!M167</f>
        <v>±</v>
      </c>
      <c r="K158" s="9">
        <f>[2]หน้าผ้า!N167</f>
        <v>5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WSWT2125800</v>
      </c>
      <c r="AA158" s="8" t="e">
        <f>[2]หน้าผ้า!AQ167</f>
        <v>#REF!</v>
      </c>
      <c r="AB158" s="8" t="e">
        <f>[2]หน้าผ้า!AR167</f>
        <v>#REF!</v>
      </c>
      <c r="AC158" s="8" t="e">
        <f>[2]หน้าผ้า!AS167</f>
        <v>#REF!</v>
      </c>
      <c r="AD158" s="8" t="e">
        <f>[2]หน้าผ้า!AT167</f>
        <v>#REF!</v>
      </c>
      <c r="AE158" s="8" t="e">
        <f>[2]หน้าผ้า!AU167</f>
        <v>#REF!</v>
      </c>
      <c r="AF158" s="8" t="str">
        <f>[2]หน้าผ้า!AI167</f>
        <v>ระบุในSD</v>
      </c>
      <c r="AG158" s="1" t="str">
        <f>[3]หน้าผ้า!DC170</f>
        <v>พร้อมส่ง</v>
      </c>
      <c r="AH158" s="1">
        <f>[2]หน้าผ้า!DL167</f>
        <v>0</v>
      </c>
      <c r="AI158" s="1">
        <f>[2]หน้าผ้า!DM167</f>
        <v>0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WRWT210800/WRWT25800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45867</v>
      </c>
      <c r="B159" s="14" t="str">
        <f>[2]หน้าผ้า!B168</f>
        <v>MK68-000932</v>
      </c>
      <c r="C159" s="9" t="str">
        <f>[2]หน้าผ้า!E168</f>
        <v>บจก.เอ็นบี ดิสทริบิวชั่น</v>
      </c>
      <c r="D159" s="13" t="str">
        <f>[2]หน้าผ้า!F168</f>
        <v>กัสโซ่ฟีด 202</v>
      </c>
      <c r="E159" s="9">
        <f>[2]หน้าผ้า!G168</f>
        <v>21</v>
      </c>
      <c r="F159" s="9">
        <f>[2]หน้าผ้า!H168</f>
        <v>37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22</v>
      </c>
      <c r="N159" s="9">
        <f>[2]หน้าผ้า!U168</f>
        <v>40</v>
      </c>
      <c r="O159" s="9">
        <f>[2]หน้าผ้า!V168</f>
        <v>40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</v>
      </c>
      <c r="T159" s="12">
        <f>[2]หน้าผ้า!X168</f>
        <v>45876</v>
      </c>
      <c r="U159" s="11">
        <f>[2]หน้าผ้า!AA168</f>
        <v>5000</v>
      </c>
      <c r="V159" s="10">
        <f>[2]หน้าผ้า!AJ168</f>
        <v>5000</v>
      </c>
      <c r="W159" s="10">
        <f>[2]หน้าผ้า!AL168</f>
        <v>0</v>
      </c>
      <c r="X159" s="10">
        <f>[2]หน้าผ้า!AM168</f>
        <v>5400</v>
      </c>
      <c r="Y159" s="10">
        <f>[2]หน้าผ้า!AN168</f>
        <v>0</v>
      </c>
      <c r="Z159" s="9" t="str">
        <f>[2]หน้าผ้า!AO168</f>
        <v>WSWT2121670SM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45876</v>
      </c>
      <c r="AK159" s="3">
        <f>[2]หน้าผ้า!DQ168</f>
        <v>45872</v>
      </c>
      <c r="AL159" s="3">
        <f>[2]หน้าผ้า!DR168</f>
        <v>45866</v>
      </c>
      <c r="AM159" s="3">
        <f>[2]หน้าผ้า!DS168</f>
        <v>45873</v>
      </c>
      <c r="AN159" s="3">
        <f>[2]หน้าผ้า!DT168</f>
        <v>45874</v>
      </c>
      <c r="AO159" s="3">
        <f>[2]หน้าผ้า!DU168</f>
        <v>45874</v>
      </c>
      <c r="AP159" s="3">
        <f>[2]หน้าผ้า!DP168</f>
        <v>45871</v>
      </c>
      <c r="AQ159" s="3">
        <f>[2]หน้าผ้า!DW168</f>
        <v>45875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 t="str">
        <f>[2]หน้าผ้า!AG168</f>
        <v>รอโอนเงิน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45867</v>
      </c>
      <c r="B160" s="14" t="str">
        <f>[2]หน้าผ้า!B169</f>
        <v>MK68-000932</v>
      </c>
      <c r="C160" s="9" t="str">
        <f>[2]หน้าผ้า!E169</f>
        <v>บจก.เอ็นบี ดิสทริบิวชั่น</v>
      </c>
      <c r="D160" s="13" t="str">
        <f>[2]หน้าผ้า!F169</f>
        <v>กัสโซ่ฟีด 101-102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22</v>
      </c>
      <c r="N160" s="9">
        <f>[2]หน้าผ้า!U169</f>
        <v>40</v>
      </c>
      <c r="O160" s="9">
        <f>[2]หน้าผ้า!V169</f>
        <v>40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45876</v>
      </c>
      <c r="U160" s="11">
        <f>[2]หน้าผ้า!AA169</f>
        <v>10000</v>
      </c>
      <c r="V160" s="10">
        <f>[2]หน้าผ้า!AJ169</f>
        <v>10000</v>
      </c>
      <c r="W160" s="10">
        <f>[2]หน้าผ้า!AL169</f>
        <v>0</v>
      </c>
      <c r="X160" s="10">
        <f>[2]หน้าผ้า!AM169</f>
        <v>10500</v>
      </c>
      <c r="Y160" s="10">
        <f>[2]หน้าผ้า!AN169</f>
        <v>0</v>
      </c>
      <c r="Z160" s="9" t="str">
        <f>[2]หน้าผ้า!AO169</f>
        <v>WSWT2121670SM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>
        <f>[2]หน้าผ้า!DN169</f>
        <v>45876</v>
      </c>
      <c r="AK160" s="3">
        <f>[2]หน้าผ้า!DQ169</f>
        <v>45872</v>
      </c>
      <c r="AL160" s="3">
        <f>[2]หน้าผ้า!DR169</f>
        <v>45866</v>
      </c>
      <c r="AM160" s="3">
        <f>[2]หน้าผ้า!DS169</f>
        <v>45873</v>
      </c>
      <c r="AN160" s="3">
        <f>[2]หน้าผ้า!DT169</f>
        <v>45874</v>
      </c>
      <c r="AO160" s="3">
        <f>[2]หน้าผ้า!DU169</f>
        <v>45874</v>
      </c>
      <c r="AP160" s="3">
        <f>[2]หน้าผ้า!DP169</f>
        <v>45871</v>
      </c>
      <c r="AQ160" s="3">
        <f>[2]หน้าผ้า!DW169</f>
        <v>45875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 t="str">
        <f>[2]หน้าผ้า!AG169</f>
        <v>รอโอนเงิน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45867</v>
      </c>
      <c r="B161" s="14" t="str">
        <f>[2]หน้าผ้า!B170</f>
        <v>MK68-000930</v>
      </c>
      <c r="C161" s="9" t="str">
        <f>[2]หน้าผ้า!E170</f>
        <v>บจก.บลูฟาโล่</v>
      </c>
      <c r="D161" s="13" t="str">
        <f>[2]หน้าผ้า!F170</f>
        <v>เมอรี่ 882S</v>
      </c>
      <c r="E161" s="9">
        <f>[2]หน้าผ้า!G170</f>
        <v>21</v>
      </c>
      <c r="F161" s="9">
        <f>[2]หน้าผ้า!H170</f>
        <v>37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97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>
        <f>[2]หน้าผ้า!T170</f>
        <v>22</v>
      </c>
      <c r="N161" s="9">
        <f>[2]หน้าผ้า!U170</f>
        <v>40</v>
      </c>
      <c r="O161" s="9">
        <f>[2]หน้าผ้า!V170</f>
        <v>40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</v>
      </c>
      <c r="T161" s="12">
        <f>[2]หน้าผ้า!X170</f>
        <v>45876</v>
      </c>
      <c r="U161" s="11">
        <f>[2]หน้าผ้า!AA170</f>
        <v>5000</v>
      </c>
      <c r="V161" s="10">
        <f>[2]หน้าผ้า!AJ170</f>
        <v>5000</v>
      </c>
      <c r="W161" s="10">
        <f>[2]หน้าผ้า!AL170</f>
        <v>0</v>
      </c>
      <c r="X161" s="10">
        <f>[2]หน้าผ้า!AM170</f>
        <v>5400</v>
      </c>
      <c r="Y161" s="10">
        <f>[2]หน้าผ้า!AN170</f>
        <v>0</v>
      </c>
      <c r="Z161" s="9" t="str">
        <f>[2]หน้าผ้า!AO170</f>
        <v>WSWT2121670SM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45876</v>
      </c>
      <c r="AK161" s="3">
        <f>[2]หน้าผ้า!DQ170</f>
        <v>45872</v>
      </c>
      <c r="AL161" s="3">
        <f>[2]หน้าผ้า!DR170</f>
        <v>45866</v>
      </c>
      <c r="AM161" s="3">
        <f>[2]หน้าผ้า!DS170</f>
        <v>45873</v>
      </c>
      <c r="AN161" s="3">
        <f>[2]หน้าผ้า!DT170</f>
        <v>45874</v>
      </c>
      <c r="AO161" s="3">
        <f>[2]หน้าผ้า!DU170</f>
        <v>45874</v>
      </c>
      <c r="AP161" s="3">
        <f>[2]หน้าผ้า!DP170</f>
        <v>45871</v>
      </c>
      <c r="AQ161" s="3">
        <f>[2]หน้าผ้า!DW170</f>
        <v>45875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 t="str">
        <f>[2]หน้าผ้า!AG170</f>
        <v>รอโอนเงิน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45869</v>
      </c>
      <c r="B162" s="14" t="str">
        <f>[2]หน้าผ้า!B171</f>
        <v>MK68-000943</v>
      </c>
      <c r="C162" s="9" t="str">
        <f>[2]หน้าผ้า!E171</f>
        <v>บจก.แอมโก้เวท</v>
      </c>
      <c r="D162" s="13" t="str">
        <f>[2]หน้าผ้า!F171</f>
        <v>แดนโกรว30(ส้ม)</v>
      </c>
      <c r="E162" s="9">
        <f>[2]หน้าผ้า!G171</f>
        <v>21</v>
      </c>
      <c r="F162" s="9">
        <f>[2]หน้าผ้า!H171</f>
        <v>37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>
        <f>[2]หน้าผ้า!X171</f>
        <v>45883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WSWT2121670SM</v>
      </c>
      <c r="AA162" s="8">
        <f>[2]หน้าผ้า!AQ171</f>
        <v>10756.900000000001</v>
      </c>
      <c r="AB162" s="8">
        <f>[2]หน้าผ้า!AR171</f>
        <v>10756.900000000001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10756.900000000001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45883</v>
      </c>
      <c r="AK162" s="3">
        <f>[2]หน้าผ้า!DQ171</f>
        <v>45879</v>
      </c>
      <c r="AL162" s="3">
        <f>[2]หน้าผ้า!DR171</f>
        <v>45873</v>
      </c>
      <c r="AM162" s="3">
        <f>[2]หน้าผ้า!DS171</f>
        <v>45880</v>
      </c>
      <c r="AN162" s="3">
        <f>[2]หน้าผ้า!DT171</f>
        <v>45881</v>
      </c>
      <c r="AO162" s="3">
        <f>[2]หน้าผ้า!DU171</f>
        <v>45881</v>
      </c>
      <c r="AP162" s="3">
        <f>[2]หน้าผ้า!DP171</f>
        <v>45878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 t="str">
        <f>[2]หน้าผ้า!AG171</f>
        <v>ผ้าเวียดนาม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45869</v>
      </c>
      <c r="B163" s="14" t="str">
        <f>[2]หน้าผ้า!B172</f>
        <v>MK68-000943</v>
      </c>
      <c r="C163" s="9" t="str">
        <f>[2]หน้าผ้า!E172</f>
        <v>บจก.แอมโก้เวท</v>
      </c>
      <c r="D163" s="13" t="str">
        <f>[2]หน้าผ้า!F172</f>
        <v>แดนโกรว50(เหลือง)</v>
      </c>
      <c r="E163" s="9">
        <f>[2]หน้าผ้า!G172</f>
        <v>21</v>
      </c>
      <c r="F163" s="9">
        <f>[2]หน้าผ้า!H172</f>
        <v>37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>
        <f>[2]หน้าผ้า!X172</f>
        <v>45883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WSWT2121670SM</v>
      </c>
      <c r="AA163" s="8">
        <f>[2]หน้าผ้า!AQ172</f>
        <v>5378.4500000000007</v>
      </c>
      <c r="AB163" s="8">
        <f>[2]หน้าผ้า!AR172</f>
        <v>5378.4500000000007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5378.4500000000007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45883</v>
      </c>
      <c r="AK163" s="3">
        <f>[2]หน้าผ้า!DQ172</f>
        <v>45879</v>
      </c>
      <c r="AL163" s="3">
        <f>[2]หน้าผ้า!DR172</f>
        <v>45873</v>
      </c>
      <c r="AM163" s="3">
        <f>[2]หน้าผ้า!DS172</f>
        <v>45880</v>
      </c>
      <c r="AN163" s="3">
        <f>[2]หน้าผ้า!DT172</f>
        <v>45881</v>
      </c>
      <c r="AO163" s="3">
        <f>[2]หน้าผ้า!DU172</f>
        <v>45881</v>
      </c>
      <c r="AP163" s="3">
        <f>[2]หน้าผ้า!DP172</f>
        <v>45878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 t="str">
        <f>[2]หน้าผ้า!AG172</f>
        <v>ผ้าเวียดนาม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45869</v>
      </c>
      <c r="B164" s="14" t="str">
        <f>[2]หน้าผ้า!B173</f>
        <v>MK68-000943</v>
      </c>
      <c r="C164" s="9" t="str">
        <f>[2]หน้าผ้า!E173</f>
        <v>บจก.แอมโก้เวท</v>
      </c>
      <c r="D164" s="13" t="str">
        <f>[2]หน้าผ้า!F173</f>
        <v>วีโว่ 100</v>
      </c>
      <c r="E164" s="9">
        <f>[2]หน้าผ้า!G173</f>
        <v>21</v>
      </c>
      <c r="F164" s="9">
        <f>[2]หน้าผ้า!H173</f>
        <v>37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45883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WSWT2121670SM</v>
      </c>
      <c r="AA164" s="8">
        <f>[2]หน้าผ้า!AQ173</f>
        <v>5378.4500000000007</v>
      </c>
      <c r="AB164" s="8">
        <f>[2]หน้าผ้า!AR173</f>
        <v>5378.4500000000007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5378.4500000000007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45883</v>
      </c>
      <c r="AK164" s="3">
        <f>[2]หน้าผ้า!DQ173</f>
        <v>45879</v>
      </c>
      <c r="AL164" s="3">
        <f>[2]หน้าผ้า!DR173</f>
        <v>45873</v>
      </c>
      <c r="AM164" s="3">
        <f>[2]หน้าผ้า!DS173</f>
        <v>45880</v>
      </c>
      <c r="AN164" s="3">
        <f>[2]หน้าผ้า!DT173</f>
        <v>45881</v>
      </c>
      <c r="AO164" s="3">
        <f>[2]หน้าผ้า!DU173</f>
        <v>45881</v>
      </c>
      <c r="AP164" s="3">
        <f>[2]หน้าผ้า!DP173</f>
        <v>45878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 t="str">
        <f>[2]หน้าผ้า!AG173</f>
        <v>ผ้าเวียดนาม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45869</v>
      </c>
      <c r="B165" s="14" t="str">
        <f>[2]หน้าผ้า!B174</f>
        <v>MK68-000943</v>
      </c>
      <c r="C165" s="9" t="str">
        <f>[2]หน้าผ้า!E174</f>
        <v>บจก.แอมโก้เวท</v>
      </c>
      <c r="D165" s="13" t="str">
        <f>[2]หน้าผ้า!F174</f>
        <v>แดนโกรวบรีดเดอร์ 60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</v>
      </c>
      <c r="T165" s="12">
        <f>[2]หน้าผ้า!X174</f>
        <v>45883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WSWT2121670SM</v>
      </c>
      <c r="AA165" s="8">
        <f>[2]หน้าผ้า!AQ174</f>
        <v>5378.4500000000007</v>
      </c>
      <c r="AB165" s="8">
        <f>[2]หน้าผ้า!AR174</f>
        <v>5378.4500000000007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5378.4500000000007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>
        <f>[2]หน้าผ้า!DN174</f>
        <v>45883</v>
      </c>
      <c r="AK165" s="3">
        <f>[2]หน้าผ้า!DQ174</f>
        <v>45879</v>
      </c>
      <c r="AL165" s="3">
        <f>[2]หน้าผ้า!DR174</f>
        <v>45873</v>
      </c>
      <c r="AM165" s="3">
        <f>[2]หน้าผ้า!DS174</f>
        <v>45880</v>
      </c>
      <c r="AN165" s="3">
        <f>[2]หน้าผ้า!DT174</f>
        <v>45881</v>
      </c>
      <c r="AO165" s="3">
        <f>[2]หน้าผ้า!DU174</f>
        <v>45881</v>
      </c>
      <c r="AP165" s="3">
        <f>[2]หน้าผ้า!DP174</f>
        <v>45878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 t="str">
        <f>[2]หน้าผ้า!AG174</f>
        <v>ผ้าเวียดนาม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45869</v>
      </c>
      <c r="B166" s="14" t="str">
        <f>[2]หน้าผ้า!B175</f>
        <v>MK68-000943</v>
      </c>
      <c r="C166" s="9" t="str">
        <f>[2]หน้าผ้า!E175</f>
        <v>บจก.แอมโก้เวท</v>
      </c>
      <c r="D166" s="13" t="str">
        <f>[2]หน้าผ้า!F175</f>
        <v>แดนโกรวบรีดเดอร์ 80</v>
      </c>
      <c r="E166" s="9">
        <f>[2]หน้าผ้า!G175</f>
        <v>21</v>
      </c>
      <c r="F166" s="9">
        <f>[2]หน้าผ้า!H175</f>
        <v>37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</v>
      </c>
      <c r="T166" s="12">
        <f>[2]หน้าผ้า!X175</f>
        <v>45883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WSWT2121670SM</v>
      </c>
      <c r="AA166" s="8">
        <f>[2]หน้าผ้า!AQ175</f>
        <v>10756.900000000001</v>
      </c>
      <c r="AB166" s="8">
        <f>[2]หน้าผ้า!AR175</f>
        <v>10756.900000000001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10756.900000000001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P8</v>
      </c>
      <c r="AI166" s="1">
        <f>[2]หน้าผ้า!DM175</f>
        <v>4</v>
      </c>
      <c r="AJ166" s="3">
        <f>[2]หน้าผ้า!DN175</f>
        <v>45883</v>
      </c>
      <c r="AK166" s="3">
        <f>[2]หน้าผ้า!DQ175</f>
        <v>45879</v>
      </c>
      <c r="AL166" s="3">
        <f>[2]หน้าผ้า!DR175</f>
        <v>45873</v>
      </c>
      <c r="AM166" s="3">
        <f>[2]หน้าผ้า!DS175</f>
        <v>45880</v>
      </c>
      <c r="AN166" s="3">
        <f>[2]หน้าผ้า!DT175</f>
        <v>45881</v>
      </c>
      <c r="AO166" s="3">
        <f>[2]หน้าผ้า!DU175</f>
        <v>45881</v>
      </c>
      <c r="AP166" s="3">
        <f>[2]หน้าผ้า!DP175</f>
        <v>45878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 t="str">
        <f>[2]หน้าผ้า!AG175</f>
        <v>ผ้าเวียดนาม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45870</v>
      </c>
      <c r="B167" s="14" t="str">
        <f>[2]หน้าผ้า!B176</f>
        <v>MK68-000950</v>
      </c>
      <c r="C167" s="9" t="str">
        <f>[2]หน้าผ้า!E176</f>
        <v>บจก.เอสพีเอ็ม อาหารสัตว์</v>
      </c>
      <c r="D167" s="13" t="str">
        <f>[2]หน้าผ้า!F176</f>
        <v>SPM4131</v>
      </c>
      <c r="E167" s="9">
        <f>[2]หน้าผ้า!G176</f>
        <v>21</v>
      </c>
      <c r="F167" s="9">
        <f>[2]หน้าผ้า!H176</f>
        <v>38</v>
      </c>
      <c r="G167" s="9" t="str">
        <f>[2]หน้าผ้า!I176</f>
        <v>ขาว</v>
      </c>
      <c r="H167" s="9" t="str">
        <f>[2]หน้าผ้า!J176</f>
        <v>ด้าน</v>
      </c>
      <c r="I167" s="9">
        <f>[2]หน้าผ้า!L176</f>
        <v>102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22</v>
      </c>
      <c r="N167" s="9">
        <f>[2]หน้าผ้า!U176</f>
        <v>40</v>
      </c>
      <c r="O167" s="9">
        <f>[2]หน้าผ้า!V176</f>
        <v>40</v>
      </c>
      <c r="P167" s="10">
        <f>[2]หน้าผ้า!AB176</f>
        <v>65.13122457599998</v>
      </c>
      <c r="Q167" s="10">
        <f>[2]หน้าผ้า!AC176</f>
        <v>0</v>
      </c>
      <c r="R167" s="10">
        <f>[2]หน้าผ้า!AD176</f>
        <v>65.13122457599998</v>
      </c>
      <c r="S167" s="9" t="str">
        <f>[2]หน้าผ้า!Z176</f>
        <v>500กระสอบแบน</v>
      </c>
      <c r="T167" s="12">
        <f>[2]หน้าผ้า!X176</f>
        <v>45882</v>
      </c>
      <c r="U167" s="11">
        <f>[2]หน้าผ้า!AA176</f>
        <v>3000</v>
      </c>
      <c r="V167" s="10">
        <f>[2]หน้าผ้า!AJ176</f>
        <v>0</v>
      </c>
      <c r="W167" s="10">
        <f>[2]หน้าผ้า!AL176</f>
        <v>3000</v>
      </c>
      <c r="X167" s="10">
        <f>[2]หน้าผ้า!AM176</f>
        <v>0</v>
      </c>
      <c r="Y167" s="10">
        <f>[2]หน้าผ้า!AN176</f>
        <v>3150</v>
      </c>
      <c r="Z167" s="9" t="str">
        <f>[2]หน้าผ้า!AO176</f>
        <v>WSWT2121670SM</v>
      </c>
      <c r="AA167" s="8">
        <f>[2]หน้าผ้า!AQ176</f>
        <v>3310.89</v>
      </c>
      <c r="AB167" s="8">
        <f>[2]หน้าผ้า!AR176</f>
        <v>3310.89</v>
      </c>
      <c r="AC167" s="8">
        <f>[2]หน้าผ้า!AS176</f>
        <v>0</v>
      </c>
      <c r="AD167" s="8">
        <f>[2]หน้าผ้า!AT176</f>
        <v>3310.89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P8</v>
      </c>
      <c r="AI167" s="1">
        <f>[2]หน้าผ้า!DM176</f>
        <v>4</v>
      </c>
      <c r="AJ167" s="3">
        <f>[2]หน้าผ้า!DN176</f>
        <v>45882</v>
      </c>
      <c r="AK167" s="3">
        <f>[2]หน้าผ้า!DQ176</f>
        <v>45878</v>
      </c>
      <c r="AL167" s="3">
        <f>[2]หน้าผ้า!DR176</f>
        <v>45872</v>
      </c>
      <c r="AM167" s="3">
        <f>[2]หน้าผ้า!DS176</f>
        <v>45879</v>
      </c>
      <c r="AN167" s="3">
        <f>[2]หน้าผ้า!DT176</f>
        <v>45880</v>
      </c>
      <c r="AO167" s="3">
        <f>[2]หน้าผ้า!DU176</f>
        <v>45880</v>
      </c>
      <c r="AP167" s="3">
        <f>[2]หน้าผ้า!DP176</f>
        <v>45877</v>
      </c>
      <c r="AQ167" s="3">
        <f>[2]หน้าผ้า!DW176</f>
        <v>45881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45870</v>
      </c>
      <c r="B168" s="14" t="str">
        <f>[2]หน้าผ้า!B177</f>
        <v>MK68-000949</v>
      </c>
      <c r="C168" s="9" t="str">
        <f>[2]หน้าผ้า!E177</f>
        <v>บจก.เอสพีเอ็ม อาหารสัตว์</v>
      </c>
      <c r="D168" s="13" t="str">
        <f>[2]หน้าผ้า!F177</f>
        <v>SPM4132</v>
      </c>
      <c r="E168" s="9">
        <f>[2]หน้าผ้า!G177</f>
        <v>21</v>
      </c>
      <c r="F168" s="9">
        <f>[2]หน้าผ้า!H177</f>
        <v>40</v>
      </c>
      <c r="G168" s="9" t="str">
        <f>[2]หน้าผ้า!I177</f>
        <v>ขาว</v>
      </c>
      <c r="H168" s="9" t="str">
        <f>[2]หน้าผ้า!J177</f>
        <v>ด้าน</v>
      </c>
      <c r="I168" s="9">
        <f>[2]หน้าผ้า!L177</f>
        <v>108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>
        <f>[2]หน้าผ้า!T177</f>
        <v>22</v>
      </c>
      <c r="N168" s="9">
        <f>[2]หน้าผ้า!U177</f>
        <v>42</v>
      </c>
      <c r="O168" s="9">
        <f>[2]หน้าผ้า!V177</f>
        <v>40</v>
      </c>
      <c r="P168" s="10">
        <f>[2]หน้าผ้า!AB177</f>
        <v>68.387785804799989</v>
      </c>
      <c r="Q168" s="10">
        <f>[2]หน้าผ้า!AC177</f>
        <v>0</v>
      </c>
      <c r="R168" s="10">
        <f>[2]หน้าผ้า!AD177</f>
        <v>68.387785804799989</v>
      </c>
      <c r="S168" s="9" t="str">
        <f>[2]หน้าผ้า!Z177</f>
        <v>500กระสอบแบน</v>
      </c>
      <c r="T168" s="12">
        <f>[2]หน้าผ้า!X177</f>
        <v>45882</v>
      </c>
      <c r="U168" s="11">
        <f>[2]หน้าผ้า!AA177</f>
        <v>3000</v>
      </c>
      <c r="V168" s="10">
        <f>[2]หน้าผ้า!AJ177</f>
        <v>0</v>
      </c>
      <c r="W168" s="10">
        <f>[2]หน้าผ้า!AL177</f>
        <v>3000</v>
      </c>
      <c r="X168" s="10">
        <f>[2]หน้าผ้า!AM177</f>
        <v>0</v>
      </c>
      <c r="Y168" s="10">
        <f>[2]หน้าผ้า!AN177</f>
        <v>3150</v>
      </c>
      <c r="Z168" s="9" t="str">
        <f>[2]หน้าผ้า!AO177</f>
        <v>WSWT2121670SM</v>
      </c>
      <c r="AA168" s="8">
        <f>[2]หน้าผ้า!AQ177</f>
        <v>3478.5300000000007</v>
      </c>
      <c r="AB168" s="8">
        <f>[2]หน้าผ้า!AR177</f>
        <v>3478.5300000000007</v>
      </c>
      <c r="AC168" s="8">
        <f>[2]หน้าผ้า!AS177</f>
        <v>0</v>
      </c>
      <c r="AD168" s="8">
        <f>[2]หน้าผ้า!AT177</f>
        <v>3478.5300000000007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รอแบบ</v>
      </c>
      <c r="AH168" s="1" t="str">
        <f>[2]หน้าผ้า!DL177</f>
        <v>P8</v>
      </c>
      <c r="AI168" s="1">
        <f>[2]หน้าผ้า!DM177</f>
        <v>4</v>
      </c>
      <c r="AJ168" s="3">
        <f>[2]หน้าผ้า!DN177</f>
        <v>45882</v>
      </c>
      <c r="AK168" s="3">
        <f>[2]หน้าผ้า!DQ177</f>
        <v>45878</v>
      </c>
      <c r="AL168" s="3">
        <f>[2]หน้าผ้า!DR177</f>
        <v>45872</v>
      </c>
      <c r="AM168" s="3">
        <f>[2]หน้าผ้า!DS177</f>
        <v>45879</v>
      </c>
      <c r="AN168" s="3">
        <f>[2]หน้าผ้า!DT177</f>
        <v>45880</v>
      </c>
      <c r="AO168" s="3">
        <f>[2]หน้าผ้า!DU177</f>
        <v>45880</v>
      </c>
      <c r="AP168" s="3">
        <f>[2]หน้าผ้า!DP177</f>
        <v>45877</v>
      </c>
      <c r="AQ168" s="3">
        <f>[2]หน้าผ้า!DW177</f>
        <v>45881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45871</v>
      </c>
      <c r="B169" s="14" t="str">
        <f>[2]หน้าผ้า!B178</f>
        <v>MK68-000703</v>
      </c>
      <c r="C169" s="9" t="str">
        <f>[2]หน้าผ้า!E178</f>
        <v>บจก.เอสพีเอ็ม อาหารสัตว์</v>
      </c>
      <c r="D169" s="13" t="str">
        <f>[2]หน้าผ้า!F178</f>
        <v>มาซูฟีดบี 0434</v>
      </c>
      <c r="E169" s="9">
        <f>[2]หน้าผ้า!G178</f>
        <v>21</v>
      </c>
      <c r="F169" s="9">
        <f>[2]หน้าผ้า!H178</f>
        <v>40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108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42</v>
      </c>
      <c r="O169" s="9">
        <f>[2]หน้าผ้า!V178</f>
        <v>40</v>
      </c>
      <c r="P169" s="10">
        <f>[2]หน้าผ้า!AB178</f>
        <v>125.37760730879998</v>
      </c>
      <c r="Q169" s="10">
        <f>[2]หน้าผ้า!AC178</f>
        <v>0</v>
      </c>
      <c r="R169" s="10">
        <f>[2]หน้าผ้า!AD178</f>
        <v>125.37760730879998</v>
      </c>
      <c r="S169" s="9" t="str">
        <f>[2]หน้าผ้า!Z178</f>
        <v>500กระสอบแบน</v>
      </c>
      <c r="T169" s="12">
        <f>[2]หน้าผ้า!X178</f>
        <v>45882</v>
      </c>
      <c r="U169" s="11">
        <f>[2]หน้าผ้า!AA178</f>
        <v>5500</v>
      </c>
      <c r="V169" s="10">
        <f>[2]หน้าผ้า!AJ178</f>
        <v>0</v>
      </c>
      <c r="W169" s="10">
        <f>[2]หน้าผ้า!AL178</f>
        <v>5500</v>
      </c>
      <c r="X169" s="10">
        <f>[2]หน้าผ้า!AM178</f>
        <v>0</v>
      </c>
      <c r="Y169" s="10">
        <f>[2]หน้าผ้า!AN178</f>
        <v>5775</v>
      </c>
      <c r="Z169" s="9" t="str">
        <f>[2]หน้าผ้า!AO178</f>
        <v>WSWT2121670SM</v>
      </c>
      <c r="AA169" s="8">
        <f>[2]หน้าผ้า!AQ178</f>
        <v>6377.3050000000003</v>
      </c>
      <c r="AB169" s="8">
        <f>[2]หน้าผ้า!AR178</f>
        <v>6377.3050000000003</v>
      </c>
      <c r="AC169" s="8">
        <f>[2]หน้าผ้า!AS178</f>
        <v>0</v>
      </c>
      <c r="AD169" s="8">
        <f>[2]หน้าผ้า!AT178</f>
        <v>6377.3050000000003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รอแบบ</v>
      </c>
      <c r="AH169" s="1" t="str">
        <f>[2]หน้าผ้า!DL178</f>
        <v>P8</v>
      </c>
      <c r="AI169" s="1">
        <f>[2]หน้าผ้า!DM178</f>
        <v>4</v>
      </c>
      <c r="AJ169" s="3">
        <f>[2]หน้าผ้า!DN178</f>
        <v>45882</v>
      </c>
      <c r="AK169" s="3">
        <f>[2]หน้าผ้า!DQ178</f>
        <v>45878</v>
      </c>
      <c r="AL169" s="3">
        <f>[2]หน้าผ้า!DR178</f>
        <v>45872</v>
      </c>
      <c r="AM169" s="3">
        <f>[2]หน้าผ้า!DS178</f>
        <v>45879</v>
      </c>
      <c r="AN169" s="3">
        <f>[2]หน้าผ้า!DT178</f>
        <v>45880</v>
      </c>
      <c r="AO169" s="3">
        <f>[2]หน้าผ้า!DU178</f>
        <v>45880</v>
      </c>
      <c r="AP169" s="3">
        <f>[2]หน้าผ้า!DP178</f>
        <v>45877</v>
      </c>
      <c r="AQ169" s="3">
        <f>[2]หน้าผ้า!DW178</f>
        <v>45881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45874</v>
      </c>
      <c r="B170" s="14" t="str">
        <f>[2]หน้าผ้า!B179</f>
        <v>MK68-000968</v>
      </c>
      <c r="C170" s="9" t="str">
        <f>[2]หน้าผ้า!E179</f>
        <v>บจก.เอพีเอ็ม อะโกร</v>
      </c>
      <c r="D170" s="13" t="str">
        <f>[2]หน้าผ้า!F179</f>
        <v>ฟีล กู๊ด 892</v>
      </c>
      <c r="E170" s="9">
        <f>[2]หน้าผ้า!G179</f>
        <v>21</v>
      </c>
      <c r="F170" s="9">
        <f>[2]หน้าผ้า!H179</f>
        <v>38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102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>
        <f>[2]หน้าผ้า!T179</f>
        <v>22</v>
      </c>
      <c r="N170" s="9">
        <f>[2]หน้าผ้า!U179</f>
        <v>40</v>
      </c>
      <c r="O170" s="9">
        <f>[2]หน้าผ้า!V179</f>
        <v>40</v>
      </c>
      <c r="P170" s="10">
        <f>[2]หน้าผ้า!AB179</f>
        <v>65.13122457599998</v>
      </c>
      <c r="Q170" s="10">
        <f>[2]หน้าผ้า!AC179</f>
        <v>0</v>
      </c>
      <c r="R170" s="10">
        <f>[2]หน้าผ้า!AD179</f>
        <v>65.13122457599998</v>
      </c>
      <c r="S170" s="9" t="str">
        <f>[2]หน้าผ้า!Z179</f>
        <v>500กระสอบแบน</v>
      </c>
      <c r="T170" s="12">
        <f>[2]หน้าผ้า!X179</f>
        <v>45883</v>
      </c>
      <c r="U170" s="11">
        <f>[2]หน้าผ้า!AA179</f>
        <v>3000</v>
      </c>
      <c r="V170" s="10">
        <f>[2]หน้าผ้า!AJ179</f>
        <v>0</v>
      </c>
      <c r="W170" s="10">
        <f>[2]หน้าผ้า!AL179</f>
        <v>3000</v>
      </c>
      <c r="X170" s="10">
        <f>[2]หน้าผ้า!AM179</f>
        <v>0</v>
      </c>
      <c r="Y170" s="10">
        <f>[2]หน้าผ้า!AN179</f>
        <v>3150</v>
      </c>
      <c r="Z170" s="9" t="str">
        <f>[2]หน้าผ้า!AO179</f>
        <v>WSWT2121670SM</v>
      </c>
      <c r="AA170" s="8">
        <f>[2]หน้าผ้า!AQ179</f>
        <v>3310.89</v>
      </c>
      <c r="AB170" s="8">
        <f>[2]หน้าผ้า!AR179</f>
        <v>0</v>
      </c>
      <c r="AC170" s="8">
        <f>[2]หน้าผ้า!AS179</f>
        <v>3310.89</v>
      </c>
      <c r="AD170" s="8">
        <f>[2]หน้าผ้า!AT179</f>
        <v>0</v>
      </c>
      <c r="AE170" s="8">
        <f>[2]หน้าผ้า!AU179</f>
        <v>3310.89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P8</v>
      </c>
      <c r="AI170" s="1">
        <f>[2]หน้าผ้า!DM179</f>
        <v>4</v>
      </c>
      <c r="AJ170" s="3">
        <f>[2]หน้าผ้า!DN179</f>
        <v>45883</v>
      </c>
      <c r="AK170" s="3">
        <f>[2]หน้าผ้า!DQ179</f>
        <v>45879</v>
      </c>
      <c r="AL170" s="3">
        <f>[2]หน้าผ้า!DR179</f>
        <v>45873</v>
      </c>
      <c r="AM170" s="3">
        <f>[2]หน้าผ้า!DS179</f>
        <v>45880</v>
      </c>
      <c r="AN170" s="3">
        <f>[2]หน้าผ้า!DT179</f>
        <v>45881</v>
      </c>
      <c r="AO170" s="3">
        <f>[2]หน้าผ้า!DU179</f>
        <v>45881</v>
      </c>
      <c r="AP170" s="3">
        <f>[2]หน้าผ้า!DP179</f>
        <v>45878</v>
      </c>
      <c r="AQ170" s="3">
        <f>[2]หน้าผ้า!DW179</f>
        <v>45882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>รอART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WRWT21670/WRWT21670</v>
      </c>
      <c r="BD170" s="56">
        <f>[2]หน้าผ้า!CA179</f>
        <v>238.09713619999999</v>
      </c>
    </row>
    <row r="171" spans="1:56" ht="27.7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บจก.เอ็นบี ดิสทริบิวชั่น</v>
      </c>
      <c r="D171" s="13" t="str">
        <f>[2]หน้าผ้า!F180</f>
        <v>รอแบบ</v>
      </c>
      <c r="E171" s="9">
        <f>[2]หน้าผ้า!G180</f>
        <v>21</v>
      </c>
      <c r="F171" s="9">
        <f>[2]หน้าผ้า!H180</f>
        <v>37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100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>
        <f>[2]หน้าผ้า!T180</f>
        <v>22</v>
      </c>
      <c r="N171" s="9">
        <f>[2]หน้าผ้า!U180</f>
        <v>40</v>
      </c>
      <c r="O171" s="9">
        <f>[2]หน้าผ้า!V180</f>
        <v>40</v>
      </c>
      <c r="P171" s="10">
        <f>[2]หน้าผ้า!AB180</f>
        <v>434.20816383999994</v>
      </c>
      <c r="Q171" s="10">
        <f>[2]หน้าผ้า!AC180</f>
        <v>0</v>
      </c>
      <c r="R171" s="10">
        <f>[2]หน้าผ้า!AD180</f>
        <v>434.20816383999994</v>
      </c>
      <c r="S171" s="9" t="str">
        <f>[2]หน้าผ้า!Z180</f>
        <v>500กระสอบ</v>
      </c>
      <c r="T171" s="12">
        <f>[2]หน้าผ้า!X180</f>
        <v>45899</v>
      </c>
      <c r="U171" s="11">
        <f>[2]หน้าผ้า!AA180</f>
        <v>20000</v>
      </c>
      <c r="V171" s="10">
        <f>[2]หน้าผ้า!AJ180</f>
        <v>0</v>
      </c>
      <c r="W171" s="10">
        <f>[2]หน้าผ้า!AL180</f>
        <v>20000</v>
      </c>
      <c r="X171" s="10">
        <f>[2]หน้าผ้า!AM180</f>
        <v>0</v>
      </c>
      <c r="Y171" s="10">
        <f>[2]หน้าผ้า!AN180</f>
        <v>21000</v>
      </c>
      <c r="Z171" s="9" t="str">
        <f>[2]หน้าผ้า!AO180</f>
        <v>WSWT2121670SM</v>
      </c>
      <c r="AA171" s="8">
        <f>[2]หน้าผ้า!AQ180</f>
        <v>21513.800000000003</v>
      </c>
      <c r="AB171" s="8">
        <f>[2]หน้าผ้า!AR180</f>
        <v>21513.800000000003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21513.800000000003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P8</v>
      </c>
      <c r="AI171" s="1">
        <f>[2]หน้าผ้า!DM180</f>
        <v>4</v>
      </c>
      <c r="AJ171" s="3">
        <f>[2]หน้าผ้า!DN180</f>
        <v>45899</v>
      </c>
      <c r="AK171" s="3">
        <f>[2]หน้าผ้า!DQ180</f>
        <v>45895</v>
      </c>
      <c r="AL171" s="3">
        <f>[2]หน้าผ้า!DR180</f>
        <v>45889</v>
      </c>
      <c r="AM171" s="3">
        <f>[2]หน้าผ้า!DS180</f>
        <v>45896</v>
      </c>
      <c r="AN171" s="3">
        <f>[2]หน้าผ้า!DT180</f>
        <v>45897</v>
      </c>
      <c r="AO171" s="3">
        <f>[2]หน้าผ้า!DU180</f>
        <v>45897</v>
      </c>
      <c r="AP171" s="3">
        <f>[2]หน้าผ้า!DP180</f>
        <v>45894</v>
      </c>
      <c r="AQ171" s="3">
        <f>[2]หน้าผ้า!DW180</f>
        <v>45898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WRWT21670/WRWT21670</v>
      </c>
      <c r="BD171" s="56">
        <f>[2]หน้าผ้า!CA180</f>
        <v>0</v>
      </c>
    </row>
    <row r="172" spans="1:56" ht="27.7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บจก.แอมโก้เวท</v>
      </c>
      <c r="D172" s="13" t="str">
        <f>[2]หน้าผ้า!F181</f>
        <v>รอแบบ</v>
      </c>
      <c r="E172" s="9">
        <f>[2]หน้าผ้า!G181</f>
        <v>21</v>
      </c>
      <c r="F172" s="9">
        <f>[2]หน้าผ้า!H181</f>
        <v>37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100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</v>
      </c>
      <c r="T172" s="12">
        <f>[2]หน้าผ้า!X181</f>
        <v>45899</v>
      </c>
      <c r="U172" s="11">
        <f>[2]หน้าผ้า!AA181</f>
        <v>100000</v>
      </c>
      <c r="V172" s="10">
        <f>[2]หน้าผ้า!AJ181</f>
        <v>0</v>
      </c>
      <c r="W172" s="10">
        <f>[2]หน้าผ้า!AL181</f>
        <v>100000</v>
      </c>
      <c r="X172" s="10">
        <f>[2]หน้าผ้า!AM181</f>
        <v>0</v>
      </c>
      <c r="Y172" s="10">
        <f>[2]หน้าผ้า!AN181</f>
        <v>105000</v>
      </c>
      <c r="Z172" s="9" t="str">
        <f>[2]หน้าผ้า!AO181</f>
        <v>WSWT2121670SM</v>
      </c>
      <c r="AA172" s="8">
        <f>[2]หน้าผ้า!AQ181</f>
        <v>107569.00000000001</v>
      </c>
      <c r="AB172" s="8">
        <f>[2]หน้าผ้า!AR181</f>
        <v>107569.00000000001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107569.00000000001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P8</v>
      </c>
      <c r="AI172" s="1">
        <f>[2]หน้าผ้า!DM181</f>
        <v>4</v>
      </c>
      <c r="AJ172" s="3">
        <f>[2]หน้าผ้า!DN181</f>
        <v>45899</v>
      </c>
      <c r="AK172" s="3">
        <f>[2]หน้าผ้า!DQ181</f>
        <v>45895</v>
      </c>
      <c r="AL172" s="3">
        <f>[2]หน้าผ้า!DR181</f>
        <v>45889</v>
      </c>
      <c r="AM172" s="3">
        <f>[2]หน้าผ้า!DS181</f>
        <v>45896</v>
      </c>
      <c r="AN172" s="3">
        <f>[2]หน้าผ้า!DT181</f>
        <v>45897</v>
      </c>
      <c r="AO172" s="3">
        <f>[2]หน้าผ้า!DU181</f>
        <v>45897</v>
      </c>
      <c r="AP172" s="3">
        <f>[2]หน้าผ้า!DP181</f>
        <v>45894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WRWT21670/WRWT21670</v>
      </c>
      <c r="BD172" s="56">
        <f>[2]หน้าผ้า!CA181</f>
        <v>0</v>
      </c>
    </row>
    <row r="173" spans="1:56" ht="27.7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บจก.ที.ซี.ยูเนี่ยน อโกรเทค</v>
      </c>
      <c r="D173" s="13" t="str">
        <f>[2]หน้าผ้า!F182</f>
        <v>Zhejiang UN</v>
      </c>
      <c r="E173" s="9">
        <f>[2]หน้าผ้า!G182</f>
        <v>21</v>
      </c>
      <c r="F173" s="9">
        <f>[2]หน้าผ้า!H182</f>
        <v>37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100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ไม่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45899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10500</v>
      </c>
      <c r="Z173" s="9" t="str">
        <f>[2]หน้าผ้า!AO182</f>
        <v>WSWT2121670SM</v>
      </c>
      <c r="AA173" s="8">
        <f>[2]หน้าผ้า!AQ182</f>
        <v>10756.900000000001</v>
      </c>
      <c r="AB173" s="8">
        <f>[2]หน้าผ้า!AR182</f>
        <v>10590</v>
      </c>
      <c r="AC173" s="8">
        <f>[2]หน้าผ้า!AS182</f>
        <v>166.90000000000146</v>
      </c>
      <c r="AD173" s="8">
        <f>[2]หน้าผ้า!AT182</f>
        <v>0</v>
      </c>
      <c r="AE173" s="8">
        <f>[2]หน้าผ้า!AU182</f>
        <v>10756.900000000001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P8</v>
      </c>
      <c r="AI173" s="1">
        <f>[2]หน้าผ้า!DM182</f>
        <v>4</v>
      </c>
      <c r="AJ173" s="3">
        <f>[2]หน้าผ้า!DN182</f>
        <v>45899</v>
      </c>
      <c r="AK173" s="3">
        <f>[2]หน้าผ้า!DQ182</f>
        <v>45895</v>
      </c>
      <c r="AL173" s="3">
        <f>[2]หน้าผ้า!DR182</f>
        <v>45889</v>
      </c>
      <c r="AM173" s="3">
        <f>[2]หน้าผ้า!DS182</f>
        <v>45896</v>
      </c>
      <c r="AN173" s="3">
        <f>[2]หน้าผ้า!DT182</f>
        <v>45897</v>
      </c>
      <c r="AO173" s="3">
        <f>[2]หน้าผ้า!DU182</f>
        <v>45897</v>
      </c>
      <c r="AP173" s="3">
        <f>[2]หน้าผ้า!DP182</f>
        <v>45894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WRWT21670/WRWT21670</v>
      </c>
      <c r="BD173" s="56">
        <f>[2]หน้าผ้า!CA182</f>
        <v>12.002335333333438</v>
      </c>
    </row>
    <row r="174" spans="1:56" ht="27.75" customHeight="1" x14ac:dyDescent="0.45">
      <c r="A174" s="3">
        <f>[2]หน้าผ้า!C183</f>
        <v>45854</v>
      </c>
      <c r="B174" s="14" t="str">
        <f>[2]หน้าผ้า!B183</f>
        <v>MK68-000892</v>
      </c>
      <c r="C174" s="9" t="str">
        <f>[2]หน้าผ้า!E183</f>
        <v>บจก.เอสพีเอ็ม อาหารสัตว์</v>
      </c>
      <c r="D174" s="13" t="str">
        <f>[2]หน้าผ้า!F183</f>
        <v>มาซู ฟีดซี042</v>
      </c>
      <c r="E174" s="9">
        <f>[2]หน้าผ้า!G183</f>
        <v>21</v>
      </c>
      <c r="F174" s="9">
        <f>[2]หน้าผ้า!H183</f>
        <v>38</v>
      </c>
      <c r="G174" s="9" t="str">
        <f>[2]หน้าผ้า!I183</f>
        <v>ขาว</v>
      </c>
      <c r="H174" s="9" t="str">
        <f>[2]หน้าผ้า!J183</f>
        <v>ด้าน</v>
      </c>
      <c r="I174" s="9">
        <f>[2]หน้าผ้า!L183</f>
        <v>102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>
        <f>[2]หน้าผ้า!T183</f>
        <v>22</v>
      </c>
      <c r="N174" s="9">
        <f>[2]หน้าผ้า!U183</f>
        <v>40</v>
      </c>
      <c r="O174" s="9">
        <f>[2]หน้าผ้า!V183</f>
        <v>40</v>
      </c>
      <c r="P174" s="10">
        <f>[2]หน้าผ้า!AB183</f>
        <v>65.13122457599998</v>
      </c>
      <c r="Q174" s="10">
        <f>[2]หน้าผ้า!AC183</f>
        <v>0</v>
      </c>
      <c r="R174" s="10">
        <f>[2]หน้าผ้า!AD183</f>
        <v>65.13122457599998</v>
      </c>
      <c r="S174" s="9" t="str">
        <f>[2]หน้าผ้า!Z183</f>
        <v>500กระสอบแบน</v>
      </c>
      <c r="T174" s="12" t="str">
        <f>[2]หน้าผ้า!X183</f>
        <v>รอแจ้ง</v>
      </c>
      <c r="U174" s="11">
        <f>[2]หน้าผ้า!AA183</f>
        <v>3000</v>
      </c>
      <c r="V174" s="10">
        <f>[2]หน้าผ้า!AJ183</f>
        <v>0</v>
      </c>
      <c r="W174" s="10">
        <f>[2]หน้าผ้า!AL183</f>
        <v>3000</v>
      </c>
      <c r="X174" s="10">
        <f>[2]หน้าผ้า!AM183</f>
        <v>0</v>
      </c>
      <c r="Y174" s="10">
        <f>[2]หน้าผ้า!AN183</f>
        <v>3150</v>
      </c>
      <c r="Z174" s="9" t="str">
        <f>[2]หน้าผ้า!AO183</f>
        <v>WSWT2121670SM</v>
      </c>
      <c r="AA174" s="8">
        <f>[2]หน้าผ้า!AQ183</f>
        <v>3310.89</v>
      </c>
      <c r="AB174" s="8">
        <f>[2]หน้าผ้า!AR183</f>
        <v>0</v>
      </c>
      <c r="AC174" s="8">
        <f>[2]หน้าผ้า!AS183</f>
        <v>3310.89</v>
      </c>
      <c r="AD174" s="8">
        <f>[2]หน้าผ้า!AT183</f>
        <v>0</v>
      </c>
      <c r="AE174" s="8">
        <f>[2]หน้าผ้า!AU183</f>
        <v>3310.89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P8</v>
      </c>
      <c r="AI174" s="1">
        <f>[2]หน้าผ้า!DM183</f>
        <v>4</v>
      </c>
      <c r="AJ174" s="3" t="str">
        <f>[2]หน้าผ้า!DN183</f>
        <v>รอแจ้ง</v>
      </c>
      <c r="AK174" s="3" t="e">
        <f>[2]หน้าผ้า!DQ183</f>
        <v>#VALUE!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 t="e">
        <f>[2]หน้าผ้า!DW183</f>
        <v>#VALUE!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WRWT21670/WRWT21670</v>
      </c>
      <c r="BD174" s="56">
        <f>[2]หน้าผ้า!CA183</f>
        <v>238.09713619999999</v>
      </c>
    </row>
    <row r="175" spans="1:56" ht="27.75" customHeight="1" x14ac:dyDescent="0.45">
      <c r="A175" s="3">
        <f>[2]หน้าผ้า!C184</f>
        <v>45854</v>
      </c>
      <c r="B175" s="14" t="str">
        <f>[2]หน้าผ้า!B184</f>
        <v>MK68-000893</v>
      </c>
      <c r="C175" s="9" t="str">
        <f>[2]หน้าผ้า!E184</f>
        <v>บจก.เอสพีเอ็ม อาหารสัตว์</v>
      </c>
      <c r="D175" s="13" t="str">
        <f>[2]หน้าผ้า!F184</f>
        <v>มาซู ฟีดจี041</v>
      </c>
      <c r="E175" s="9">
        <f>[2]หน้าผ้า!G184</f>
        <v>21</v>
      </c>
      <c r="F175" s="9">
        <f>[2]หน้าผ้า!H184</f>
        <v>38</v>
      </c>
      <c r="G175" s="9" t="str">
        <f>[2]หน้าผ้า!I184</f>
        <v>ขาว</v>
      </c>
      <c r="H175" s="9" t="str">
        <f>[2]หน้าผ้า!J184</f>
        <v>ด้าน</v>
      </c>
      <c r="I175" s="9">
        <f>[2]หน้าผ้า!L184</f>
        <v>102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>
        <f>[2]หน้าผ้า!T184</f>
        <v>22</v>
      </c>
      <c r="N175" s="9">
        <f>[2]หน้าผ้า!U184</f>
        <v>40</v>
      </c>
      <c r="O175" s="9">
        <f>[2]หน้าผ้า!V184</f>
        <v>40</v>
      </c>
      <c r="P175" s="10">
        <f>[2]หน้าผ้า!AB184</f>
        <v>65.13122457599998</v>
      </c>
      <c r="Q175" s="10">
        <f>[2]หน้าผ้า!AC184</f>
        <v>0</v>
      </c>
      <c r="R175" s="10">
        <f>[2]หน้าผ้า!AD184</f>
        <v>65.13122457599998</v>
      </c>
      <c r="S175" s="9" t="str">
        <f>[2]หน้าผ้า!Z184</f>
        <v>500กระสอบแบน</v>
      </c>
      <c r="T175" s="12" t="str">
        <f>[2]หน้าผ้า!X184</f>
        <v>รอแจ้ง</v>
      </c>
      <c r="U175" s="11">
        <f>[2]หน้าผ้า!AA184</f>
        <v>3000</v>
      </c>
      <c r="V175" s="10">
        <f>[2]หน้าผ้า!AJ184</f>
        <v>0</v>
      </c>
      <c r="W175" s="10">
        <f>[2]หน้าผ้า!AL184</f>
        <v>3000</v>
      </c>
      <c r="X175" s="10">
        <f>[2]หน้าผ้า!AM184</f>
        <v>0</v>
      </c>
      <c r="Y175" s="10">
        <f>[2]หน้าผ้า!AN184</f>
        <v>3150</v>
      </c>
      <c r="Z175" s="9" t="str">
        <f>[2]หน้าผ้า!AO184</f>
        <v>WSWT2121670SM</v>
      </c>
      <c r="AA175" s="8">
        <f>[2]หน้าผ้า!AQ184</f>
        <v>3310.89</v>
      </c>
      <c r="AB175" s="8">
        <f>[2]หน้าผ้า!AR184</f>
        <v>0</v>
      </c>
      <c r="AC175" s="8">
        <f>[2]หน้าผ้า!AS184</f>
        <v>3310.89</v>
      </c>
      <c r="AD175" s="8">
        <f>[2]หน้าผ้า!AT184</f>
        <v>0</v>
      </c>
      <c r="AE175" s="8">
        <f>[2]หน้าผ้า!AU184</f>
        <v>3310.89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P8</v>
      </c>
      <c r="AI175" s="1">
        <f>[2]หน้าผ้า!DM184</f>
        <v>4</v>
      </c>
      <c r="AJ175" s="3" t="str">
        <f>[2]หน้าผ้า!DN184</f>
        <v>รอแจ้ง</v>
      </c>
      <c r="AK175" s="3" t="e">
        <f>[2]หน้าผ้า!DQ184</f>
        <v>#VALUE!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 t="e">
        <f>[2]หน้าผ้า!DW184</f>
        <v>#VALUE!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WRWT21670/WRWT21670</v>
      </c>
      <c r="BD175" s="56">
        <f>[2]หน้าผ้า!CA184</f>
        <v>238.09713619999999</v>
      </c>
    </row>
    <row r="176" spans="1:56" ht="27.75" customHeight="1" x14ac:dyDescent="0.45">
      <c r="A176" s="3">
        <f>[2]หน้าผ้า!C185</f>
        <v>45826</v>
      </c>
      <c r="B176" s="14" t="str">
        <f>[2]หน้าผ้า!B185</f>
        <v>MK68-000804</v>
      </c>
      <c r="C176" s="9" t="str">
        <f>[2]หน้าผ้า!E185</f>
        <v>บจก.เอพีเอ็ม อะโกร</v>
      </c>
      <c r="D176" s="13" t="str">
        <f>[2]หน้าผ้า!F185</f>
        <v>ฟีล กู๊ด 802</v>
      </c>
      <c r="E176" s="9">
        <f>[2]หน้าผ้า!G185</f>
        <v>21</v>
      </c>
      <c r="F176" s="9">
        <f>[2]หน้าผ้า!H185</f>
        <v>38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102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>
        <f>[2]หน้าผ้า!T185</f>
        <v>22</v>
      </c>
      <c r="N176" s="9">
        <f>[2]หน้าผ้า!U185</f>
        <v>40</v>
      </c>
      <c r="O176" s="9">
        <f>[2]หน้าผ้า!V185</f>
        <v>40</v>
      </c>
      <c r="P176" s="10">
        <f>[2]หน้าผ้า!AB185</f>
        <v>163.47937368575995</v>
      </c>
      <c r="Q176" s="10">
        <f>[2]หน้าผ้า!AC185</f>
        <v>0</v>
      </c>
      <c r="R176" s="10">
        <f>[2]หน้าผ้า!AD185</f>
        <v>163.47937368575995</v>
      </c>
      <c r="S176" s="9" t="str">
        <f>[2]หน้าผ้า!Z185</f>
        <v>500กระสอบแบน</v>
      </c>
      <c r="T176" s="12" t="str">
        <f>[2]หน้าผ้า!X185</f>
        <v>รอแจ้ง</v>
      </c>
      <c r="U176" s="11">
        <f>[2]หน้าผ้า!AA185</f>
        <v>8000</v>
      </c>
      <c r="V176" s="10">
        <f>[2]หน้าผ้า!AJ185</f>
        <v>470</v>
      </c>
      <c r="W176" s="10">
        <f>[2]หน้าผ้า!AL185</f>
        <v>7530</v>
      </c>
      <c r="X176" s="10">
        <f>[2]หน้าผ้า!AM185</f>
        <v>0</v>
      </c>
      <c r="Y176" s="10">
        <f>[2]หน้าผ้า!AN185</f>
        <v>7906.5</v>
      </c>
      <c r="Z176" s="9" t="str">
        <f>[2]หน้าผ้า!AO185</f>
        <v>WSWT2121670SM</v>
      </c>
      <c r="AA176" s="8">
        <f>[2]หน้าผ้า!AQ185</f>
        <v>8310.3338999999996</v>
      </c>
      <c r="AB176" s="8">
        <f>[2]หน้าผ้า!AR185</f>
        <v>0</v>
      </c>
      <c r="AC176" s="8">
        <f>[2]หน้าผ้า!AS185</f>
        <v>8310.3338999999996</v>
      </c>
      <c r="AD176" s="8">
        <f>[2]หน้าผ้า!AT185</f>
        <v>0</v>
      </c>
      <c r="AE176" s="8">
        <f>[2]หน้าผ้า!AU185</f>
        <v>8310.3338999999996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P8</v>
      </c>
      <c r="AI176" s="1">
        <f>[2]หน้าผ้า!DM185</f>
        <v>4</v>
      </c>
      <c r="AJ176" s="3" t="str">
        <f>[2]หน้าผ้า!DN185</f>
        <v>รอแจ้ง</v>
      </c>
      <c r="AK176" s="3" t="e">
        <f>[2]หน้าผ้า!DQ185</f>
        <v>#VALUE!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 t="e">
        <f>[2]หน้าผ้า!DW185</f>
        <v>#VALUE!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WRWT21670/WRWT21670</v>
      </c>
      <c r="BD176" s="56">
        <f>[2]หน้าผ้า!CA185</f>
        <v>597.62381186199991</v>
      </c>
    </row>
    <row r="177" spans="1:56" ht="27.75" customHeight="1" x14ac:dyDescent="0.45">
      <c r="A177" s="3">
        <f>[2]หน้าผ้า!C186</f>
        <v>45628</v>
      </c>
      <c r="B177" s="14" t="str">
        <f>[2]หน้าผ้า!B186</f>
        <v>MK67-001617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21</v>
      </c>
      <c r="F177" s="9">
        <f>[2]หน้าผ้า!H186</f>
        <v>37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100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 t="str">
        <f>[2]หน้าผ้า!X186</f>
        <v>รอแจ้ง</v>
      </c>
      <c r="U177" s="11">
        <f>[2]หน้าผ้า!AA186</f>
        <v>8000</v>
      </c>
      <c r="V177" s="10">
        <f>[2]หน้าผ้า!AJ186</f>
        <v>0</v>
      </c>
      <c r="W177" s="10">
        <f>[2]หน้าผ้า!AL186</f>
        <v>8000</v>
      </c>
      <c r="X177" s="10">
        <f>[2]หน้าผ้า!AM186</f>
        <v>0</v>
      </c>
      <c r="Y177" s="10">
        <f>[2]หน้าผ้า!AN186</f>
        <v>8400</v>
      </c>
      <c r="Z177" s="9" t="str">
        <f>[2]หน้าผ้า!AO186</f>
        <v>WSWT2121670SM</v>
      </c>
      <c r="AA177" s="8">
        <f>[2]หน้าผ้า!AQ186</f>
        <v>8605.52</v>
      </c>
      <c r="AB177" s="8">
        <f>[2]หน้าผ้า!AR186</f>
        <v>0</v>
      </c>
      <c r="AC177" s="8">
        <f>[2]หน้าผ้า!AS186</f>
        <v>8605.52</v>
      </c>
      <c r="AD177" s="8">
        <f>[2]หน้าผ้า!AT186</f>
        <v>0</v>
      </c>
      <c r="AE177" s="8">
        <f>[2]หน้าผ้า!AU186</f>
        <v>8605.52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P8</v>
      </c>
      <c r="AI177" s="1">
        <f>[2]หน้าผ้า!DM186</f>
        <v>4</v>
      </c>
      <c r="AJ177" s="3" t="str">
        <f>[2]หน้าผ้า!DN186</f>
        <v>รอแจ้ง</v>
      </c>
      <c r="AK177" s="3" t="e">
        <f>[2]หน้าผ้า!DQ186</f>
        <v>#VALUE!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 t="str">
        <f>[2]หน้าผ้า!AG186</f>
        <v>20/1--5/3 ลูกค้าแจ้งเลื่อน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WRWT21670/WRWT21670</v>
      </c>
      <c r="BD177" s="56">
        <f>[2]หน้าผ้า!CA186</f>
        <v>618.85162826666658</v>
      </c>
    </row>
    <row r="178" spans="1:56" ht="27.75" customHeight="1" x14ac:dyDescent="0.45">
      <c r="A178" s="3">
        <f>[2]หน้าผ้า!C187</f>
        <v>45631</v>
      </c>
      <c r="B178" s="14" t="str">
        <f>[2]หน้าผ้า!B187</f>
        <v>MK67-001642</v>
      </c>
      <c r="C178" s="9" t="str">
        <f>[2]หน้าผ้า!E187</f>
        <v>บจก.ที.ซี.ยูเนี่ยน อโกรเทค</v>
      </c>
      <c r="D178" s="13" t="str">
        <f>[2]หน้าผ้า!F187</f>
        <v>Zhejiang UN</v>
      </c>
      <c r="E178" s="9">
        <f>[2]หน้าผ้า!G187</f>
        <v>21</v>
      </c>
      <c r="F178" s="9">
        <f>[2]หน้าผ้า!H187</f>
        <v>37</v>
      </c>
      <c r="G178" s="9" t="str">
        <f>[2]หน้าผ้า!I187</f>
        <v>ขาว</v>
      </c>
      <c r="H178" s="9" t="str">
        <f>[2]หน้าผ้า!J187</f>
        <v>ใส</v>
      </c>
      <c r="I178" s="9">
        <f>[2]หน้าผ้า!L187</f>
        <v>100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 t="str">
        <f>[2]หน้าผ้า!X187</f>
        <v>รอแจ้ง</v>
      </c>
      <c r="U178" s="11">
        <f>[2]หน้าผ้า!AA187</f>
        <v>16000</v>
      </c>
      <c r="V178" s="10">
        <f>[2]หน้าผ้า!AJ187</f>
        <v>0</v>
      </c>
      <c r="W178" s="10">
        <f>[2]หน้าผ้า!AL187</f>
        <v>16000</v>
      </c>
      <c r="X178" s="10">
        <f>[2]หน้าผ้า!AM187</f>
        <v>0</v>
      </c>
      <c r="Y178" s="10">
        <f>[2]หน้าผ้า!AN187</f>
        <v>16800</v>
      </c>
      <c r="Z178" s="9" t="str">
        <f>[2]หน้าผ้า!AO187</f>
        <v>WSWT2121670SM</v>
      </c>
      <c r="AA178" s="8">
        <f>[2]หน้าผ้า!AQ187</f>
        <v>17211.04</v>
      </c>
      <c r="AB178" s="8">
        <f>[2]หน้าผ้า!AR187</f>
        <v>0</v>
      </c>
      <c r="AC178" s="8">
        <f>[2]หน้าผ้า!AS187</f>
        <v>17211.04</v>
      </c>
      <c r="AD178" s="8">
        <f>[2]หน้าผ้า!AT187</f>
        <v>0</v>
      </c>
      <c r="AE178" s="8">
        <f>[2]หน้าผ้า!AU187</f>
        <v>17211.04</v>
      </c>
      <c r="AF178" s="8">
        <f>[2]หน้าผ้า!AI187</f>
        <v>0</v>
      </c>
      <c r="AG178" s="1" t="str">
        <f>[3]หน้าผ้า!DC190</f>
        <v>พร้อมส่ง</v>
      </c>
      <c r="AH178" s="1" t="str">
        <f>[2]หน้าผ้า!DL187</f>
        <v>P8</v>
      </c>
      <c r="AI178" s="1">
        <f>[2]หน้าผ้า!DM187</f>
        <v>4</v>
      </c>
      <c r="AJ178" s="3" t="str">
        <f>[2]หน้าผ้า!DN187</f>
        <v>รอแจ้ง</v>
      </c>
      <c r="AK178" s="3" t="e">
        <f>[2]หน้าผ้า!DQ187</f>
        <v>#VALUE!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 t="str">
        <f>[2]หน้าผ้า!AG187</f>
        <v>3/2---19/3 ลูกค้าแจ้งเลื่อน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WRWT21670/WRWT21670</v>
      </c>
      <c r="BD178" s="56">
        <f>[2]หน้าผ้า!CA187</f>
        <v>1237.7032565333332</v>
      </c>
    </row>
    <row r="179" spans="1:56" ht="27.75" customHeight="1" x14ac:dyDescent="0.45">
      <c r="A179" s="3">
        <f>[2]หน้าผ้า!C188</f>
        <v>45631</v>
      </c>
      <c r="B179" s="14" t="str">
        <f>[2]หน้าผ้า!B188</f>
        <v>MK67-001643</v>
      </c>
      <c r="C179" s="9" t="str">
        <f>[2]หน้าผ้า!E188</f>
        <v>บจก.ที.ซี.ยูเนี่ยน อโกรเทค</v>
      </c>
      <c r="D179" s="13" t="str">
        <f>[2]หน้าผ้า!F188</f>
        <v>Zhejiang UN</v>
      </c>
      <c r="E179" s="9">
        <f>[2]หน้าผ้า!G188</f>
        <v>21</v>
      </c>
      <c r="F179" s="9">
        <f>[2]หน้าผ้า!H188</f>
        <v>37</v>
      </c>
      <c r="G179" s="9" t="str">
        <f>[2]หน้าผ้า!I188</f>
        <v>ขาว</v>
      </c>
      <c r="H179" s="9" t="str">
        <f>[2]หน้าผ้า!J188</f>
        <v>ใส</v>
      </c>
      <c r="I179" s="9">
        <f>[2]หน้าผ้า!L188</f>
        <v>100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 t="str">
        <f>[2]หน้าผ้า!X188</f>
        <v>รอแจ้ง</v>
      </c>
      <c r="U179" s="11">
        <f>[2]หน้าผ้า!AA188</f>
        <v>16000</v>
      </c>
      <c r="V179" s="10">
        <f>[2]หน้าผ้า!AJ188</f>
        <v>0</v>
      </c>
      <c r="W179" s="10">
        <f>[2]หน้าผ้า!AL188</f>
        <v>16000</v>
      </c>
      <c r="X179" s="10">
        <f>[2]หน้าผ้า!AM188</f>
        <v>0</v>
      </c>
      <c r="Y179" s="10">
        <f>[2]หน้าผ้า!AN188</f>
        <v>16800</v>
      </c>
      <c r="Z179" s="9" t="str">
        <f>[2]หน้าผ้า!AO188</f>
        <v>WSWT2121670SM</v>
      </c>
      <c r="AA179" s="8">
        <f>[2]หน้าผ้า!AQ188</f>
        <v>17211.04</v>
      </c>
      <c r="AB179" s="8">
        <f>[2]หน้าผ้า!AR188</f>
        <v>0</v>
      </c>
      <c r="AC179" s="8">
        <f>[2]หน้าผ้า!AS188</f>
        <v>17211.04</v>
      </c>
      <c r="AD179" s="8">
        <f>[2]หน้าผ้า!AT188</f>
        <v>0</v>
      </c>
      <c r="AE179" s="8">
        <f>[2]หน้าผ้า!AU188</f>
        <v>17211.04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P8</v>
      </c>
      <c r="AI179" s="1">
        <f>[2]หน้าผ้า!DM188</f>
        <v>4</v>
      </c>
      <c r="AJ179" s="3" t="str">
        <f>[2]หน้าผ้า!DN188</f>
        <v>รอแจ้ง</v>
      </c>
      <c r="AK179" s="3" t="e">
        <f>[2]หน้าผ้า!DQ188</f>
        <v>#VALUE!</v>
      </c>
      <c r="AL179" s="3" t="e">
        <f>[2]หน้าผ้า!DR188</f>
        <v>#VALUE!</v>
      </c>
      <c r="AM179" s="3" t="e">
        <f>[2]หน้าผ้า!DS188</f>
        <v>#VALUE!</v>
      </c>
      <c r="AN179" s="3" t="e">
        <f>[2]หน้าผ้า!DT188</f>
        <v>#VALUE!</v>
      </c>
      <c r="AO179" s="3" t="e">
        <f>[2]หน้าผ้า!DU188</f>
        <v>#VALUE!</v>
      </c>
      <c r="AP179" s="3" t="e">
        <f>[2]หน้าผ้า!DP188</f>
        <v>#VALUE!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 t="str">
        <f>[2]หน้าผ้า!ED188</f>
        <v xml:space="preserve"> /</v>
      </c>
      <c r="AY179" s="2" t="str">
        <f>[2]หน้าผ้า!AG188</f>
        <v>17/2---28/3 ลูกค้าแจ้งเลื่อน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WRWT21670/WRWT21670</v>
      </c>
      <c r="BD179" s="56">
        <f>[2]หน้าผ้า!CA188</f>
        <v>1237.7032565333332</v>
      </c>
    </row>
    <row r="180" spans="1:56" ht="27.75" customHeight="1" x14ac:dyDescent="0.45">
      <c r="A180" s="3">
        <f>[2]หน้าผ้า!C189</f>
        <v>45066</v>
      </c>
      <c r="B180" s="14" t="str">
        <f>[2]หน้าผ้า!B189</f>
        <v>MK66-000701</v>
      </c>
      <c r="C180" s="9" t="str">
        <f>[2]หน้าผ้า!E189</f>
        <v>บจก.เอสพีเอ็ม อาหารสัตว์</v>
      </c>
      <c r="D180" s="13" t="str">
        <f>[2]หน้าผ้า!F189</f>
        <v>มาซูฟีด ซี041</v>
      </c>
      <c r="E180" s="9">
        <f>[2]หน้าผ้า!G189</f>
        <v>21</v>
      </c>
      <c r="F180" s="9">
        <f>[2]หน้าผ้า!H189</f>
        <v>38</v>
      </c>
      <c r="G180" s="9" t="str">
        <f>[2]หน้าผ้า!I189</f>
        <v>ขาว</v>
      </c>
      <c r="H180" s="9" t="str">
        <f>[2]หน้าผ้า!J189</f>
        <v>ด้าน</v>
      </c>
      <c r="I180" s="9">
        <f>[2]หน้าผ้า!L189</f>
        <v>102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>
        <f>[2]หน้าผ้า!T189</f>
        <v>22</v>
      </c>
      <c r="N180" s="9">
        <f>[2]หน้าผ้า!U189</f>
        <v>40</v>
      </c>
      <c r="O180" s="9">
        <f>[2]หน้าผ้า!V189</f>
        <v>40</v>
      </c>
      <c r="P180" s="10">
        <f>[2]หน้าผ้า!AB189</f>
        <v>108.55204095999999</v>
      </c>
      <c r="Q180" s="10">
        <f>[2]หน้าผ้า!AC189</f>
        <v>0</v>
      </c>
      <c r="R180" s="10">
        <f>[2]หน้าผ้า!AD189</f>
        <v>108.55204095999999</v>
      </c>
      <c r="S180" s="9" t="str">
        <f>[2]หน้าผ้า!Z189</f>
        <v>500กระสอบแบน</v>
      </c>
      <c r="T180" s="12" t="str">
        <f>[2]หน้าผ้า!X189</f>
        <v>รอแจ้ง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WSWT2121670SM</v>
      </c>
      <c r="AA180" s="8">
        <f>[2]หน้าผ้า!AQ189</f>
        <v>5518.15</v>
      </c>
      <c r="AB180" s="8">
        <f>[2]หน้าผ้า!AR189</f>
        <v>0</v>
      </c>
      <c r="AC180" s="8">
        <f>[2]หน้าผ้า!AS189</f>
        <v>5518.15</v>
      </c>
      <c r="AD180" s="8">
        <f>[2]หน้าผ้า!AT189</f>
        <v>0</v>
      </c>
      <c r="AE180" s="8">
        <f>[2]หน้าผ้า!AU189</f>
        <v>5518.15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P8</v>
      </c>
      <c r="AI180" s="1">
        <f>[2]หน้าผ้า!DM189</f>
        <v>4</v>
      </c>
      <c r="AJ180" s="3" t="str">
        <f>[2]หน้าผ้า!DN189</f>
        <v>รอแจ้ง</v>
      </c>
      <c r="AK180" s="3" t="e">
        <f>[2]หน้าผ้า!DQ189</f>
        <v>#VALUE!</v>
      </c>
      <c r="AL180" s="3" t="e">
        <f>[2]หน้าผ้า!DR189</f>
        <v>#VALUE!</v>
      </c>
      <c r="AM180" s="3" t="e">
        <f>[2]หน้าผ้า!DS189</f>
        <v>#VALUE!</v>
      </c>
      <c r="AN180" s="3" t="e">
        <f>[2]หน้าผ้า!DT189</f>
        <v>#VALUE!</v>
      </c>
      <c r="AO180" s="3" t="e">
        <f>[2]หน้าผ้า!DU189</f>
        <v>#VALUE!</v>
      </c>
      <c r="AP180" s="3" t="e">
        <f>[2]หน้าผ้า!DP189</f>
        <v>#VALUE!</v>
      </c>
      <c r="AQ180" s="3" t="e">
        <f>[2]หน้าผ้า!DW189</f>
        <v>#VALUE!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WRWT21670/WRWT21670</v>
      </c>
      <c r="BD180" s="56">
        <f>[2]หน้าผ้า!CA189</f>
        <v>396.82856033333326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21</v>
      </c>
      <c r="F181" s="9">
        <f>[2]หน้าผ้า!H190</f>
        <v>37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74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 t="str">
        <f>[2]หน้าผ้า!AC190</f>
        <v>ว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WSWT2121670SM</v>
      </c>
      <c r="AA181" s="8">
        <f>[2]หน้าผ้า!AQ190</f>
        <v>257444.32890000002</v>
      </c>
      <c r="AB181" s="8">
        <f>[2]หน้าผ้า!AR190</f>
        <v>190488.67500000005</v>
      </c>
      <c r="AC181" s="8">
        <f>[2]หน้าผ้า!AS190</f>
        <v>66955.653900000005</v>
      </c>
      <c r="AD181" s="8">
        <f>[2]หน้าผ้า!AT190</f>
        <v>13166.725</v>
      </c>
      <c r="AE181" s="8">
        <f>[2]หน้าผ้า!AU190</f>
        <v>244277.60390000005</v>
      </c>
      <c r="AF181" s="8" t="str">
        <f>[2]หน้าผ้า!AI190</f>
        <v>ระบุในSD</v>
      </c>
      <c r="AG181" s="1" t="str">
        <f>[3]หน้าผ้า!DC193</f>
        <v>ยังไม่ได้พิมพ์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WRWT210670/WRWT21670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21.6</v>
      </c>
      <c r="F182" s="9">
        <f>[2]หน้าผ้า!H191</f>
        <v>34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97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WSWT2221940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ยังไม่ได้พิมพ์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WRWT21940/WRWT21940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45860</v>
      </c>
      <c r="B183" s="14" t="str">
        <f>[2]หน้าผ้า!B192</f>
        <v>MK68-000917</v>
      </c>
      <c r="C183" s="9" t="str">
        <f>[2]หน้าผ้า!E192</f>
        <v>บจก.ซิเบลโก้(บางเลน)</v>
      </c>
      <c r="D183" s="13" t="str">
        <f>[2]หน้าผ้า!F192</f>
        <v>FELDSPAR N15</v>
      </c>
      <c r="E183" s="9">
        <f>[2]หน้าผ้า!G192</f>
        <v>23</v>
      </c>
      <c r="F183" s="9">
        <f>[2]หน้าผ้า!H192</f>
        <v>38</v>
      </c>
      <c r="G183" s="9" t="str">
        <f>[2]หน้าผ้า!I192</f>
        <v>ขาว</v>
      </c>
      <c r="H183" s="9" t="str">
        <f>[2]หน้าผ้า!J192</f>
        <v>ใส</v>
      </c>
      <c r="I183" s="9">
        <f>[2]หน้าผ้า!L192</f>
        <v>100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>500กระสอบแบน</v>
      </c>
      <c r="T183" s="12">
        <f>[2]หน้าผ้า!X192</f>
        <v>45883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WSWT2325650</v>
      </c>
      <c r="AA183" s="8">
        <f>[2]หน้าผ้า!AQ192</f>
        <v>5518.15</v>
      </c>
      <c r="AB183" s="8">
        <f>[2]หน้าผ้า!AR192</f>
        <v>5518.15</v>
      </c>
      <c r="AC183" s="8">
        <f>[2]หน้าผ้า!AS192</f>
        <v>0</v>
      </c>
      <c r="AD183" s="8">
        <f>[2]หน้าผ้า!AT192</f>
        <v>1715</v>
      </c>
      <c r="AE183" s="8">
        <f>[2]หน้าผ้า!AU192</f>
        <v>3803.1499999999996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P8</v>
      </c>
      <c r="AI183" s="1">
        <f>[2]หน้าผ้า!DM192</f>
        <v>4</v>
      </c>
      <c r="AJ183" s="3">
        <f>[2]หน้าผ้า!DN192</f>
        <v>45883</v>
      </c>
      <c r="AK183" s="3">
        <f>[2]หน้าผ้า!DQ192</f>
        <v>45879</v>
      </c>
      <c r="AL183" s="3">
        <f>[2]หน้าผ้า!DR192</f>
        <v>45873</v>
      </c>
      <c r="AM183" s="3">
        <f>[2]หน้าผ้า!DS192</f>
        <v>45880</v>
      </c>
      <c r="AN183" s="3">
        <f>[2]หน้าผ้า!DT192</f>
        <v>45881</v>
      </c>
      <c r="AO183" s="3">
        <f>[2]หน้าผ้า!DU192</f>
        <v>45881</v>
      </c>
      <c r="AP183" s="3">
        <f>[2]หน้าผ้า!DP192</f>
        <v>45878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งานเคลือบ+พิมพ์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 t="str">
        <f>[2]หน้าผ้า!B193</f>
        <v>ใบรับคำสั่งซื้อ</v>
      </c>
      <c r="C184" s="9" t="str">
        <f>[2]หน้าผ้า!E193</f>
        <v>บจก.ซิเบลโก้(บางเลน)</v>
      </c>
      <c r="D184" s="13" t="str">
        <f>[2]หน้าผ้า!F193</f>
        <v>BLANK FORM</v>
      </c>
      <c r="E184" s="9">
        <f>[2]หน้าผ้า!G193</f>
        <v>23</v>
      </c>
      <c r="F184" s="9">
        <f>[2]หน้าผ้า!H193</f>
        <v>38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100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500กระสอบแบน</v>
      </c>
      <c r="T184" s="12">
        <f>[2]หน้าผ้า!X193</f>
        <v>45887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WSWT2325650</v>
      </c>
      <c r="AA184" s="8">
        <f>[2]หน้าผ้า!AQ193</f>
        <v>5518.15</v>
      </c>
      <c r="AB184" s="8">
        <f>[2]หน้าผ้า!AR193</f>
        <v>5518.15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5518.15</v>
      </c>
      <c r="AF184" s="8">
        <f>[2]หน้าผ้า!AI193</f>
        <v>0</v>
      </c>
      <c r="AG184" s="1" t="str">
        <f>[3]หน้าผ้า!DC196</f>
        <v>รอแบบ</v>
      </c>
      <c r="AH184" s="1" t="str">
        <f>[2]หน้าผ้า!DL193</f>
        <v>P8</v>
      </c>
      <c r="AI184" s="1">
        <f>[2]หน้าผ้า!DM193</f>
        <v>4</v>
      </c>
      <c r="AJ184" s="3">
        <f>[2]หน้าผ้า!DN193</f>
        <v>45887</v>
      </c>
      <c r="AK184" s="3">
        <f>[2]หน้าผ้า!DQ193</f>
        <v>45883</v>
      </c>
      <c r="AL184" s="3">
        <f>[2]หน้าผ้า!DR193</f>
        <v>45877</v>
      </c>
      <c r="AM184" s="3">
        <f>[2]หน้าผ้า!DS193</f>
        <v>45884</v>
      </c>
      <c r="AN184" s="3">
        <f>[2]หน้าผ้า!DT193</f>
        <v>45885</v>
      </c>
      <c r="AO184" s="3">
        <f>[2]หน้าผ้า!DU193</f>
        <v>45885</v>
      </c>
      <c r="AP184" s="3">
        <f>[2]หน้าผ้า!DP193</f>
        <v>45882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 t="str">
        <f>[2]หน้าผ้า!B194</f>
        <v>ใบรับคำสั่งซื้อ</v>
      </c>
      <c r="C185" s="9" t="str">
        <f>[2]หน้าผ้า!E194</f>
        <v>บจก.ซิเบลโก้(บางเลน)</v>
      </c>
      <c r="D185" s="13" t="str">
        <f>[2]หน้าผ้า!F194</f>
        <v>FELDSPAR K200BL</v>
      </c>
      <c r="E185" s="9">
        <f>[2]หน้าผ้า!G194</f>
        <v>23</v>
      </c>
      <c r="F185" s="9">
        <f>[2]หน้าผ้า!H194</f>
        <v>38</v>
      </c>
      <c r="G185" s="9" t="str">
        <f>[2]หน้าผ้า!I194</f>
        <v>ขาว</v>
      </c>
      <c r="H185" s="9" t="str">
        <f>[2]หน้าผ้า!J194</f>
        <v>ใส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500กระสอบแบน</v>
      </c>
      <c r="T185" s="12">
        <f>[2]หน้าผ้า!X194</f>
        <v>45887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WSWT2325650</v>
      </c>
      <c r="AA185" s="8">
        <f>[2]หน้าผ้า!AQ194</f>
        <v>5518.15</v>
      </c>
      <c r="AB185" s="8">
        <f>[2]หน้าผ้า!AR194</f>
        <v>5518.15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5518.15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P8</v>
      </c>
      <c r="AI185" s="1">
        <f>[2]หน้าผ้า!DM194</f>
        <v>4</v>
      </c>
      <c r="AJ185" s="3">
        <f>[2]หน้าผ้า!DN194</f>
        <v>45887</v>
      </c>
      <c r="AK185" s="3">
        <f>[2]หน้าผ้า!DQ194</f>
        <v>45883</v>
      </c>
      <c r="AL185" s="3">
        <f>[2]หน้าผ้า!DR194</f>
        <v>45877</v>
      </c>
      <c r="AM185" s="3">
        <f>[2]หน้าผ้า!DS194</f>
        <v>45884</v>
      </c>
      <c r="AN185" s="3">
        <f>[2]หน้าผ้า!DT194</f>
        <v>45885</v>
      </c>
      <c r="AO185" s="3">
        <f>[2]หน้าผ้า!DU194</f>
        <v>45885</v>
      </c>
      <c r="AP185" s="3">
        <f>[2]หน้าผ้า!DP194</f>
        <v>45882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งานเคลือบ+พิมพ์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WRWT25650/WRWT25650</v>
      </c>
      <c r="BD185" s="56">
        <f>[2]หน้าผ้า!CA194</f>
        <v>0</v>
      </c>
    </row>
    <row r="186" spans="1:56" ht="27.75" customHeight="1" x14ac:dyDescent="0.45">
      <c r="A186" s="3" t="str">
        <f>[2]หน้าผ้า!C195</f>
        <v>ประมาณการ</v>
      </c>
      <c r="B186" s="14" t="str">
        <f>[2]หน้าผ้า!B195</f>
        <v>ประมาณการ</v>
      </c>
      <c r="C186" s="9" t="str">
        <f>[2]หน้าผ้า!E195</f>
        <v>พันธุ์ข้าว</v>
      </c>
      <c r="D186" s="13" t="str">
        <f>[2]หน้าผ้า!F195</f>
        <v>พันธุ์ข้าว</v>
      </c>
      <c r="E186" s="9">
        <f>[2]หน้าผ้า!G195</f>
        <v>23</v>
      </c>
      <c r="F186" s="9">
        <f>[2]หน้าผ้า!H195</f>
        <v>34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>500กระสอบ</v>
      </c>
      <c r="T186" s="12">
        <f>[2]หน้าผ้า!X195</f>
        <v>45899</v>
      </c>
      <c r="U186" s="11">
        <f>[2]หน้าผ้า!AA195</f>
        <v>30000</v>
      </c>
      <c r="V186" s="10">
        <f>[2]หน้าผ้า!AJ195</f>
        <v>0</v>
      </c>
      <c r="W186" s="10">
        <f>[2]หน้าผ้า!AL195</f>
        <v>30000</v>
      </c>
      <c r="X186" s="10">
        <f>[2]หน้าผ้า!AM195</f>
        <v>0</v>
      </c>
      <c r="Y186" s="10">
        <f>[2]หน้าผ้า!AN195</f>
        <v>31500</v>
      </c>
      <c r="Z186" s="9" t="str">
        <f>[2]หน้าผ้า!AO195</f>
        <v>WSWT2325650</v>
      </c>
      <c r="AA186" s="8">
        <f>[2]หน้าผ้า!AQ195</f>
        <v>29756.100000000002</v>
      </c>
      <c r="AB186" s="8">
        <f>[2]หน้าผ้า!AR195</f>
        <v>21613</v>
      </c>
      <c r="AC186" s="8">
        <f>[2]หน้าผ้า!AS195</f>
        <v>8143.1000000000022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45899</v>
      </c>
      <c r="AK186" s="3">
        <f>[2]หน้าผ้า!DQ195</f>
        <v>0</v>
      </c>
      <c r="AL186" s="3">
        <f>[2]หน้าผ้า!DR195</f>
        <v>45890</v>
      </c>
      <c r="AM186" s="3">
        <f>[2]หน้าผ้า!DS195</f>
        <v>45897</v>
      </c>
      <c r="AN186" s="3">
        <f>[2]หน้าผ้า!DT195</f>
        <v>45898</v>
      </c>
      <c r="AO186" s="3">
        <f>[2]หน้าผ้า!DU195</f>
        <v>45898</v>
      </c>
      <c r="AP186" s="3">
        <f>[2]หน้าผ้า!DP195</f>
        <v>45894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WRWT25650/WRWT25650</v>
      </c>
      <c r="BD186" s="56">
        <f>[2]หน้าผ้า!CA195</f>
        <v>608.69672500000013</v>
      </c>
    </row>
    <row r="187" spans="1:56" ht="27.75" customHeight="1" x14ac:dyDescent="0.45">
      <c r="A187" s="3" t="str">
        <f>[2]หน้าผ้า!C196</f>
        <v>ประมาณการ</v>
      </c>
      <c r="B187" s="14" t="str">
        <f>[2]หน้าผ้า!B196</f>
        <v>ประมาณการ</v>
      </c>
      <c r="C187" s="9" t="str">
        <f>[2]หน้าผ้า!E196</f>
        <v>บจก.ซิเบลโก้(สบปราบ)</v>
      </c>
      <c r="D187" s="13" t="str">
        <f>[2]หน้าผ้า!F196</f>
        <v>รอแบบ</v>
      </c>
      <c r="E187" s="9">
        <f>[2]หน้าผ้า!G196</f>
        <v>23</v>
      </c>
      <c r="F187" s="9">
        <f>[2]หน้าผ้า!H196</f>
        <v>34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68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ไม่</v>
      </c>
      <c r="M187" s="10">
        <f>[2]หน้าผ้า!T196</f>
        <v>24</v>
      </c>
      <c r="N187" s="9">
        <f>[2]หน้าผ้า!U196</f>
        <v>37</v>
      </c>
      <c r="O187" s="9">
        <f>[2]หน้าผ้า!V196</f>
        <v>50</v>
      </c>
      <c r="P187" s="10">
        <f>[2]หน้าผ้า!AB196</f>
        <v>821.54158271999995</v>
      </c>
      <c r="Q187" s="10">
        <f>[2]หน้าผ้า!AC196</f>
        <v>0</v>
      </c>
      <c r="R187" s="10">
        <f>[2]หน้าผ้า!AD196</f>
        <v>821.54158271999995</v>
      </c>
      <c r="S187" s="9" t="str">
        <f>[2]หน้าผ้า!Z196</f>
        <v>มัด100</v>
      </c>
      <c r="T187" s="12">
        <f>[2]หน้าผ้า!X196</f>
        <v>45899</v>
      </c>
      <c r="U187" s="11">
        <f>[2]หน้าผ้า!AA196</f>
        <v>30000</v>
      </c>
      <c r="V187" s="10">
        <f>[2]หน้าผ้า!AJ196</f>
        <v>0</v>
      </c>
      <c r="W187" s="10">
        <f>[2]หน้าผ้า!AL196</f>
        <v>30000</v>
      </c>
      <c r="X187" s="10">
        <f>[2]หน้าผ้า!AM196</f>
        <v>0</v>
      </c>
      <c r="Y187" s="10">
        <f>[2]หน้าผ้า!AN196</f>
        <v>31500</v>
      </c>
      <c r="Z187" s="9" t="str">
        <f>[2]หน้าผ้า!AO196</f>
        <v>WSWT2325650</v>
      </c>
      <c r="AA187" s="8">
        <f>[2]หน้าผ้า!AQ196</f>
        <v>29756.100000000002</v>
      </c>
      <c r="AB187" s="8">
        <f>[2]หน้าผ้า!AR196</f>
        <v>0</v>
      </c>
      <c r="AC187" s="8">
        <f>[2]หน้าผ้า!AS196</f>
        <v>29756.100000000002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P9</v>
      </c>
      <c r="AI187" s="1">
        <f>[2]หน้าผ้า!DM196</f>
        <v>3</v>
      </c>
      <c r="AJ187" s="3">
        <f>[2]หน้าผ้า!DN196</f>
        <v>45899</v>
      </c>
      <c r="AK187" s="3">
        <f>[2]หน้าผ้า!DQ196</f>
        <v>0</v>
      </c>
      <c r="AL187" s="3">
        <f>[2]หน้าผ้า!DR196</f>
        <v>45889</v>
      </c>
      <c r="AM187" s="3">
        <f>[2]หน้าผ้า!DS196</f>
        <v>45896</v>
      </c>
      <c r="AN187" s="3">
        <f>[2]หน้าผ้า!DT196</f>
        <v>45897</v>
      </c>
      <c r="AO187" s="3">
        <f>[2]หน้าผ้า!DU196</f>
        <v>45897</v>
      </c>
      <c r="AP187" s="3">
        <f>[2]หน้าผ้า!DP196</f>
        <v>45894</v>
      </c>
      <c r="AQ187" s="3">
        <f>[2]หน้าผ้า!DW196</f>
        <v>45898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WRWT25650/WRWT25650</v>
      </c>
      <c r="BD187" s="56">
        <f>[2]หน้าผ้า!CA196</f>
        <v>2224.2684750000003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23</v>
      </c>
      <c r="F188" s="9">
        <f>[2]หน้าผ้า!H197</f>
        <v>34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68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WSWT2325650</v>
      </c>
      <c r="AA188" s="8">
        <f>[2]หน้าผ้า!AQ197</f>
        <v>76066.650000000009</v>
      </c>
      <c r="AB188" s="8">
        <f>[2]หน้าผ้า!AR197</f>
        <v>38167.449999999997</v>
      </c>
      <c r="AC188" s="8">
        <f>[2]หน้าผ้า!AS197</f>
        <v>37899.200000000004</v>
      </c>
      <c r="AD188" s="8">
        <f>[2]หน้าผ้า!AT197</f>
        <v>1715</v>
      </c>
      <c r="AE188" s="8">
        <f>[2]หน้าผ้า!AU197</f>
        <v>14839.449999999999</v>
      </c>
      <c r="AF188" s="8" t="str">
        <f>[2]หน้าผ้า!AI197</f>
        <v>ระบุในSD</v>
      </c>
      <c r="AG188" s="1" t="str">
        <f>[3]หน้าผ้า!DC200</f>
        <v>รอแบบ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WRWT25650/WRWT25650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45874</v>
      </c>
      <c r="B189" s="14" t="str">
        <f>[2]หน้าผ้า!B198</f>
        <v>MK68-000964</v>
      </c>
      <c r="C189" s="9" t="str">
        <f>[2]หน้าผ้า!E198</f>
        <v>กลุ่มผู้ผลิตเมล็ดพันธุ์ข้าวศรีนคร</v>
      </c>
      <c r="D189" s="13" t="str">
        <f>[2]หน้าผ้า!F198</f>
        <v>ศรีนครพันธุ์ข้าว</v>
      </c>
      <c r="E189" s="9">
        <f>[2]หน้าผ้า!G198</f>
        <v>23</v>
      </c>
      <c r="F189" s="9">
        <f>[2]หน้าผ้า!H198</f>
        <v>34</v>
      </c>
      <c r="G189" s="9" t="str">
        <f>[2]หน้าผ้า!I198</f>
        <v>ขาวแถบใส5</v>
      </c>
      <c r="H189" s="9">
        <f>[2]หน้าผ้า!J198</f>
        <v>0</v>
      </c>
      <c r="I189" s="9">
        <f>[2]หน้าผ้า!L198</f>
        <v>68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500กระสอบ</v>
      </c>
      <c r="T189" s="12">
        <f>[2]หน้าผ้า!X198</f>
        <v>45889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WSWTSCL052325650</v>
      </c>
      <c r="AA189" s="8">
        <f>[2]หน้าผ้า!AQ198</f>
        <v>9918.7000000000007</v>
      </c>
      <c r="AB189" s="8">
        <f>[2]หน้าผ้า!AR198</f>
        <v>0</v>
      </c>
      <c r="AC189" s="8">
        <f>[2]หน้าผ้า!AS198</f>
        <v>9918.7000000000007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45889</v>
      </c>
      <c r="AK189" s="3">
        <f>[2]หน้าผ้า!DQ198</f>
        <v>0</v>
      </c>
      <c r="AL189" s="3">
        <f>[2]หน้าผ้า!DR198</f>
        <v>45880</v>
      </c>
      <c r="AM189" s="3">
        <f>[2]หน้าผ้า!DS198</f>
        <v>45887</v>
      </c>
      <c r="AN189" s="3">
        <f>[2]หน้าผ้า!DT198</f>
        <v>45888</v>
      </c>
      <c r="AO189" s="3">
        <f>[2]หน้าผ้า!DU198</f>
        <v>45888</v>
      </c>
      <c r="AP189" s="3">
        <f>[2]หน้าผ้า!DP198</f>
        <v>45884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WRWT25650/WRCL25680</v>
      </c>
      <c r="BD189" s="56">
        <f>[2]หน้าผ้า!CA198</f>
        <v>800.41704844444439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23</v>
      </c>
      <c r="F190" s="9">
        <f>[2]หน้าผ้า!H199</f>
        <v>34</v>
      </c>
      <c r="G190" s="9" t="str">
        <f>[2]หน้าผ้า!I199</f>
        <v>ขาวแถบใส5</v>
      </c>
      <c r="H190" s="9">
        <f>[2]หน้าผ้า!J199</f>
        <v>0</v>
      </c>
      <c r="I190" s="9">
        <f>[2]หน้าผ้า!L199</f>
        <v>68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WSWTSCL052325650</v>
      </c>
      <c r="AA190" s="8">
        <f>[2]หน้าผ้า!AQ199</f>
        <v>9918.7000000000007</v>
      </c>
      <c r="AB190" s="8">
        <f>[2]หน้าผ้า!AR199</f>
        <v>0</v>
      </c>
      <c r="AC190" s="8">
        <f>[2]หน้าผ้า!AS199</f>
        <v>9918.7000000000007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WRWT25650/WRCL25680</v>
      </c>
      <c r="BD190" s="56">
        <f>[2]หน้าผ้า!CA199</f>
        <v>0</v>
      </c>
    </row>
    <row r="191" spans="1:56" ht="27.7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พันธุ์ข้าว</v>
      </c>
      <c r="D191" s="13" t="str">
        <f>[2]หน้าผ้า!F200</f>
        <v>รอแบบ</v>
      </c>
      <c r="E191" s="9">
        <f>[2]หน้าผ้า!G200</f>
        <v>23</v>
      </c>
      <c r="F191" s="9">
        <f>[2]หน้าผ้า!H200</f>
        <v>34</v>
      </c>
      <c r="G191" s="9" t="str">
        <f>[2]หน้าผ้า!I200</f>
        <v>ขาวแถบใส2</v>
      </c>
      <c r="H191" s="9">
        <f>[2]หน้าผ้า!J200</f>
        <v>0</v>
      </c>
      <c r="I191" s="9">
        <f>[2]หน้าผ้า!L200</f>
        <v>68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500กระสอบ</v>
      </c>
      <c r="T191" s="12" t="str">
        <f>[2]หน้าผ้า!X200</f>
        <v>รอแจ้ง</v>
      </c>
      <c r="U191" s="11">
        <f>[2]หน้าผ้า!AA200</f>
        <v>10000</v>
      </c>
      <c r="V191" s="10">
        <f>[2]หน้าผ้า!AJ200</f>
        <v>0</v>
      </c>
      <c r="W191" s="10">
        <f>[2]หน้าผ้า!AL200</f>
        <v>10000</v>
      </c>
      <c r="X191" s="10">
        <f>[2]หน้าผ้า!AM200</f>
        <v>0</v>
      </c>
      <c r="Y191" s="10">
        <f>[2]หน้าผ้า!AN200</f>
        <v>10500</v>
      </c>
      <c r="Z191" s="9" t="str">
        <f>[2]หน้าผ้า!AO200</f>
        <v>WSWTFCL022325650</v>
      </c>
      <c r="AA191" s="8">
        <f>[2]หน้าผ้า!AQ200</f>
        <v>9918.7000000000007</v>
      </c>
      <c r="AB191" s="8">
        <f>[2]หน้าผ้า!AR200</f>
        <v>0</v>
      </c>
      <c r="AC191" s="8">
        <f>[2]หน้าผ้า!AS200</f>
        <v>9918.7000000000007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ผ้าขาว</v>
      </c>
      <c r="AH191" s="1" t="str">
        <f>[2]หน้าผ้า!DL200</f>
        <v>P7</v>
      </c>
      <c r="AI191" s="1">
        <f>[2]หน้าผ้า!DM200</f>
        <v>2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WRWT25650/WRCL25680</v>
      </c>
      <c r="BD191" s="56">
        <f>[2]หน้าผ้า!CA200</f>
        <v>800.41704844444439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23</v>
      </c>
      <c r="F192" s="9">
        <f>[2]หน้าผ้า!H201</f>
        <v>34</v>
      </c>
      <c r="G192" s="9" t="str">
        <f>[2]หน้าผ้า!I201</f>
        <v>ขาวแถบใส2</v>
      </c>
      <c r="H192" s="9">
        <f>[2]หน้าผ้า!J201</f>
        <v>0</v>
      </c>
      <c r="I192" s="9">
        <f>[2]หน้าผ้า!L201</f>
        <v>68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WSWTFCL022325650</v>
      </c>
      <c r="AA192" s="8">
        <f>[2]หน้าผ้า!AQ201</f>
        <v>9918.7000000000007</v>
      </c>
      <c r="AB192" s="8">
        <f>[2]หน้าผ้า!AR201</f>
        <v>0</v>
      </c>
      <c r="AC192" s="8">
        <f>[2]หน้าผ้า!AS201</f>
        <v>9918.7000000000007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WRWT25650/WRCL25680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85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WSWT2325800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WRWT25800/WRWT28750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45727</v>
      </c>
      <c r="B194" s="14" t="str">
        <f>[2]หน้าผ้า!B203</f>
        <v>MK68-000378</v>
      </c>
      <c r="C194" s="9" t="str">
        <f>[2]หน้าผ้า!E203</f>
        <v>บจก.แอมโก้เวท</v>
      </c>
      <c r="D194" s="13" t="str">
        <f>[2]หน้าผ้า!F203</f>
        <v>ไม่พิมพ์</v>
      </c>
      <c r="E194" s="9">
        <f>[2]หน้าผ้า!G203</f>
        <v>23</v>
      </c>
      <c r="F194" s="9">
        <f>[2]หน้าผ้า!H203</f>
        <v>40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125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จับจีบ4"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500กระสอบแบน</v>
      </c>
      <c r="T194" s="12" t="str">
        <f>[2]หน้าผ้า!X203</f>
        <v>รอแจ้ง</v>
      </c>
      <c r="U194" s="11">
        <f>[2]หน้าผ้า!AA203</f>
        <v>1000</v>
      </c>
      <c r="V194" s="10">
        <f>[2]หน้าผ้า!AJ203</f>
        <v>0</v>
      </c>
      <c r="W194" s="10">
        <f>[2]หน้าผ้า!AL203</f>
        <v>1000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WSWT2321750</v>
      </c>
      <c r="AA194" s="8">
        <f>[2]หน้าผ้า!AQ203</f>
        <v>1159.5100000000002</v>
      </c>
      <c r="AB194" s="8">
        <f>[2]หน้าผ้า!AR203</f>
        <v>1159.5100000000002</v>
      </c>
      <c r="AC194" s="8">
        <f>[2]หน้าผ้า!AS203</f>
        <v>0</v>
      </c>
      <c r="AD194" s="8">
        <f>[2]หน้าผ้า!AT203</f>
        <v>1159.5100000000002</v>
      </c>
      <c r="AE194" s="8">
        <f>[2]หน้าผ้า!AU203</f>
        <v>0</v>
      </c>
      <c r="AF194" s="8" t="str">
        <f>[2]หน้าผ้า!AI203</f>
        <v>ห้ามขาด-เกินได้5%</v>
      </c>
      <c r="AG194" s="1" t="str">
        <f>[3]หน้าผ้า!DC206</f>
        <v>พร้อมส่ง</v>
      </c>
      <c r="AH194" s="1" t="str">
        <f>[2]หน้าผ้า!DL203</f>
        <v>P11</v>
      </c>
      <c r="AI194" s="1">
        <f>[2]หน้าผ้า!DM203</f>
        <v>2</v>
      </c>
      <c r="AJ194" s="3" t="str">
        <f>[2]หน้าผ้า!DN203</f>
        <v>รอแจ้ง</v>
      </c>
      <c r="AK194" s="3" t="e">
        <f>[2]หน้าผ้า!DQ203</f>
        <v>#VALUE!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 t="e">
        <f>[2]หน้าผ้า!DU203</f>
        <v>#VALUE!</v>
      </c>
      <c r="AP194" s="3" t="e">
        <f>[2]หน้าผ้า!DP203</f>
        <v>#VALUE!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WRWT21750/WRWT21750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23</v>
      </c>
      <c r="F195" s="9">
        <f>[2]หน้าผ้า!H204</f>
        <v>37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85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WSWT2321750</v>
      </c>
      <c r="AA195" s="8">
        <f>[2]หน้าผ้า!AQ204</f>
        <v>1159.5100000000002</v>
      </c>
      <c r="AB195" s="8">
        <f>[2]หน้าผ้า!AR204</f>
        <v>1159.5100000000002</v>
      </c>
      <c r="AC195" s="8">
        <f>[2]หน้าผ้า!AS204</f>
        <v>0</v>
      </c>
      <c r="AD195" s="8">
        <f>[2]หน้าผ้า!AT204</f>
        <v>1159.5100000000002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WRWT230750/WRWT21750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23</v>
      </c>
      <c r="F196" s="9">
        <f>[2]หน้าผ้า!H205</f>
        <v>34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68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WSWTSCL1R042325650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WRWT230650/WRWT25680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23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90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WSWT2325800SM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WRWT21800/WRWT21800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23</v>
      </c>
      <c r="F198" s="9">
        <f>[2]หน้าผ้า!H207</f>
        <v>37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120</v>
      </c>
      <c r="J198" s="9" t="str">
        <f>[2]หน้าผ้า!M207</f>
        <v>+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WSWT23211125120SMFX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ยังไม่ได้พิมพ์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WROP2301125/WRBR21940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 t="str">
        <f>[2]หน้าผ้า!F208</f>
        <v xml:space="preserve">  </v>
      </c>
      <c r="E199" s="9">
        <f>[2]หน้าผ้า!G208</f>
        <v>23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+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WSWT23211125130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 t="e">
        <f>[2]หน้าผ้า!AT208</f>
        <v>#REF!</v>
      </c>
      <c r="AE199" s="8" t="e">
        <f>[2]หน้าผ้า!AU208</f>
        <v>#REF!</v>
      </c>
      <c r="AF199" s="8" t="str">
        <f>[2]หน้าผ้า!AI208</f>
        <v>ระบุในSD</v>
      </c>
      <c r="AG199" s="1" t="str">
        <f>[3]หน้าผ้า!DC211</f>
        <v>ยังไม่ได้พิมพ์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WRWT211125/WRWT251080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23</v>
      </c>
      <c r="F200" s="9">
        <f>[2]หน้าผ้า!H209</f>
        <v>37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120</v>
      </c>
      <c r="J200" s="9" t="str">
        <f>[2]หน้าผ้า!M209</f>
        <v>±</v>
      </c>
      <c r="K200" s="9">
        <f>[2]หน้าผ้า!N209</f>
        <v>3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WSWT2321112512051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 t="str">
        <f>[3]หน้าผ้า!DC212</f>
        <v>ยังไม่ได้พิมพ์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WRWT211125/WRWT21900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45601</v>
      </c>
      <c r="B201" s="14" t="str">
        <f>[2]หน้าผ้า!B210</f>
        <v>MK67-001490</v>
      </c>
      <c r="C201" s="9" t="str">
        <f>[2]หน้าผ้า!E210</f>
        <v>บจก.น้ำตาลทิพย์สุโขทัย</v>
      </c>
      <c r="D201" s="13" t="str">
        <f>[2]หน้าผ้า!F210</f>
        <v>Green for white sugar</v>
      </c>
      <c r="E201" s="9">
        <f>[2]หน้าผ้า!G210</f>
        <v>23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130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24</v>
      </c>
      <c r="N201" s="9">
        <f>[2]หน้าผ้า!U210</f>
        <v>40</v>
      </c>
      <c r="O201" s="9">
        <f>[2]หน้าผ้า!V210</f>
        <v>55</v>
      </c>
      <c r="P201" s="10">
        <f>[2]หน้าผ้า!AB210</f>
        <v>902.91416629708795</v>
      </c>
      <c r="Q201" s="10">
        <f>[2]หน้าผ้า!AC210</f>
        <v>0</v>
      </c>
      <c r="R201" s="10">
        <f>[2]หน้าผ้า!AD210</f>
        <v>902.91416629708795</v>
      </c>
      <c r="S201" s="9" t="str">
        <f>[2]หน้าผ้า!Z210</f>
        <v>300แบน</v>
      </c>
      <c r="T201" s="12">
        <f>[2]หน้าผ้า!X210</f>
        <v>45883</v>
      </c>
      <c r="U201" s="11">
        <f>[2]หน้าผ้า!AA210</f>
        <v>50000</v>
      </c>
      <c r="V201" s="10">
        <f>[2]หน้าผ้า!AJ210</f>
        <v>22274</v>
      </c>
      <c r="W201" s="10">
        <f>[2]หน้าผ้า!AL210</f>
        <v>27726</v>
      </c>
      <c r="X201" s="10">
        <f>[2]หน้าผ้า!AM210</f>
        <v>0</v>
      </c>
      <c r="Y201" s="10">
        <f>[2]หน้าผ้า!AN210</f>
        <v>29112.300000000003</v>
      </c>
      <c r="Z201" s="9" t="str">
        <f>[2]หน้าผ้า!AO210</f>
        <v>WSWT2321112512551</v>
      </c>
      <c r="AA201" s="8">
        <f>[2]หน้าผ้า!AQ210</f>
        <v>29824.58094</v>
      </c>
      <c r="AB201" s="8">
        <f>[2]หน้าผ้า!AR210</f>
        <v>29824.58094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P9</v>
      </c>
      <c r="AI201" s="1">
        <f>[2]หน้าผ้า!DM210</f>
        <v>3</v>
      </c>
      <c r="AJ201" s="3">
        <f>[2]หน้าผ้า!DN210</f>
        <v>45883</v>
      </c>
      <c r="AK201" s="3">
        <f>[2]หน้าผ้า!DQ210</f>
        <v>0</v>
      </c>
      <c r="AL201" s="3">
        <f>[2]หน้าผ้า!DR210</f>
        <v>45873</v>
      </c>
      <c r="AM201" s="3">
        <f>[2]หน้าผ้า!DS210</f>
        <v>45880</v>
      </c>
      <c r="AN201" s="3">
        <f>[2]หน้าผ้า!DT210</f>
        <v>45881</v>
      </c>
      <c r="AO201" s="3">
        <f>[2]หน้าผ้า!DU210</f>
        <v>45881</v>
      </c>
      <c r="AP201" s="3">
        <f>[2]หน้าผ้า!DP210</f>
        <v>45878</v>
      </c>
      <c r="AQ201" s="3">
        <f>[2]หน้าผ้า!DW210</f>
        <v>45882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 t="str">
        <f>[2]หน้าผ้า!AG210</f>
        <v>14/8 เย็น  รอสวม 11600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WRWT211125/WRWT251030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45601</v>
      </c>
      <c r="B202" s="14" t="str">
        <f>[2]หน้าผ้า!B211</f>
        <v>MK67-001490</v>
      </c>
      <c r="C202" s="9" t="str">
        <f>[2]หน้าผ้า!E211</f>
        <v>บจก.น้ำตาลทิพย์สุโขทัย</v>
      </c>
      <c r="D202" s="13" t="str">
        <f>[2]หน้าผ้า!F211</f>
        <v>Green for white sugar</v>
      </c>
      <c r="E202" s="9">
        <f>[2]หน้าผ้า!G211</f>
        <v>23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130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24</v>
      </c>
      <c r="N202" s="9">
        <f>[2]หน้าผ้า!U211</f>
        <v>40</v>
      </c>
      <c r="O202" s="9">
        <f>[2]หน้าผ้า!V211</f>
        <v>55</v>
      </c>
      <c r="P202" s="10">
        <f>[2]หน้าผ้า!AB211</f>
        <v>1628.2806143999999</v>
      </c>
      <c r="Q202" s="10">
        <f>[2]หน้าผ้า!AC211</f>
        <v>0</v>
      </c>
      <c r="R202" s="10">
        <f>[2]หน้าผ้า!AD211</f>
        <v>1628.2806143999999</v>
      </c>
      <c r="S202" s="9" t="str">
        <f>[2]หน้าผ้า!Z211</f>
        <v>300แบน</v>
      </c>
      <c r="T202" s="12">
        <f>[2]หน้าผ้า!X211</f>
        <v>45887</v>
      </c>
      <c r="U202" s="11">
        <f>[2]หน้าผ้า!AA211</f>
        <v>50000</v>
      </c>
      <c r="V202" s="10">
        <f>[2]หน้าผ้า!AJ211</f>
        <v>0</v>
      </c>
      <c r="W202" s="10">
        <f>[2]หน้าผ้า!AL211</f>
        <v>50000</v>
      </c>
      <c r="X202" s="10">
        <f>[2]หน้าผ้า!AM211</f>
        <v>0</v>
      </c>
      <c r="Y202" s="10">
        <f>[2]หน้าผ้า!AN211</f>
        <v>52500</v>
      </c>
      <c r="Z202" s="9" t="str">
        <f>[2]หน้าผ้า!AO211</f>
        <v>WSWT2321112512551</v>
      </c>
      <c r="AA202" s="8">
        <f>[2]หน้าผ้า!AQ211</f>
        <v>53784.500000000007</v>
      </c>
      <c r="AB202" s="8">
        <f>[2]หน้าผ้า!AR211</f>
        <v>13601</v>
      </c>
      <c r="AC202" s="8">
        <f>[2]หน้าผ้า!AS211</f>
        <v>40183.500000000007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P9</v>
      </c>
      <c r="AI202" s="1">
        <f>[2]หน้าผ้า!DM211</f>
        <v>3</v>
      </c>
      <c r="AJ202" s="3">
        <f>[2]หน้าผ้า!DN211</f>
        <v>45887</v>
      </c>
      <c r="AK202" s="3">
        <f>[2]หน้าผ้า!DQ211</f>
        <v>0</v>
      </c>
      <c r="AL202" s="3">
        <f>[2]หน้าผ้า!DR211</f>
        <v>45877</v>
      </c>
      <c r="AM202" s="3">
        <f>[2]หน้าผ้า!DS211</f>
        <v>45884</v>
      </c>
      <c r="AN202" s="3">
        <f>[2]หน้าผ้า!DT211</f>
        <v>45885</v>
      </c>
      <c r="AO202" s="3">
        <f>[2]หน้าผ้า!DU211</f>
        <v>45885</v>
      </c>
      <c r="AP202" s="3">
        <f>[2]หน้าผ้า!DP211</f>
        <v>45882</v>
      </c>
      <c r="AQ202" s="3">
        <f>[2]หน้าผ้า!DW211</f>
        <v>45886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 t="str">
        <f>[2]หน้าผ้า!AG211</f>
        <v>18/8 เย็น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WRWT211125/WRWT251030</v>
      </c>
      <c r="BD202" s="56">
        <f>[2]หน้าผ้า!CA211</f>
        <v>5147.6514570833342</v>
      </c>
    </row>
    <row r="203" spans="1:56" ht="27.75" customHeight="1" x14ac:dyDescent="0.45">
      <c r="A203" s="3">
        <f>[2]หน้าผ้า!C212</f>
        <v>45601</v>
      </c>
      <c r="B203" s="14" t="str">
        <f>[2]หน้าผ้า!B212</f>
        <v>MK67-001490</v>
      </c>
      <c r="C203" s="9" t="str">
        <f>[2]หน้าผ้า!E212</f>
        <v>บจก.น้ำตาลทิพย์สุโขทัย</v>
      </c>
      <c r="D203" s="13" t="str">
        <f>[2]หน้าผ้า!F212</f>
        <v>Green for white sugar</v>
      </c>
      <c r="E203" s="9">
        <f>[2]หน้าผ้า!G212</f>
        <v>23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130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>
        <f>[2]หน้าผ้า!T212</f>
        <v>24</v>
      </c>
      <c r="N203" s="9">
        <f>[2]หน้าผ้า!U212</f>
        <v>40</v>
      </c>
      <c r="O203" s="9">
        <f>[2]หน้าผ้า!V212</f>
        <v>55</v>
      </c>
      <c r="P203" s="10">
        <f>[2]หน้าผ้า!AB212</f>
        <v>3256.5612287999998</v>
      </c>
      <c r="Q203" s="10">
        <f>[2]หน้าผ้า!AC212</f>
        <v>0</v>
      </c>
      <c r="R203" s="10">
        <f>[2]หน้าผ้า!AD212</f>
        <v>3256.5612287999998</v>
      </c>
      <c r="S203" s="9" t="str">
        <f>[2]หน้าผ้า!Z212</f>
        <v>300แบน</v>
      </c>
      <c r="T203" s="12">
        <f>[2]หน้าผ้า!X212</f>
        <v>45920</v>
      </c>
      <c r="U203" s="11">
        <f>[2]หน้าผ้า!AA212</f>
        <v>100000</v>
      </c>
      <c r="V203" s="10">
        <f>[2]หน้าผ้า!AJ212</f>
        <v>0</v>
      </c>
      <c r="W203" s="10">
        <f>[2]หน้าผ้า!AL212</f>
        <v>100000</v>
      </c>
      <c r="X203" s="10">
        <f>[2]หน้าผ้า!AM212</f>
        <v>0</v>
      </c>
      <c r="Y203" s="10">
        <f>[2]หน้าผ้า!AN212</f>
        <v>105000</v>
      </c>
      <c r="Z203" s="9" t="str">
        <f>[2]หน้าผ้า!AO212</f>
        <v>WSWT2321112512551</v>
      </c>
      <c r="AA203" s="8">
        <f>[2]หน้าผ้า!AQ212</f>
        <v>107569.00000000001</v>
      </c>
      <c r="AB203" s="8">
        <f>[2]หน้าผ้า!AR212</f>
        <v>0</v>
      </c>
      <c r="AC203" s="8">
        <f>[2]หน้าผ้า!AS212</f>
        <v>107569.00000000001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P9</v>
      </c>
      <c r="AI203" s="1">
        <f>[2]หน้าผ้า!DM212</f>
        <v>3</v>
      </c>
      <c r="AJ203" s="3">
        <f>[2]หน้าผ้า!DN212</f>
        <v>45920</v>
      </c>
      <c r="AK203" s="3">
        <f>[2]หน้าผ้า!DQ212</f>
        <v>0</v>
      </c>
      <c r="AL203" s="3">
        <f>[2]หน้าผ้า!DR212</f>
        <v>45910</v>
      </c>
      <c r="AM203" s="3">
        <f>[2]หน้าผ้า!DS212</f>
        <v>45917</v>
      </c>
      <c r="AN203" s="3">
        <f>[2]หน้าผ้า!DT212</f>
        <v>45918</v>
      </c>
      <c r="AO203" s="3">
        <f>[2]หน้าผ้า!DU212</f>
        <v>45918</v>
      </c>
      <c r="AP203" s="3">
        <f>[2]หน้าผ้า!DP212</f>
        <v>45915</v>
      </c>
      <c r="AQ203" s="3">
        <f>[2]หน้าผ้า!DW212</f>
        <v>45919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WRWT211125/WRWT251030</v>
      </c>
      <c r="BD203" s="56">
        <f>[2]หน้าผ้า!CA212</f>
        <v>13779.977343611114</v>
      </c>
    </row>
    <row r="204" spans="1:56" ht="27.75" customHeight="1" x14ac:dyDescent="0.45">
      <c r="A204" s="3">
        <f>[2]หน้าผ้า!C213</f>
        <v>45601</v>
      </c>
      <c r="B204" s="14" t="str">
        <f>[2]หน้าผ้า!B213</f>
        <v>MK67-001490</v>
      </c>
      <c r="C204" s="9" t="str">
        <f>[2]หน้าผ้า!E213</f>
        <v>บจก.น้ำตาลทิพย์สุโขทัย</v>
      </c>
      <c r="D204" s="13" t="str">
        <f>[2]หน้าผ้า!F213</f>
        <v>Green for white sugar</v>
      </c>
      <c r="E204" s="9">
        <f>[2]หน้าผ้า!G213</f>
        <v>23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130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>
        <f>[2]หน้าผ้า!T213</f>
        <v>24</v>
      </c>
      <c r="N204" s="9">
        <f>[2]หน้าผ้า!U213</f>
        <v>40</v>
      </c>
      <c r="O204" s="9">
        <f>[2]หน้าผ้า!V213</f>
        <v>55</v>
      </c>
      <c r="P204" s="10">
        <f>[2]หน้าผ้า!AB213</f>
        <v>11003.203948644863</v>
      </c>
      <c r="Q204" s="10">
        <f>[2]หน้าผ้า!AC213</f>
        <v>0</v>
      </c>
      <c r="R204" s="10">
        <f>[2]หน้าผ้า!AD213</f>
        <v>11003.203948644863</v>
      </c>
      <c r="S204" s="9" t="str">
        <f>[2]หน้าผ้า!Z213</f>
        <v>300แบน</v>
      </c>
      <c r="T204" s="12" t="str">
        <f>[2]หน้าผ้า!X213</f>
        <v>รอแจ้ง</v>
      </c>
      <c r="U204" s="11">
        <f>[2]หน้าผ้า!AA213</f>
        <v>337878</v>
      </c>
      <c r="V204" s="10">
        <f>[2]หน้าผ้า!AJ213</f>
        <v>0</v>
      </c>
      <c r="W204" s="10">
        <f>[2]หน้าผ้า!AL213</f>
        <v>337878</v>
      </c>
      <c r="X204" s="10">
        <f>[2]หน้าผ้า!AM213</f>
        <v>0</v>
      </c>
      <c r="Y204" s="10">
        <f>[2]หน้าผ้า!AN213</f>
        <v>354771.9</v>
      </c>
      <c r="Z204" s="9" t="str">
        <f>[2]หน้าผ้า!AO213</f>
        <v>WSWT2321112512551</v>
      </c>
      <c r="AA204" s="8">
        <f>[2]หน้าผ้า!AQ213</f>
        <v>363451.98582000006</v>
      </c>
      <c r="AB204" s="8">
        <f>[2]หน้าผ้า!AR213</f>
        <v>0</v>
      </c>
      <c r="AC204" s="8">
        <f>[2]หน้าผ้า!AS213</f>
        <v>363451.98582000006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P9</v>
      </c>
      <c r="AI204" s="1">
        <f>[2]หน้าผ้า!DM213</f>
        <v>3</v>
      </c>
      <c r="AJ204" s="3" t="str">
        <f>[2]หน้าผ้า!DN213</f>
        <v>รอแจ้ง</v>
      </c>
      <c r="AK204" s="3">
        <f>[2]หน้าผ้า!DQ213</f>
        <v>0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 t="e">
        <f>[2]หน้าผ้า!DW213</f>
        <v>#VALUE!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WRWT211125/WRWT251030</v>
      </c>
      <c r="BD204" s="56">
        <f>[2]หน้าผ้า!CA213</f>
        <v>46559.511849046357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23</v>
      </c>
      <c r="F205" s="9">
        <f>[2]หน้าผ้า!H214</f>
        <v>37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128</v>
      </c>
      <c r="J205" s="9" t="str">
        <f>[2]หน้าผ้า!M214</f>
        <v>±</v>
      </c>
      <c r="K205" s="9">
        <f>[2]หน้าผ้า!N214</f>
        <v>5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WSWT2321112512551</v>
      </c>
      <c r="AA205" s="8">
        <f>[2]หน้าผ้า!AQ214</f>
        <v>554630.06676000007</v>
      </c>
      <c r="AB205" s="8">
        <f>[2]หน้าผ้า!AR214</f>
        <v>43425.58094</v>
      </c>
      <c r="AC205" s="8">
        <f>[2]หน้าผ้า!AS214</f>
        <v>511204.48582000006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WRWT2301125/WRWT251030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24</v>
      </c>
      <c r="F206" s="9">
        <f>[2]หน้าผ้า!H215</f>
        <v>37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120</v>
      </c>
      <c r="J206" s="9" t="str">
        <f>[2]หน้าผ้า!M215</f>
        <v>+</v>
      </c>
      <c r="K206" s="9">
        <f>[2]หน้าผ้า!N215</f>
        <v>3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WSWT24211125120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รอแบบ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WRWT2401125/WRWT25850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 t="str">
        <f>[2]หน้าผ้า!F216</f>
        <v xml:space="preserve"> </v>
      </c>
      <c r="E207" s="9">
        <f>[2]หน้าผ้า!G216</f>
        <v>24</v>
      </c>
      <c r="F207" s="9">
        <f>[2]หน้าผ้า!H216</f>
        <v>37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125</v>
      </c>
      <c r="J207" s="9" t="str">
        <f>[2]หน้าผ้า!M216</f>
        <v>+</v>
      </c>
      <c r="K207" s="9">
        <f>[2]หน้าผ้า!N216</f>
        <v>3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WSWT2421112512551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 t="e">
        <f>[2]หน้าผ้า!AT216</f>
        <v>#REF!</v>
      </c>
      <c r="AE207" s="8" t="e">
        <f>[2]หน้าผ้า!AU216</f>
        <v>#REF!</v>
      </c>
      <c r="AF207" s="8" t="str">
        <f>[2]หน้าผ้า!AI216</f>
        <v>ระบุในSD</v>
      </c>
      <c r="AG207" s="1" t="str">
        <f>[3]หน้าผ้า!DC219</f>
        <v>พร้อมส่ง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WRWT2401125/WRWT25960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26</v>
      </c>
      <c r="F208" s="9">
        <f>[2]หน้าผ้า!H217</f>
        <v>38</v>
      </c>
      <c r="G208" s="9" t="str">
        <f>[2]หน้าผ้า!I217</f>
        <v>เหลือง</v>
      </c>
      <c r="H208" s="9">
        <f>[2]หน้าผ้า!J217</f>
        <v>0</v>
      </c>
      <c r="I208" s="9">
        <f>[2]หน้าผ้า!L217</f>
        <v>105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WSYL2625850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ยังไม่ได้พิมพ์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WRYL25850/WRYL25850</v>
      </c>
      <c r="BD208" s="56">
        <f>[2]หน้าผ้า!CA217</f>
        <v>0</v>
      </c>
    </row>
    <row r="209" spans="1:56" ht="27.7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บจก.กบินทร์อินทรีย์</v>
      </c>
      <c r="D209" s="13" t="str">
        <f>[2]หน้าผ้า!F218</f>
        <v>รอแบบ</v>
      </c>
      <c r="E209" s="9">
        <f>[2]หน้าผ้า!G218</f>
        <v>26</v>
      </c>
      <c r="F209" s="9">
        <f>[2]หน้าผ้า!H218</f>
        <v>41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97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>
        <f>[2]หน้าผ้า!T218</f>
        <v>27</v>
      </c>
      <c r="N209" s="9">
        <f>[2]หน้าผ้า!U218</f>
        <v>43</v>
      </c>
      <c r="O209" s="9">
        <f>[2]หน้าผ้า!V218</f>
        <v>40</v>
      </c>
      <c r="P209" s="10">
        <f>[2]หน้าผ้า!AB218</f>
        <v>229.14349009919997</v>
      </c>
      <c r="Q209" s="10">
        <f>[2]หน้าผ้า!AC218</f>
        <v>0</v>
      </c>
      <c r="R209" s="10">
        <f>[2]หน้าผ้า!AD218</f>
        <v>229.14349009919997</v>
      </c>
      <c r="S209" s="9" t="str">
        <f>[2]หน้าผ้า!Z218</f>
        <v>300กระสอบ</v>
      </c>
      <c r="T209" s="12">
        <f>[2]หน้าผ้า!X218</f>
        <v>45899</v>
      </c>
      <c r="U209" s="11">
        <f>[2]หน้าผ้า!AA218</f>
        <v>8000</v>
      </c>
      <c r="V209" s="10">
        <f>[2]หน้าผ้า!AJ218</f>
        <v>0</v>
      </c>
      <c r="W209" s="10">
        <f>[2]หน้าผ้า!AL218</f>
        <v>8000</v>
      </c>
      <c r="X209" s="10">
        <f>[2]หน้าผ้า!AM218</f>
        <v>0</v>
      </c>
      <c r="Y209" s="10">
        <f>[2]หน้าผ้า!AN218</f>
        <v>8400</v>
      </c>
      <c r="Z209" s="9" t="str">
        <f>[2]หน้าผ้า!AO218</f>
        <v>WSWT2625650</v>
      </c>
      <c r="AA209" s="8">
        <f>[2]หน้าผ้า!AQ218</f>
        <v>9499.6</v>
      </c>
      <c r="AB209" s="8">
        <f>[2]หน้าผ้า!AR218</f>
        <v>1765</v>
      </c>
      <c r="AC209" s="8">
        <f>[2]หน้าผ้า!AS218</f>
        <v>7734.6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ผ้าขาว</v>
      </c>
      <c r="AH209" s="1" t="str">
        <f>[2]หน้าผ้า!DL218</f>
        <v>P9</v>
      </c>
      <c r="AI209" s="1">
        <f>[2]หน้าผ้า!DM218</f>
        <v>3</v>
      </c>
      <c r="AJ209" s="3">
        <f>[2]หน้าผ้า!DN218</f>
        <v>45899</v>
      </c>
      <c r="AK209" s="3">
        <f>[2]หน้าผ้า!DQ218</f>
        <v>0</v>
      </c>
      <c r="AL209" s="3">
        <f>[2]หน้าผ้า!DR218</f>
        <v>45889</v>
      </c>
      <c r="AM209" s="3">
        <f>[2]หน้าผ้า!DS218</f>
        <v>45896</v>
      </c>
      <c r="AN209" s="3">
        <f>[2]หน้าผ้า!DT218</f>
        <v>45897</v>
      </c>
      <c r="AO209" s="3">
        <f>[2]หน้าผ้า!DU218</f>
        <v>45897</v>
      </c>
      <c r="AP209" s="3">
        <f>[2]หน้าผ้า!DP218</f>
        <v>45894</v>
      </c>
      <c r="AQ209" s="3">
        <f>[2]หน้าผ้า!DW218</f>
        <v>45898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624.52598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26</v>
      </c>
      <c r="F210" s="9">
        <f>[2]หน้าผ้า!H219</f>
        <v>43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WSWT2625650</v>
      </c>
      <c r="AA210" s="8">
        <f>[2]หน้าผ้า!AQ219</f>
        <v>9499.6</v>
      </c>
      <c r="AB210" s="8">
        <f>[2]หน้าผ้า!AR219</f>
        <v>1765</v>
      </c>
      <c r="AC210" s="8">
        <f>[2]หน้าผ้า!AS219</f>
        <v>7734.6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45874</v>
      </c>
      <c r="B211" s="14" t="str">
        <f>[2]หน้าผ้า!B220</f>
        <v>ใบรับคำสั่งซื้อ</v>
      </c>
      <c r="C211" s="9" t="str">
        <f>[2]หน้าผ้า!E220</f>
        <v>บจก.ทีพีเค แอ็ดวานซ์ สตาร์ซ</v>
      </c>
      <c r="D211" s="13" t="str">
        <f>[2]หน้าผ้า!F220</f>
        <v>MASTER CHEF</v>
      </c>
      <c r="E211" s="9">
        <f>[2]หน้าผ้า!G220</f>
        <v>26</v>
      </c>
      <c r="F211" s="9">
        <f>[2]หน้าผ้า!H220</f>
        <v>43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140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  </v>
      </c>
      <c r="T211" s="12">
        <f>[2]หน้าผ้า!X220</f>
        <v>45883</v>
      </c>
      <c r="U211" s="11">
        <f>[2]หน้าผ้า!AA220</f>
        <v>10000</v>
      </c>
      <c r="V211" s="10">
        <f>[2]หน้าผ้า!AJ220</f>
        <v>0</v>
      </c>
      <c r="W211" s="10">
        <f>[2]หน้าผ้า!AL220</f>
        <v>10000</v>
      </c>
      <c r="X211" s="10">
        <f>[2]หน้าผ้า!AM220</f>
        <v>0</v>
      </c>
      <c r="Y211" s="10">
        <f>[2]หน้าผ้า!AN220</f>
        <v>10500</v>
      </c>
      <c r="Z211" s="9" t="str">
        <f>[2]หน้าผ้า!AO220</f>
        <v>WSWT262575051</v>
      </c>
      <c r="AA211" s="8">
        <f>[2]หน้าผ้า!AQ220</f>
        <v>12433.3</v>
      </c>
      <c r="AB211" s="8">
        <f>[2]หน้าผ้า!AR220</f>
        <v>7202</v>
      </c>
      <c r="AC211" s="8">
        <f>[2]หน้าผ้า!AS220</f>
        <v>5231.2999999999993</v>
      </c>
      <c r="AD211" s="8">
        <f>[2]หน้าผ้า!AT220</f>
        <v>0</v>
      </c>
      <c r="AE211" s="8">
        <f>[2]หน้าผ้า!AU220</f>
        <v>12433.3</v>
      </c>
      <c r="AF211" s="8" t="str">
        <f>[2]หน้าผ้า!AI220</f>
        <v>ห้ามเกิน-ขาดได้5%</v>
      </c>
      <c r="AG211" s="1" t="str">
        <f>[3]หน้าผ้า!DC223</f>
        <v>พร้อมส่ง</v>
      </c>
      <c r="AH211" s="1" t="str">
        <f>[2]หน้าผ้า!DL220</f>
        <v>P6</v>
      </c>
      <c r="AI211" s="1">
        <f>[2]หน้าผ้า!DM220</f>
        <v>4</v>
      </c>
      <c r="AJ211" s="3">
        <f>[2]หน้าผ้า!DN220</f>
        <v>45883</v>
      </c>
      <c r="AK211" s="3">
        <f>[2]หน้าผ้า!DQ220</f>
        <v>45879</v>
      </c>
      <c r="AL211" s="3">
        <f>[2]หน้าผ้า!DR220</f>
        <v>45872</v>
      </c>
      <c r="AM211" s="3">
        <f>[2]หน้าผ้า!DS220</f>
        <v>45880</v>
      </c>
      <c r="AN211" s="3">
        <f>[2]หน้าผ้า!DT220</f>
        <v>45881</v>
      </c>
      <c r="AO211" s="3">
        <f>[2]หน้าผ้า!DU220</f>
        <v>45882</v>
      </c>
      <c r="AP211" s="3">
        <f>[2]หน้าผ้า!DP220</f>
        <v>45878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>รอART</v>
      </c>
      <c r="AY211" s="2" t="str">
        <f>[2]หน้าผ้า!AG220</f>
        <v>13/8เย็น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WRWT25800/WRWT25650</v>
      </c>
      <c r="BD211" s="56">
        <f>[2]หน้าผ้า!CA220</f>
        <v>470.00324222222213</v>
      </c>
    </row>
    <row r="212" spans="1:56" ht="27.75" customHeight="1" x14ac:dyDescent="0.45">
      <c r="A212" s="3">
        <f>[2]หน้าผ้า!C221</f>
        <v>45873</v>
      </c>
      <c r="B212" s="14" t="str">
        <f>[2]หน้าผ้า!B221</f>
        <v>ใบรับคำสั่งซื้อ</v>
      </c>
      <c r="C212" s="9" t="str">
        <f>[2]หน้าผ้า!E221</f>
        <v>คุณธนนท์ อุทัยไพศาลวงศ์</v>
      </c>
      <c r="D212" s="13" t="str">
        <f>[2]หน้าผ้า!F221</f>
        <v>ไม่พิมพ์</v>
      </c>
      <c r="E212" s="9">
        <f>[2]หน้าผ้า!G221</f>
        <v>26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93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มัด100</v>
      </c>
      <c r="T212" s="12">
        <f>[2]หน้าผ้า!X221</f>
        <v>45880</v>
      </c>
      <c r="U212" s="11">
        <f>[2]หน้าผ้า!AA221</f>
        <v>10000</v>
      </c>
      <c r="V212" s="10">
        <f>[2]หน้าผ้า!AJ221</f>
        <v>10500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WSWT262575051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P3</v>
      </c>
      <c r="AI212" s="1">
        <f>[2]หน้าผ้า!DM221</f>
        <v>1</v>
      </c>
      <c r="AJ212" s="3">
        <f>[2]หน้าผ้า!DN221</f>
        <v>45880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45879</v>
      </c>
      <c r="AP212" s="3">
        <f>[2]หน้าผ้า!DP221</f>
        <v>45875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WRWT25800/WRWT25650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26</v>
      </c>
      <c r="F213" s="9">
        <f>[2]หน้าผ้า!H222</f>
        <v>43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WSWT262575051</v>
      </c>
      <c r="AA213" s="8">
        <f>[2]หน้าผ้า!AQ222</f>
        <v>12433.3</v>
      </c>
      <c r="AB213" s="8">
        <f>[2]หน้าผ้า!AR222</f>
        <v>7202</v>
      </c>
      <c r="AC213" s="8">
        <f>[2]หน้าผ้า!AS222</f>
        <v>5231.2999999999993</v>
      </c>
      <c r="AD213" s="8">
        <f>[2]หน้าผ้า!AT222</f>
        <v>0</v>
      </c>
      <c r="AE213" s="8">
        <f>[2]หน้าผ้า!AU222</f>
        <v>12433.3</v>
      </c>
      <c r="AF213" s="8" t="str">
        <f>[2]หน้าผ้า!AI222</f>
        <v>ระบุในSD</v>
      </c>
      <c r="AG213" s="1" t="str">
        <f>[3]หน้าผ้า!DC225</f>
        <v>ผ้าขาว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WRWT25800/WRWT25650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26</v>
      </c>
      <c r="F214" s="9">
        <f>[2]หน้าผ้า!H223</f>
        <v>43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113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WSWT2625700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WRWT260800/WRWT25650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41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90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WSWT2625800SM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พิมพ์ไม่ครบ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WRWT260800/WRWT25650</v>
      </c>
      <c r="BD215" s="56">
        <f>[2]หน้าผ้า!CA224</f>
        <v>0</v>
      </c>
    </row>
    <row r="216" spans="1:56" ht="27.7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บจก.ที.ซี.ยูเนี่ยน อโกรเทค</v>
      </c>
      <c r="D216" s="13" t="str">
        <f>[2]หน้าผ้า!F225</f>
        <v>ไม่พิมพ์</v>
      </c>
      <c r="E216" s="9">
        <f>[2]หน้าผ้า!G225</f>
        <v>26</v>
      </c>
      <c r="F216" s="9">
        <f>[2]หน้าผ้า!H225</f>
        <v>43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116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45899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 xml:space="preserve">WSWT2625800 </v>
      </c>
      <c r="AA216" s="8">
        <f>[2]หน้าผ้า!AQ225</f>
        <v>12433.3</v>
      </c>
      <c r="AB216" s="8">
        <f>[2]หน้าผ้า!AR225</f>
        <v>12433.3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ผ้าขาว</v>
      </c>
      <c r="AH216" s="1" t="str">
        <f>[2]หน้าผ้า!DL225</f>
        <v>P3</v>
      </c>
      <c r="AI216" s="1">
        <f>[2]หน้าผ้า!DM225</f>
        <v>1</v>
      </c>
      <c r="AJ216" s="3">
        <f>[2]หน้าผ้า!DN225</f>
        <v>45899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45898</v>
      </c>
      <c r="AP216" s="3">
        <f>[2]หน้าผ้า!DP225</f>
        <v>45894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ตัด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26</v>
      </c>
      <c r="F217" s="9">
        <f>[2]หน้าผ้า!H226</f>
        <v>43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116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 xml:space="preserve">WSWT2625800 </v>
      </c>
      <c r="AA217" s="8">
        <f>[2]หน้าผ้า!AQ226</f>
        <v>12433.3</v>
      </c>
      <c r="AB217" s="8">
        <f>[2]หน้าผ้า!AR226</f>
        <v>12433.3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ระบุในSD</v>
      </c>
      <c r="AG217" s="1" t="str">
        <f>[3]หน้าผ้า!DC229</f>
        <v>รอแบบ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WRWT260800/WRWT25800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45832</v>
      </c>
      <c r="B218" s="14" t="str">
        <f>[2]หน้าผ้า!B227</f>
        <v>MK68-000820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Zhejiang UN</v>
      </c>
      <c r="E218" s="9">
        <f>[2]หน้าผ้า!G227</f>
        <v>26</v>
      </c>
      <c r="F218" s="9">
        <f>[2]หน้าผ้า!H227</f>
        <v>43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150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45883</v>
      </c>
      <c r="U218" s="11">
        <f>[2]หน้าผ้า!AA227</f>
        <v>20000</v>
      </c>
      <c r="V218" s="10">
        <f>[2]หน้าผ้า!AJ227</f>
        <v>10000</v>
      </c>
      <c r="W218" s="10">
        <f>[2]หน้าผ้า!AL227</f>
        <v>10000</v>
      </c>
      <c r="X218" s="10">
        <f>[2]หน้าผ้า!AM227</f>
        <v>10712</v>
      </c>
      <c r="Y218" s="10">
        <f>[2]หน้าผ้า!AN227</f>
        <v>9752.4</v>
      </c>
      <c r="Z218" s="9" t="str">
        <f>[2]หน้าผ้า!AO227</f>
        <v>WSWT2625850SM</v>
      </c>
      <c r="AA218" s="8">
        <f>[2]หน้าผ้า!AQ227</f>
        <v>12125.451492</v>
      </c>
      <c r="AB218" s="8">
        <f>[2]หน้าผ้า!AR227</f>
        <v>12125.451492</v>
      </c>
      <c r="AC218" s="8">
        <f>[2]หน้าผ้า!AS227</f>
        <v>0</v>
      </c>
      <c r="AD218" s="8">
        <f>[2]หน้าผ้า!AT227</f>
        <v>2988</v>
      </c>
      <c r="AE218" s="8">
        <f>[2]หน้าผ้า!AU227</f>
        <v>9137.4514920000001</v>
      </c>
      <c r="AF218" s="8" t="str">
        <f>[2]หน้าผ้า!AI227</f>
        <v>ห้ามขาด-เกินได้5%</v>
      </c>
      <c r="AG218" s="1" t="str">
        <f>[3]หน้าผ้า!DC230</f>
        <v>พร้อมส่ง</v>
      </c>
      <c r="AH218" s="1" t="str">
        <f>[2]หน้าผ้า!DL227</f>
        <v>P6</v>
      </c>
      <c r="AI218" s="1">
        <f>[2]หน้าผ้า!DM227</f>
        <v>4</v>
      </c>
      <c r="AJ218" s="3">
        <f>[2]หน้าผ้า!DN227</f>
        <v>45883</v>
      </c>
      <c r="AK218" s="3">
        <f>[2]หน้าผ้า!DQ227</f>
        <v>45879</v>
      </c>
      <c r="AL218" s="3">
        <f>[2]หน้าผ้า!DR227</f>
        <v>45872</v>
      </c>
      <c r="AM218" s="3">
        <f>[2]หน้าผ้า!DS227</f>
        <v>45880</v>
      </c>
      <c r="AN218" s="3">
        <f>[2]หน้าผ้า!DT227</f>
        <v>45881</v>
      </c>
      <c r="AO218" s="3">
        <f>[2]หน้าผ้า!DU227</f>
        <v>45882</v>
      </c>
      <c r="AP218" s="3">
        <f>[2]หน้าผ้า!DP227</f>
        <v>45878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 t="str">
        <f>[2]หน้าผ้า!AG227</f>
        <v>ลบสีจำนวนมาก รอผสม 1000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45861</v>
      </c>
      <c r="B219" s="14" t="str">
        <f>[2]หน้าผ้า!B228</f>
        <v>MK68-000923</v>
      </c>
      <c r="C219" s="9" t="str">
        <f>[2]หน้าผ้า!E228</f>
        <v>บจก.ที.ซี.ยูเนี่ยน อโกรเทค</v>
      </c>
      <c r="D219" s="13" t="str">
        <f>[2]หน้าผ้า!F228</f>
        <v>ไม่พิมพ์</v>
      </c>
      <c r="E219" s="9">
        <f>[2]หน้าผ้า!G228</f>
        <v>26</v>
      </c>
      <c r="F219" s="9">
        <f>[2]หน้าผ้า!H228</f>
        <v>43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150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45887</v>
      </c>
      <c r="U219" s="11">
        <f>[2]หน้าผ้า!AA228</f>
        <v>15000</v>
      </c>
      <c r="V219" s="10">
        <f>[2]หน้าผ้า!AJ228</f>
        <v>8828</v>
      </c>
      <c r="W219" s="10">
        <f>[2]หน้าผ้า!AL228</f>
        <v>6172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WSWT2625850SM</v>
      </c>
      <c r="AA219" s="8">
        <f>[2]หน้าผ้า!AQ228</f>
        <v>7673.8327599999993</v>
      </c>
      <c r="AB219" s="8">
        <f>[2]หน้าผ้า!AR228</f>
        <v>7673.8327599999993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7673.8327599999993</v>
      </c>
      <c r="AF219" s="8" t="str">
        <f>[2]หน้าผ้า!AI228</f>
        <v>ห้ามขาด-เกินได้5%</v>
      </c>
      <c r="AG219" s="1" t="str">
        <f>[3]หน้าผ้า!DC231</f>
        <v>พร้อมส่ง</v>
      </c>
      <c r="AH219" s="1" t="str">
        <f>[2]หน้าผ้า!DL228</f>
        <v>P11</v>
      </c>
      <c r="AI219" s="1">
        <f>[2]หน้าผ้า!DM228</f>
        <v>2</v>
      </c>
      <c r="AJ219" s="3">
        <f>[2]หน้าผ้า!DN228</f>
        <v>45887</v>
      </c>
      <c r="AK219" s="3">
        <f>[2]หน้าผ้า!DQ228</f>
        <v>45885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45886</v>
      </c>
      <c r="AP219" s="3">
        <f>[2]หน้าผ้า!DP228</f>
        <v>45882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งานเคลือบ+ตัด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WRWT25850/WRWT25850</v>
      </c>
      <c r="BD219" s="56">
        <f>[2]หน้าผ้า!CA228</f>
        <v>0</v>
      </c>
    </row>
    <row r="220" spans="1:56" ht="27.75" customHeight="1" x14ac:dyDescent="0.45">
      <c r="A220" s="3" t="str">
        <f>[2]หน้าผ้า!C229</f>
        <v>ประมาณการ</v>
      </c>
      <c r="B220" s="14" t="str">
        <f>[2]หน้าผ้า!B229</f>
        <v>ประมาณการ</v>
      </c>
      <c r="C220" s="9" t="str">
        <f>[2]หน้าผ้า!E229</f>
        <v>บจก.ที.ซี.ยูเนี่ยน อโกรเทค</v>
      </c>
      <c r="D220" s="13" t="str">
        <f>[2]หน้าผ้า!F229</f>
        <v>รอแบบ</v>
      </c>
      <c r="E220" s="9">
        <f>[2]หน้าผ้า!G229</f>
        <v>26</v>
      </c>
      <c r="F220" s="9">
        <f>[2]หน้าผ้า!H229</f>
        <v>43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150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45899</v>
      </c>
      <c r="U220" s="11">
        <f>[2]หน้าผ้า!AA229</f>
        <v>20000</v>
      </c>
      <c r="V220" s="10">
        <f>[2]หน้าผ้า!AJ229</f>
        <v>0</v>
      </c>
      <c r="W220" s="10">
        <f>[2]หน้าผ้า!AL229</f>
        <v>20000</v>
      </c>
      <c r="X220" s="10">
        <f>[2]หน้าผ้า!AM229</f>
        <v>0</v>
      </c>
      <c r="Y220" s="10">
        <f>[2]หน้าผ้า!AN229</f>
        <v>21000</v>
      </c>
      <c r="Z220" s="9" t="str">
        <f>[2]หน้าผ้า!AO229</f>
        <v>WSWT2625850SM</v>
      </c>
      <c r="AA220" s="8">
        <f>[2]หน้าผ้า!AQ229</f>
        <v>24866.6</v>
      </c>
      <c r="AB220" s="8">
        <f>[2]หน้าผ้า!AR229</f>
        <v>24866.6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24866.6</v>
      </c>
      <c r="AF220" s="8">
        <f>[2]หน้าผ้า!AI229</f>
        <v>0</v>
      </c>
      <c r="AG220" s="1" t="str">
        <f>[3]หน้าผ้า!DC232</f>
        <v>พิมพ์ไม่ครบ</v>
      </c>
      <c r="AH220" s="1" t="str">
        <f>[2]หน้าผ้า!DL229</f>
        <v>P6</v>
      </c>
      <c r="AI220" s="1">
        <f>[2]หน้าผ้า!DM229</f>
        <v>4</v>
      </c>
      <c r="AJ220" s="3">
        <f>[2]หน้าผ้า!DN229</f>
        <v>45899</v>
      </c>
      <c r="AK220" s="3">
        <f>[2]หน้าผ้า!DQ229</f>
        <v>45895</v>
      </c>
      <c r="AL220" s="3">
        <f>[2]หน้าผ้า!DR229</f>
        <v>45888</v>
      </c>
      <c r="AM220" s="3">
        <f>[2]หน้าผ้า!DS229</f>
        <v>45896</v>
      </c>
      <c r="AN220" s="3">
        <f>[2]หน้าผ้า!DT229</f>
        <v>45897</v>
      </c>
      <c r="AO220" s="3">
        <f>[2]หน้าผ้า!DU229</f>
        <v>45898</v>
      </c>
      <c r="AP220" s="3">
        <f>[2]หน้าผ้า!DP229</f>
        <v>45894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26</v>
      </c>
      <c r="F221" s="9">
        <f>[2]หน้าผ้า!H230</f>
        <v>43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120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WSWT2625850SM</v>
      </c>
      <c r="AA221" s="8">
        <f>[2]หน้าผ้า!AQ230</f>
        <v>44665.884251999996</v>
      </c>
      <c r="AB221" s="8">
        <f>[2]หน้าผ้า!AR230</f>
        <v>44665.884251999996</v>
      </c>
      <c r="AC221" s="8">
        <f>[2]หน้าผ้า!AS230</f>
        <v>0</v>
      </c>
      <c r="AD221" s="8">
        <f>[2]หน้าผ้า!AT230</f>
        <v>2988</v>
      </c>
      <c r="AE221" s="8">
        <f>[2]หน้าผ้า!AU230</f>
        <v>41677.884251999996</v>
      </c>
      <c r="AF221" s="8" t="str">
        <f>[2]หน้าผ้า!AI230</f>
        <v>ระบุในSD</v>
      </c>
      <c r="AG221" s="1" t="str">
        <f>[3]หน้าผ้า!DC233</f>
        <v>ยังไม่ได้พิมพ์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WRWT260850/WRWT25850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28</v>
      </c>
      <c r="F222" s="9">
        <f>[2]หน้าผ้า!H231</f>
        <v>41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122</v>
      </c>
      <c r="J222" s="9" t="str">
        <f>[2]หน้าผ้า!M231</f>
        <v>+</v>
      </c>
      <c r="K222" s="9">
        <f>[2]หน้าผ้า!N231</f>
        <v>3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WSWT2825800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ผ้าขาว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45857</v>
      </c>
      <c r="B223" s="14" t="str">
        <f>[2]หน้าผ้า!B232</f>
        <v>MK68-000913</v>
      </c>
      <c r="C223" s="9" t="str">
        <f>[2]หน้าผ้า!E232</f>
        <v>บจก.ไทยร่วมใจน้ำมันพืช</v>
      </c>
      <c r="D223" s="13" t="str">
        <f>[2]หน้าผ้า!F232</f>
        <v>TRJ</v>
      </c>
      <c r="E223" s="9">
        <f>[2]หน้าผ้า!G232</f>
        <v>28</v>
      </c>
      <c r="F223" s="9">
        <f>[2]หน้าผ้า!H232</f>
        <v>41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120</v>
      </c>
      <c r="J223" s="9" t="str">
        <f>[2]หน้าผ้า!M232</f>
        <v>+</v>
      </c>
      <c r="K223" s="9">
        <f>[2]หน้าผ้า!N232</f>
        <v>3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</v>
      </c>
      <c r="T223" s="12">
        <f>[2]หน้าผ้า!X232</f>
        <v>45883</v>
      </c>
      <c r="U223" s="11">
        <f>[2]หน้าผ้า!AA232</f>
        <v>34000</v>
      </c>
      <c r="V223" s="10">
        <f>[2]หน้าผ้า!AJ232</f>
        <v>13000</v>
      </c>
      <c r="W223" s="10">
        <f>[2]หน้าผ้า!AL232</f>
        <v>21000</v>
      </c>
      <c r="X223" s="10">
        <f>[2]หน้าผ้า!AM232</f>
        <v>13920</v>
      </c>
      <c r="Y223" s="10">
        <f>[2]หน้าผ้า!AN232</f>
        <v>21084</v>
      </c>
      <c r="Z223" s="9" t="str">
        <f>[2]หน้าผ้า!AO232</f>
        <v>WSWT2825850</v>
      </c>
      <c r="AA223" s="8">
        <f>[2]หน้าผ้า!AQ232</f>
        <v>25036.195799999998</v>
      </c>
      <c r="AB223" s="8">
        <f>[2]หน้าผ้า!AR232</f>
        <v>15460</v>
      </c>
      <c r="AC223" s="8">
        <f>[2]หน้าผ้า!AS232</f>
        <v>9576.1957999999977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45883</v>
      </c>
      <c r="AK223" s="3">
        <f>[2]หน้าผ้า!DQ232</f>
        <v>0</v>
      </c>
      <c r="AL223" s="3">
        <f>[2]หน้าผ้า!DR232</f>
        <v>45874</v>
      </c>
      <c r="AM223" s="3">
        <f>[2]หน้าผ้า!DS232</f>
        <v>45881</v>
      </c>
      <c r="AN223" s="3">
        <f>[2]หน้าผ้า!DT232</f>
        <v>45882</v>
      </c>
      <c r="AO223" s="3">
        <f>[2]หน้าผ้า!DU232</f>
        <v>45882</v>
      </c>
      <c r="AP223" s="3">
        <f>[2]หน้าผ้า!DP232</f>
        <v>45878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WRWT25850/WRWT25850</v>
      </c>
      <c r="BD223" s="56">
        <f>[2]หน้าผ้า!CA232</f>
        <v>1076.2580057444443</v>
      </c>
    </row>
    <row r="224" spans="1:56" ht="27.75" customHeight="1" x14ac:dyDescent="0.45">
      <c r="A224" s="3">
        <f>[2]หน้าผ้า!C233</f>
        <v>0</v>
      </c>
      <c r="B224" s="14" t="str">
        <f>[2]หน้าผ้า!B233</f>
        <v>ใบรับคำสั่งซื้อ</v>
      </c>
      <c r="C224" s="9" t="str">
        <f>[2]หน้าผ้า!E233</f>
        <v>บจก.ไทยร่วมใจน้ำมันพืช</v>
      </c>
      <c r="D224" s="13" t="str">
        <f>[2]หน้าผ้า!F233</f>
        <v>TRJ</v>
      </c>
      <c r="E224" s="9">
        <f>[2]หน้าผ้า!G233</f>
        <v>28</v>
      </c>
      <c r="F224" s="9">
        <f>[2]หน้าผ้า!H233</f>
        <v>41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120</v>
      </c>
      <c r="J224" s="9" t="str">
        <f>[2]หน้าผ้า!M233</f>
        <v>+</v>
      </c>
      <c r="K224" s="9">
        <f>[2]หน้าผ้า!N233</f>
        <v>3</v>
      </c>
      <c r="L224" s="9" t="str">
        <f>[2]หน้าผ้า!R233</f>
        <v>ไม่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</v>
      </c>
      <c r="T224" s="12">
        <f>[2]หน้าผ้า!X233</f>
        <v>45897</v>
      </c>
      <c r="U224" s="11">
        <f>[2]หน้าผ้า!AA233</f>
        <v>50000</v>
      </c>
      <c r="V224" s="10">
        <f>[2]หน้าผ้า!AJ233</f>
        <v>0</v>
      </c>
      <c r="W224" s="10">
        <f>[2]หน้าผ้า!AL233</f>
        <v>50000</v>
      </c>
      <c r="X224" s="10">
        <f>[2]หน้าผ้า!AM233</f>
        <v>0</v>
      </c>
      <c r="Y224" s="10">
        <f>[2]หน้าผ้า!AN233</f>
        <v>52500</v>
      </c>
      <c r="Z224" s="9" t="str">
        <f>[2]หน้าผ้า!AO233</f>
        <v>WSWT2825850</v>
      </c>
      <c r="AA224" s="8">
        <f>[2]หน้าผ้า!AQ233</f>
        <v>59372.5</v>
      </c>
      <c r="AB224" s="8">
        <f>[2]หน้าผ้า!AR233</f>
        <v>0</v>
      </c>
      <c r="AC224" s="8">
        <f>[2]หน้าผ้า!AS233</f>
        <v>59372.5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พร้อมส่ง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45897</v>
      </c>
      <c r="AK224" s="3">
        <f>[2]หน้าผ้า!DQ233</f>
        <v>0</v>
      </c>
      <c r="AL224" s="3">
        <f>[2]หน้าผ้า!DR233</f>
        <v>45888</v>
      </c>
      <c r="AM224" s="3">
        <f>[2]หน้าผ้า!DS233</f>
        <v>45895</v>
      </c>
      <c r="AN224" s="3">
        <f>[2]หน้าผ้า!DT233</f>
        <v>45896</v>
      </c>
      <c r="AO224" s="3">
        <f>[2]หน้าผ้า!DU233</f>
        <v>45896</v>
      </c>
      <c r="AP224" s="3">
        <f>[2]หน้าผ้า!DP233</f>
        <v>45892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>รอART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WRWT25850/WRWT25850</v>
      </c>
      <c r="BD224" s="56">
        <f>[2]หน้าผ้า!CA233</f>
        <v>6672.8093055555564</v>
      </c>
    </row>
    <row r="225" spans="1:56" ht="27.75" customHeight="1" x14ac:dyDescent="0.45">
      <c r="A225" s="3" t="str">
        <f>[2]หน้าผ้า!C234</f>
        <v>ประมาณการ</v>
      </c>
      <c r="B225" s="14" t="str">
        <f>[2]หน้าผ้า!B234</f>
        <v>ประมาณการ</v>
      </c>
      <c r="C225" s="9" t="str">
        <f>[2]หน้าผ้า!E234</f>
        <v>บจก.ที.ซี.ยูเนี่ยน อโกรเทค</v>
      </c>
      <c r="D225" s="13" t="str">
        <f>[2]หน้าผ้า!F234</f>
        <v>ไม่พิมพ์</v>
      </c>
      <c r="E225" s="9">
        <f>[2]หน้าผ้า!G234</f>
        <v>28</v>
      </c>
      <c r="F225" s="9">
        <f>[2]หน้าผ้า!H234</f>
        <v>47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180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45899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WSWT2825850</v>
      </c>
      <c r="AA225" s="8">
        <f>[2]หน้าผ้า!AQ234</f>
        <v>6775.4500000000007</v>
      </c>
      <c r="AB225" s="8">
        <f>[2]หน้าผ้า!AR234</f>
        <v>0</v>
      </c>
      <c r="AC225" s="8">
        <f>[2]หน้าผ้า!AS234</f>
        <v>6775.4500000000007</v>
      </c>
      <c r="AD225" s="8">
        <f>[2]หน้าผ้า!AT234</f>
        <v>0</v>
      </c>
      <c r="AE225" s="8">
        <f>[2]หน้าผ้า!AU234</f>
        <v>6775.4500000000007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P11</v>
      </c>
      <c r="AI225" s="1">
        <f>[2]หน้าผ้า!DM234</f>
        <v>2</v>
      </c>
      <c r="AJ225" s="3">
        <f>[2]หน้าผ้า!DN234</f>
        <v>45899</v>
      </c>
      <c r="AK225" s="3">
        <f>[2]หน้าผ้า!DQ234</f>
        <v>45897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45898</v>
      </c>
      <c r="AP225" s="3">
        <f>[2]หน้าผ้า!DP234</f>
        <v>45894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งานเคลือบ+ตัด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WRWT25850/WRWT25850</v>
      </c>
      <c r="BD225" s="56">
        <f>[2]หน้าผ้า!CA234</f>
        <v>761.48529722222236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28</v>
      </c>
      <c r="F226" s="9">
        <f>[2]หน้าผ้า!H235</f>
        <v>43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130</v>
      </c>
      <c r="J226" s="9" t="str">
        <f>[2]หน้าผ้า!M235</f>
        <v>±</v>
      </c>
      <c r="K226" s="9">
        <f>[2]หน้าผ้า!N235</f>
        <v>3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WSWT2825850</v>
      </c>
      <c r="AA226" s="8">
        <f>[2]หน้าผ้า!AQ235</f>
        <v>91184.145799999998</v>
      </c>
      <c r="AB226" s="8">
        <f>[2]หน้าผ้า!AR235</f>
        <v>15460</v>
      </c>
      <c r="AC226" s="8">
        <f>[2]หน้าผ้า!AS235</f>
        <v>75724.145799999998</v>
      </c>
      <c r="AD226" s="8">
        <f>[2]หน้าผ้า!AT235</f>
        <v>0</v>
      </c>
      <c r="AE226" s="8">
        <f>[2]หน้าผ้า!AU235</f>
        <v>6775.4500000000007</v>
      </c>
      <c r="AF226" s="8" t="str">
        <f>[2]หน้าผ้า!AI235</f>
        <v>ระบุในSD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WRWT280850/WRWT25850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30</v>
      </c>
      <c r="F227" s="9">
        <f>[2]หน้าผ้า!H236</f>
        <v>41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122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WSWT3025800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>
        <f>[3]หน้าผ้า!DC239</f>
        <v>0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WRWT25800/WRWT28750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 t="str">
        <f>[2]หน้าผ้า!X237</f>
        <v>ค้างส่งทั้งหมด</v>
      </c>
      <c r="U228" s="11">
        <f>[2]หน้าผ้า!AA237</f>
        <v>2730637</v>
      </c>
      <c r="V228" s="10">
        <f>[2]หน้าผ้า!AJ237</f>
        <v>303975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 xml:space="preserve"> 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-5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160389.24480729038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140000</v>
      </c>
      <c r="T229" s="12">
        <f>[2]หน้าผ้า!X238</f>
        <v>0</v>
      </c>
      <c r="U229" s="11">
        <f>[2]หน้าผ้า!AA238</f>
        <v>19.504549999999998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 t="e">
        <f>[2]หน้าผ้า!AQ238</f>
        <v>#REF!</v>
      </c>
      <c r="AB229" s="8">
        <f>[2]หน้าผ้า!AR238</f>
        <v>0</v>
      </c>
      <c r="AC229" s="8" t="e">
        <f>[2]หน้าผ้า!AS238</f>
        <v>#REF!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P1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-9</v>
      </c>
      <c r="AM229" s="3">
        <f>[2]หน้าผ้า!DS238</f>
        <v>-2</v>
      </c>
      <c r="AN229" s="3">
        <f>[2]หน้าผ้า!DT238</f>
        <v>0</v>
      </c>
      <c r="AO229" s="3">
        <f>[2]หน้าผ้า!DU238</f>
        <v>-1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 t="str">
        <f>[2]หน้าผ้า!CA238</f>
        <v>ห้ามลบ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 t="str">
        <f>[2]หน้าผ้า!X239</f>
        <v>ประมาณการ</v>
      </c>
      <c r="U230" s="11">
        <f>[2]หน้าผ้า!AA239</f>
        <v>968000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P3</v>
      </c>
      <c r="AI230" s="1">
        <f>[2]หน้าผ้า!DM239</f>
        <v>1</v>
      </c>
      <c r="AJ230" s="3" t="str">
        <f>[2]หน้าผ้า!DN239</f>
        <v>ประมาณการ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 t="e">
        <f>[2]หน้าผ้า!DU239</f>
        <v>#VALUE!</v>
      </c>
      <c r="AP230" s="3" t="e">
        <f>[2]หน้าผ้า!DP239</f>
        <v>#VALUE!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ตัด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 t="str">
        <f>[2]หน้าผ้า!X240</f>
        <v>รอแจ้ง</v>
      </c>
      <c r="U231" s="11">
        <f>[2]หน้าผ้า!AA240</f>
        <v>669368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712909.13972000009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P2</v>
      </c>
      <c r="AI231" s="1">
        <f>[2]หน้าผ้า!DM240</f>
        <v>3</v>
      </c>
      <c r="AJ231" s="3" t="str">
        <f>[2]หน้าผ้า!DN240</f>
        <v>รอแจ้ง</v>
      </c>
      <c r="AK231" s="3" t="e">
        <f>[2]หน้าผ้า!DQ240</f>
        <v>#VALUE!</v>
      </c>
      <c r="AL231" s="3" t="e">
        <f>[2]หน้าผ้า!DR240</f>
        <v>#VALUE!</v>
      </c>
      <c r="AM231" s="3" t="e">
        <f>[2]หน้าผ้า!DS240</f>
        <v>#VALUE!</v>
      </c>
      <c r="AN231" s="3">
        <f>[2]หน้าผ้า!DT240</f>
        <v>0</v>
      </c>
      <c r="AO231" s="3" t="e">
        <f>[2]หน้าผ้า!DU240</f>
        <v>#VALUE!</v>
      </c>
      <c r="AP231" s="3" t="e">
        <f>[2]หน้าผ้า!DP240</f>
        <v>#VALUE!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 t="str">
        <f>[2]หน้าผ้า!X241</f>
        <v>รอส่ง</v>
      </c>
      <c r="U232" s="11">
        <f>[2]หน้าผ้า!AA241</f>
        <v>23500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P6</v>
      </c>
      <c r="AI232" s="1">
        <f>[2]หน้าผ้า!DM241</f>
        <v>4</v>
      </c>
      <c r="AJ232" s="3" t="str">
        <f>[2]หน้าผ้า!DN241</f>
        <v>รอส่ง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 t="str">
        <f>[2]หน้าผ้า!X242</f>
        <v>มีกำหนดส่ง</v>
      </c>
      <c r="U233" s="11">
        <f>[2]หน้าผ้า!AA242</f>
        <v>1069769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 t="e">
        <f>[2]หน้าผ้า!AS242</f>
        <v>#REF!</v>
      </c>
      <c r="AD233" s="8" t="e">
        <f>[2]หน้าผ้า!AT242</f>
        <v>#REF!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P11</v>
      </c>
      <c r="AI233" s="1">
        <f>[2]หน้าผ้า!DM242</f>
        <v>2</v>
      </c>
      <c r="AJ233" s="3" t="str">
        <f>[2]หน้าผ้า!DN242</f>
        <v>มีกำหนดส่ง</v>
      </c>
      <c r="AK233" s="3" t="e">
        <f>[2]หน้าผ้า!DQ242</f>
        <v>#VALUE!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 t="e">
        <f>[2]หน้าผ้า!DU242</f>
        <v>#VALUE!</v>
      </c>
      <c r="AP233" s="3" t="e">
        <f>[2]หน้าผ้า!DP242</f>
        <v>#VALUE!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 t="str">
        <f>[2]หน้าผ้า!E243</f>
        <v>ผู้สั่งผลิต..................................................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 t="str">
        <f>[2]หน้าผ้า!I243</f>
        <v xml:space="preserve"> </v>
      </c>
      <c r="H234" s="9">
        <f>[2]หน้าผ้า!J243</f>
        <v>0</v>
      </c>
      <c r="I234" s="9">
        <f>[2]หน้าผ้า!L243</f>
        <v>0</v>
      </c>
      <c r="J234" s="9" t="str">
        <f>[2]หน้าผ้า!M243</f>
        <v xml:space="preserve"> 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P9</v>
      </c>
      <c r="AI234" s="1">
        <f>[2]หน้าผ้า!DM243</f>
        <v>3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-10</v>
      </c>
      <c r="AM234" s="3">
        <f>[2]หน้าผ้า!DS243</f>
        <v>-3</v>
      </c>
      <c r="AN234" s="3">
        <f>[2]หน้าผ้า!DT243</f>
        <v>-2</v>
      </c>
      <c r="AO234" s="3">
        <f>[2]หน้าผ้า!DU243</f>
        <v>-1</v>
      </c>
      <c r="AP234" s="3">
        <f>[2]หน้าผ้า!DP243</f>
        <v>-5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 t="str">
        <f>[2]หน้าผ้า!E244</f>
        <v>เจ้าหน้าที่วางแผนการผลิต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 t="str">
        <f>[2]หน้าผ้า!M244</f>
        <v>ผู้อนุมัติ..................................................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 t="str">
        <f>[2]หน้าผ้า!AT244</f>
        <v xml:space="preserve"> 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P4</v>
      </c>
      <c r="AI235" s="1">
        <f>[2]หน้าผ้า!DM244</f>
        <v>3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-10</v>
      </c>
      <c r="AM235" s="3">
        <f>[2]หน้าผ้า!DS244</f>
        <v>-3</v>
      </c>
      <c r="AN235" s="3">
        <f>[2]หน้าผ้า!DT244</f>
        <v>0</v>
      </c>
      <c r="AO235" s="3">
        <f>[2]หน้าผ้า!DU244</f>
        <v>-2</v>
      </c>
      <c r="AP235" s="3">
        <f>[2]หน้าผ้า!DP244</f>
        <v>-5</v>
      </c>
      <c r="AQ235" s="3">
        <f>[2]หน้าผ้า!DW244</f>
        <v>-1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 t="str">
        <f>[2]หน้าผ้า!E245</f>
        <v xml:space="preserve">        /         /        .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 t="str">
        <f>[2]หน้าผ้า!M245</f>
        <v>ผู้จัดการฝ่ายผลิต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 t="str">
        <f>[2]หน้าผ้า!V245</f>
        <v xml:space="preserve"> 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-9</v>
      </c>
      <c r="AM236" s="3">
        <f>[2]หน้าผ้า!DS245</f>
        <v>-2</v>
      </c>
      <c r="AN236" s="3">
        <f>[2]หน้าผ้า!DT245</f>
        <v>-1</v>
      </c>
      <c r="AO236" s="3">
        <f>[2]หน้าผ้า!DU245</f>
        <v>-1</v>
      </c>
      <c r="AP236" s="3">
        <f>[2]หน้าผ้า!DP245</f>
        <v>-5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 t="str">
        <f>[2]หน้าผ้า!M246</f>
        <v xml:space="preserve">        /         /        .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0</v>
      </c>
      <c r="AK237" s="3">
        <f>[2]หน้าผ้า!DQ246</f>
        <v>-4</v>
      </c>
      <c r="AL237" s="3">
        <f>[2]หน้าผ้า!DR246</f>
        <v>-10</v>
      </c>
      <c r="AM237" s="3">
        <f>[2]หน้าผ้า!DS246</f>
        <v>-3</v>
      </c>
      <c r="AN237" s="3">
        <f>[2]หน้าผ้า!DT246</f>
        <v>-2</v>
      </c>
      <c r="AO237" s="3">
        <f>[2]หน้าผ้า!DU246</f>
        <v>-2</v>
      </c>
      <c r="AP237" s="3">
        <f>[2]หน้าผ้า!DP246</f>
        <v>-5</v>
      </c>
      <c r="AQ237" s="3">
        <f>[2]หน้าผ้า!DW246</f>
        <v>-1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 t="str">
        <f>[2]หน้าผ้า!F247</f>
        <v xml:space="preserve"> </v>
      </c>
      <c r="E238" s="9" t="str">
        <f>[2]หน้าผ้า!G247</f>
        <v xml:space="preserve"> 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 t="str">
        <f>[2]หน้าผ้า!DL247</f>
        <v>P13</v>
      </c>
      <c r="AI238" s="1">
        <f>[2]หน้าผ้า!DM247</f>
        <v>2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-2</v>
      </c>
      <c r="AP238" s="3">
        <f>[2]หน้าผ้า!DP247</f>
        <v>-5</v>
      </c>
      <c r="AQ238" s="3">
        <f>[2]หน้าผ้า!DW247</f>
        <v>-1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ตัด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 t="str">
        <f>[2]หน้าผ้า!V248</f>
        <v xml:space="preserve"> 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 t="str">
        <f>[2]หน้าผ้า!DL248</f>
        <v>P10</v>
      </c>
      <c r="AI239" s="1">
        <f>[2]หน้าผ้า!DM248</f>
        <v>3</v>
      </c>
      <c r="AJ239" s="3">
        <f>[2]หน้าผ้า!DN248</f>
        <v>0</v>
      </c>
      <c r="AK239" s="3">
        <f>[2]หน้าผ้า!DQ248</f>
        <v>-3</v>
      </c>
      <c r="AL239" s="3">
        <f>[2]หน้าผ้า!DR248</f>
        <v>-9</v>
      </c>
      <c r="AM239" s="3">
        <f>[2]หน้าผ้า!DS248</f>
        <v>-2</v>
      </c>
      <c r="AN239" s="3">
        <f>[2]หน้าผ้า!DT248</f>
        <v>0</v>
      </c>
      <c r="AO239" s="3">
        <f>[2]หน้าผ้า!DU248</f>
        <v>-1</v>
      </c>
      <c r="AP239" s="3">
        <f>[2]หน้าผ้า!DP248</f>
        <v>-5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 t="str">
        <f>[2]หน้าผ้า!AA249</f>
        <v xml:space="preserve"> </v>
      </c>
      <c r="V240" s="10" t="str">
        <f>[2]หน้าผ้า!AJ249</f>
        <v>.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-5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 t="str">
        <f>[2]หน้าผ้า!DL250</f>
        <v>P5.2</v>
      </c>
      <c r="AI241" s="1">
        <f>[2]หน้าผ้า!DM250</f>
        <v>4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-11</v>
      </c>
      <c r="AM241" s="3">
        <f>[2]หน้าผ้า!DS250</f>
        <v>-4</v>
      </c>
      <c r="AN241" s="3">
        <f>[2]หน้าผ้า!DT250</f>
        <v>-3</v>
      </c>
      <c r="AO241" s="3">
        <f>[2]หน้าผ้า!DU250</f>
        <v>-3</v>
      </c>
      <c r="AP241" s="3">
        <f>[2]หน้าผ้า!DP250</f>
        <v>-15</v>
      </c>
      <c r="AQ241" s="3">
        <f>[2]หน้าผ้า!DW250</f>
        <v>-2</v>
      </c>
      <c r="AR241" s="3">
        <f>[2]หน้าผ้า!DX250</f>
        <v>-1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 t="str">
        <f>[2]หน้าผ้า!DL251</f>
        <v>P5.3</v>
      </c>
      <c r="AI242" s="1">
        <f>[2]หน้าผ้า!DM251</f>
        <v>6</v>
      </c>
      <c r="AJ242" s="3">
        <f>[2]หน้าผ้า!DN251</f>
        <v>0</v>
      </c>
      <c r="AK242" s="3">
        <f>[2]หน้าผ้า!DQ251</f>
        <v>-6</v>
      </c>
      <c r="AL242" s="3">
        <f>[2]หน้าผ้า!DR251</f>
        <v>-12</v>
      </c>
      <c r="AM242" s="3">
        <f>[2]หน้าผ้า!DS251</f>
        <v>-5</v>
      </c>
      <c r="AN242" s="3">
        <f>[2]หน้าผ้า!DT251</f>
        <v>-4</v>
      </c>
      <c r="AO242" s="3">
        <f>[2]หน้าผ้า!DU251</f>
        <v>-3</v>
      </c>
      <c r="AP242" s="3">
        <f>[2]หน้าผ้า!DP251</f>
        <v>-15</v>
      </c>
      <c r="AQ242" s="3">
        <f>[2]หน้าผ้า!DW251</f>
        <v>-2</v>
      </c>
      <c r="AR242" s="3">
        <f>[2]หน้าผ้า!DX251</f>
        <v>-1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 t="str">
        <f>[2]หน้าผ้า!H268</f>
        <v xml:space="preserve"> 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155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254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138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176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172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141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121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131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99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248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224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150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206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128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250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28" sqref="C28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173</v>
      </c>
    </row>
    <row r="3" spans="1:11" x14ac:dyDescent="0.2">
      <c r="A3" s="57" t="s">
        <v>29</v>
      </c>
      <c r="B3" s="77">
        <v>45869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254</v>
      </c>
      <c r="B7" s="59">
        <v>4000</v>
      </c>
      <c r="C7" s="59">
        <v>0</v>
      </c>
      <c r="D7" s="59">
        <v>78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176</v>
      </c>
      <c r="B8" s="59">
        <v>25000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227</v>
      </c>
      <c r="B9" s="59">
        <v>15000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81</v>
      </c>
      <c r="B10" s="59">
        <v>124720</v>
      </c>
      <c r="C10" s="59">
        <v>65620.800000000003</v>
      </c>
      <c r="D10" s="59">
        <v>72480</v>
      </c>
      <c r="E10" s="59">
        <v>65481.022200000014</v>
      </c>
      <c r="F10" s="59">
        <v>65481.022200000014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80</v>
      </c>
      <c r="B11" s="59">
        <v>39152</v>
      </c>
      <c r="C11" s="59">
        <v>0</v>
      </c>
      <c r="D11" s="59">
        <v>120</v>
      </c>
      <c r="E11" s="59">
        <v>0</v>
      </c>
      <c r="F11" s="59">
        <v>0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150</v>
      </c>
      <c r="B12" s="59">
        <v>5000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88</v>
      </c>
      <c r="B13" s="59">
        <v>15000</v>
      </c>
      <c r="C13" s="59">
        <v>0</v>
      </c>
      <c r="D13" s="71">
        <v>0</v>
      </c>
      <c r="E13" s="59">
        <v>0</v>
      </c>
      <c r="F13" s="59">
        <v>0</v>
      </c>
      <c r="G13" s="59">
        <v>0</v>
      </c>
      <c r="I13" s="59">
        <f t="shared" si="0"/>
        <v>0</v>
      </c>
      <c r="K13" s="59">
        <f t="shared" si="1"/>
        <v>0</v>
      </c>
    </row>
    <row r="14" spans="1:11" ht="16.5" customHeight="1" x14ac:dyDescent="0.2">
      <c r="A14" t="s">
        <v>96</v>
      </c>
      <c r="B14" s="59">
        <v>227872</v>
      </c>
      <c r="C14" s="59">
        <v>65620.800000000003</v>
      </c>
      <c r="D14" s="59">
        <v>72678</v>
      </c>
      <c r="E14" s="59">
        <v>65481.022200000014</v>
      </c>
      <c r="F14" s="59">
        <v>65481.022200000014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0</v>
      </c>
      <c r="J26" s="59">
        <f t="shared" ref="J26:K26" si="2">SUM(J7:J25)</f>
        <v>54000</v>
      </c>
      <c r="K26" s="59">
        <f t="shared" si="2"/>
        <v>0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266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7" sqref="E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254</v>
      </c>
      <c r="B5" t="s">
        <v>314</v>
      </c>
      <c r="C5" s="59">
        <v>4000</v>
      </c>
      <c r="D5" s="59">
        <v>0</v>
      </c>
      <c r="E5" s="59">
        <v>78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319</v>
      </c>
      <c r="B6" s="61"/>
      <c r="C6" s="62">
        <v>4000</v>
      </c>
      <c r="D6" s="62">
        <v>0</v>
      </c>
      <c r="E6" s="62">
        <v>78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374</v>
      </c>
      <c r="B7" t="s">
        <v>373</v>
      </c>
      <c r="C7" s="59">
        <v>30250</v>
      </c>
      <c r="D7" s="59">
        <v>31762.5</v>
      </c>
      <c r="E7" s="59">
        <v>30250</v>
      </c>
      <c r="F7" s="59">
        <v>23242.587500000001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426</v>
      </c>
      <c r="B8" s="61"/>
      <c r="C8" s="62">
        <v>30250</v>
      </c>
      <c r="D8" s="62">
        <v>31762.5</v>
      </c>
      <c r="E8" s="62">
        <v>30250</v>
      </c>
      <c r="F8" s="62">
        <v>23242.587500000001</v>
      </c>
      <c r="G8" s="62">
        <v>0</v>
      </c>
      <c r="H8" s="59">
        <f t="shared" si="0"/>
        <v>0</v>
      </c>
    </row>
    <row r="9" spans="1:11" ht="20.25" customHeight="1" x14ac:dyDescent="0.2">
      <c r="A9" t="s">
        <v>176</v>
      </c>
      <c r="B9" t="s">
        <v>73</v>
      </c>
      <c r="C9" s="59">
        <v>60000</v>
      </c>
      <c r="D9" s="59">
        <v>0</v>
      </c>
      <c r="E9" s="59">
        <v>715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243</v>
      </c>
      <c r="B10" s="61"/>
      <c r="C10" s="62">
        <v>60000</v>
      </c>
      <c r="D10" s="62">
        <v>0</v>
      </c>
      <c r="E10" s="62">
        <v>715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227</v>
      </c>
      <c r="B11" t="s">
        <v>317</v>
      </c>
      <c r="C11" s="59">
        <v>15000</v>
      </c>
      <c r="D11" s="59">
        <v>15750</v>
      </c>
      <c r="E11" s="59">
        <v>15000</v>
      </c>
      <c r="F11" s="59">
        <v>11525.250000000002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268</v>
      </c>
      <c r="B12" s="61"/>
      <c r="C12" s="62">
        <v>15000</v>
      </c>
      <c r="D12" s="62">
        <v>15750</v>
      </c>
      <c r="E12" s="62">
        <v>15000</v>
      </c>
      <c r="F12" s="62">
        <v>11525.250000000002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388</v>
      </c>
      <c r="B13" t="s">
        <v>387</v>
      </c>
      <c r="C13" s="59">
        <v>5000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427</v>
      </c>
      <c r="B14" s="61"/>
      <c r="C14" s="62">
        <v>5000</v>
      </c>
      <c r="D14" s="62">
        <v>0</v>
      </c>
      <c r="E14" s="62">
        <v>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73</v>
      </c>
      <c r="C15" s="59">
        <v>5000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B16" t="s">
        <v>142</v>
      </c>
      <c r="C16" s="59">
        <v>239360</v>
      </c>
      <c r="D16" s="59">
        <v>187027.05</v>
      </c>
      <c r="E16" s="59">
        <v>193360</v>
      </c>
      <c r="F16" s="59">
        <v>195810.90663750001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245</v>
      </c>
      <c r="B17" s="61"/>
      <c r="C17" s="62">
        <v>244360</v>
      </c>
      <c r="D17" s="62">
        <v>187027.05</v>
      </c>
      <c r="E17" s="62">
        <v>193360</v>
      </c>
      <c r="F17" s="62">
        <v>195810.90663750001</v>
      </c>
      <c r="G17" s="62">
        <v>0</v>
      </c>
      <c r="H17" s="59">
        <f t="shared" si="0"/>
        <v>0</v>
      </c>
    </row>
    <row r="18" spans="1:8" ht="20.25" customHeight="1" x14ac:dyDescent="0.2">
      <c r="A18" t="s">
        <v>80</v>
      </c>
      <c r="B18" t="s">
        <v>142</v>
      </c>
      <c r="C18" s="59">
        <v>49152</v>
      </c>
      <c r="D18" s="59">
        <v>15876</v>
      </c>
      <c r="E18" s="59">
        <v>35299</v>
      </c>
      <c r="F18" s="59">
        <v>15841.980000000003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300</v>
      </c>
      <c r="C19" s="59">
        <v>25000</v>
      </c>
      <c r="D19" s="59">
        <v>0</v>
      </c>
      <c r="E19" s="59">
        <v>122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157</v>
      </c>
      <c r="B20" s="61"/>
      <c r="C20" s="62">
        <v>74152</v>
      </c>
      <c r="D20" s="62">
        <v>15876</v>
      </c>
      <c r="E20" s="62">
        <v>35421</v>
      </c>
      <c r="F20" s="62">
        <v>15841.980000000003</v>
      </c>
      <c r="G20" s="62">
        <v>0</v>
      </c>
      <c r="H20" s="59">
        <f t="shared" si="0"/>
        <v>0</v>
      </c>
    </row>
    <row r="21" spans="1:8" ht="20.25" customHeight="1" x14ac:dyDescent="0.2">
      <c r="A21" t="s">
        <v>121</v>
      </c>
      <c r="B21" t="s">
        <v>411</v>
      </c>
      <c r="C21" s="59">
        <v>20000</v>
      </c>
      <c r="D21" s="59">
        <v>1827</v>
      </c>
      <c r="E21" s="59">
        <v>2000</v>
      </c>
      <c r="F21" s="59">
        <v>1965.2856300000001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193</v>
      </c>
      <c r="B22" s="61"/>
      <c r="C22" s="62">
        <v>20000</v>
      </c>
      <c r="D22" s="62">
        <v>1827</v>
      </c>
      <c r="E22" s="62">
        <v>2000</v>
      </c>
      <c r="F22" s="62">
        <v>1965.2856300000001</v>
      </c>
      <c r="G22" s="62">
        <v>0</v>
      </c>
      <c r="H22" s="59">
        <f t="shared" si="0"/>
        <v>0</v>
      </c>
    </row>
    <row r="23" spans="1:8" ht="20.25" customHeight="1" x14ac:dyDescent="0.2">
      <c r="A23" t="s">
        <v>324</v>
      </c>
      <c r="B23" t="s">
        <v>373</v>
      </c>
      <c r="C23" s="59">
        <v>4100</v>
      </c>
      <c r="D23" s="59">
        <v>0</v>
      </c>
      <c r="E23" s="59">
        <v>4100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428</v>
      </c>
      <c r="B24" s="61"/>
      <c r="C24" s="62">
        <v>4100</v>
      </c>
      <c r="D24" s="62">
        <v>0</v>
      </c>
      <c r="E24" s="62">
        <v>4100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150</v>
      </c>
      <c r="B25" t="s">
        <v>140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429</v>
      </c>
      <c r="B26" s="61"/>
      <c r="C26" s="62">
        <v>10000</v>
      </c>
      <c r="D26" s="62">
        <v>0</v>
      </c>
      <c r="E26" s="62">
        <v>0</v>
      </c>
      <c r="F26" s="62">
        <v>0</v>
      </c>
      <c r="G26" s="62">
        <v>0</v>
      </c>
      <c r="H26" s="59">
        <f t="shared" si="0"/>
        <v>0</v>
      </c>
    </row>
    <row r="27" spans="1:8" ht="20.25" customHeight="1" x14ac:dyDescent="0.2">
      <c r="A27" t="s">
        <v>88</v>
      </c>
      <c r="B27" t="s">
        <v>110</v>
      </c>
      <c r="C27" s="59">
        <v>15000</v>
      </c>
      <c r="D27" s="59">
        <v>0</v>
      </c>
      <c r="E27" s="59">
        <v>15000</v>
      </c>
      <c r="F27" s="59">
        <v>18649.949999999997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194</v>
      </c>
      <c r="B28" s="61"/>
      <c r="C28" s="62">
        <v>15000</v>
      </c>
      <c r="D28" s="62">
        <v>0</v>
      </c>
      <c r="E28" s="62">
        <v>15000</v>
      </c>
      <c r="F28" s="62">
        <v>18649.949999999997</v>
      </c>
      <c r="G28" s="62">
        <v>0</v>
      </c>
      <c r="H28" s="59">
        <f t="shared" si="0"/>
        <v>0</v>
      </c>
    </row>
    <row r="29" spans="1:8" ht="20.25" customHeight="1" x14ac:dyDescent="0.2">
      <c r="A29" t="s">
        <v>96</v>
      </c>
      <c r="C29" s="59">
        <v>481862</v>
      </c>
      <c r="D29" s="59">
        <v>252242.55</v>
      </c>
      <c r="E29" s="59">
        <v>295924</v>
      </c>
      <c r="F29" s="59">
        <v>267035.9597675</v>
      </c>
      <c r="G29" s="59">
        <v>0</v>
      </c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254</v>
      </c>
      <c r="B5" t="s">
        <v>252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222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271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176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243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172</v>
      </c>
      <c r="B11" t="s">
        <v>214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257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316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244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227</v>
      </c>
      <c r="B15" t="s">
        <v>317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268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141</v>
      </c>
      <c r="B17" s="72" t="s">
        <v>175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269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142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245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142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305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157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306</v>
      </c>
      <c r="B26" t="s">
        <v>305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320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121</v>
      </c>
      <c r="B28" t="s">
        <v>110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112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318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193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131</v>
      </c>
      <c r="B32" s="72" t="s">
        <v>175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214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270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229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235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246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186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199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206</v>
      </c>
      <c r="B40" t="s">
        <v>110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210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110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194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128</v>
      </c>
      <c r="B44" t="s">
        <v>110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151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247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181</v>
      </c>
      <c r="B47" s="72" t="s">
        <v>229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295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63</v>
      </c>
      <c r="D2">
        <v>12</v>
      </c>
      <c r="I2" t="s">
        <v>217</v>
      </c>
      <c r="J2" t="s">
        <v>223</v>
      </c>
      <c r="K2" t="s">
        <v>216</v>
      </c>
      <c r="P2" t="s">
        <v>218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7" ht="20.25" customHeight="1" x14ac:dyDescent="0.2">
      <c r="A5" t="s">
        <v>254</v>
      </c>
      <c r="B5" t="s">
        <v>314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176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243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113</v>
      </c>
      <c r="B9" t="s">
        <v>142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321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142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108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157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121</v>
      </c>
      <c r="B15" t="s">
        <v>110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108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193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99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263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224</v>
      </c>
      <c r="B21" t="s">
        <v>112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251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23" sqref="G23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287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</row>
    <row r="8" spans="1:12" ht="20.25" customHeight="1" x14ac:dyDescent="0.2">
      <c r="A8" t="s">
        <v>138</v>
      </c>
      <c r="B8" s="59">
        <v>10000</v>
      </c>
      <c r="C8" s="59">
        <v>10500</v>
      </c>
      <c r="D8" s="59">
        <v>10000</v>
      </c>
      <c r="E8" s="59">
        <v>8801.1</v>
      </c>
      <c r="F8" s="59">
        <v>6990</v>
      </c>
      <c r="G8" s="59">
        <v>1811.1000000000004</v>
      </c>
    </row>
    <row r="9" spans="1:12" ht="20.25" customHeight="1" x14ac:dyDescent="0.2">
      <c r="A9" t="s">
        <v>176</v>
      </c>
      <c r="B9" s="59">
        <v>280000</v>
      </c>
      <c r="C9" s="59">
        <v>154980</v>
      </c>
      <c r="D9" s="59">
        <v>200077</v>
      </c>
      <c r="E9" s="59">
        <v>148751.3027</v>
      </c>
      <c r="F9" s="59">
        <v>20156.102700000003</v>
      </c>
      <c r="G9" s="59">
        <v>128595.19999999998</v>
      </c>
    </row>
    <row r="10" spans="1:12" ht="20.25" customHeight="1" x14ac:dyDescent="0.2">
      <c r="A10" t="s">
        <v>81</v>
      </c>
      <c r="B10" s="59">
        <v>185000</v>
      </c>
      <c r="C10" s="59">
        <v>194250</v>
      </c>
      <c r="D10" s="59">
        <v>185000</v>
      </c>
      <c r="E10" s="59">
        <v>199002.65000000002</v>
      </c>
      <c r="F10" s="59">
        <v>62295</v>
      </c>
      <c r="G10" s="59">
        <v>136707.65000000002</v>
      </c>
    </row>
    <row r="11" spans="1:12" ht="20.25" customHeight="1" x14ac:dyDescent="0.2">
      <c r="A11" t="s">
        <v>80</v>
      </c>
      <c r="B11" s="59">
        <v>65000</v>
      </c>
      <c r="C11" s="59">
        <v>68250</v>
      </c>
      <c r="D11" s="59">
        <v>65000</v>
      </c>
      <c r="E11" s="59">
        <v>70366.890000000014</v>
      </c>
      <c r="F11" s="59">
        <v>11203.94</v>
      </c>
      <c r="G11" s="59">
        <v>59162.950000000012</v>
      </c>
      <c r="L11">
        <f>76*2500</f>
        <v>190000</v>
      </c>
    </row>
    <row r="12" spans="1:12" ht="20.25" customHeight="1" x14ac:dyDescent="0.2">
      <c r="A12" t="s">
        <v>121</v>
      </c>
      <c r="B12" s="59">
        <v>20000</v>
      </c>
      <c r="C12" s="59">
        <v>21000</v>
      </c>
      <c r="D12" s="59">
        <v>20000</v>
      </c>
      <c r="E12" s="59">
        <v>21513.800000000003</v>
      </c>
      <c r="F12" s="59">
        <v>21513.800000000003</v>
      </c>
      <c r="G12" s="59">
        <v>0</v>
      </c>
    </row>
    <row r="13" spans="1:12" ht="20.25" customHeight="1" x14ac:dyDescent="0.2">
      <c r="A13" t="s">
        <v>99</v>
      </c>
      <c r="B13" s="59">
        <v>100000</v>
      </c>
      <c r="C13" s="59">
        <v>93792.3</v>
      </c>
      <c r="D13" s="59">
        <v>89326</v>
      </c>
      <c r="E13" s="59">
        <v>96087.084940000001</v>
      </c>
      <c r="F13" s="59">
        <v>27186</v>
      </c>
      <c r="G13" s="59">
        <v>68901.084940000001</v>
      </c>
    </row>
    <row r="14" spans="1:12" ht="20.25" customHeight="1" x14ac:dyDescent="0.2">
      <c r="A14" t="s">
        <v>83</v>
      </c>
      <c r="B14" s="59">
        <v>5000</v>
      </c>
      <c r="C14" s="59">
        <v>5250</v>
      </c>
      <c r="D14" s="59">
        <v>5000</v>
      </c>
      <c r="E14" s="59">
        <v>5518.15</v>
      </c>
      <c r="F14" s="59">
        <v>5518.15</v>
      </c>
      <c r="G14" s="59">
        <v>0</v>
      </c>
    </row>
    <row r="15" spans="1:12" ht="20.25" customHeight="1" x14ac:dyDescent="0.2">
      <c r="A15" t="s">
        <v>88</v>
      </c>
      <c r="B15" s="59">
        <v>45000</v>
      </c>
      <c r="C15" s="59">
        <v>23821.35</v>
      </c>
      <c r="D15" s="59">
        <v>40709</v>
      </c>
      <c r="E15" s="59">
        <v>47210.918595499999</v>
      </c>
      <c r="F15" s="59">
        <v>28778.358595500002</v>
      </c>
      <c r="G15" s="59">
        <v>18432.559999999998</v>
      </c>
    </row>
    <row r="16" spans="1:12" ht="20.25" customHeight="1" x14ac:dyDescent="0.2">
      <c r="A16" t="s">
        <v>128</v>
      </c>
      <c r="B16" s="59">
        <v>50000</v>
      </c>
      <c r="C16" s="59">
        <v>52500</v>
      </c>
      <c r="D16" s="59">
        <v>50000</v>
      </c>
      <c r="E16" s="59">
        <v>59372.5</v>
      </c>
      <c r="F16" s="59">
        <v>23669</v>
      </c>
      <c r="G16" s="59">
        <v>35703.5</v>
      </c>
    </row>
    <row r="17" spans="1:7" ht="20.25" customHeight="1" x14ac:dyDescent="0.2">
      <c r="A17" t="s">
        <v>96</v>
      </c>
      <c r="B17" s="59">
        <v>770000</v>
      </c>
      <c r="C17" s="59">
        <v>634843.65</v>
      </c>
      <c r="D17" s="59">
        <v>675112</v>
      </c>
      <c r="E17" s="59">
        <v>663190.29623550014</v>
      </c>
      <c r="F17" s="59">
        <v>213876.2512955</v>
      </c>
      <c r="G17" s="59">
        <v>449314.04493999999</v>
      </c>
    </row>
    <row r="18" spans="1:7" ht="20.25" customHeight="1" x14ac:dyDescent="0.2">
      <c r="C18"/>
    </row>
    <row r="19" spans="1:7" ht="20.25" customHeight="1" x14ac:dyDescent="0.2">
      <c r="C19"/>
    </row>
    <row r="20" spans="1:7" ht="20.25" customHeight="1" x14ac:dyDescent="0.2">
      <c r="C20"/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237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1287052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176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243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113</v>
      </c>
      <c r="B7" t="s">
        <v>142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321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142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108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157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121</v>
      </c>
      <c r="B13" t="s">
        <v>110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108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193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99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263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224</v>
      </c>
      <c r="B19" t="s">
        <v>112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251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G9" sqref="G9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1" ht="20.25" customHeight="1" x14ac:dyDescent="0.2">
      <c r="A5" t="s">
        <v>176</v>
      </c>
      <c r="B5" t="s">
        <v>73</v>
      </c>
      <c r="C5" s="59">
        <v>250000</v>
      </c>
      <c r="D5" s="59">
        <v>262500</v>
      </c>
      <c r="E5" s="59">
        <v>250000</v>
      </c>
      <c r="F5" s="59">
        <v>0</v>
      </c>
      <c r="G5" s="59">
        <v>233997.50000000003</v>
      </c>
      <c r="H5" s="59">
        <v>233997.50000000003</v>
      </c>
      <c r="I5" s="59"/>
    </row>
    <row r="6" spans="1:11" ht="20.25" customHeight="1" x14ac:dyDescent="0.2">
      <c r="A6" s="61" t="s">
        <v>243</v>
      </c>
      <c r="B6" s="61"/>
      <c r="C6" s="62">
        <v>250000</v>
      </c>
      <c r="D6" s="62">
        <v>262500</v>
      </c>
      <c r="E6" s="62">
        <v>250000</v>
      </c>
      <c r="F6" s="62">
        <v>0</v>
      </c>
      <c r="G6" s="62">
        <v>233997.50000000003</v>
      </c>
      <c r="H6" s="62">
        <v>233997.50000000003</v>
      </c>
    </row>
    <row r="7" spans="1:11" ht="20.25" customHeight="1" x14ac:dyDescent="0.2">
      <c r="A7" t="s">
        <v>172</v>
      </c>
      <c r="B7" t="s">
        <v>137</v>
      </c>
      <c r="C7" s="59">
        <v>140000</v>
      </c>
      <c r="D7" s="59">
        <v>147000</v>
      </c>
      <c r="E7" s="59">
        <v>140000</v>
      </c>
      <c r="F7" s="59">
        <v>56115</v>
      </c>
      <c r="G7" s="59">
        <v>123215.4</v>
      </c>
      <c r="H7" s="59">
        <v>67100.399999999994</v>
      </c>
      <c r="I7" s="59"/>
      <c r="J7" s="59"/>
      <c r="K7" s="59"/>
    </row>
    <row r="8" spans="1:11" ht="20.25" customHeight="1" x14ac:dyDescent="0.2">
      <c r="B8" t="s">
        <v>214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18501.714330000003</v>
      </c>
      <c r="H8" s="59">
        <v>0</v>
      </c>
      <c r="J8" s="59"/>
      <c r="K8" s="59"/>
    </row>
    <row r="9" spans="1:11" ht="20.25" customHeight="1" x14ac:dyDescent="0.2">
      <c r="B9" t="s">
        <v>257</v>
      </c>
      <c r="C9" s="59">
        <v>40000</v>
      </c>
      <c r="D9" s="59">
        <v>42000</v>
      </c>
      <c r="E9" s="59">
        <v>40000</v>
      </c>
      <c r="F9" s="59">
        <v>0</v>
      </c>
      <c r="G9" s="59">
        <v>35204.400000000001</v>
      </c>
      <c r="H9" s="59">
        <v>35204.400000000001</v>
      </c>
      <c r="I9" s="59"/>
    </row>
    <row r="10" spans="1:11" ht="20.25" customHeight="1" x14ac:dyDescent="0.2">
      <c r="A10" s="61" t="s">
        <v>244</v>
      </c>
      <c r="B10" s="61"/>
      <c r="C10" s="62">
        <v>200000</v>
      </c>
      <c r="D10" s="62">
        <v>209755.35</v>
      </c>
      <c r="E10" s="62">
        <v>199767</v>
      </c>
      <c r="F10" s="62">
        <v>74616.714330000003</v>
      </c>
      <c r="G10" s="62">
        <v>176921.51433000001</v>
      </c>
      <c r="H10" s="62">
        <v>102304.79999999999</v>
      </c>
    </row>
    <row r="11" spans="1:11" ht="20.25" customHeight="1" x14ac:dyDescent="0.2">
      <c r="A11" t="s">
        <v>81</v>
      </c>
      <c r="B11" t="s">
        <v>142</v>
      </c>
      <c r="C11" s="59">
        <v>250000</v>
      </c>
      <c r="D11" s="59">
        <v>262500</v>
      </c>
      <c r="E11" s="59">
        <v>250000</v>
      </c>
      <c r="F11" s="59">
        <v>0</v>
      </c>
      <c r="G11" s="59">
        <v>261937.50000000003</v>
      </c>
      <c r="H11" s="59">
        <v>261937.50000000003</v>
      </c>
      <c r="I11" s="59"/>
    </row>
    <row r="12" spans="1:11" ht="20.25" customHeight="1" x14ac:dyDescent="0.2">
      <c r="A12" s="61" t="s">
        <v>245</v>
      </c>
      <c r="B12" s="61"/>
      <c r="C12" s="62">
        <v>250000</v>
      </c>
      <c r="D12" s="62">
        <v>262500</v>
      </c>
      <c r="E12" s="62">
        <v>250000</v>
      </c>
      <c r="F12" s="62">
        <v>0</v>
      </c>
      <c r="G12" s="62">
        <v>261937.50000000003</v>
      </c>
      <c r="H12" s="62">
        <v>261937.50000000003</v>
      </c>
      <c r="I12" s="59"/>
    </row>
    <row r="13" spans="1:11" ht="20.25" customHeight="1" x14ac:dyDescent="0.2">
      <c r="A13" t="s">
        <v>80</v>
      </c>
      <c r="B13" t="s">
        <v>97</v>
      </c>
      <c r="C13" s="59">
        <v>20000</v>
      </c>
      <c r="D13" s="59">
        <v>21000</v>
      </c>
      <c r="E13" s="59">
        <v>20000</v>
      </c>
      <c r="F13" s="59">
        <v>0</v>
      </c>
      <c r="G13" s="59">
        <v>21513.800000000003</v>
      </c>
      <c r="H13" s="59">
        <v>21513.800000000003</v>
      </c>
    </row>
    <row r="14" spans="1:11" ht="20.25" customHeight="1" x14ac:dyDescent="0.2">
      <c r="B14" t="s">
        <v>142</v>
      </c>
      <c r="C14" s="59">
        <v>100000</v>
      </c>
      <c r="D14" s="59">
        <v>105000</v>
      </c>
      <c r="E14" s="59">
        <v>100000</v>
      </c>
      <c r="F14" s="59">
        <v>56666</v>
      </c>
      <c r="G14" s="59">
        <v>104775.00000000001</v>
      </c>
      <c r="H14" s="59">
        <v>48109.000000000015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0</v>
      </c>
      <c r="G15" s="59">
        <v>22072.6</v>
      </c>
      <c r="H15" s="59">
        <v>22072.6</v>
      </c>
    </row>
    <row r="16" spans="1:11" ht="20.25" customHeight="1" x14ac:dyDescent="0.2">
      <c r="A16" s="61" t="s">
        <v>157</v>
      </c>
      <c r="B16" s="61"/>
      <c r="C16" s="62">
        <v>140000</v>
      </c>
      <c r="D16" s="62">
        <v>147000</v>
      </c>
      <c r="E16" s="62">
        <v>140000</v>
      </c>
      <c r="F16" s="62">
        <v>56666</v>
      </c>
      <c r="G16" s="62">
        <v>148361.40000000002</v>
      </c>
      <c r="H16" s="62">
        <v>91695.400000000023</v>
      </c>
      <c r="I16" s="59"/>
    </row>
    <row r="17" spans="1:9" ht="20.25" customHeight="1" x14ac:dyDescent="0.2">
      <c r="A17" t="s">
        <v>121</v>
      </c>
      <c r="B17" t="s">
        <v>112</v>
      </c>
      <c r="C17" s="59">
        <v>300000</v>
      </c>
      <c r="D17" s="59">
        <v>315000</v>
      </c>
      <c r="E17" s="59">
        <v>300000</v>
      </c>
      <c r="F17" s="59">
        <v>159370</v>
      </c>
      <c r="G17" s="59">
        <v>322707</v>
      </c>
      <c r="H17" s="59">
        <v>163337</v>
      </c>
      <c r="I17" s="59"/>
    </row>
    <row r="18" spans="1:9" ht="20.25" customHeight="1" x14ac:dyDescent="0.2">
      <c r="B18" t="s">
        <v>411</v>
      </c>
      <c r="C18" s="59">
        <v>40000</v>
      </c>
      <c r="D18" s="59">
        <v>42000</v>
      </c>
      <c r="E18" s="59">
        <v>40000</v>
      </c>
      <c r="F18" s="59">
        <v>43027.600000000006</v>
      </c>
      <c r="G18" s="59">
        <v>43027.600000000006</v>
      </c>
      <c r="H18" s="59">
        <v>0</v>
      </c>
      <c r="I18" s="59"/>
    </row>
    <row r="19" spans="1:9" ht="20.25" customHeight="1" x14ac:dyDescent="0.2">
      <c r="A19" s="61" t="s">
        <v>193</v>
      </c>
      <c r="B19" s="61"/>
      <c r="C19" s="62">
        <v>340000</v>
      </c>
      <c r="D19" s="62">
        <v>357000</v>
      </c>
      <c r="E19" s="62">
        <v>340000</v>
      </c>
      <c r="F19" s="62">
        <v>202397.6</v>
      </c>
      <c r="G19" s="62">
        <v>365734.6</v>
      </c>
      <c r="H19" s="62">
        <v>163337</v>
      </c>
    </row>
    <row r="20" spans="1:9" ht="20.25" customHeight="1" x14ac:dyDescent="0.2">
      <c r="A20" t="s">
        <v>96</v>
      </c>
      <c r="C20" s="59">
        <v>1180000</v>
      </c>
      <c r="D20" s="59">
        <v>1238755.3500000001</v>
      </c>
      <c r="E20" s="59">
        <v>1179767</v>
      </c>
      <c r="F20" s="59">
        <v>333680.31432999996</v>
      </c>
      <c r="G20" s="59">
        <v>1186952.5143300002</v>
      </c>
      <c r="H20" s="59">
        <v>853272.20000000007</v>
      </c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853272.20000000007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RowHeight="12.75" x14ac:dyDescent="0.2"/>
  <cols>
    <col min="1" max="1" width="17.5" style="74" bestFit="1" customWidth="1"/>
    <col min="2" max="8" width="7.375" style="74" bestFit="1" customWidth="1"/>
    <col min="9" max="19" width="8.25" style="74" bestFit="1" customWidth="1"/>
    <col min="20" max="20" width="10.25" style="74" bestFit="1" customWidth="1"/>
    <col min="21" max="23" width="12.125" style="74" bestFit="1" customWidth="1"/>
    <col min="24" max="24" width="13.375" style="74" bestFit="1" customWidth="1"/>
    <col min="25" max="16384" width="9" style="74"/>
  </cols>
  <sheetData>
    <row r="3" spans="1:20" x14ac:dyDescent="0.2">
      <c r="A3" s="73" t="s">
        <v>143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s="79" customFormat="1" x14ac:dyDescent="0.2">
      <c r="A4" s="80" t="s">
        <v>326</v>
      </c>
      <c r="B4" s="80">
        <v>45870</v>
      </c>
      <c r="C4" s="80">
        <v>45871</v>
      </c>
      <c r="D4" s="80">
        <v>45872</v>
      </c>
      <c r="E4" s="80">
        <v>45873</v>
      </c>
      <c r="F4" s="80">
        <v>45875</v>
      </c>
      <c r="G4" s="80">
        <v>45877</v>
      </c>
      <c r="H4" s="80">
        <v>45878</v>
      </c>
      <c r="I4" s="80">
        <v>45879</v>
      </c>
      <c r="J4" s="80">
        <v>45880</v>
      </c>
      <c r="K4" s="80">
        <v>45882</v>
      </c>
      <c r="L4" s="80">
        <v>45883</v>
      </c>
      <c r="M4" s="80">
        <v>45884</v>
      </c>
      <c r="N4" s="80">
        <v>45885</v>
      </c>
      <c r="O4" s="80">
        <v>45887</v>
      </c>
      <c r="P4" s="80">
        <v>45889</v>
      </c>
      <c r="Q4" s="80">
        <v>45890</v>
      </c>
      <c r="R4" s="80">
        <v>45892</v>
      </c>
      <c r="S4" s="80">
        <v>45893</v>
      </c>
      <c r="T4" s="80" t="s">
        <v>96</v>
      </c>
    </row>
    <row r="5" spans="1:20" x14ac:dyDescent="0.2">
      <c r="A5" s="73" t="s">
        <v>287</v>
      </c>
      <c r="B5" s="75"/>
      <c r="C5" s="75"/>
      <c r="D5" s="75"/>
      <c r="E5" s="75"/>
      <c r="F5" s="75"/>
      <c r="G5" s="75">
        <v>2699.7200000000003</v>
      </c>
      <c r="H5" s="75"/>
      <c r="I5" s="75">
        <v>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>
        <f>SUM(B5:S5)</f>
        <v>2699.7200000000003</v>
      </c>
    </row>
    <row r="6" spans="1:20" x14ac:dyDescent="0.2">
      <c r="A6" s="73" t="s">
        <v>138</v>
      </c>
      <c r="B6" s="75"/>
      <c r="C6" s="75"/>
      <c r="D6" s="75"/>
      <c r="E6" s="75"/>
      <c r="F6" s="75"/>
      <c r="G6" s="75"/>
      <c r="H6" s="75">
        <v>1160.1000000000004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f t="shared" ref="T6:T15" si="0">SUM(B6:S6)</f>
        <v>1160.1000000000004</v>
      </c>
    </row>
    <row r="7" spans="1:20" x14ac:dyDescent="0.2">
      <c r="A7" s="73" t="s">
        <v>176</v>
      </c>
      <c r="B7" s="75">
        <v>5001.9000000000015</v>
      </c>
      <c r="C7" s="75">
        <v>28079.700000000004</v>
      </c>
      <c r="D7" s="75">
        <v>37439.600000000006</v>
      </c>
      <c r="E7" s="75">
        <v>14039.850000000002</v>
      </c>
      <c r="F7" s="75"/>
      <c r="G7" s="75"/>
      <c r="H7" s="75">
        <v>19837.400000000001</v>
      </c>
      <c r="I7" s="75"/>
      <c r="J7" s="75">
        <v>14039.850000000002</v>
      </c>
      <c r="K7" s="75"/>
      <c r="L7" s="75">
        <v>23399.750000000004</v>
      </c>
      <c r="M7" s="75"/>
      <c r="N7" s="75">
        <v>23958.550000000003</v>
      </c>
      <c r="O7" s="75">
        <v>23399.750000000004</v>
      </c>
      <c r="P7" s="75"/>
      <c r="Q7" s="75">
        <v>23399.750000000004</v>
      </c>
      <c r="R7" s="75">
        <v>23958.550000000003</v>
      </c>
      <c r="S7" s="75">
        <v>37439.600000000006</v>
      </c>
      <c r="T7" s="75">
        <f t="shared" si="0"/>
        <v>273994.25</v>
      </c>
    </row>
    <row r="8" spans="1:20" x14ac:dyDescent="0.2">
      <c r="A8" s="73" t="s">
        <v>172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>
        <v>32969.200000000004</v>
      </c>
      <c r="N8" s="75"/>
      <c r="O8" s="75"/>
      <c r="P8" s="75"/>
      <c r="Q8" s="75"/>
      <c r="R8" s="75"/>
      <c r="S8" s="75"/>
      <c r="T8" s="75">
        <f t="shared" si="0"/>
        <v>32969.200000000004</v>
      </c>
    </row>
    <row r="9" spans="1:20" x14ac:dyDescent="0.2">
      <c r="A9" s="73" t="s">
        <v>81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61976.090000000011</v>
      </c>
      <c r="N9" s="75"/>
      <c r="O9" s="75"/>
      <c r="P9" s="75">
        <v>26892.250000000004</v>
      </c>
      <c r="Q9" s="75"/>
      <c r="R9" s="75"/>
      <c r="S9" s="75"/>
      <c r="T9" s="75">
        <f t="shared" si="0"/>
        <v>88868.340000000011</v>
      </c>
    </row>
    <row r="10" spans="1:20" x14ac:dyDescent="0.2">
      <c r="A10" s="73" t="s">
        <v>80</v>
      </c>
      <c r="B10" s="75"/>
      <c r="C10" s="75">
        <v>0</v>
      </c>
      <c r="D10" s="75"/>
      <c r="E10" s="75"/>
      <c r="F10" s="75"/>
      <c r="G10" s="75"/>
      <c r="H10" s="75"/>
      <c r="I10" s="75"/>
      <c r="J10" s="75"/>
      <c r="K10" s="75"/>
      <c r="L10" s="75"/>
      <c r="M10" s="75">
        <v>0</v>
      </c>
      <c r="N10" s="75"/>
      <c r="O10" s="75"/>
      <c r="P10" s="75">
        <v>2497.4500000000007</v>
      </c>
      <c r="Q10" s="75"/>
      <c r="R10" s="75"/>
      <c r="S10" s="75"/>
      <c r="T10" s="75">
        <f t="shared" si="0"/>
        <v>2497.4500000000007</v>
      </c>
    </row>
    <row r="11" spans="1:20" x14ac:dyDescent="0.2">
      <c r="A11" s="73" t="s">
        <v>121</v>
      </c>
      <c r="B11" s="75"/>
      <c r="C11" s="75"/>
      <c r="D11" s="75">
        <v>0</v>
      </c>
      <c r="E11" s="75"/>
      <c r="F11" s="75"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>
        <f t="shared" si="0"/>
        <v>0</v>
      </c>
    </row>
    <row r="12" spans="1:20" x14ac:dyDescent="0.2">
      <c r="A12" s="73" t="s">
        <v>99</v>
      </c>
      <c r="B12" s="75"/>
      <c r="C12" s="75"/>
      <c r="D12" s="75"/>
      <c r="E12" s="75"/>
      <c r="F12" s="75"/>
      <c r="G12" s="75"/>
      <c r="H12" s="75">
        <v>0</v>
      </c>
      <c r="I12" s="75"/>
      <c r="J12" s="75"/>
      <c r="K12" s="75">
        <v>47828.500000000007</v>
      </c>
      <c r="L12" s="75"/>
      <c r="M12" s="75"/>
      <c r="N12" s="75"/>
      <c r="O12" s="75"/>
      <c r="P12" s="75"/>
      <c r="Q12" s="75"/>
      <c r="R12" s="75"/>
      <c r="S12" s="75"/>
      <c r="T12" s="75">
        <f t="shared" si="0"/>
        <v>47828.500000000007</v>
      </c>
    </row>
    <row r="13" spans="1:20" x14ac:dyDescent="0.2">
      <c r="A13" s="73" t="s">
        <v>83</v>
      </c>
      <c r="B13" s="75"/>
      <c r="C13" s="75"/>
      <c r="D13" s="75"/>
      <c r="E13" s="75"/>
      <c r="F13" s="75"/>
      <c r="G13" s="75"/>
      <c r="H13" s="75">
        <v>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f t="shared" si="0"/>
        <v>0</v>
      </c>
    </row>
    <row r="14" spans="1:20" x14ac:dyDescent="0.2">
      <c r="A14" s="73" t="s">
        <v>88</v>
      </c>
      <c r="B14" s="75">
        <v>0</v>
      </c>
      <c r="C14" s="75"/>
      <c r="D14" s="75"/>
      <c r="E14" s="75"/>
      <c r="F14" s="75"/>
      <c r="G14" s="75"/>
      <c r="H14" s="75">
        <v>0</v>
      </c>
      <c r="I14" s="75"/>
      <c r="J14" s="75"/>
      <c r="K14" s="75">
        <v>4019.9499999999971</v>
      </c>
      <c r="L14" s="75"/>
      <c r="M14" s="75"/>
      <c r="N14" s="75"/>
      <c r="O14" s="75"/>
      <c r="P14" s="75"/>
      <c r="Q14" s="75"/>
      <c r="R14" s="75"/>
      <c r="S14" s="75"/>
      <c r="T14" s="75">
        <f t="shared" si="0"/>
        <v>4019.9499999999971</v>
      </c>
    </row>
    <row r="15" spans="1:20" x14ac:dyDescent="0.2">
      <c r="A15" s="73" t="s">
        <v>128</v>
      </c>
      <c r="B15" s="75"/>
      <c r="C15" s="75"/>
      <c r="D15" s="75"/>
      <c r="E15" s="75"/>
      <c r="F15" s="75"/>
      <c r="G15" s="75"/>
      <c r="H15" s="75">
        <v>21379.051175000001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>
        <f t="shared" si="0"/>
        <v>21379.051175000001</v>
      </c>
    </row>
    <row r="16" spans="1:20" x14ac:dyDescent="0.2">
      <c r="A16" s="73" t="s">
        <v>96</v>
      </c>
      <c r="B16" s="75">
        <f>SUM(B5:B15)</f>
        <v>5001.9000000000015</v>
      </c>
      <c r="C16" s="75">
        <f t="shared" ref="C16:T16" si="1">SUM(C5:C15)</f>
        <v>28079.700000000004</v>
      </c>
      <c r="D16" s="75">
        <f t="shared" si="1"/>
        <v>37439.600000000006</v>
      </c>
      <c r="E16" s="75">
        <f t="shared" si="1"/>
        <v>14039.850000000002</v>
      </c>
      <c r="F16" s="75">
        <f t="shared" si="1"/>
        <v>0</v>
      </c>
      <c r="G16" s="75">
        <f t="shared" si="1"/>
        <v>2699.7200000000003</v>
      </c>
      <c r="H16" s="75">
        <f t="shared" si="1"/>
        <v>42376.551175000001</v>
      </c>
      <c r="I16" s="75">
        <f t="shared" si="1"/>
        <v>0</v>
      </c>
      <c r="J16" s="75">
        <f t="shared" si="1"/>
        <v>14039.850000000002</v>
      </c>
      <c r="K16" s="75">
        <f t="shared" si="1"/>
        <v>51848.450000000004</v>
      </c>
      <c r="L16" s="75">
        <f t="shared" si="1"/>
        <v>23399.750000000004</v>
      </c>
      <c r="M16" s="75">
        <f t="shared" si="1"/>
        <v>94945.290000000008</v>
      </c>
      <c r="N16" s="75">
        <f t="shared" si="1"/>
        <v>23958.550000000003</v>
      </c>
      <c r="O16" s="75">
        <f t="shared" si="1"/>
        <v>23399.750000000004</v>
      </c>
      <c r="P16" s="75">
        <f t="shared" si="1"/>
        <v>29389.700000000004</v>
      </c>
      <c r="Q16" s="75">
        <f t="shared" si="1"/>
        <v>23399.750000000004</v>
      </c>
      <c r="R16" s="75">
        <f t="shared" si="1"/>
        <v>23958.550000000003</v>
      </c>
      <c r="S16" s="75">
        <f t="shared" si="1"/>
        <v>37439.600000000006</v>
      </c>
      <c r="T16" s="75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tabSelected="1"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3" t="s">
        <v>52</v>
      </c>
      <c r="F3" s="83"/>
      <c r="G3" s="84">
        <v>10.31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494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495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495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496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496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497</v>
      </c>
      <c r="C96" s="9" t="s">
        <v>108</v>
      </c>
      <c r="D96" s="13" t="s">
        <v>498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500</v>
      </c>
      <c r="C97" s="9" t="s">
        <v>108</v>
      </c>
      <c r="D97" s="13" t="s">
        <v>501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499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504</v>
      </c>
      <c r="C99" s="9" t="s">
        <v>108</v>
      </c>
      <c r="D99" s="13" t="s">
        <v>505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499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303</v>
      </c>
      <c r="C104" s="9" t="s">
        <v>142</v>
      </c>
      <c r="D104" s="13" t="s">
        <v>277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205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304</v>
      </c>
      <c r="C105" s="9" t="s">
        <v>142</v>
      </c>
      <c r="D105" s="13" t="s">
        <v>259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267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285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279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281</v>
      </c>
      <c r="C107" s="9" t="s">
        <v>142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283</v>
      </c>
      <c r="C108" s="9" t="s">
        <v>142</v>
      </c>
      <c r="D108" s="13" t="s">
        <v>278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284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336</v>
      </c>
      <c r="C110" s="9" t="s">
        <v>108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274</v>
      </c>
      <c r="C111" s="9" t="s">
        <v>79</v>
      </c>
      <c r="D111" s="13" t="s">
        <v>264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340</v>
      </c>
      <c r="C113" s="9" t="s">
        <v>108</v>
      </c>
      <c r="D113" s="13" t="s">
        <v>309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293</v>
      </c>
      <c r="C114" s="9" t="s">
        <v>108</v>
      </c>
      <c r="D114" s="13" t="s">
        <v>291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506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306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302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437</v>
      </c>
      <c r="C142" s="9" t="s">
        <v>411</v>
      </c>
      <c r="D142" s="13" t="s">
        <v>438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437</v>
      </c>
      <c r="C143" s="9" t="s">
        <v>411</v>
      </c>
      <c r="D143" s="13" t="s">
        <v>439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440</v>
      </c>
      <c r="C144" s="9" t="s">
        <v>325</v>
      </c>
      <c r="D144" s="13" t="s">
        <v>441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509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448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474</v>
      </c>
      <c r="C150" s="9" t="s">
        <v>79</v>
      </c>
      <c r="D150" s="13" t="s">
        <v>475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476</v>
      </c>
      <c r="C151" s="9" t="s">
        <v>79</v>
      </c>
      <c r="D151" s="13" t="s">
        <v>477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480</v>
      </c>
      <c r="C152" s="9" t="s">
        <v>79</v>
      </c>
      <c r="D152" s="13" t="s">
        <v>481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510</v>
      </c>
      <c r="C153" s="9" t="s">
        <v>108</v>
      </c>
      <c r="D153" s="13" t="s">
        <v>511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411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407</v>
      </c>
      <c r="D166" s="13" t="s">
        <v>512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407</v>
      </c>
      <c r="D167" s="13" t="s">
        <v>513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385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3" t="s">
        <v>52</v>
      </c>
      <c r="F3" s="83"/>
      <c r="G3" s="84">
        <v>11.12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386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305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303</v>
      </c>
      <c r="C100" s="9" t="s">
        <v>142</v>
      </c>
      <c r="D100" s="13" t="s">
        <v>277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304</v>
      </c>
      <c r="C101" s="9" t="s">
        <v>142</v>
      </c>
      <c r="D101" s="13" t="s">
        <v>259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267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285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279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281</v>
      </c>
      <c r="C103" s="9" t="s">
        <v>142</v>
      </c>
      <c r="D103" s="13" t="s">
        <v>276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283</v>
      </c>
      <c r="C104" s="9" t="s">
        <v>142</v>
      </c>
      <c r="D104" s="13" t="s">
        <v>278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284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336</v>
      </c>
      <c r="C106" s="9" t="s">
        <v>108</v>
      </c>
      <c r="D106" s="13" t="s">
        <v>337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306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305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307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306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308</v>
      </c>
      <c r="BD123" s="56">
        <v>0</v>
      </c>
    </row>
    <row r="124" spans="1:56" ht="27.75" customHeight="1" x14ac:dyDescent="0.45">
      <c r="A124" s="3">
        <v>45857</v>
      </c>
      <c r="B124" s="14" t="s">
        <v>384</v>
      </c>
      <c r="C124" s="9" t="s">
        <v>142</v>
      </c>
      <c r="D124" s="13" t="s">
        <v>302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390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302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220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437</v>
      </c>
      <c r="C137" s="9" t="s">
        <v>411</v>
      </c>
      <c r="D137" s="13" t="s">
        <v>439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468</v>
      </c>
      <c r="C139" s="9" t="s">
        <v>112</v>
      </c>
      <c r="D139" s="13" t="s">
        <v>448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468</v>
      </c>
      <c r="C140" s="9" t="s">
        <v>112</v>
      </c>
      <c r="D140" s="13" t="s">
        <v>450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411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368</v>
      </c>
      <c r="C150" s="9" t="s">
        <v>79</v>
      </c>
      <c r="D150" s="13" t="s">
        <v>369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370</v>
      </c>
      <c r="C151" s="9" t="s">
        <v>79</v>
      </c>
      <c r="D151" s="13" t="s">
        <v>371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310</v>
      </c>
      <c r="C152" s="9" t="s">
        <v>108</v>
      </c>
      <c r="D152" s="13" t="s">
        <v>292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209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213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232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406</v>
      </c>
      <c r="C158" s="9" t="s">
        <v>407</v>
      </c>
      <c r="D158" s="13" t="s">
        <v>416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229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491</v>
      </c>
      <c r="D162" s="13" t="s">
        <v>492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343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344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343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344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260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205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225</v>
      </c>
      <c r="BD167" s="56">
        <v>0</v>
      </c>
    </row>
    <row r="168" spans="1:56" ht="27.75" customHeight="1" x14ac:dyDescent="0.45">
      <c r="A168" s="3">
        <v>45601</v>
      </c>
      <c r="B168" s="14" t="s">
        <v>202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385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249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478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202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385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249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479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385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206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206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207</v>
      </c>
      <c r="BD177" s="56">
        <v>0</v>
      </c>
    </row>
    <row r="178" spans="1:56" ht="27.75" customHeight="1" x14ac:dyDescent="0.45">
      <c r="A178" s="3">
        <v>45861</v>
      </c>
      <c r="B178" s="14" t="s">
        <v>423</v>
      </c>
      <c r="C178" s="9" t="s">
        <v>110</v>
      </c>
      <c r="D178" s="13" t="s">
        <v>221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226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311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226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424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226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391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3" t="s">
        <v>52</v>
      </c>
      <c r="F3" s="83"/>
      <c r="G3" s="84">
        <v>10.27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347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358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358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358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358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360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360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395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435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364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364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364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197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397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392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398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398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398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392</v>
      </c>
      <c r="C38" s="9" t="s">
        <v>73</v>
      </c>
      <c r="D38" s="13" t="s">
        <v>363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398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346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366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393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366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399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399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394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386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359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400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396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401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401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401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355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401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297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402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298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402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402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402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299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455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455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456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455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455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457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459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327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459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459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459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297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461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298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461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328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461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330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461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197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462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462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462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362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462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457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462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471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472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280</v>
      </c>
      <c r="C81" s="9" t="s">
        <v>142</v>
      </c>
      <c r="D81" s="13" t="s">
        <v>275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205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200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201</v>
      </c>
      <c r="BD82" s="56">
        <v>0</v>
      </c>
    </row>
    <row r="83" spans="1:56" ht="27.75" customHeight="1" x14ac:dyDescent="0.45">
      <c r="A83" s="3">
        <v>45857</v>
      </c>
      <c r="B83" s="14" t="s">
        <v>381</v>
      </c>
      <c r="C83" s="9" t="s">
        <v>142</v>
      </c>
      <c r="D83" s="13" t="s">
        <v>258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296</v>
      </c>
      <c r="C84" s="9" t="s">
        <v>79</v>
      </c>
      <c r="D84" s="13" t="s">
        <v>234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335</v>
      </c>
      <c r="C85" s="9" t="s">
        <v>79</v>
      </c>
      <c r="D85" s="13" t="s">
        <v>334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430</v>
      </c>
      <c r="C86" s="9" t="s">
        <v>79</v>
      </c>
      <c r="D86" s="13" t="s">
        <v>242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463</v>
      </c>
      <c r="C87" s="9" t="s">
        <v>79</v>
      </c>
      <c r="D87" s="13" t="s">
        <v>464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465</v>
      </c>
      <c r="C88" s="9" t="s">
        <v>79</v>
      </c>
      <c r="D88" s="13" t="s">
        <v>466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338</v>
      </c>
      <c r="C89" s="9" t="s">
        <v>108</v>
      </c>
      <c r="D89" s="13" t="s">
        <v>339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341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473</v>
      </c>
      <c r="C91" s="9" t="s">
        <v>300</v>
      </c>
      <c r="D91" s="13" t="s">
        <v>342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473</v>
      </c>
      <c r="C92" s="9" t="s">
        <v>300</v>
      </c>
      <c r="D92" s="13" t="s">
        <v>442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305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303</v>
      </c>
      <c r="C97" s="9" t="s">
        <v>142</v>
      </c>
      <c r="D97" s="13" t="s">
        <v>277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205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304</v>
      </c>
      <c r="C98" s="9" t="s">
        <v>142</v>
      </c>
      <c r="D98" s="13" t="s">
        <v>259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313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286</v>
      </c>
      <c r="C101" s="9" t="s">
        <v>142</v>
      </c>
      <c r="D101" s="13" t="s">
        <v>239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281</v>
      </c>
      <c r="C102" s="9" t="s">
        <v>142</v>
      </c>
      <c r="D102" s="13" t="s">
        <v>276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283</v>
      </c>
      <c r="C103" s="9" t="s">
        <v>142</v>
      </c>
      <c r="D103" s="13" t="s">
        <v>278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284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336</v>
      </c>
      <c r="C105" s="9" t="s">
        <v>108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274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305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306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308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437</v>
      </c>
      <c r="C135" s="9" t="s">
        <v>411</v>
      </c>
      <c r="D135" s="13" t="s">
        <v>438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410</v>
      </c>
      <c r="C138" s="9" t="s">
        <v>411</v>
      </c>
      <c r="D138" s="13" t="s">
        <v>412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447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410</v>
      </c>
      <c r="C139" s="9" t="s">
        <v>411</v>
      </c>
      <c r="D139" s="13" t="s">
        <v>413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447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414</v>
      </c>
      <c r="C140" s="9" t="s">
        <v>411</v>
      </c>
      <c r="D140" s="13" t="s">
        <v>415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447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411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368</v>
      </c>
      <c r="C152" s="9" t="s">
        <v>79</v>
      </c>
      <c r="D152" s="13" t="s">
        <v>369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370</v>
      </c>
      <c r="C153" s="9" t="s">
        <v>79</v>
      </c>
      <c r="D153" s="13" t="s">
        <v>371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310</v>
      </c>
      <c r="C154" s="9" t="s">
        <v>108</v>
      </c>
      <c r="D154" s="13" t="s">
        <v>292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209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230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212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231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213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232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406</v>
      </c>
      <c r="C160" s="9" t="s">
        <v>407</v>
      </c>
      <c r="D160" s="13" t="s">
        <v>416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229</v>
      </c>
      <c r="D161" s="13" t="s">
        <v>229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229</v>
      </c>
      <c r="D166" s="13" t="s">
        <v>61</v>
      </c>
      <c r="E166" s="9">
        <v>23</v>
      </c>
      <c r="F166" s="9">
        <v>34</v>
      </c>
      <c r="G166" s="9" t="s">
        <v>343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344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343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344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260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205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226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385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478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202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385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249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479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202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385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249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372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206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206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207</v>
      </c>
      <c r="BD179" s="56">
        <v>0</v>
      </c>
    </row>
    <row r="180" spans="1:56" ht="27.75" customHeight="1" x14ac:dyDescent="0.45">
      <c r="A180" s="3">
        <v>45861</v>
      </c>
      <c r="B180" s="14" t="s">
        <v>423</v>
      </c>
      <c r="C180" s="9" t="s">
        <v>110</v>
      </c>
      <c r="D180" s="13" t="s">
        <v>221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226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311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226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424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226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391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3" t="s">
        <v>52</v>
      </c>
      <c r="F3" s="83"/>
      <c r="G3" s="84">
        <v>9.1999999999999993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392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398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366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366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392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399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347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358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298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358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358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346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358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360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360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360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350</v>
      </c>
      <c r="C33" s="9" t="s">
        <v>73</v>
      </c>
      <c r="D33" s="13" t="s">
        <v>362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360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395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435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364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364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364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197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397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398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392</v>
      </c>
      <c r="C40" s="9" t="s">
        <v>73</v>
      </c>
      <c r="D40" s="13" t="s">
        <v>329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398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398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398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366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312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393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346</v>
      </c>
      <c r="C47" s="9" t="s">
        <v>73</v>
      </c>
      <c r="D47" s="13" t="s">
        <v>347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366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299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399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197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399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394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386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272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400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401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328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401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329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401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401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297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402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402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330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402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347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402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299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272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455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456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455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367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455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457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455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458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327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459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329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459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460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459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459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298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461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461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461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461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197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462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462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331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462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362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462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457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462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471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472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280</v>
      </c>
      <c r="C85" s="9" t="s">
        <v>142</v>
      </c>
      <c r="D85" s="13" t="s">
        <v>275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200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201</v>
      </c>
      <c r="BD86" s="56">
        <v>0</v>
      </c>
    </row>
    <row r="87" spans="1:56" ht="27.75" customHeight="1" x14ac:dyDescent="0.45">
      <c r="A87" s="3">
        <v>45857</v>
      </c>
      <c r="B87" s="14" t="s">
        <v>381</v>
      </c>
      <c r="C87" s="9" t="s">
        <v>142</v>
      </c>
      <c r="D87" s="13" t="s">
        <v>258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296</v>
      </c>
      <c r="C88" s="9" t="s">
        <v>79</v>
      </c>
      <c r="D88" s="13" t="s">
        <v>234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335</v>
      </c>
      <c r="C89" s="9" t="s">
        <v>79</v>
      </c>
      <c r="D89" s="13" t="s">
        <v>334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430</v>
      </c>
      <c r="C90" s="9" t="s">
        <v>79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463</v>
      </c>
      <c r="C91" s="9" t="s">
        <v>79</v>
      </c>
      <c r="D91" s="13" t="s">
        <v>464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465</v>
      </c>
      <c r="C92" s="9" t="s">
        <v>79</v>
      </c>
      <c r="D92" s="13" t="s">
        <v>466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338</v>
      </c>
      <c r="C93" s="9" t="s">
        <v>108</v>
      </c>
      <c r="D93" s="13" t="s">
        <v>339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473</v>
      </c>
      <c r="C94" s="9" t="s">
        <v>300</v>
      </c>
      <c r="D94" s="13" t="s">
        <v>341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473</v>
      </c>
      <c r="C95" s="9" t="s">
        <v>300</v>
      </c>
      <c r="D95" s="13" t="s">
        <v>342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473</v>
      </c>
      <c r="C96" s="9" t="s">
        <v>300</v>
      </c>
      <c r="D96" s="13" t="s">
        <v>442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305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303</v>
      </c>
      <c r="C101" s="9" t="s">
        <v>142</v>
      </c>
      <c r="D101" s="13" t="s">
        <v>277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205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304</v>
      </c>
      <c r="C102" s="9" t="s">
        <v>142</v>
      </c>
      <c r="D102" s="13" t="s">
        <v>259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267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313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285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279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286</v>
      </c>
      <c r="C105" s="9" t="s">
        <v>142</v>
      </c>
      <c r="D105" s="13" t="s">
        <v>239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294</v>
      </c>
      <c r="C111" s="9" t="s">
        <v>289</v>
      </c>
      <c r="D111" s="13" t="s">
        <v>290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220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340</v>
      </c>
      <c r="C112" s="9" t="s">
        <v>108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274</v>
      </c>
      <c r="C114" s="9" t="s">
        <v>79</v>
      </c>
      <c r="D114" s="13" t="s">
        <v>264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383</v>
      </c>
      <c r="C128" s="9" t="s">
        <v>142</v>
      </c>
      <c r="D128" s="13" t="s">
        <v>301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389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437</v>
      </c>
      <c r="C139" s="9" t="s">
        <v>411</v>
      </c>
      <c r="D139" s="13" t="s">
        <v>438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437</v>
      </c>
      <c r="C140" s="9" t="s">
        <v>411</v>
      </c>
      <c r="D140" s="13" t="s">
        <v>439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440</v>
      </c>
      <c r="C141" s="9" t="s">
        <v>325</v>
      </c>
      <c r="D141" s="13" t="s">
        <v>441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410</v>
      </c>
      <c r="C142" s="9" t="s">
        <v>411</v>
      </c>
      <c r="D142" s="13" t="s">
        <v>412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447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410</v>
      </c>
      <c r="C143" s="9" t="s">
        <v>411</v>
      </c>
      <c r="D143" s="13" t="s">
        <v>413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447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414</v>
      </c>
      <c r="C144" s="9" t="s">
        <v>411</v>
      </c>
      <c r="D144" s="13" t="s">
        <v>415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447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474</v>
      </c>
      <c r="C145" s="9" t="s">
        <v>79</v>
      </c>
      <c r="D145" s="13" t="s">
        <v>475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476</v>
      </c>
      <c r="C146" s="9" t="s">
        <v>79</v>
      </c>
      <c r="D146" s="13" t="s">
        <v>477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411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229</v>
      </c>
      <c r="D165" s="13" t="s">
        <v>229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61</v>
      </c>
      <c r="E170" s="9">
        <v>23</v>
      </c>
      <c r="F170" s="9">
        <v>34</v>
      </c>
      <c r="G170" s="9" t="s">
        <v>343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344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343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344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260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205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226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224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225</v>
      </c>
      <c r="BD173" s="56">
        <v>0</v>
      </c>
    </row>
    <row r="174" spans="1:56" ht="27.75" customHeight="1" x14ac:dyDescent="0.45">
      <c r="A174" s="3">
        <v>45601</v>
      </c>
      <c r="B174" s="14" t="s">
        <v>202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385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249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478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202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385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249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479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202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385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249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372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206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206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207</v>
      </c>
      <c r="BD183" s="56">
        <v>0</v>
      </c>
    </row>
    <row r="184" spans="1:56" ht="27.75" customHeight="1" x14ac:dyDescent="0.45">
      <c r="A184" s="3">
        <v>45861</v>
      </c>
      <c r="B184" s="14" t="s">
        <v>423</v>
      </c>
      <c r="C184" s="9" t="s">
        <v>110</v>
      </c>
      <c r="D184" s="13" t="s">
        <v>221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226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311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226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424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226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391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3" t="s">
        <v>52</v>
      </c>
      <c r="F3" s="83"/>
      <c r="G3" s="84">
        <v>8.35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398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366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366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399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358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346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358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360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350</v>
      </c>
      <c r="C41" s="9" t="s">
        <v>73</v>
      </c>
      <c r="D41" s="13" t="s">
        <v>361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360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350</v>
      </c>
      <c r="C42" s="9" t="s">
        <v>73</v>
      </c>
      <c r="D42" s="13" t="s">
        <v>362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360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392</v>
      </c>
      <c r="C43" s="9" t="s">
        <v>73</v>
      </c>
      <c r="D43" s="13" t="s">
        <v>327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395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435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364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346</v>
      </c>
      <c r="C45" s="9" t="s">
        <v>73</v>
      </c>
      <c r="D45" s="13" t="s">
        <v>365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364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346</v>
      </c>
      <c r="C46" s="9" t="s">
        <v>73</v>
      </c>
      <c r="D46" s="13" t="s">
        <v>328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364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397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398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398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366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8" t="s">
        <v>469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8" t="s">
        <v>469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312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393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346</v>
      </c>
      <c r="C56" s="9" t="s">
        <v>73</v>
      </c>
      <c r="D56" s="13" t="s">
        <v>347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366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299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299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455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272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455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456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455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455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457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455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458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459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327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459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329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459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460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459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355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459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454</v>
      </c>
      <c r="C81" s="9" t="s">
        <v>73</v>
      </c>
      <c r="D81" s="13" t="s">
        <v>297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461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454</v>
      </c>
      <c r="C82" s="9" t="s">
        <v>73</v>
      </c>
      <c r="D82" s="13" t="s">
        <v>298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461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454</v>
      </c>
      <c r="C83" s="9" t="s">
        <v>73</v>
      </c>
      <c r="D83" s="13" t="s">
        <v>328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461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454</v>
      </c>
      <c r="C84" s="9" t="s">
        <v>73</v>
      </c>
      <c r="D84" s="13" t="s">
        <v>330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461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454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461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454</v>
      </c>
      <c r="C86" s="9" t="s">
        <v>73</v>
      </c>
      <c r="D86" s="13" t="s">
        <v>197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462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454</v>
      </c>
      <c r="C87" s="9" t="s">
        <v>73</v>
      </c>
      <c r="D87" s="13" t="s">
        <v>361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462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454</v>
      </c>
      <c r="C88" s="9" t="s">
        <v>73</v>
      </c>
      <c r="D88" s="13" t="s">
        <v>331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462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454</v>
      </c>
      <c r="C89" s="9" t="s">
        <v>73</v>
      </c>
      <c r="D89" s="13" t="s">
        <v>362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462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457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462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8" t="s">
        <v>469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8" t="s">
        <v>469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280</v>
      </c>
      <c r="C94" s="9" t="s">
        <v>142</v>
      </c>
      <c r="D94" s="13" t="s">
        <v>275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200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201</v>
      </c>
      <c r="BD95" s="56">
        <v>0</v>
      </c>
    </row>
    <row r="96" spans="1:56" ht="27.75" hidden="1" customHeight="1" x14ac:dyDescent="0.45">
      <c r="A96" s="3">
        <v>45857</v>
      </c>
      <c r="B96" s="14" t="s">
        <v>381</v>
      </c>
      <c r="C96" s="9" t="s">
        <v>142</v>
      </c>
      <c r="D96" s="13" t="s">
        <v>258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296</v>
      </c>
      <c r="C97" s="9" t="s">
        <v>79</v>
      </c>
      <c r="D97" s="13" t="s">
        <v>234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335</v>
      </c>
      <c r="C98" s="9" t="s">
        <v>79</v>
      </c>
      <c r="D98" s="13" t="s">
        <v>334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430</v>
      </c>
      <c r="C99" s="9" t="s">
        <v>79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463</v>
      </c>
      <c r="C100" s="9" t="s">
        <v>79</v>
      </c>
      <c r="D100" s="13" t="s">
        <v>464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338</v>
      </c>
      <c r="C101" s="9" t="s">
        <v>108</v>
      </c>
      <c r="D101" s="13" t="s">
        <v>339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300</v>
      </c>
      <c r="D102" s="13" t="s">
        <v>341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300</v>
      </c>
      <c r="D103" s="13" t="s">
        <v>342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300</v>
      </c>
      <c r="D104" s="13" t="s">
        <v>442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465</v>
      </c>
      <c r="C106" s="9" t="s">
        <v>79</v>
      </c>
      <c r="D106" s="13" t="s">
        <v>466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305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303</v>
      </c>
      <c r="C110" s="9" t="s">
        <v>142</v>
      </c>
      <c r="D110" s="13" t="s">
        <v>277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304</v>
      </c>
      <c r="C111" s="9" t="s">
        <v>142</v>
      </c>
      <c r="D111" s="13" t="s">
        <v>259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267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313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285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279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286</v>
      </c>
      <c r="C114" s="9" t="s">
        <v>142</v>
      </c>
      <c r="D114" s="13" t="s">
        <v>239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281</v>
      </c>
      <c r="C115" s="9" t="s">
        <v>142</v>
      </c>
      <c r="D115" s="13" t="s">
        <v>276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283</v>
      </c>
      <c r="C116" s="9" t="s">
        <v>142</v>
      </c>
      <c r="D116" s="13" t="s">
        <v>278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284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336</v>
      </c>
      <c r="C118" s="9" t="s">
        <v>108</v>
      </c>
      <c r="D118" s="13" t="s">
        <v>337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274</v>
      </c>
      <c r="C119" s="9" t="s">
        <v>79</v>
      </c>
      <c r="D119" s="13" t="s">
        <v>264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294</v>
      </c>
      <c r="C120" s="9" t="s">
        <v>289</v>
      </c>
      <c r="D120" s="13" t="s">
        <v>290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220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340</v>
      </c>
      <c r="C121" s="9" t="s">
        <v>108</v>
      </c>
      <c r="D121" s="13" t="s">
        <v>309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293</v>
      </c>
      <c r="C122" s="9" t="s">
        <v>108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274</v>
      </c>
      <c r="C123" s="9" t="s">
        <v>79</v>
      </c>
      <c r="D123" s="13" t="s">
        <v>264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241</v>
      </c>
      <c r="C124" s="9" t="s">
        <v>142</v>
      </c>
      <c r="D124" s="13" t="s">
        <v>240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204</v>
      </c>
      <c r="C125" s="9" t="s">
        <v>142</v>
      </c>
      <c r="D125" s="13" t="s">
        <v>203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262</v>
      </c>
      <c r="C128" s="9" t="s">
        <v>108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265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236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195</v>
      </c>
      <c r="C132" s="9" t="s">
        <v>108</v>
      </c>
      <c r="D132" s="13" t="s">
        <v>196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305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306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307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306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308</v>
      </c>
      <c r="BD135" s="56">
        <v>0</v>
      </c>
    </row>
    <row r="136" spans="1:56" ht="27.75" customHeight="1" x14ac:dyDescent="0.45">
      <c r="A136" s="3">
        <v>45857</v>
      </c>
      <c r="B136" s="14" t="s">
        <v>384</v>
      </c>
      <c r="C136" s="9" t="s">
        <v>142</v>
      </c>
      <c r="D136" s="13" t="s">
        <v>302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205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220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390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383</v>
      </c>
      <c r="C137" s="9" t="s">
        <v>142</v>
      </c>
      <c r="D137" s="13" t="s">
        <v>301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220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389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431</v>
      </c>
      <c r="C138" s="9" t="s">
        <v>85</v>
      </c>
      <c r="D138" s="13" t="s">
        <v>417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198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323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432</v>
      </c>
      <c r="C139" s="9" t="s">
        <v>85</v>
      </c>
      <c r="D139" s="13" t="s">
        <v>322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198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323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433</v>
      </c>
      <c r="C140" s="9" t="s">
        <v>85</v>
      </c>
      <c r="D140" s="13" t="s">
        <v>418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198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323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433</v>
      </c>
      <c r="C141" s="9" t="s">
        <v>85</v>
      </c>
      <c r="D141" s="13" t="s">
        <v>421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198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323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434</v>
      </c>
      <c r="C142" s="9" t="s">
        <v>85</v>
      </c>
      <c r="D142" s="13" t="s">
        <v>419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198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323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434</v>
      </c>
      <c r="C143" s="9" t="s">
        <v>85</v>
      </c>
      <c r="D143" s="13" t="s">
        <v>420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198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323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467</v>
      </c>
      <c r="C144" s="9" t="s">
        <v>85</v>
      </c>
      <c r="D144" s="13" t="s">
        <v>445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198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273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467</v>
      </c>
      <c r="C145" s="9" t="s">
        <v>85</v>
      </c>
      <c r="D145" s="13" t="s">
        <v>446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198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273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220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437</v>
      </c>
      <c r="C148" s="9" t="s">
        <v>411</v>
      </c>
      <c r="D148" s="13" t="s">
        <v>438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437</v>
      </c>
      <c r="C149" s="9" t="s">
        <v>411</v>
      </c>
      <c r="D149" s="13" t="s">
        <v>439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440</v>
      </c>
      <c r="C150" s="9" t="s">
        <v>325</v>
      </c>
      <c r="D150" s="13" t="s">
        <v>441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410</v>
      </c>
      <c r="C151" s="9" t="s">
        <v>411</v>
      </c>
      <c r="D151" s="13" t="s">
        <v>412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447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410</v>
      </c>
      <c r="C152" s="9" t="s">
        <v>411</v>
      </c>
      <c r="D152" s="13" t="s">
        <v>413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447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414</v>
      </c>
      <c r="C153" s="9" t="s">
        <v>411</v>
      </c>
      <c r="D153" s="13" t="s">
        <v>415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447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468</v>
      </c>
      <c r="C154" s="9" t="s">
        <v>112</v>
      </c>
      <c r="D154" s="13" t="s">
        <v>448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449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468</v>
      </c>
      <c r="C155" s="9" t="s">
        <v>112</v>
      </c>
      <c r="D155" s="13" t="s">
        <v>450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449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468</v>
      </c>
      <c r="C156" s="9" t="s">
        <v>112</v>
      </c>
      <c r="D156" s="13" t="s">
        <v>451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449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468</v>
      </c>
      <c r="C157" s="9" t="s">
        <v>112</v>
      </c>
      <c r="D157" s="13" t="s">
        <v>452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449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468</v>
      </c>
      <c r="C158" s="9" t="s">
        <v>112</v>
      </c>
      <c r="D158" s="13" t="s">
        <v>453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449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411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368</v>
      </c>
      <c r="C162" s="9" t="s">
        <v>79</v>
      </c>
      <c r="D162" s="13" t="s">
        <v>369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370</v>
      </c>
      <c r="C163" s="9" t="s">
        <v>79</v>
      </c>
      <c r="D163" s="13" t="s">
        <v>371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310</v>
      </c>
      <c r="C164" s="9" t="s">
        <v>108</v>
      </c>
      <c r="D164" s="13" t="s">
        <v>292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209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213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232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406</v>
      </c>
      <c r="C171" s="9" t="s">
        <v>407</v>
      </c>
      <c r="D171" s="13" t="s">
        <v>416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229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235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229</v>
      </c>
      <c r="D177" s="13" t="s">
        <v>61</v>
      </c>
      <c r="E177" s="9">
        <v>23</v>
      </c>
      <c r="F177" s="9">
        <v>34</v>
      </c>
      <c r="G177" s="9" t="s">
        <v>343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344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343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344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260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205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224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226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224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225</v>
      </c>
      <c r="BD180" s="56">
        <v>0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385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249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385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249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372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customHeight="1" x14ac:dyDescent="0.45">
      <c r="A190" s="3">
        <v>45861</v>
      </c>
      <c r="B190" s="14" t="s">
        <v>423</v>
      </c>
      <c r="C190" s="9" t="s">
        <v>110</v>
      </c>
      <c r="D190" s="13" t="s">
        <v>221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226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3" t="s">
        <v>52</v>
      </c>
      <c r="F3" s="83"/>
      <c r="G3" s="84">
        <v>9.49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5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358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358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354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350</v>
      </c>
      <c r="C35" s="9" t="s">
        <v>73</v>
      </c>
      <c r="D35" s="13" t="s">
        <v>359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360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350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360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360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362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327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395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435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346</v>
      </c>
      <c r="C40" s="9" t="s">
        <v>73</v>
      </c>
      <c r="D40" s="13" t="s">
        <v>327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364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346</v>
      </c>
      <c r="C41" s="9" t="s">
        <v>73</v>
      </c>
      <c r="D41" s="13" t="s">
        <v>365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364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364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398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398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398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363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393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346</v>
      </c>
      <c r="C50" s="9" t="s">
        <v>73</v>
      </c>
      <c r="D50" s="13" t="s">
        <v>347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366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346</v>
      </c>
      <c r="C51" s="9" t="s">
        <v>73</v>
      </c>
      <c r="D51" s="13" t="s">
        <v>330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366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366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392</v>
      </c>
      <c r="C54" s="9" t="s">
        <v>73</v>
      </c>
      <c r="D54" s="13" t="s">
        <v>299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399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399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197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399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394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386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359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400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197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401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401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329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401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355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297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402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402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330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347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280</v>
      </c>
      <c r="C78" s="9" t="s">
        <v>142</v>
      </c>
      <c r="D78" s="13" t="s">
        <v>275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200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201</v>
      </c>
      <c r="BD79" s="56">
        <v>0</v>
      </c>
    </row>
    <row r="80" spans="1:56" ht="27.75" customHeight="1" x14ac:dyDescent="0.45">
      <c r="A80" s="3">
        <v>45857</v>
      </c>
      <c r="B80" s="14" t="s">
        <v>381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335</v>
      </c>
      <c r="C81" s="9" t="s">
        <v>79</v>
      </c>
      <c r="D81" s="13" t="s">
        <v>334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430</v>
      </c>
      <c r="C82" s="9" t="s">
        <v>79</v>
      </c>
      <c r="D82" s="13" t="s">
        <v>242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305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303</v>
      </c>
      <c r="C91" s="9" t="s">
        <v>142</v>
      </c>
      <c r="D91" s="13" t="s">
        <v>277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304</v>
      </c>
      <c r="C92" s="9" t="s">
        <v>142</v>
      </c>
      <c r="D92" s="13" t="s">
        <v>259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313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285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279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286</v>
      </c>
      <c r="C95" s="9" t="s">
        <v>142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281</v>
      </c>
      <c r="C96" s="9" t="s">
        <v>142</v>
      </c>
      <c r="D96" s="13" t="s">
        <v>276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283</v>
      </c>
      <c r="C97" s="9" t="s">
        <v>142</v>
      </c>
      <c r="D97" s="13" t="s">
        <v>278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284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336</v>
      </c>
      <c r="C99" s="9" t="s">
        <v>108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274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294</v>
      </c>
      <c r="C101" s="9" t="s">
        <v>289</v>
      </c>
      <c r="D101" s="13" t="s">
        <v>290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220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340</v>
      </c>
      <c r="C102" s="9" t="s">
        <v>108</v>
      </c>
      <c r="D102" s="13" t="s">
        <v>309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293</v>
      </c>
      <c r="C103" s="9" t="s">
        <v>108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274</v>
      </c>
      <c r="C104" s="9" t="s">
        <v>79</v>
      </c>
      <c r="D104" s="13" t="s">
        <v>264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296</v>
      </c>
      <c r="C105" s="9" t="s">
        <v>79</v>
      </c>
      <c r="D105" s="13" t="s">
        <v>234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241</v>
      </c>
      <c r="C106" s="9" t="s">
        <v>142</v>
      </c>
      <c r="D106" s="13" t="s">
        <v>240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255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204</v>
      </c>
      <c r="C107" s="9" t="s">
        <v>142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262</v>
      </c>
      <c r="C110" s="9" t="s">
        <v>108</v>
      </c>
      <c r="D110" s="13" t="s">
        <v>261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265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236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195</v>
      </c>
      <c r="C114" s="9" t="s">
        <v>108</v>
      </c>
      <c r="D114" s="13" t="s">
        <v>196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305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306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307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306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308</v>
      </c>
      <c r="BD117" s="56">
        <v>0</v>
      </c>
    </row>
    <row r="118" spans="1:56" ht="27.75" customHeight="1" x14ac:dyDescent="0.45">
      <c r="A118" s="3">
        <v>45857</v>
      </c>
      <c r="B118" s="14" t="s">
        <v>384</v>
      </c>
      <c r="C118" s="9" t="s">
        <v>142</v>
      </c>
      <c r="D118" s="13" t="s">
        <v>302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205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220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390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383</v>
      </c>
      <c r="C119" s="9" t="s">
        <v>142</v>
      </c>
      <c r="D119" s="13" t="s">
        <v>301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205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389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431</v>
      </c>
      <c r="C120" s="9" t="s">
        <v>85</v>
      </c>
      <c r="D120" s="13" t="s">
        <v>417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323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432</v>
      </c>
      <c r="C121" s="9" t="s">
        <v>85</v>
      </c>
      <c r="D121" s="13" t="s">
        <v>322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198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323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433</v>
      </c>
      <c r="C122" s="9" t="s">
        <v>85</v>
      </c>
      <c r="D122" s="13" t="s">
        <v>418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198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323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433</v>
      </c>
      <c r="C123" s="9" t="s">
        <v>85</v>
      </c>
      <c r="D123" s="13" t="s">
        <v>421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434</v>
      </c>
      <c r="C124" s="9" t="s">
        <v>85</v>
      </c>
      <c r="D124" s="13" t="s">
        <v>419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434</v>
      </c>
      <c r="C125" s="9" t="s">
        <v>85</v>
      </c>
      <c r="D125" s="13" t="s">
        <v>420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323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273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273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220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437</v>
      </c>
      <c r="C130" s="9" t="s">
        <v>411</v>
      </c>
      <c r="D130" s="13" t="s">
        <v>438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437</v>
      </c>
      <c r="C131" s="9" t="s">
        <v>411</v>
      </c>
      <c r="D131" s="13" t="s">
        <v>439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440</v>
      </c>
      <c r="C132" s="9" t="s">
        <v>325</v>
      </c>
      <c r="D132" s="13" t="s">
        <v>441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410</v>
      </c>
      <c r="C133" s="9" t="s">
        <v>411</v>
      </c>
      <c r="D133" s="13" t="s">
        <v>412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447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410</v>
      </c>
      <c r="C134" s="9" t="s">
        <v>411</v>
      </c>
      <c r="D134" s="13" t="s">
        <v>413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447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414</v>
      </c>
      <c r="C135" s="9" t="s">
        <v>411</v>
      </c>
      <c r="D135" s="13" t="s">
        <v>415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447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449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449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449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411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368</v>
      </c>
      <c r="C144" s="9" t="s">
        <v>79</v>
      </c>
      <c r="D144" s="13" t="s">
        <v>369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370</v>
      </c>
      <c r="C145" s="9" t="s">
        <v>79</v>
      </c>
      <c r="D145" s="13" t="s">
        <v>371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310</v>
      </c>
      <c r="C146" s="9" t="s">
        <v>108</v>
      </c>
      <c r="D146" s="13" t="s">
        <v>292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209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230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212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231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213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232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406</v>
      </c>
      <c r="C153" s="9" t="s">
        <v>407</v>
      </c>
      <c r="D153" s="13" t="s">
        <v>416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229</v>
      </c>
      <c r="D154" s="13" t="s">
        <v>229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235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229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61</v>
      </c>
      <c r="E159" s="9">
        <v>23</v>
      </c>
      <c r="F159" s="9">
        <v>34</v>
      </c>
      <c r="G159" s="9" t="s">
        <v>343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344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343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344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260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205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226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45">
      <c r="A163" s="3">
        <v>45601</v>
      </c>
      <c r="B163" s="14" t="s">
        <v>202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385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249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202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385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249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372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206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206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207</v>
      </c>
      <c r="BD171" s="56">
        <v>0</v>
      </c>
    </row>
    <row r="172" spans="1:56" ht="27.75" customHeight="1" x14ac:dyDescent="0.45">
      <c r="A172" s="3">
        <v>45861</v>
      </c>
      <c r="B172" s="14" t="s">
        <v>423</v>
      </c>
      <c r="C172" s="9" t="s">
        <v>110</v>
      </c>
      <c r="D172" s="13" t="s">
        <v>221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226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311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226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424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391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149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3" t="s">
        <v>52</v>
      </c>
      <c r="F3" s="83"/>
      <c r="G3" s="84">
        <v>10.38</v>
      </c>
      <c r="H3" s="8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6">
        <v>10.3</v>
      </c>
      <c r="F4" s="87"/>
      <c r="G4" s="88"/>
      <c r="H4" s="89"/>
      <c r="I4" s="90" t="s">
        <v>50</v>
      </c>
      <c r="J4" s="91"/>
      <c r="K4" s="92"/>
      <c r="L4" s="31" t="s">
        <v>89</v>
      </c>
      <c r="M4" s="93" t="s">
        <v>49</v>
      </c>
      <c r="N4" s="94"/>
      <c r="O4" s="94"/>
      <c r="P4" s="9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1" t="s">
        <v>46</v>
      </c>
      <c r="AA4" s="8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287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406</v>
      </c>
      <c r="C13" s="9" t="s">
        <v>407</v>
      </c>
      <c r="D13" s="13" t="s">
        <v>408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346</v>
      </c>
      <c r="C20" s="9" t="s">
        <v>73</v>
      </c>
      <c r="D20" s="13" t="s">
        <v>349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348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346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348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348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350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351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409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328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356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360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272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360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360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435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364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365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364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364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397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398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398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363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398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312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393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347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366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346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366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346</v>
      </c>
      <c r="C55" s="9" t="s">
        <v>73</v>
      </c>
      <c r="D55" s="13" t="s">
        <v>367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366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299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375</v>
      </c>
      <c r="C73" s="9" t="s">
        <v>317</v>
      </c>
      <c r="D73" s="13" t="s">
        <v>376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436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45796</v>
      </c>
      <c r="B75" s="14" t="s">
        <v>280</v>
      </c>
      <c r="C75" s="9" t="s">
        <v>142</v>
      </c>
      <c r="D75" s="13" t="s">
        <v>275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201</v>
      </c>
      <c r="BD76" s="56">
        <v>0</v>
      </c>
    </row>
    <row r="77" spans="1:56" ht="27.75" customHeight="1" x14ac:dyDescent="0.45">
      <c r="A77" s="3">
        <v>45796</v>
      </c>
      <c r="B77" s="14" t="s">
        <v>282</v>
      </c>
      <c r="C77" s="9" t="s">
        <v>142</v>
      </c>
      <c r="D77" s="13" t="s">
        <v>238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425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380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425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283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377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381</v>
      </c>
      <c r="C82" s="9" t="s">
        <v>142</v>
      </c>
      <c r="D82" s="13" t="s">
        <v>378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382</v>
      </c>
      <c r="C83" s="9" t="s">
        <v>142</v>
      </c>
      <c r="D83" s="13" t="s">
        <v>379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335</v>
      </c>
      <c r="C84" s="9" t="s">
        <v>79</v>
      </c>
      <c r="D84" s="13" t="s">
        <v>334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430</v>
      </c>
      <c r="C85" s="9" t="s">
        <v>79</v>
      </c>
      <c r="D85" s="13" t="s">
        <v>242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338</v>
      </c>
      <c r="C86" s="9" t="s">
        <v>108</v>
      </c>
      <c r="D86" s="13" t="s">
        <v>339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300</v>
      </c>
      <c r="D87" s="13" t="s">
        <v>341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300</v>
      </c>
      <c r="D88" s="13" t="s">
        <v>342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300</v>
      </c>
      <c r="D89" s="13" t="s">
        <v>442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305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303</v>
      </c>
      <c r="C94" s="9" t="s">
        <v>142</v>
      </c>
      <c r="D94" s="13" t="s">
        <v>277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304</v>
      </c>
      <c r="C95" s="9" t="s">
        <v>142</v>
      </c>
      <c r="D95" s="13" t="s">
        <v>259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267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313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285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279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286</v>
      </c>
      <c r="C98" s="9" t="s">
        <v>142</v>
      </c>
      <c r="D98" s="13" t="s">
        <v>239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281</v>
      </c>
      <c r="C99" s="9" t="s">
        <v>142</v>
      </c>
      <c r="D99" s="13" t="s">
        <v>276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283</v>
      </c>
      <c r="C100" s="9" t="s">
        <v>142</v>
      </c>
      <c r="D100" s="13" t="s">
        <v>278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284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336</v>
      </c>
      <c r="C102" s="9" t="s">
        <v>108</v>
      </c>
      <c r="D102" s="13" t="s">
        <v>337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274</v>
      </c>
      <c r="C103" s="9" t="s">
        <v>79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294</v>
      </c>
      <c r="C104" s="9" t="s">
        <v>289</v>
      </c>
      <c r="D104" s="13" t="s">
        <v>290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220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340</v>
      </c>
      <c r="C105" s="9" t="s">
        <v>108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274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296</v>
      </c>
      <c r="C108" s="9" t="s">
        <v>79</v>
      </c>
      <c r="D108" s="13" t="s">
        <v>234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241</v>
      </c>
      <c r="C109" s="9" t="s">
        <v>142</v>
      </c>
      <c r="D109" s="13" t="s">
        <v>240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255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204</v>
      </c>
      <c r="C110" s="9" t="s">
        <v>142</v>
      </c>
      <c r="D110" s="13" t="s">
        <v>203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383</v>
      </c>
      <c r="C122" s="9" t="s">
        <v>142</v>
      </c>
      <c r="D122" s="13" t="s">
        <v>301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389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323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323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205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220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437</v>
      </c>
      <c r="C133" s="9" t="s">
        <v>411</v>
      </c>
      <c r="D133" s="13" t="s">
        <v>438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437</v>
      </c>
      <c r="C134" s="9" t="s">
        <v>411</v>
      </c>
      <c r="D134" s="13" t="s">
        <v>439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440</v>
      </c>
      <c r="C135" s="9" t="s">
        <v>325</v>
      </c>
      <c r="D135" s="13" t="s">
        <v>441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411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368</v>
      </c>
      <c r="C139" s="9" t="s">
        <v>79</v>
      </c>
      <c r="D139" s="13" t="s">
        <v>369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370</v>
      </c>
      <c r="C140" s="9" t="s">
        <v>79</v>
      </c>
      <c r="D140" s="13" t="s">
        <v>371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310</v>
      </c>
      <c r="C141" s="9" t="s">
        <v>108</v>
      </c>
      <c r="D141" s="13" t="s">
        <v>292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209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230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212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213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232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406</v>
      </c>
      <c r="C148" s="9" t="s">
        <v>407</v>
      </c>
      <c r="D148" s="13" t="s">
        <v>416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229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260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205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226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225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385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249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385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249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372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206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207</v>
      </c>
      <c r="BD163" s="56">
        <v>0</v>
      </c>
    </row>
    <row r="164" spans="1:56" ht="27.75" customHeight="1" x14ac:dyDescent="0.45">
      <c r="A164" s="3">
        <v>45861</v>
      </c>
      <c r="B164" s="14" t="s">
        <v>422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226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423</v>
      </c>
      <c r="C165" s="9" t="s">
        <v>110</v>
      </c>
      <c r="D165" s="13" t="s">
        <v>221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226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311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226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424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226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391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17</vt:i4>
      </vt:variant>
      <vt:variant>
        <vt:lpstr>ช่วงที่มีชื่อ</vt:lpstr>
      </vt:variant>
      <vt:variant>
        <vt:i4>7</vt:i4>
      </vt:variant>
    </vt:vector>
  </HeadingPairs>
  <TitlesOfParts>
    <vt:vector size="24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8(Order)</vt:lpstr>
      <vt:lpstr>6(Order) แยกลูกค้า</vt:lpstr>
      <vt:lpstr>6(Fc) แยกลูกค้</vt:lpstr>
      <vt:lpstr>ค้างทอ2-8-68</vt:lpstr>
      <vt:lpstr>6-8-68</vt:lpstr>
      <vt:lpstr>5-8-68</vt:lpstr>
      <vt:lpstr>4-8-68</vt:lpstr>
      <vt:lpstr>2-8-68</vt:lpstr>
      <vt:lpstr>1-8-68</vt:lpstr>
      <vt:lpstr>31-7-68</vt:lpstr>
      <vt:lpstr>30-7-68</vt:lpstr>
      <vt:lpstr>'6(Fc) แยกลูกค้'!Print_Area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  <vt:lpstr>'8(Order)'!Print_Area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2025-08-06T04:00:48Z</dcterms:modified>
</cp:coreProperties>
</file>