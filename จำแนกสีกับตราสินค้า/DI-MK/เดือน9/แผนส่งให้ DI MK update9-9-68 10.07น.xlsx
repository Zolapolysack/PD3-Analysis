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B68244B0-8727-409A-8223-088D4051B6F6}" xr6:coauthVersionLast="47" xr6:coauthVersionMax="47" xr10:uidLastSave="{00000000-0000-0000-0000-000000000000}"/>
  <bookViews>
    <workbookView xWindow="-120" yWindow="-120" windowWidth="29040" windowHeight="15720" tabRatio="762" firstSheet="6" activeTab="10" xr2:uid="{00000000-000D-0000-FFFF-FFFF00000000}"/>
  </bookViews>
  <sheets>
    <sheet name="Linkสูตรออร์เดอร์  (2)" sheetId="4462" r:id="rId1"/>
    <sheet name="9(Order+FC)" sheetId="4196" r:id="rId2"/>
    <sheet name="9(Order)" sheetId="4189" r:id="rId3"/>
    <sheet name="9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ทอ2-9-68" sheetId="4544" r:id="rId10"/>
    <sheet name="9-9-68" sheetId="4551" r:id="rId11"/>
    <sheet name="8-9-68" sheetId="4550" r:id="rId12"/>
    <sheet name="6-9-68" sheetId="4549" r:id="rId13"/>
    <sheet name="5-9-68" sheetId="4548" r:id="rId14"/>
    <sheet name="4-9-68" sheetId="4546" r:id="rId15"/>
    <sheet name="3-9-68" sheetId="4545" r:id="rId16"/>
    <sheet name="2-9-68" sheetId="4540" r:id="rId17"/>
    <sheet name="1-9-68" sheetId="4539" r:id="rId18"/>
    <sheet name="30-8-68" sheetId="4538" r:id="rId19"/>
  </sheets>
  <externalReferences>
    <externalReference r:id="rId20"/>
    <externalReference r:id="rId21"/>
    <externalReference r:id="rId22"/>
  </externalReferences>
  <definedNames>
    <definedName name="_xlnm._FilterDatabase" localSheetId="17" hidden="1">'1-9-68'!$A$5:$BD$153</definedName>
    <definedName name="_xlnm._FilterDatabase" localSheetId="16" hidden="1">'2-9-68'!$A$5:$BD$148</definedName>
    <definedName name="_xlnm._FilterDatabase" localSheetId="18" hidden="1">'30-8-68'!$A$5:$BD$153</definedName>
    <definedName name="_xlnm._FilterDatabase" localSheetId="15" hidden="1">'3-9-68'!$A$5:$BD$156</definedName>
    <definedName name="_xlnm._FilterDatabase" localSheetId="14" hidden="1">'4-9-68'!$A$5:$BD$146</definedName>
    <definedName name="_xlnm._FilterDatabase" localSheetId="13" hidden="1">'5-9-68'!$A$5:$BD$162</definedName>
    <definedName name="_xlnm._FilterDatabase" localSheetId="12" hidden="1">'6-9-68'!$A$5:$BD$146</definedName>
    <definedName name="_xlnm._FilterDatabase" localSheetId="11" hidden="1">'8-9-68'!$A$5:$BD$148</definedName>
    <definedName name="_xlnm._FilterDatabase" localSheetId="10" hidden="1">'9-9-68'!$A$5:$BD$140</definedName>
    <definedName name="_xlnm._FilterDatabase" localSheetId="0" hidden="1">'Linkสูตรออร์เดอร์  (2)'!$A$5:$BD$5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4">'9(Fc) แยกลูกค้า'!$A$1:$H$39</definedName>
    <definedName name="_xlnm.Print_Area" localSheetId="2">'9(Order)'!$A$6:$G$43</definedName>
    <definedName name="_xlnm.Print_Area" localSheetId="3">'9(Order) แยกลูกค้า'!$A$4:$G$60</definedName>
    <definedName name="Z_A35135A6_BB02_445F_B09B_908EF37AECE2_.wvu.Cols" localSheetId="17" hidden="1">'1-9-68'!$A:$A,'1-9-68'!$AG:$AG</definedName>
    <definedName name="Z_A35135A6_BB02_445F_B09B_908EF37AECE2_.wvu.Cols" localSheetId="16" hidden="1">'2-9-68'!$A:$A,'2-9-68'!$AG:$AG</definedName>
    <definedName name="Z_A35135A6_BB02_445F_B09B_908EF37AECE2_.wvu.Cols" localSheetId="18" hidden="1">'30-8-68'!$A:$A,'30-8-68'!$AG:$AG</definedName>
    <definedName name="Z_A35135A6_BB02_445F_B09B_908EF37AECE2_.wvu.Cols" localSheetId="15" hidden="1">'3-9-68'!$A:$A,'3-9-68'!$AG:$AG</definedName>
    <definedName name="Z_A35135A6_BB02_445F_B09B_908EF37AECE2_.wvu.Cols" localSheetId="14" hidden="1">'4-9-68'!$A:$A,'4-9-68'!$AG:$AG</definedName>
    <definedName name="Z_A35135A6_BB02_445F_B09B_908EF37AECE2_.wvu.Cols" localSheetId="13" hidden="1">'5-9-68'!$A:$A,'5-9-68'!$AG:$AG</definedName>
    <definedName name="Z_A35135A6_BB02_445F_B09B_908EF37AECE2_.wvu.Cols" localSheetId="12" hidden="1">'6-9-68'!$A:$A,'6-9-68'!$AG:$AG</definedName>
    <definedName name="Z_A35135A6_BB02_445F_B09B_908EF37AECE2_.wvu.Cols" localSheetId="11" hidden="1">'8-9-68'!$A:$A,'8-9-68'!$AG:$AG</definedName>
    <definedName name="Z_A35135A6_BB02_445F_B09B_908EF37AECE2_.wvu.Cols" localSheetId="10" hidden="1">'9-9-68'!$A:$A,'9-9-68'!$AG:$AG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7" hidden="1">'1-9-68'!$B$5:$AC$153</definedName>
    <definedName name="Z_A35135A6_BB02_445F_B09B_908EF37AECE2_.wvu.FilterData" localSheetId="16" hidden="1">'2-9-68'!$B$5:$AC$148</definedName>
    <definedName name="Z_A35135A6_BB02_445F_B09B_908EF37AECE2_.wvu.FilterData" localSheetId="18" hidden="1">'30-8-68'!$B$5:$AC$153</definedName>
    <definedName name="Z_A35135A6_BB02_445F_B09B_908EF37AECE2_.wvu.FilterData" localSheetId="15" hidden="1">'3-9-68'!$B$5:$AC$156</definedName>
    <definedName name="Z_A35135A6_BB02_445F_B09B_908EF37AECE2_.wvu.FilterData" localSheetId="14" hidden="1">'4-9-68'!$B$5:$AC$146</definedName>
    <definedName name="Z_A35135A6_BB02_445F_B09B_908EF37AECE2_.wvu.FilterData" localSheetId="13" hidden="1">'5-9-68'!$B$5:$AC$162</definedName>
    <definedName name="Z_A35135A6_BB02_445F_B09B_908EF37AECE2_.wvu.FilterData" localSheetId="12" hidden="1">'6-9-68'!$B$5:$AC$146</definedName>
    <definedName name="Z_A35135A6_BB02_445F_B09B_908EF37AECE2_.wvu.FilterData" localSheetId="11" hidden="1">'8-9-68'!$B$5:$AC$148</definedName>
    <definedName name="Z_A35135A6_BB02_445F_B09B_908EF37AECE2_.wvu.FilterData" localSheetId="10" hidden="1">'9-9-68'!$B$5:$AC$140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7" hidden="1">'1-9-68'!$2:$2</definedName>
    <definedName name="Z_A35135A6_BB02_445F_B09B_908EF37AECE2_.wvu.Rows" localSheetId="16" hidden="1">'2-9-68'!$2:$2</definedName>
    <definedName name="Z_A35135A6_BB02_445F_B09B_908EF37AECE2_.wvu.Rows" localSheetId="18" hidden="1">'30-8-68'!$2:$2</definedName>
    <definedName name="Z_A35135A6_BB02_445F_B09B_908EF37AECE2_.wvu.Rows" localSheetId="15" hidden="1">'3-9-68'!$2:$2</definedName>
    <definedName name="Z_A35135A6_BB02_445F_B09B_908EF37AECE2_.wvu.Rows" localSheetId="14" hidden="1">'4-9-68'!$2:$2</definedName>
    <definedName name="Z_A35135A6_BB02_445F_B09B_908EF37AECE2_.wvu.Rows" localSheetId="13" hidden="1">'5-9-68'!$2:$2</definedName>
    <definedName name="Z_A35135A6_BB02_445F_B09B_908EF37AECE2_.wvu.Rows" localSheetId="12" hidden="1">'6-9-68'!$2:$2</definedName>
    <definedName name="Z_A35135A6_BB02_445F_B09B_908EF37AECE2_.wvu.Rows" localSheetId="11" hidden="1">'8-9-68'!$2:$2</definedName>
    <definedName name="Z_A35135A6_BB02_445F_B09B_908EF37AECE2_.wvu.Rows" localSheetId="10" hidden="1">'9-9-68'!$2:$2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23"/>
    <pivotCache cacheId="1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3" i="4551" l="1"/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N6" i="4544"/>
  <c r="N7" i="4544"/>
  <c r="N8" i="4544"/>
  <c r="N9" i="4544"/>
  <c r="N10" i="4544"/>
  <c r="N11" i="4544"/>
  <c r="N12" i="4544"/>
  <c r="N13" i="4544"/>
  <c r="N14" i="4544"/>
  <c r="N15" i="4544"/>
  <c r="N16" i="4544"/>
  <c r="N17" i="4544"/>
  <c r="N5" i="4544"/>
  <c r="C18" i="4544"/>
  <c r="D18" i="4544"/>
  <c r="E18" i="4544"/>
  <c r="F18" i="4544"/>
  <c r="G18" i="4544"/>
  <c r="H18" i="4544"/>
  <c r="I18" i="4544"/>
  <c r="J18" i="4544"/>
  <c r="K18" i="4544"/>
  <c r="L18" i="4544"/>
  <c r="M18" i="4544"/>
  <c r="B18" i="4544"/>
  <c r="N18" i="4544" l="1"/>
  <c r="M56" i="4213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H43" i="4224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<sst xmlns="http://schemas.openxmlformats.org/spreadsheetml/2006/main" count="19692" uniqueCount="487">
  <si>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</si>
  <si>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</si>
  <si>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</si>
  <si>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</si>
  <si>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</si>
  <si>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</si>
  <si>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</si>
  <si>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</si>
  <si>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</si>
  <si>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</si>
  <si>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</si>
  <si>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</si>
  <si>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</si>
  <si>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</si>
  <si>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</si>
  <si>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</si>
  <si>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</si>
  <si>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</si>
  <si>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</si>
  <si>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</si>
  <si>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</si>
  <si>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</si>
  <si>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</si>
  <si>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</si>
  <si>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</si>
  <si>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</si>
  <si>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</si>
  <si>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</si>
  <si>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</si>
  <si>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</si>
  <si>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</si>
  <si>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</si>
  <si>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</si>
  <si>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</si>
  <si>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</si>
  <si>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</si>
  <si>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</si>
  <si>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</si>
  <si>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</si>
  <si>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</si>
  <si>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</si>
  <si>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</si>
  <si>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</si>
  <si>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</si>
  <si>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</si>
  <si>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</si>
  <si>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</si>
  <si>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</si>
  <si>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</si>
  <si>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</si>
  <si>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</si>
  <si>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</si>
  <si>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</si>
  <si>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</si>
  <si>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</si>
  <si>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</si>
  <si>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</si>
  <si>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</si>
  <si>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</si>
  <si>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</si>
  <si>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</si>
  <si>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</si>
  <si>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</si>
  <si>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</si>
  <si>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</si>
  <si>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</si>
  <si>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</si>
  <si>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</si>
  <si>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</si>
  <si>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</si>
  <si>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</si>
  <si>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</si>
  <si>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</si>
  <si>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</si>
  <si>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</si>
  <si>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</si>
  <si>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</si>
  <si>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</si>
  <si>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</si>
  <si>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</si>
  <si>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</si>
  <si>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</si>
  <si>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</si>
  <si>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</si>
  <si>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</si>
  <si>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</si>
  <si>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</si>
  <si>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</si>
  <si>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</si>
  <si>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</si>
  <si>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</si>
  <si>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</si>
  <si>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</si>
  <si>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</si>
  <si>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</si>
  <si>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</si>
  <si>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</si>
  <si>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</si>
  <si>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</si>
  <si>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</si>
  <si>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</si>
  <si>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</si>
  <si>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</si>
  <si>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</si>
  <si>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</si>
  <si>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</si>
  <si>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</si>
  <si>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</si>
  <si>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</si>
  <si>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</si>
  <si>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</si>
  <si>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</si>
  <si>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</si>
  <si>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</si>
  <si>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</si>
  <si>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</si>
  <si>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</si>
  <si>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</si>
  <si>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</si>
  <si>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</si>
  <si>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</si>
  <si>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</si>
  <si>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</si>
  <si>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</si>
  <si>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</si>
  <si>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</si>
  <si>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</si>
  <si>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</si>
  <si>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</si>
  <si>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</si>
  <si>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</si>
  <si>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</si>
  <si>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</si>
  <si>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</si>
  <si>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</si>
  <si>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</si>
  <si>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</si>
  <si>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</si>
  <si>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</si>
  <si>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</si>
  <si>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</si>
  <si>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</si>
  <si>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</si>
  <si>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</si>
  <si>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</si>
  <si>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</si>
  <si>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</si>
  <si>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</si>
  <si>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</si>
  <si>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</si>
  <si>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</si>
  <si>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</si>
  <si>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</si>
  <si>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</si>
  <si>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</si>
  <si>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</si>
  <si>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</si>
  <si>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</si>
  <si>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</si>
  <si>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</si>
  <si>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</si>
  <si>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</si>
  <si>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</si>
  <si>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</si>
  <si>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</si>
  <si>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</si>
  <si>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</si>
  <si>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</si>
  <si>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</si>
  <si>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</si>
  <si>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</si>
  <si>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</si>
  <si>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</si>
  <si>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</si>
  <si>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</si>
  <si>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</si>
  <si>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</si>
  <si>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</si>
  <si>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</si>
  <si>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</si>
  <si>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</si>
  <si>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</si>
  <si>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</si>
  <si>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</si>
  <si>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</si>
  <si>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</si>
  <si>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</si>
  <si>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MK67-001396</t>
  </si>
  <si>
    <t>นีโอ พี4</t>
  </si>
  <si>
    <t>ถุงทองแซนวิช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</si>
  <si>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</si>
  <si>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</si>
  <si>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</si>
  <si>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</si>
  <si>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</si>
  <si>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</si>
  <si>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</si>
  <si>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</si>
  <si>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</si>
  <si>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</si>
  <si>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</si>
  <si>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</si>
  <si>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</si>
  <si>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</si>
  <si>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</si>
  <si>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</si>
  <si>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</si>
  <si>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</si>
  <si>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</si>
  <si>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</si>
  <si>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</si>
  <si>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</si>
  <si>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</si>
  <si>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</si>
  <si>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</si>
  <si>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</si>
  <si>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</si>
  <si>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</si>
  <si>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</si>
  <si>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</si>
  <si>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</si>
  <si>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</si>
  <si>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</si>
  <si>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</si>
  <si>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</si>
  <si>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</si>
  <si>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</si>
  <si>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</si>
  <si>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</si>
  <si>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</si>
  <si>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</si>
  <si>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</si>
  <si>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</si>
  <si>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บจก.ซัน ซีเมนต์ โพรเซส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</si>
  <si>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</si>
  <si>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</si>
  <si>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</si>
  <si>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</si>
  <si>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</si>
  <si>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</si>
  <si>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</si>
  <si>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</si>
  <si>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</si>
  <si>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 xml:space="preserve">SW 441 </t>
  </si>
  <si>
    <t>มีลบสี</t>
  </si>
  <si>
    <t>ยอดส่ง   1/4/68  - 12/4/68</t>
  </si>
  <si>
    <t>จับจีบ3.5"</t>
  </si>
  <si>
    <t>WSWT2125650 ผลรวม</t>
  </si>
  <si>
    <t>ดอกไม้แดง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</si>
  <si>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</si>
  <si>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</si>
  <si>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</si>
  <si>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</si>
  <si>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</si>
  <si>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</si>
  <si>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</si>
  <si>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</si>
  <si>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</si>
  <si>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</si>
  <si>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</si>
  <si>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</si>
  <si>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</si>
  <si>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</si>
  <si>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</si>
  <si>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</si>
  <si>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</si>
  <si>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</si>
  <si>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</si>
  <si>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</si>
  <si>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</si>
  <si>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</si>
  <si>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</si>
  <si>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</si>
  <si>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</si>
  <si>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</si>
  <si>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</si>
  <si>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พีมินเนอร์</t>
  </si>
  <si>
    <t>พี-มินเนอร์ นิวพลัส</t>
  </si>
  <si>
    <t>บจก.ซีแมน</t>
  </si>
  <si>
    <t>WSWT19251000SM ผลรวม</t>
  </si>
  <si>
    <t>บจก.บลูฟาโล่</t>
  </si>
  <si>
    <t>ปลาโลมาแดง</t>
  </si>
  <si>
    <t>ดอกไม้เขียว</t>
  </si>
  <si>
    <t>MK68-000868</t>
  </si>
  <si>
    <t>MK68-000877</t>
  </si>
  <si>
    <t>ยู-ฟีด รวมหมู</t>
  </si>
  <si>
    <t>WSWTFCL022325650</t>
  </si>
  <si>
    <t>รอส่ง รอลูกค้ามารับเอง</t>
  </si>
  <si>
    <t>ถุงเขียว</t>
  </si>
  <si>
    <t>HARD FLOUR</t>
  </si>
  <si>
    <t>FW-Y</t>
  </si>
  <si>
    <t>ดอกไม้ม่วง</t>
  </si>
  <si>
    <t>แต้มฟ้า</t>
  </si>
  <si>
    <t>หีบเพลงเหลือง</t>
  </si>
  <si>
    <t>WHOLE WHEAT</t>
  </si>
  <si>
    <t>MK68-000892</t>
  </si>
  <si>
    <t>มาซู ฟีดซี042</t>
  </si>
  <si>
    <t>MK68-000893</t>
  </si>
  <si>
    <t>มาซู ฟีดจี041</t>
  </si>
  <si>
    <t>300แบน</t>
  </si>
  <si>
    <t>MK68-000913</t>
  </si>
  <si>
    <t>KFM</t>
  </si>
  <si>
    <t>บจก.ซิเบลโก้(บางเลน)</t>
  </si>
  <si>
    <t>บจก.เอ็นบี ดิสทริบิวชั่น</t>
  </si>
  <si>
    <t>NB FISH 103L</t>
  </si>
  <si>
    <t>โบว์น้ำเงิน</t>
  </si>
  <si>
    <t>เพอเฟคค์ 912</t>
  </si>
  <si>
    <t>ห้ามเกิน-ขาดได้5%</t>
  </si>
  <si>
    <t>MK68-000961</t>
  </si>
  <si>
    <t>U-FEED U2(เอส)</t>
  </si>
  <si>
    <t>U-GOAT14</t>
  </si>
  <si>
    <t>กัสโซ่ฟีด101-102</t>
  </si>
  <si>
    <t>P13</t>
  </si>
  <si>
    <t>โมโม่ 492</t>
  </si>
  <si>
    <t>ยูฟีด บี2</t>
  </si>
  <si>
    <t>ฟีล กู๊ด 893</t>
  </si>
  <si>
    <t>โมโม่ 4131</t>
  </si>
  <si>
    <t>โมโม่ 4132</t>
  </si>
  <si>
    <t>MK68-000990</t>
  </si>
  <si>
    <t>SW 441 PLUS</t>
  </si>
  <si>
    <t>โรงสีธัญญกิจ(ราชบุรี)</t>
  </si>
  <si>
    <t>WSWT23211125120SMFX</t>
  </si>
  <si>
    <t>บจก.แลบอินเตอร์</t>
  </si>
  <si>
    <t>WSWT23211125120SMFX ผลรวม</t>
  </si>
  <si>
    <t>MK68-000984</t>
  </si>
  <si>
    <t>MK68-000985</t>
  </si>
  <si>
    <t>โบว์แดง</t>
  </si>
  <si>
    <t>เพอเฟคค์ 102Sโกลด์</t>
  </si>
  <si>
    <t>MK68-000983</t>
  </si>
  <si>
    <t>เฟิร์สช้อย 913</t>
  </si>
  <si>
    <t>เพอเฟคค์ 911</t>
  </si>
  <si>
    <t>สุบรรณ 222</t>
  </si>
  <si>
    <t>เพอเฟคค 664</t>
  </si>
  <si>
    <t>1/9 8/9 15/9 22/9</t>
  </si>
  <si>
    <t>2/9 9/9 16/9 19/9 23/9 26/9</t>
  </si>
  <si>
    <t>MK68-000982</t>
  </si>
  <si>
    <t>MK68-000977</t>
  </si>
  <si>
    <t>MK68-000978</t>
  </si>
  <si>
    <t>คุณวัลภา เผ่าเต็ม</t>
  </si>
  <si>
    <t>WSWT2321750 ผลรวม</t>
  </si>
  <si>
    <t>WSWTFCL022325650 ผลรวม</t>
  </si>
  <si>
    <t>MK68-001011</t>
  </si>
  <si>
    <t>บจก.หนกองบัวฟีด</t>
  </si>
  <si>
    <t>MK68-001005</t>
  </si>
  <si>
    <t>MK68-001006</t>
  </si>
  <si>
    <t>MK68-001007</t>
  </si>
  <si>
    <t>MK68-001012</t>
  </si>
  <si>
    <t>MK68-001009</t>
  </si>
  <si>
    <t>MK68-001010</t>
  </si>
  <si>
    <t>WSWT2025650 ผลรวม</t>
  </si>
  <si>
    <t>MK68-001019</t>
  </si>
  <si>
    <t xml:space="preserve">บจก.กันยาวิ </t>
  </si>
  <si>
    <t>หมูแดง 002</t>
  </si>
  <si>
    <t>ขาด-เกินได้5%</t>
  </si>
  <si>
    <t>คุณปราสาท เจริญธรรมรักษา</t>
  </si>
  <si>
    <t>บจก.มารีนลีดเดอร์</t>
  </si>
  <si>
    <t>Rocky quick lime</t>
  </si>
  <si>
    <t>จับจีบ5"</t>
  </si>
  <si>
    <t>เวท-มิน</t>
  </si>
  <si>
    <t>รอลูกค้า</t>
  </si>
  <si>
    <t>MK68-001024</t>
  </si>
  <si>
    <t>เฟิร์สช้อย 915</t>
  </si>
  <si>
    <t>MK68-001026</t>
  </si>
  <si>
    <t>MK68-001029</t>
  </si>
  <si>
    <t>SPM 312</t>
  </si>
  <si>
    <t>MK68-001027</t>
  </si>
  <si>
    <t>MK68-001025</t>
  </si>
  <si>
    <t>เพอเฟคค์ 663</t>
  </si>
  <si>
    <t>MK68/001028</t>
  </si>
  <si>
    <t>มาซู ฟีดซี 0434</t>
  </si>
  <si>
    <t>สีผิดเบอร์280</t>
  </si>
  <si>
    <t>MK68-001023</t>
  </si>
  <si>
    <t>พระอาทิตย์</t>
  </si>
  <si>
    <t xml:space="preserve">เป็นสายฟ้าตัดลง 2 ม้วน </t>
  </si>
  <si>
    <t>MK68-001030</t>
  </si>
  <si>
    <t>MK68-001032</t>
  </si>
  <si>
    <t>MK68-001041</t>
  </si>
  <si>
    <t>MK68-001045</t>
  </si>
  <si>
    <t>โบว์แดง 10กก.</t>
  </si>
  <si>
    <t>WSWT1625800</t>
  </si>
  <si>
    <t>MK68-001043</t>
  </si>
  <si>
    <t>PBKF-01-03</t>
  </si>
  <si>
    <t>บลูทีมแดง</t>
  </si>
  <si>
    <t>MK68-001044</t>
  </si>
  <si>
    <t>แต้มทอง</t>
  </si>
  <si>
    <t>แปดแต้มแดง</t>
  </si>
  <si>
    <t>กุ้งแดง</t>
  </si>
  <si>
    <t>MK68-001042</t>
  </si>
  <si>
    <t>สีไม่เหมือน</t>
  </si>
  <si>
    <t>MK68-001033</t>
  </si>
  <si>
    <t>นาโน 03</t>
  </si>
  <si>
    <t>MK68-001034</t>
  </si>
  <si>
    <t>นาโน 01</t>
  </si>
  <si>
    <t>MK68-001035</t>
  </si>
  <si>
    <t>นาโน 02</t>
  </si>
  <si>
    <t>MK68-001039</t>
  </si>
  <si>
    <t>MK68-001040</t>
  </si>
  <si>
    <t>ฟิล กู๊ด พี4</t>
  </si>
  <si>
    <t>แปดแต้มแดง 25กก.</t>
  </si>
  <si>
    <t>ชามแดง 25กก.</t>
  </si>
  <si>
    <t>MK68-001036</t>
  </si>
  <si>
    <t>โมโม่ 491</t>
  </si>
  <si>
    <t>MK68-001038</t>
  </si>
  <si>
    <t>MK68-001037</t>
  </si>
  <si>
    <t>โมโม่ 401</t>
  </si>
  <si>
    <t>โบว์น้ำเงิน 10กก</t>
  </si>
  <si>
    <t>โดนัทแฟนฉัน 10กก</t>
  </si>
  <si>
    <t>MK68-001049</t>
  </si>
  <si>
    <t>MK68-001048</t>
  </si>
  <si>
    <t>MK68-001046</t>
  </si>
  <si>
    <t>เครือข่ายพัฒนาข้าวและชาวนาไทย</t>
  </si>
  <si>
    <t>WSWT2325800</t>
  </si>
  <si>
    <t>WRWT25800/WRWT28750</t>
  </si>
  <si>
    <t>MK68-001051</t>
  </si>
  <si>
    <t>MK68-001052</t>
  </si>
  <si>
    <t>บจก.ยืนยงยิปซั่มปลาสเตอร์</t>
  </si>
  <si>
    <t>YUNGYONG</t>
  </si>
  <si>
    <t>WSWT1825800SM</t>
  </si>
  <si>
    <t>WRWT180800/WRWT25800</t>
  </si>
  <si>
    <t>MK68-001064</t>
  </si>
  <si>
    <t>MK68-001065</t>
  </si>
  <si>
    <t>MK68-001066</t>
  </si>
  <si>
    <t>MK68-001067</t>
  </si>
  <si>
    <t>ป้ายชื่อแถว</t>
  </si>
  <si>
    <t xml:space="preserve">ลบสี   </t>
  </si>
  <si>
    <t>น้องเอินโดนัท 10กก</t>
  </si>
  <si>
    <t>MK68-001068</t>
  </si>
  <si>
    <t>ลบสี</t>
  </si>
  <si>
    <t>VC100</t>
  </si>
  <si>
    <t>VC120</t>
  </si>
  <si>
    <t>VC181</t>
  </si>
  <si>
    <t>VC108</t>
  </si>
  <si>
    <t>VC193</t>
  </si>
  <si>
    <t>JET555</t>
  </si>
  <si>
    <t>ไลด์ฟีด 405</t>
  </si>
  <si>
    <t>SPEED PLUS 405ENG</t>
  </si>
  <si>
    <t>สีลอก3250จอดเครื่องรอสีใหม่</t>
  </si>
  <si>
    <t>YUENYONG</t>
  </si>
  <si>
    <t>MK68-001071</t>
  </si>
  <si>
    <t>MK68-001069</t>
  </si>
  <si>
    <t>MK68-001070</t>
  </si>
  <si>
    <t>บจก.เอเชี่ยนเคมิคัล</t>
  </si>
  <si>
    <t>เย็น 6/9</t>
  </si>
  <si>
    <t>MK68-001073</t>
  </si>
  <si>
    <t>บจก.ทีเจที เทรดเดอร์</t>
  </si>
  <si>
    <t>เอ็มเค 914</t>
  </si>
  <si>
    <t>MK68-001075</t>
  </si>
  <si>
    <t>ห่ออัดเบลแบน501</t>
  </si>
  <si>
    <t>MK68-001076</t>
  </si>
  <si>
    <t>เพอเฟคค์104 โกลด์</t>
  </si>
  <si>
    <t>WRWT25800/WRWT25650</t>
  </si>
  <si>
    <t>เฟิร์สช้อย 914</t>
  </si>
  <si>
    <t>เฟิร์สช้อย 912</t>
  </si>
  <si>
    <t>MK68-001072</t>
  </si>
  <si>
    <t>บจก.ทีเจที.เทรดเดอร์</t>
  </si>
  <si>
    <t>MK68-001074</t>
  </si>
  <si>
    <t>บจก.ทีพีเค แอ็บโซลูท สตาร์ช</t>
  </si>
  <si>
    <t>MASTER CHEF</t>
  </si>
  <si>
    <t xml:space="preserve">300กระสอบแบน  </t>
  </si>
  <si>
    <t>WSWT262575051</t>
  </si>
  <si>
    <t>ห้ามใช้เชือกฟาง</t>
  </si>
  <si>
    <t>MK68-001077</t>
  </si>
  <si>
    <t>ปลาโลมาเทา</t>
  </si>
  <si>
    <t>PDR250295</t>
  </si>
  <si>
    <t>ถุงเงิน</t>
  </si>
  <si>
    <t>PBKF2-01-03</t>
  </si>
  <si>
    <t>PDR250296</t>
  </si>
  <si>
    <t>แต้มแดง</t>
  </si>
  <si>
    <t>18/9  22/9</t>
  </si>
  <si>
    <t>มีน้ำหนักต่ำ รอผสม</t>
  </si>
  <si>
    <t>MK68-001080</t>
  </si>
  <si>
    <t>MK68-001078</t>
  </si>
  <si>
    <t>MK68-001079</t>
  </si>
  <si>
    <t>MK68-001082</t>
  </si>
  <si>
    <t>บจก.ที.เอช.แพลเล็ท</t>
  </si>
  <si>
    <t>ใบมัน</t>
  </si>
  <si>
    <t>ห้ามขาด-เกินได้ 100</t>
  </si>
  <si>
    <t>MK68-001081</t>
  </si>
  <si>
    <t>MK68-001083</t>
  </si>
  <si>
    <t>หลอดไฟ 20กก.</t>
  </si>
  <si>
    <t xml:space="preserve">ไก่เหยียบศรกบินทร์ </t>
  </si>
  <si>
    <t>ไก่เหยียบศรีวรรณ</t>
  </si>
  <si>
    <t>ขาวแถบใส2"</t>
  </si>
  <si>
    <t>WSWTSCL042325800</t>
  </si>
  <si>
    <t>WRWT25800/WRCL25650</t>
  </si>
  <si>
    <t>WRWT230800/WRWT25650</t>
  </si>
  <si>
    <t>22/9เย็น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</si>
</sst>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7" fontId="3" fillId="0" borderId="12" xfId="0" applyNumberFormat="1" applyFont="1" applyBorder="1" applyAlignment="1">
      <alignment vertical="center" wrapText="1"/>
    </xf>
    <xf numFmtId="188" fontId="0" fillId="35" borderId="0" xfId="0" applyNumberFormat="1" applyFill="1"/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5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 t="str">
            <v>MK68-001041</v>
          </cell>
          <cell r="C17">
            <v>45896</v>
          </cell>
          <cell r="E17" t="str">
            <v>บจก.ซัน ซีเมนต์ โพรเซส</v>
          </cell>
          <cell r="F17" t="str">
            <v>พระอาทิตย์</v>
          </cell>
          <cell r="G17">
            <v>16</v>
          </cell>
          <cell r="H17">
            <v>25</v>
          </cell>
          <cell r="I17" t="str">
            <v>ขาว</v>
          </cell>
          <cell r="J17" t="str">
            <v>ใส</v>
          </cell>
          <cell r="L17">
            <v>50</v>
          </cell>
          <cell r="M17" t="str">
            <v>±</v>
          </cell>
          <cell r="N17">
            <v>5</v>
          </cell>
          <cell r="R17" t="str">
            <v>บิด</v>
          </cell>
          <cell r="T17">
            <v>19</v>
          </cell>
          <cell r="U17">
            <v>28</v>
          </cell>
          <cell r="V17">
            <v>40</v>
          </cell>
          <cell r="X17">
            <v>45909</v>
          </cell>
          <cell r="Z17" t="str">
            <v>500กระสอบ</v>
          </cell>
          <cell r="AA17">
            <v>5000</v>
          </cell>
          <cell r="AB17">
            <v>5.7749685790719987</v>
          </cell>
          <cell r="AC17">
            <v>0</v>
          </cell>
          <cell r="AD17">
            <v>5.7749685790719987</v>
          </cell>
          <cell r="AG17" t="str">
            <v>รอลูกค้า</v>
          </cell>
          <cell r="AI17"/>
          <cell r="AJ17">
            <v>4560</v>
          </cell>
          <cell r="AL17">
            <v>440</v>
          </cell>
          <cell r="AM17">
            <v>5800</v>
          </cell>
          <cell r="AN17">
            <v>0</v>
          </cell>
          <cell r="AO17" t="str">
            <v>WSWT1625800SM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BZ17" t="str">
            <v>WRWT25800/WRWT25800</v>
          </cell>
          <cell r="CA17">
            <v>0</v>
          </cell>
          <cell r="DL17" t="str">
            <v>P8</v>
          </cell>
          <cell r="DM17">
            <v>4</v>
          </cell>
          <cell r="DN17">
            <v>45909</v>
          </cell>
          <cell r="DP17">
            <v>45904</v>
          </cell>
          <cell r="DQ17">
            <v>45905</v>
          </cell>
          <cell r="DR17">
            <v>45899</v>
          </cell>
          <cell r="DS17">
            <v>45906</v>
          </cell>
          <cell r="DT17">
            <v>45907</v>
          </cell>
          <cell r="DU17">
            <v>45907</v>
          </cell>
          <cell r="DW17">
            <v>45908</v>
          </cell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 xml:space="preserve"> /</v>
          </cell>
          <cell r="EG17"/>
          <cell r="EH17"/>
          <cell r="EI17"/>
        </row>
        <row r="18">
          <cell r="B18">
            <v>0</v>
          </cell>
          <cell r="C18"/>
          <cell r="E18"/>
          <cell r="F18" t="str">
            <v xml:space="preserve"> 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WSWT1625800SM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MK68-001045</v>
          </cell>
          <cell r="C19">
            <v>45897</v>
          </cell>
          <cell r="E19" t="str">
            <v>บจก.เคอรี่ฟลาวมิลล์</v>
          </cell>
          <cell r="F19" t="str">
            <v>น้องเอินโดนัท 10กก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 t="str">
            <v>ไม่</v>
          </cell>
          <cell r="T19" t="str">
            <v>ไม่สวมถุงใน</v>
          </cell>
          <cell r="U19"/>
          <cell r="V19"/>
          <cell r="X19">
            <v>45925</v>
          </cell>
          <cell r="Z19" t="str">
            <v>ห่ออัดเบลแบน500</v>
          </cell>
          <cell r="AA19">
            <v>5000</v>
          </cell>
          <cell r="AB19">
            <v>0</v>
          </cell>
          <cell r="AC19">
            <v>0</v>
          </cell>
          <cell r="AD19">
            <v>0</v>
          </cell>
          <cell r="AG19"/>
          <cell r="AI19"/>
          <cell r="AJ19">
            <v>0</v>
          </cell>
          <cell r="AL19">
            <v>5000</v>
          </cell>
          <cell r="AM19"/>
          <cell r="AN19">
            <v>5250</v>
          </cell>
          <cell r="AO19" t="str">
            <v>WSWT1625800</v>
          </cell>
          <cell r="AQ19">
            <v>3702.0499999999997</v>
          </cell>
          <cell r="AR19">
            <v>3702.0499999999997</v>
          </cell>
          <cell r="AS19">
            <v>0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0</v>
          </cell>
          <cell r="DL19" t="str">
            <v>P7</v>
          </cell>
          <cell r="DM19">
            <v>2</v>
          </cell>
          <cell r="DN19">
            <v>45925</v>
          </cell>
          <cell r="DP19">
            <v>45920</v>
          </cell>
          <cell r="DQ19"/>
          <cell r="DR19">
            <v>45916</v>
          </cell>
          <cell r="DS19">
            <v>45923</v>
          </cell>
          <cell r="DT19">
            <v>45924</v>
          </cell>
          <cell r="DU19">
            <v>45924</v>
          </cell>
          <cell r="DW19"/>
          <cell r="DX19"/>
          <cell r="DY19"/>
          <cell r="DZ19"/>
          <cell r="EA19"/>
          <cell r="EB19"/>
          <cell r="EC19" t="str">
            <v>งานพิมพ์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</v>
          </cell>
          <cell r="AQ20">
            <v>3702.0499999999997</v>
          </cell>
          <cell r="AR20">
            <v>3702.0499999999997</v>
          </cell>
          <cell r="AS20">
            <v>0</v>
          </cell>
          <cell r="AT20">
            <v>0</v>
          </cell>
          <cell r="AU20">
            <v>0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17</v>
          </cell>
          <cell r="H22">
            <v>26</v>
          </cell>
          <cell r="I22"/>
          <cell r="J22"/>
          <cell r="L22">
            <v>48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WSWT1725800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WRWT170800/WRWT25800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ประมาณการ</v>
          </cell>
          <cell r="C23" t="str">
            <v>ประมาณการ</v>
          </cell>
          <cell r="E23" t="str">
            <v>บจก.ฟาร์เธอร์ส วิง ซัพพลาย</v>
          </cell>
          <cell r="F23" t="str">
            <v>รถไฟ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 t="str">
            <v>รอแจ้ง</v>
          </cell>
          <cell r="Z23" t="str">
            <v>500กระสอบ</v>
          </cell>
          <cell r="AA23">
            <v>15000</v>
          </cell>
          <cell r="AB23">
            <v>232.02998755199997</v>
          </cell>
          <cell r="AC23">
            <v>0</v>
          </cell>
          <cell r="AD23">
            <v>232.02998755199997</v>
          </cell>
          <cell r="AG23"/>
          <cell r="AI23"/>
          <cell r="AJ23">
            <v>0</v>
          </cell>
          <cell r="AL23">
            <v>15000</v>
          </cell>
          <cell r="AM23"/>
          <cell r="AN23">
            <v>15750</v>
          </cell>
          <cell r="AO23" t="str">
            <v>WSWT1825800</v>
          </cell>
          <cell r="AQ23">
            <v>13201.65</v>
          </cell>
          <cell r="AR23">
            <v>2599</v>
          </cell>
          <cell r="AS23">
            <v>10602.65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729.46232000000009</v>
          </cell>
          <cell r="DL23" t="str">
            <v>P9</v>
          </cell>
          <cell r="DM23">
            <v>3</v>
          </cell>
          <cell r="DN23" t="str">
            <v>รอแจ้ง</v>
          </cell>
          <cell r="DP23" t="e">
            <v>#VALUE!</v>
          </cell>
          <cell r="DQ23"/>
          <cell r="DR23" t="e">
            <v>#VALUE!</v>
          </cell>
          <cell r="DS23" t="e">
            <v>#VALUE!</v>
          </cell>
          <cell r="DT23" t="e">
            <v>#VALUE!</v>
          </cell>
          <cell r="DU23" t="e">
            <v>#VALUE!</v>
          </cell>
          <cell r="DW23" t="e">
            <v>#VALUE!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>รอART</v>
          </cell>
          <cell r="EG23"/>
          <cell r="EH23"/>
          <cell r="EI23"/>
        </row>
        <row r="24">
          <cell r="B24">
            <v>0</v>
          </cell>
          <cell r="C24"/>
          <cell r="E24" t="str">
            <v xml:space="preserve">  </v>
          </cell>
          <cell r="F24" t="str">
            <v xml:space="preserve"> 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>
            <v>0</v>
          </cell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13201.65</v>
          </cell>
          <cell r="AR24">
            <v>2599</v>
          </cell>
          <cell r="AS24">
            <v>10602.65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/>
          <cell r="DM24" t="str">
            <v>Lead time</v>
          </cell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>
            <v>0</v>
          </cell>
          <cell r="EI24">
            <v>0</v>
          </cell>
        </row>
        <row r="25">
          <cell r="B25" t="str">
            <v>MK68-001068</v>
          </cell>
          <cell r="C25">
            <v>45901</v>
          </cell>
          <cell r="E25" t="str">
            <v>บจก.ยืนยงยิปซั่มปลาสเตอร์</v>
          </cell>
          <cell r="F25" t="str">
            <v>YUENYONG</v>
          </cell>
          <cell r="G25">
            <v>18</v>
          </cell>
          <cell r="H25">
            <v>26</v>
          </cell>
          <cell r="I25" t="str">
            <v>ขาว</v>
          </cell>
          <cell r="J25" t="str">
            <v>ใส</v>
          </cell>
          <cell r="L25">
            <v>65</v>
          </cell>
          <cell r="M25" t="str">
            <v>±</v>
          </cell>
          <cell r="N25">
            <v>5</v>
          </cell>
          <cell r="R25" t="str">
            <v>บิด</v>
          </cell>
          <cell r="T25">
            <v>19</v>
          </cell>
          <cell r="U25">
            <v>29</v>
          </cell>
          <cell r="V25">
            <v>40</v>
          </cell>
          <cell r="X25">
            <v>45912</v>
          </cell>
          <cell r="Z25" t="str">
            <v>500กระสอบแบน</v>
          </cell>
          <cell r="AA25">
            <v>5000</v>
          </cell>
          <cell r="AB25">
            <v>67.968380191999998</v>
          </cell>
          <cell r="AC25">
            <v>0</v>
          </cell>
          <cell r="AD25">
            <v>67.968380191999998</v>
          </cell>
          <cell r="AG25"/>
          <cell r="AI25"/>
          <cell r="AJ25">
            <v>0</v>
          </cell>
          <cell r="AL25">
            <v>5000</v>
          </cell>
          <cell r="AM25"/>
          <cell r="AN25">
            <v>5250</v>
          </cell>
          <cell r="AO25" t="str">
            <v>WSWT1825800SM</v>
          </cell>
          <cell r="AQ25">
            <v>3841.7500000000005</v>
          </cell>
          <cell r="AR25">
            <v>3841.7500000000005</v>
          </cell>
          <cell r="AS25">
            <v>0</v>
          </cell>
          <cell r="AT25">
            <v>3841.7500000000005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P8</v>
          </cell>
          <cell r="DM25">
            <v>4</v>
          </cell>
          <cell r="DN25">
            <v>45912</v>
          </cell>
          <cell r="DP25">
            <v>45907</v>
          </cell>
          <cell r="DQ25">
            <v>45908</v>
          </cell>
          <cell r="DR25">
            <v>45902</v>
          </cell>
          <cell r="DS25">
            <v>45909</v>
          </cell>
          <cell r="DT25">
            <v>45910</v>
          </cell>
          <cell r="DU25">
            <v>45910</v>
          </cell>
          <cell r="DW25">
            <v>45911</v>
          </cell>
          <cell r="DX25"/>
          <cell r="DY25"/>
          <cell r="DZ25"/>
          <cell r="EA25"/>
          <cell r="EB25"/>
          <cell r="EC25" t="str">
            <v>งานเคลือบ+พิมพ์</v>
          </cell>
          <cell r="ED25" t="str">
            <v xml:space="preserve"> /</v>
          </cell>
          <cell r="EG25"/>
          <cell r="EH25"/>
          <cell r="EI25"/>
        </row>
        <row r="26">
          <cell r="B26">
            <v>0</v>
          </cell>
          <cell r="C26"/>
          <cell r="E26">
            <v>0</v>
          </cell>
          <cell r="F26" t="str">
            <v xml:space="preserve"> </v>
          </cell>
          <cell r="G26">
            <v>18</v>
          </cell>
          <cell r="H26">
            <v>25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/>
          <cell r="T26"/>
          <cell r="U26"/>
          <cell r="V26"/>
          <cell r="X26"/>
          <cell r="Z26"/>
          <cell r="AA26"/>
          <cell r="AB26"/>
          <cell r="AC26">
            <v>0</v>
          </cell>
          <cell r="AD26"/>
          <cell r="AG26"/>
          <cell r="AI26" t="str">
            <v>ระบุในSD</v>
          </cell>
          <cell r="AJ26"/>
          <cell r="AL26">
            <v>0</v>
          </cell>
          <cell r="AM26"/>
          <cell r="AN26">
            <v>0</v>
          </cell>
          <cell r="AO26" t="str">
            <v>WSWT1825800SM</v>
          </cell>
          <cell r="AQ26">
            <v>3841.7500000000005</v>
          </cell>
          <cell r="AR26">
            <v>3841.7500000000005</v>
          </cell>
          <cell r="AS26">
            <v>0</v>
          </cell>
          <cell r="AT26">
            <v>3841.7500000000005</v>
          </cell>
          <cell r="AU26">
            <v>0</v>
          </cell>
          <cell r="BZ26" t="str">
            <v>WRWT180800/WRWT25800</v>
          </cell>
          <cell r="CA26">
            <v>0</v>
          </cell>
          <cell r="DL26"/>
          <cell r="DM26" t="str">
            <v>Lead time</v>
          </cell>
          <cell r="DN26"/>
          <cell r="DP26"/>
          <cell r="DQ26"/>
          <cell r="DR26"/>
          <cell r="DS26"/>
          <cell r="DT26"/>
          <cell r="DU26"/>
          <cell r="DW26"/>
          <cell r="DX26"/>
          <cell r="DY26"/>
          <cell r="DZ26"/>
          <cell r="EA26"/>
          <cell r="EB26"/>
          <cell r="EC26"/>
          <cell r="ED26"/>
          <cell r="EG26"/>
          <cell r="EH26">
            <v>0</v>
          </cell>
          <cell r="EI26">
            <v>0</v>
          </cell>
        </row>
        <row r="27">
          <cell r="B27" t="str">
            <v>MK68-001048</v>
          </cell>
          <cell r="C27">
            <v>45898</v>
          </cell>
          <cell r="E27" t="str">
            <v>บจก.เพรซิเดนท์ฟลาวมิลล์</v>
          </cell>
          <cell r="F27" t="str">
            <v>ผึ้งชมพู</v>
          </cell>
          <cell r="G27">
            <v>19</v>
          </cell>
          <cell r="H27">
            <v>30</v>
          </cell>
          <cell r="I27" t="str">
            <v>ขาว</v>
          </cell>
          <cell r="J27"/>
          <cell r="L27">
            <v>60</v>
          </cell>
          <cell r="M27" t="str">
            <v>±</v>
          </cell>
          <cell r="N27">
            <v>5</v>
          </cell>
          <cell r="R27" t="str">
            <v>บิด</v>
          </cell>
          <cell r="T27" t="str">
            <v>ไม่สวมถุงใน</v>
          </cell>
          <cell r="U27"/>
          <cell r="V27"/>
          <cell r="X27">
            <v>45911</v>
          </cell>
          <cell r="Z27" t="str">
            <v>500กระสอบ</v>
          </cell>
          <cell r="AA27">
            <v>40000</v>
          </cell>
          <cell r="AB27">
            <v>0</v>
          </cell>
          <cell r="AC27">
            <v>0</v>
          </cell>
          <cell r="AD27">
            <v>0</v>
          </cell>
          <cell r="AG27"/>
          <cell r="AI27"/>
          <cell r="AJ27">
            <v>37000</v>
          </cell>
          <cell r="AL27">
            <v>3000</v>
          </cell>
          <cell r="AM27">
            <v>42806</v>
          </cell>
          <cell r="AN27">
            <v>0</v>
          </cell>
          <cell r="AO27" t="str">
            <v>WSWT1925800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P7</v>
          </cell>
          <cell r="DM27">
            <v>2</v>
          </cell>
          <cell r="DN27">
            <v>45911</v>
          </cell>
          <cell r="DP27">
            <v>45906</v>
          </cell>
          <cell r="DQ27"/>
          <cell r="DR27">
            <v>45902</v>
          </cell>
          <cell r="DS27">
            <v>45909</v>
          </cell>
          <cell r="DT27">
            <v>45910</v>
          </cell>
          <cell r="DU27">
            <v>45910</v>
          </cell>
          <cell r="DW27"/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MK68-001049</v>
          </cell>
          <cell r="C28">
            <v>45898</v>
          </cell>
          <cell r="E28" t="str">
            <v>บจก.เพรซิเดนท์ฟลาวมิลล์</v>
          </cell>
          <cell r="F28" t="str">
            <v>ผึ้งเหลือง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X28">
            <v>45917</v>
          </cell>
          <cell r="Z28" t="str">
            <v>500กระสอบ</v>
          </cell>
          <cell r="AA28">
            <v>50000</v>
          </cell>
          <cell r="AB28">
            <v>0</v>
          </cell>
          <cell r="AC28">
            <v>0</v>
          </cell>
          <cell r="AD28">
            <v>0</v>
          </cell>
          <cell r="AG28"/>
          <cell r="AI28"/>
          <cell r="AJ28">
            <v>2344</v>
          </cell>
          <cell r="AL28">
            <v>47656</v>
          </cell>
          <cell r="AM28">
            <v>28455</v>
          </cell>
          <cell r="AN28">
            <v>22622.25</v>
          </cell>
          <cell r="AO28" t="str">
            <v>WSWT1925800</v>
          </cell>
          <cell r="AQ28">
            <v>19910.068447499998</v>
          </cell>
          <cell r="AR28">
            <v>19910.068447499998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P7</v>
          </cell>
          <cell r="DM28">
            <v>2</v>
          </cell>
          <cell r="DN28">
            <v>45917</v>
          </cell>
          <cell r="DP28">
            <v>45912</v>
          </cell>
          <cell r="DQ28"/>
          <cell r="DR28">
            <v>45908</v>
          </cell>
          <cell r="DS28">
            <v>45915</v>
          </cell>
          <cell r="DT28">
            <v>45916</v>
          </cell>
          <cell r="DU28">
            <v>45916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ประมาณการ</v>
          </cell>
          <cell r="C29" t="str">
            <v>ประมาณการ</v>
          </cell>
          <cell r="E29" t="str">
            <v>บจก.เอ็กเซลเล้นท์</v>
          </cell>
          <cell r="F29" t="str">
            <v>รอแบบ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45925</v>
          </cell>
          <cell r="Z29" t="str">
            <v>500กระสอบ</v>
          </cell>
          <cell r="AA29">
            <v>40000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0</v>
          </cell>
          <cell r="AL29">
            <v>40000</v>
          </cell>
          <cell r="AM29"/>
          <cell r="AN29">
            <v>42000</v>
          </cell>
          <cell r="AO29" t="str">
            <v>WSWT1925800</v>
          </cell>
          <cell r="AQ29">
            <v>35204.400000000001</v>
          </cell>
          <cell r="AR29">
            <v>4291</v>
          </cell>
          <cell r="AS29">
            <v>30913.4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2244.9998044444446</v>
          </cell>
          <cell r="DL29" t="str">
            <v>P7</v>
          </cell>
          <cell r="DM29">
            <v>2</v>
          </cell>
          <cell r="DN29">
            <v>45925</v>
          </cell>
          <cell r="DP29">
            <v>45920</v>
          </cell>
          <cell r="DQ29"/>
          <cell r="DR29">
            <v>45916</v>
          </cell>
          <cell r="DS29">
            <v>45923</v>
          </cell>
          <cell r="DT29">
            <v>45924</v>
          </cell>
          <cell r="DU29">
            <v>45924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บจก.ไลม์มาสเตอร์</v>
          </cell>
          <cell r="F30" t="str">
            <v>LMC 25 kg</v>
          </cell>
          <cell r="G30">
            <v>19</v>
          </cell>
          <cell r="H30">
            <v>32</v>
          </cell>
          <cell r="I30" t="str">
            <v>ขาว</v>
          </cell>
          <cell r="J30"/>
          <cell r="L30">
            <v>64</v>
          </cell>
          <cell r="M30" t="str">
            <v>±</v>
          </cell>
          <cell r="N30">
            <v>5</v>
          </cell>
          <cell r="R30" t="str">
            <v>ไม่</v>
          </cell>
          <cell r="T30">
            <v>20</v>
          </cell>
          <cell r="U30">
            <v>35</v>
          </cell>
          <cell r="V30">
            <v>40</v>
          </cell>
          <cell r="X30">
            <v>45925</v>
          </cell>
          <cell r="Z30" t="str">
            <v>500กระสอบแบน</v>
          </cell>
          <cell r="AA30">
            <v>20000</v>
          </cell>
          <cell r="AB30">
            <v>341.36903080895991</v>
          </cell>
          <cell r="AC30">
            <v>0</v>
          </cell>
          <cell r="AD30">
            <v>341.36903080895991</v>
          </cell>
          <cell r="AG30"/>
          <cell r="AI30"/>
          <cell r="AJ30">
            <v>233</v>
          </cell>
          <cell r="AL30">
            <v>19767</v>
          </cell>
          <cell r="AM30"/>
          <cell r="AN30">
            <v>20755.350000000002</v>
          </cell>
          <cell r="AO30" t="str">
            <v>WSWT1925800</v>
          </cell>
          <cell r="AQ30">
            <v>18501.714330000003</v>
          </cell>
          <cell r="AR30">
            <v>0</v>
          </cell>
          <cell r="AS30">
            <v>18501.714330000003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1343.6356095653334</v>
          </cell>
          <cell r="DL30" t="str">
            <v>P9</v>
          </cell>
          <cell r="DM30">
            <v>3</v>
          </cell>
          <cell r="DN30">
            <v>45925</v>
          </cell>
          <cell r="DP30">
            <v>45920</v>
          </cell>
          <cell r="DQ30"/>
          <cell r="DR30">
            <v>45915</v>
          </cell>
          <cell r="DS30">
            <v>45922</v>
          </cell>
          <cell r="DT30">
            <v>45923</v>
          </cell>
          <cell r="DU30">
            <v>45923</v>
          </cell>
          <cell r="DW30">
            <v>45924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>
            <v>0</v>
          </cell>
          <cell r="C31"/>
          <cell r="E31"/>
          <cell r="F31"/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/>
          <cell r="T31"/>
          <cell r="U31"/>
          <cell r="V31"/>
          <cell r="X31"/>
          <cell r="Z31"/>
          <cell r="AA31"/>
          <cell r="AB31">
            <v>0</v>
          </cell>
          <cell r="AC31">
            <v>0</v>
          </cell>
          <cell r="AD31"/>
          <cell r="AG31"/>
          <cell r="AI31" t="str">
            <v>ระบุในSD</v>
          </cell>
          <cell r="AJ31"/>
          <cell r="AL31">
            <v>0</v>
          </cell>
          <cell r="AM31"/>
          <cell r="AN31">
            <v>0</v>
          </cell>
          <cell r="AO31" t="str">
            <v>WSWT1925800</v>
          </cell>
          <cell r="AQ31">
            <v>73616.182777499998</v>
          </cell>
          <cell r="AR31">
            <v>24201.068447499998</v>
          </cell>
          <cell r="AS31">
            <v>49415.114330000004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/>
          <cell r="DM31" t="str">
            <v>Lead time</v>
          </cell>
          <cell r="DN31"/>
          <cell r="DP31"/>
          <cell r="DQ31"/>
          <cell r="DR31"/>
          <cell r="DS31"/>
          <cell r="DT31"/>
          <cell r="DU31"/>
          <cell r="DW31"/>
          <cell r="DX31"/>
          <cell r="DY31"/>
          <cell r="DZ31"/>
          <cell r="EA31"/>
          <cell r="EB31"/>
          <cell r="EC31"/>
          <cell r="ED31"/>
          <cell r="EG31"/>
          <cell r="EH31"/>
          <cell r="EI31">
            <v>0</v>
          </cell>
        </row>
        <row r="32">
          <cell r="B32" t="str">
            <v>MK68-001075</v>
          </cell>
          <cell r="C32">
            <v>45904</v>
          </cell>
          <cell r="E32" t="str">
            <v>บจก.เคอรี่ฟลาวมิลล์</v>
          </cell>
          <cell r="F32" t="str">
            <v>ไม่พิมพ์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67</v>
          </cell>
          <cell r="M32" t="str">
            <v>+</v>
          </cell>
          <cell r="N32">
            <v>5</v>
          </cell>
          <cell r="R32" t="str">
            <v>ไม่</v>
          </cell>
          <cell r="T32" t="str">
            <v>ไม่สวมถุงใน</v>
          </cell>
          <cell r="U32"/>
          <cell r="V32"/>
          <cell r="X32">
            <v>45915</v>
          </cell>
          <cell r="Z32" t="str">
            <v>ห่ออัดเบลแบน501</v>
          </cell>
          <cell r="AA32">
            <v>20000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5000</v>
          </cell>
          <cell r="AL32">
            <v>15000</v>
          </cell>
          <cell r="AM32"/>
          <cell r="AN32">
            <v>0</v>
          </cell>
          <cell r="AO32" t="str">
            <v>WSWT1921720</v>
          </cell>
          <cell r="AQ32">
            <v>14039.85</v>
          </cell>
          <cell r="AR32">
            <v>14039.85</v>
          </cell>
          <cell r="AS32">
            <v>0</v>
          </cell>
          <cell r="AT32">
            <v>0</v>
          </cell>
          <cell r="AU32">
            <v>0</v>
          </cell>
          <cell r="BZ32" t="str">
            <v>WRWT21720/WRWT25800</v>
          </cell>
          <cell r="CA32">
            <v>0</v>
          </cell>
          <cell r="DL32" t="str">
            <v>P3</v>
          </cell>
          <cell r="DM32">
            <v>1</v>
          </cell>
          <cell r="DN32">
            <v>45915</v>
          </cell>
          <cell r="DP32">
            <v>45910</v>
          </cell>
          <cell r="DQ32"/>
          <cell r="DR32"/>
          <cell r="DS32"/>
          <cell r="DT32"/>
          <cell r="DU32">
            <v>45914</v>
          </cell>
          <cell r="DW32"/>
          <cell r="DX32"/>
          <cell r="DY32"/>
          <cell r="DZ32"/>
          <cell r="EA32"/>
          <cell r="EB32"/>
          <cell r="EC32" t="str">
            <v>ตัด</v>
          </cell>
          <cell r="ED32"/>
          <cell r="EG32"/>
          <cell r="EH32"/>
          <cell r="EI32"/>
        </row>
        <row r="33">
          <cell r="B33" t="str">
            <v>MK68-001076</v>
          </cell>
          <cell r="C33">
            <v>45904</v>
          </cell>
          <cell r="E33" t="str">
            <v>บจก.เคอรี่ฟลาวมิลล์</v>
          </cell>
          <cell r="F33" t="str">
            <v>ไม่พิมพ์</v>
          </cell>
          <cell r="G33">
            <v>19</v>
          </cell>
          <cell r="H33">
            <v>32</v>
          </cell>
          <cell r="I33" t="str">
            <v>ขาว</v>
          </cell>
          <cell r="J33"/>
          <cell r="L33">
            <v>67</v>
          </cell>
          <cell r="M33" t="str">
            <v>+</v>
          </cell>
          <cell r="N33">
            <v>5</v>
          </cell>
          <cell r="R33" t="str">
            <v>ไม่</v>
          </cell>
          <cell r="T33" t="str">
            <v>ไม่สวมถุงใน</v>
          </cell>
          <cell r="U33"/>
          <cell r="V33"/>
          <cell r="X33">
            <v>45915</v>
          </cell>
          <cell r="Z33" t="str">
            <v>ห่ออัดเบลแบน501</v>
          </cell>
          <cell r="AA33">
            <v>20000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20000</v>
          </cell>
          <cell r="AM33"/>
          <cell r="AN33">
            <v>0</v>
          </cell>
          <cell r="AO33" t="str">
            <v>WSWT1921720</v>
          </cell>
          <cell r="AQ33">
            <v>18719.800000000003</v>
          </cell>
          <cell r="AR33">
            <v>18719.800000000003</v>
          </cell>
          <cell r="AS33">
            <v>0</v>
          </cell>
          <cell r="AT33">
            <v>0</v>
          </cell>
          <cell r="AU33">
            <v>0</v>
          </cell>
          <cell r="BZ33" t="str">
            <v>WRWT21720/WRWT25800</v>
          </cell>
          <cell r="CA33">
            <v>0</v>
          </cell>
          <cell r="DL33" t="str">
            <v>P3</v>
          </cell>
          <cell r="DM33">
            <v>1</v>
          </cell>
          <cell r="DN33">
            <v>45915</v>
          </cell>
          <cell r="DP33">
            <v>45910</v>
          </cell>
          <cell r="DQ33"/>
          <cell r="DR33"/>
          <cell r="DS33"/>
          <cell r="DT33"/>
          <cell r="DU33">
            <v>45914</v>
          </cell>
          <cell r="DW33"/>
          <cell r="DX33"/>
          <cell r="DY33"/>
          <cell r="DZ33"/>
          <cell r="EB33"/>
          <cell r="EC33" t="str">
            <v>ตัด</v>
          </cell>
          <cell r="ED33"/>
          <cell r="EG33"/>
          <cell r="EH33"/>
          <cell r="EI33"/>
        </row>
        <row r="34">
          <cell r="B34" t="str">
            <v>MK68-001077</v>
          </cell>
          <cell r="C34">
            <v>45905</v>
          </cell>
          <cell r="E34" t="str">
            <v>บจก.เคอรี่ฟลาวมิลล์</v>
          </cell>
          <cell r="F34" t="str">
            <v>ปลาโลมาเทา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67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45916</v>
          </cell>
          <cell r="Z34" t="str">
            <v>ห่ออัดเบลแบน500</v>
          </cell>
          <cell r="AA34">
            <v>5000</v>
          </cell>
          <cell r="AB34">
            <v>0</v>
          </cell>
          <cell r="AC34">
            <v>0</v>
          </cell>
          <cell r="AD34">
            <v>0</v>
          </cell>
          <cell r="AG34"/>
          <cell r="AI34" t="str">
            <v>PDR250295</v>
          </cell>
          <cell r="AJ34">
            <v>0</v>
          </cell>
          <cell r="AL34">
            <v>5000</v>
          </cell>
          <cell r="AM34">
            <v>5400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45916</v>
          </cell>
          <cell r="DP34">
            <v>45911</v>
          </cell>
          <cell r="DQ34"/>
          <cell r="DR34">
            <v>45907</v>
          </cell>
          <cell r="DS34">
            <v>45914</v>
          </cell>
          <cell r="DT34">
            <v>45915</v>
          </cell>
          <cell r="DU34">
            <v>45915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MK68-001077</v>
          </cell>
          <cell r="C35">
            <v>45905</v>
          </cell>
          <cell r="E35" t="str">
            <v>บจก.เคอรี่ฟลาวมิลล์</v>
          </cell>
          <cell r="F35" t="str">
            <v>ถุงเงิน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45916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 t="str">
            <v>PDR250295</v>
          </cell>
          <cell r="AJ35">
            <v>0</v>
          </cell>
          <cell r="AL35">
            <v>5000</v>
          </cell>
          <cell r="AM35">
            <v>5400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45916</v>
          </cell>
          <cell r="DP35">
            <v>45911</v>
          </cell>
          <cell r="DQ35"/>
          <cell r="DR35">
            <v>45907</v>
          </cell>
          <cell r="DS35">
            <v>45914</v>
          </cell>
          <cell r="DT35">
            <v>45915</v>
          </cell>
          <cell r="DU35">
            <v>45915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MK68-001077</v>
          </cell>
          <cell r="C36">
            <v>45905</v>
          </cell>
          <cell r="E36" t="str">
            <v>บจก.เคอรี่ฟลาวมิลล์</v>
          </cell>
          <cell r="F36" t="str">
            <v>กุ้งแดง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45916</v>
          </cell>
          <cell r="Z36" t="str">
            <v>ห่ออัดเบลแบน500</v>
          </cell>
          <cell r="AA36">
            <v>10000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PDR250295</v>
          </cell>
          <cell r="AJ36">
            <v>0</v>
          </cell>
          <cell r="AL36">
            <v>10000</v>
          </cell>
          <cell r="AM36">
            <v>10500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45916</v>
          </cell>
          <cell r="DP36">
            <v>45911</v>
          </cell>
          <cell r="DQ36"/>
          <cell r="DR36">
            <v>45907</v>
          </cell>
          <cell r="DS36">
            <v>45914</v>
          </cell>
          <cell r="DT36">
            <v>45915</v>
          </cell>
          <cell r="DU36">
            <v>45915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MK68-001077</v>
          </cell>
          <cell r="C37">
            <v>45905</v>
          </cell>
          <cell r="E37" t="str">
            <v>บจก.เคอรี่ฟลาวมิลล์</v>
          </cell>
          <cell r="F37" t="str">
            <v>PBKF2-01-03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45916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PDR250295</v>
          </cell>
          <cell r="AJ37">
            <v>0</v>
          </cell>
          <cell r="AL37">
            <v>5000</v>
          </cell>
          <cell r="AM37">
            <v>5400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45916</v>
          </cell>
          <cell r="DP37">
            <v>45911</v>
          </cell>
          <cell r="DQ37"/>
          <cell r="DR37">
            <v>45907</v>
          </cell>
          <cell r="DS37">
            <v>45914</v>
          </cell>
          <cell r="DT37">
            <v>45915</v>
          </cell>
          <cell r="DU37">
            <v>45915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MK68-001077</v>
          </cell>
          <cell r="C38">
            <v>45905</v>
          </cell>
          <cell r="E38" t="str">
            <v>บจก.เคอรี่ฟลาวมิลล์</v>
          </cell>
          <cell r="F38" t="str">
            <v>บะหมี่เตี๊ยว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45918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PDR250296</v>
          </cell>
          <cell r="AJ38">
            <v>0</v>
          </cell>
          <cell r="AL38">
            <v>5000</v>
          </cell>
          <cell r="AM38">
            <v>5250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45918</v>
          </cell>
          <cell r="DP38">
            <v>45913</v>
          </cell>
          <cell r="DQ38"/>
          <cell r="DR38">
            <v>45909</v>
          </cell>
          <cell r="DS38">
            <v>45916</v>
          </cell>
          <cell r="DT38">
            <v>45917</v>
          </cell>
          <cell r="DU38">
            <v>45917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MK68-001077</v>
          </cell>
          <cell r="C39">
            <v>45905</v>
          </cell>
          <cell r="E39" t="str">
            <v>บจก.เคอรี่ฟลาวมิลล์</v>
          </cell>
          <cell r="F39" t="str">
            <v>แต้มแดง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45918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PDR250295</v>
          </cell>
          <cell r="AJ39">
            <v>0</v>
          </cell>
          <cell r="AL39">
            <v>5000</v>
          </cell>
          <cell r="AM39">
            <v>5400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45918</v>
          </cell>
          <cell r="DP39">
            <v>45913</v>
          </cell>
          <cell r="DQ39"/>
          <cell r="DR39">
            <v>45909</v>
          </cell>
          <cell r="DS39">
            <v>45916</v>
          </cell>
          <cell r="DT39">
            <v>45917</v>
          </cell>
          <cell r="DU39">
            <v>45917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MK68-001077</v>
          </cell>
          <cell r="C40">
            <v>45905</v>
          </cell>
          <cell r="E40" t="str">
            <v>บจก.เคอรี่ฟลาวมิลล์</v>
          </cell>
          <cell r="F40" t="str">
            <v>ถุงเขียว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45918</v>
          </cell>
          <cell r="Z40" t="str">
            <v>ห่ออัดเบลแบน500</v>
          </cell>
          <cell r="AA40">
            <v>10000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PDR250296</v>
          </cell>
          <cell r="AJ40">
            <v>0</v>
          </cell>
          <cell r="AL40">
            <v>10000</v>
          </cell>
          <cell r="AM40">
            <v>10400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45918</v>
          </cell>
          <cell r="DP40">
            <v>45913</v>
          </cell>
          <cell r="DQ40"/>
          <cell r="DR40">
            <v>45909</v>
          </cell>
          <cell r="DS40">
            <v>45916</v>
          </cell>
          <cell r="DT40">
            <v>45917</v>
          </cell>
          <cell r="DU40">
            <v>45917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MK68-001077</v>
          </cell>
          <cell r="C41">
            <v>45905</v>
          </cell>
          <cell r="E41" t="str">
            <v>บจก.เคอรี่ฟลาวมิลล์</v>
          </cell>
          <cell r="F41" t="str">
            <v>ดอกไม้เขียว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45918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PDR250296</v>
          </cell>
          <cell r="AJ41">
            <v>0</v>
          </cell>
          <cell r="AL41">
            <v>5000</v>
          </cell>
          <cell r="AM41"/>
          <cell r="AN41">
            <v>5250</v>
          </cell>
          <cell r="AO41" t="str">
            <v>WSWT1921720</v>
          </cell>
          <cell r="AQ41">
            <v>4679.9500000000007</v>
          </cell>
          <cell r="AR41">
            <v>0</v>
          </cell>
          <cell r="AS41">
            <v>4679.9500000000007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352.51463377777782</v>
          </cell>
          <cell r="DL41" t="str">
            <v>P7</v>
          </cell>
          <cell r="DM41">
            <v>2</v>
          </cell>
          <cell r="DN41">
            <v>45918</v>
          </cell>
          <cell r="DP41">
            <v>45913</v>
          </cell>
          <cell r="DQ41"/>
          <cell r="DR41">
            <v>45909</v>
          </cell>
          <cell r="DS41">
            <v>45916</v>
          </cell>
          <cell r="DT41">
            <v>45917</v>
          </cell>
          <cell r="DU41">
            <v>45917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MK68-001075</v>
          </cell>
          <cell r="C42">
            <v>45904</v>
          </cell>
          <cell r="E42" t="str">
            <v>บจก.เคอรี่ฟลาวมิลล์</v>
          </cell>
          <cell r="F42" t="str">
            <v>ไม่พิมพ์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45924</v>
          </cell>
          <cell r="Z42" t="str">
            <v>ห่ออัดเบลแบน501</v>
          </cell>
          <cell r="AA42">
            <v>20000</v>
          </cell>
          <cell r="AB42">
            <v>0</v>
          </cell>
          <cell r="AC42">
            <v>0</v>
          </cell>
          <cell r="AD42">
            <v>0</v>
          </cell>
          <cell r="AG42"/>
          <cell r="AI42"/>
          <cell r="AJ42">
            <v>0</v>
          </cell>
          <cell r="AL42">
            <v>20000</v>
          </cell>
          <cell r="AM42"/>
          <cell r="AN42">
            <v>0</v>
          </cell>
          <cell r="AO42" t="str">
            <v>WSWT1921720</v>
          </cell>
          <cell r="AQ42">
            <v>18719.800000000003</v>
          </cell>
          <cell r="AR42">
            <v>0</v>
          </cell>
          <cell r="AS42">
            <v>18719.800000000003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1410.0585351111113</v>
          </cell>
          <cell r="DL42" t="str">
            <v>P3</v>
          </cell>
          <cell r="DM42">
            <v>1</v>
          </cell>
          <cell r="DN42">
            <v>45924</v>
          </cell>
          <cell r="DP42">
            <v>45919</v>
          </cell>
          <cell r="DQ42"/>
          <cell r="DR42"/>
          <cell r="DS42"/>
          <cell r="DT42"/>
          <cell r="DU42">
            <v>45923</v>
          </cell>
          <cell r="DW42"/>
          <cell r="DX42"/>
          <cell r="DY42"/>
          <cell r="DZ42"/>
          <cell r="EA42"/>
          <cell r="EB42"/>
          <cell r="EC42" t="str">
            <v>ตัด</v>
          </cell>
          <cell r="ED42"/>
          <cell r="EG42"/>
          <cell r="EH42"/>
          <cell r="EI42"/>
        </row>
        <row r="43">
          <cell r="B43" t="str">
            <v>MK68-001076</v>
          </cell>
          <cell r="C43">
            <v>45904</v>
          </cell>
          <cell r="E43" t="str">
            <v>บจก.เคอรี่ฟลาวมิลล์</v>
          </cell>
          <cell r="F43" t="str">
            <v>ไม่พิมพ์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45924</v>
          </cell>
          <cell r="Z43" t="str">
            <v>ห่ออัดเบลแบน501</v>
          </cell>
          <cell r="AA43">
            <v>20000</v>
          </cell>
          <cell r="AB43">
            <v>0</v>
          </cell>
          <cell r="AC43">
            <v>0</v>
          </cell>
          <cell r="AD43">
            <v>0</v>
          </cell>
          <cell r="AG43"/>
          <cell r="AI43"/>
          <cell r="AJ43">
            <v>0</v>
          </cell>
          <cell r="AL43">
            <v>20000</v>
          </cell>
          <cell r="AM43"/>
          <cell r="AN43">
            <v>0</v>
          </cell>
          <cell r="AO43" t="str">
            <v>WSWT1921720</v>
          </cell>
          <cell r="AQ43">
            <v>18719.800000000003</v>
          </cell>
          <cell r="AR43">
            <v>0</v>
          </cell>
          <cell r="AS43">
            <v>18719.800000000003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1410.0585351111113</v>
          </cell>
          <cell r="DL43" t="str">
            <v>P3</v>
          </cell>
          <cell r="DM43">
            <v>1</v>
          </cell>
          <cell r="DN43">
            <v>45924</v>
          </cell>
          <cell r="DP43">
            <v>45919</v>
          </cell>
          <cell r="DQ43"/>
          <cell r="DR43"/>
          <cell r="DS43"/>
          <cell r="DT43"/>
          <cell r="DU43">
            <v>45923</v>
          </cell>
          <cell r="DW43"/>
          <cell r="DX43"/>
          <cell r="DY43"/>
          <cell r="DZ43"/>
          <cell r="EA43"/>
          <cell r="EB43"/>
          <cell r="EC43" t="str">
            <v>ตัด</v>
          </cell>
          <cell r="ED43"/>
          <cell r="EG43"/>
          <cell r="EH43"/>
          <cell r="EI43"/>
        </row>
        <row r="44">
          <cell r="B44" t="str">
            <v>ประมาณการ</v>
          </cell>
          <cell r="C44" t="str">
            <v>ประมาณการ</v>
          </cell>
          <cell r="E44" t="str">
            <v>บจก.เคอรี่ฟลาวมิลล์</v>
          </cell>
          <cell r="F44" t="str">
            <v>รอแบบ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45930</v>
          </cell>
          <cell r="Z44" t="str">
            <v>ห่ออัดเบลแบน500</v>
          </cell>
          <cell r="AA44">
            <v>140000</v>
          </cell>
          <cell r="AB44">
            <v>0</v>
          </cell>
          <cell r="AC44">
            <v>0</v>
          </cell>
          <cell r="AD44">
            <v>0</v>
          </cell>
          <cell r="AG44"/>
          <cell r="AI44"/>
          <cell r="AJ44">
            <v>0</v>
          </cell>
          <cell r="AL44">
            <v>140000</v>
          </cell>
          <cell r="AM44"/>
          <cell r="AN44">
            <v>147000</v>
          </cell>
          <cell r="AO44" t="str">
            <v>WSWT1921720</v>
          </cell>
          <cell r="AQ44">
            <v>131038.6</v>
          </cell>
          <cell r="AR44">
            <v>0</v>
          </cell>
          <cell r="AS44">
            <v>131038.6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9870.4097457777771</v>
          </cell>
          <cell r="DL44" t="str">
            <v>P7</v>
          </cell>
          <cell r="DM44">
            <v>2</v>
          </cell>
          <cell r="DN44">
            <v>45930</v>
          </cell>
          <cell r="DP44">
            <v>45925</v>
          </cell>
          <cell r="DQ44"/>
          <cell r="DR44">
            <v>45921</v>
          </cell>
          <cell r="DS44">
            <v>45928</v>
          </cell>
          <cell r="DT44">
            <v>45929</v>
          </cell>
          <cell r="DU44">
            <v>45929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>รอART</v>
          </cell>
          <cell r="EG44"/>
          <cell r="EH44"/>
          <cell r="EI44"/>
        </row>
        <row r="45">
          <cell r="B45">
            <v>0</v>
          </cell>
          <cell r="C45"/>
          <cell r="E45"/>
          <cell r="F45"/>
          <cell r="G45">
            <v>19</v>
          </cell>
          <cell r="H45">
            <v>30</v>
          </cell>
          <cell r="I45"/>
          <cell r="J45"/>
          <cell r="L45">
            <v>63</v>
          </cell>
          <cell r="M45" t="str">
            <v>+</v>
          </cell>
          <cell r="N45">
            <v>5</v>
          </cell>
          <cell r="R45"/>
          <cell r="T45"/>
          <cell r="U45"/>
          <cell r="V45"/>
          <cell r="X45"/>
          <cell r="Z45"/>
          <cell r="AA45">
            <v>0</v>
          </cell>
          <cell r="AB45"/>
          <cell r="AC45">
            <v>0</v>
          </cell>
          <cell r="AD45"/>
          <cell r="AG45"/>
          <cell r="AI45" t="str">
            <v>ระบุในSD</v>
          </cell>
          <cell r="AJ45">
            <v>0</v>
          </cell>
          <cell r="AL45">
            <v>0</v>
          </cell>
          <cell r="AM45"/>
          <cell r="AN45">
            <v>0</v>
          </cell>
          <cell r="AO45" t="str">
            <v>WSWT1921720</v>
          </cell>
          <cell r="AQ45">
            <v>205917.80000000002</v>
          </cell>
          <cell r="AR45">
            <v>32759.65</v>
          </cell>
          <cell r="AS45">
            <v>173158.15000000002</v>
          </cell>
          <cell r="AT45">
            <v>0</v>
          </cell>
          <cell r="AU45">
            <v>0</v>
          </cell>
          <cell r="BZ45" t="str">
            <v>WRWT190720/WRWT25800</v>
          </cell>
          <cell r="CA45">
            <v>0</v>
          </cell>
          <cell r="DL45"/>
          <cell r="DM45" t="str">
            <v>Lead time</v>
          </cell>
          <cell r="DN45"/>
          <cell r="DP45"/>
          <cell r="DQ45"/>
          <cell r="DR45"/>
          <cell r="DS45"/>
          <cell r="DT45"/>
          <cell r="DU45"/>
          <cell r="DW45"/>
          <cell r="DX45"/>
          <cell r="DY45"/>
          <cell r="DZ45"/>
          <cell r="EA45"/>
          <cell r="EB45"/>
          <cell r="EC45"/>
          <cell r="ED45"/>
          <cell r="EG45"/>
          <cell r="EH45">
            <v>0</v>
          </cell>
          <cell r="EI45">
            <v>0</v>
          </cell>
        </row>
        <row r="46">
          <cell r="B46">
            <v>0</v>
          </cell>
          <cell r="C46"/>
          <cell r="E46"/>
          <cell r="F46"/>
          <cell r="G46">
            <v>19</v>
          </cell>
          <cell r="H46">
            <v>30</v>
          </cell>
          <cell r="I46"/>
          <cell r="J46"/>
          <cell r="L46">
            <v>56</v>
          </cell>
          <cell r="M46" t="str">
            <v>±</v>
          </cell>
          <cell r="N46">
            <v>5</v>
          </cell>
          <cell r="R46"/>
          <cell r="T46"/>
          <cell r="U46"/>
          <cell r="V46"/>
          <cell r="X46"/>
          <cell r="Z46"/>
          <cell r="AA46">
            <v>0</v>
          </cell>
          <cell r="AB46"/>
          <cell r="AC46">
            <v>0</v>
          </cell>
          <cell r="AD46"/>
          <cell r="AG46"/>
          <cell r="AI46" t="str">
            <v>ระบุในSD</v>
          </cell>
          <cell r="AJ46" t="str">
            <v xml:space="preserve"> </v>
          </cell>
          <cell r="AL46">
            <v>0</v>
          </cell>
          <cell r="AM46"/>
          <cell r="AN46">
            <v>0</v>
          </cell>
          <cell r="AO46" t="str">
            <v>WSWT1925800SM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BZ46" t="str">
            <v>WRWT190800/WRWT25800</v>
          </cell>
          <cell r="CA46">
            <v>0</v>
          </cell>
          <cell r="DL46"/>
          <cell r="DM46" t="str">
            <v>Lead time</v>
          </cell>
          <cell r="DN46"/>
          <cell r="DP46"/>
          <cell r="DQ46"/>
          <cell r="DR46"/>
          <cell r="DS46"/>
          <cell r="DT46"/>
          <cell r="DU46"/>
          <cell r="DW46"/>
          <cell r="DX46"/>
          <cell r="DY46"/>
          <cell r="DZ46"/>
          <cell r="EA46"/>
          <cell r="EB46"/>
          <cell r="EC46"/>
          <cell r="ED46"/>
          <cell r="EG46"/>
          <cell r="EH46">
            <v>0</v>
          </cell>
          <cell r="EI46">
            <v>0</v>
          </cell>
        </row>
        <row r="47">
          <cell r="B47" t="str">
            <v>MK68-001080</v>
          </cell>
          <cell r="C47">
            <v>45905</v>
          </cell>
          <cell r="E47" t="str">
            <v>บจก.อินเทคค์ โกลบอล</v>
          </cell>
          <cell r="F47" t="str">
            <v>เพอเฟคค์103P โกลด์</v>
          </cell>
          <cell r="G47">
            <v>19</v>
          </cell>
          <cell r="H47">
            <v>34</v>
          </cell>
          <cell r="I47" t="str">
            <v>ขาว</v>
          </cell>
          <cell r="J47" t="str">
            <v>ด้าน</v>
          </cell>
          <cell r="L47">
            <v>100</v>
          </cell>
          <cell r="M47" t="str">
            <v>±</v>
          </cell>
          <cell r="N47">
            <v>5</v>
          </cell>
          <cell r="R47" t="str">
            <v>จับจีบ4"</v>
          </cell>
          <cell r="T47" t="str">
            <v>ไม่สวมถุงใน</v>
          </cell>
          <cell r="U47"/>
          <cell r="V47"/>
          <cell r="X47">
            <v>45920</v>
          </cell>
          <cell r="Z47" t="str">
            <v>มัด80 ใช้สายรัด</v>
          </cell>
          <cell r="AA47">
            <v>5040</v>
          </cell>
          <cell r="AB47">
            <v>0</v>
          </cell>
          <cell r="AC47">
            <v>0</v>
          </cell>
          <cell r="AD47">
            <v>0</v>
          </cell>
          <cell r="AG47"/>
          <cell r="AI47"/>
          <cell r="AJ47">
            <v>0</v>
          </cell>
          <cell r="AL47">
            <v>5040</v>
          </cell>
          <cell r="AM47"/>
          <cell r="AN47">
            <v>5292</v>
          </cell>
          <cell r="AO47" t="str">
            <v>WSWT19251000SM</v>
          </cell>
          <cell r="AQ47">
            <v>4999.0247999999992</v>
          </cell>
          <cell r="AR47">
            <v>4999.0247999999992</v>
          </cell>
          <cell r="AS47">
            <v>0</v>
          </cell>
          <cell r="AT47">
            <v>0</v>
          </cell>
          <cell r="AU47">
            <v>4999.0247999999992</v>
          </cell>
          <cell r="BZ47" t="str">
            <v>WRWT251000/WRWT251000</v>
          </cell>
          <cell r="CA47">
            <v>0</v>
          </cell>
          <cell r="DL47" t="str">
            <v>P6</v>
          </cell>
          <cell r="DM47">
            <v>4</v>
          </cell>
          <cell r="DN47">
            <v>45920</v>
          </cell>
          <cell r="DP47">
            <v>45915</v>
          </cell>
          <cell r="DQ47">
            <v>45916</v>
          </cell>
          <cell r="DR47">
            <v>45909</v>
          </cell>
          <cell r="DS47">
            <v>45917</v>
          </cell>
          <cell r="DT47">
            <v>45918</v>
          </cell>
          <cell r="DU47">
            <v>45919</v>
          </cell>
          <cell r="DW47"/>
          <cell r="DX47"/>
          <cell r="DY47"/>
          <cell r="DZ47"/>
          <cell r="EA47"/>
          <cell r="EB47"/>
          <cell r="EC47" t="str">
            <v>งานเคลือบ+พิมพ์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MK68-001080</v>
          </cell>
          <cell r="C48">
            <v>45905</v>
          </cell>
          <cell r="E48" t="str">
            <v>บจก.อินเทคค์ โกลบอล</v>
          </cell>
          <cell r="F48" t="str">
            <v>เพอเฟคค์104 โกลด์</v>
          </cell>
          <cell r="G48">
            <v>19</v>
          </cell>
          <cell r="H48">
            <v>34</v>
          </cell>
          <cell r="I48" t="str">
            <v>ขาว</v>
          </cell>
          <cell r="J48" t="str">
            <v>ด้าน</v>
          </cell>
          <cell r="L48">
            <v>100</v>
          </cell>
          <cell r="M48" t="str">
            <v>±</v>
          </cell>
          <cell r="N48">
            <v>5</v>
          </cell>
          <cell r="R48" t="str">
            <v>จับจีบ4"</v>
          </cell>
          <cell r="T48" t="str">
            <v>ไม่สวมถุงใน</v>
          </cell>
          <cell r="U48"/>
          <cell r="V48"/>
          <cell r="X48">
            <v>45920</v>
          </cell>
          <cell r="Z48" t="str">
            <v>มัด80 ใช้สายรัด</v>
          </cell>
          <cell r="AA48">
            <v>5040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1174</v>
          </cell>
          <cell r="AL48">
            <v>3866</v>
          </cell>
          <cell r="AM48"/>
          <cell r="AN48">
            <v>4059.3</v>
          </cell>
          <cell r="AO48" t="str">
            <v>WSWT19251000SM</v>
          </cell>
          <cell r="AQ48">
            <v>3834.5694199999998</v>
          </cell>
          <cell r="AR48">
            <v>1956</v>
          </cell>
          <cell r="AS48">
            <v>1878.5694199999998</v>
          </cell>
          <cell r="AT48">
            <v>0</v>
          </cell>
          <cell r="AU48">
            <v>3834.5694199999998</v>
          </cell>
          <cell r="BZ48" t="str">
            <v>WRWT251000/WRWT251000</v>
          </cell>
          <cell r="CA48">
            <v>158.63475102222222</v>
          </cell>
          <cell r="DL48" t="str">
            <v>P6</v>
          </cell>
          <cell r="DM48">
            <v>4</v>
          </cell>
          <cell r="DN48">
            <v>45920</v>
          </cell>
          <cell r="DP48">
            <v>45915</v>
          </cell>
          <cell r="DQ48">
            <v>45916</v>
          </cell>
          <cell r="DR48">
            <v>45909</v>
          </cell>
          <cell r="DS48">
            <v>45917</v>
          </cell>
          <cell r="DT48">
            <v>45918</v>
          </cell>
          <cell r="DU48">
            <v>45919</v>
          </cell>
          <cell r="DW48"/>
          <cell r="DX48"/>
          <cell r="DY48"/>
          <cell r="DZ48"/>
          <cell r="EA48"/>
          <cell r="EB48"/>
          <cell r="EC48" t="str">
            <v>งานเคลือบ+พิมพ์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MK68-000680</v>
          </cell>
          <cell r="C49">
            <v>45796</v>
          </cell>
          <cell r="E49" t="str">
            <v>บจก.อินเทคค์ โกลบอล</v>
          </cell>
          <cell r="F49" t="str">
            <v>เพอเฟคค์103P โกลด์</v>
          </cell>
          <cell r="G49">
            <v>19</v>
          </cell>
          <cell r="H49">
            <v>34</v>
          </cell>
          <cell r="I49" t="str">
            <v>ขาว</v>
          </cell>
          <cell r="J49" t="str">
            <v>ด้าน</v>
          </cell>
          <cell r="L49">
            <v>100</v>
          </cell>
          <cell r="M49" t="str">
            <v>±</v>
          </cell>
          <cell r="N49">
            <v>5</v>
          </cell>
          <cell r="R49" t="str">
            <v>จับจีบ4"</v>
          </cell>
          <cell r="T49" t="str">
            <v>ไม่สวมถุงใน</v>
          </cell>
          <cell r="U49"/>
          <cell r="V49"/>
          <cell r="X49" t="str">
            <v>รอแจ้ง</v>
          </cell>
          <cell r="Z49" t="str">
            <v>มัด80 ใช้สายรัด</v>
          </cell>
          <cell r="AA49">
            <v>503</v>
          </cell>
          <cell r="AB49">
            <v>0</v>
          </cell>
          <cell r="AC49">
            <v>0</v>
          </cell>
          <cell r="AD49">
            <v>0</v>
          </cell>
          <cell r="AG49"/>
          <cell r="AI49"/>
          <cell r="AJ49">
            <v>0</v>
          </cell>
          <cell r="AL49">
            <v>503</v>
          </cell>
          <cell r="AM49">
            <v>5250</v>
          </cell>
          <cell r="AN49">
            <v>0</v>
          </cell>
          <cell r="AO49" t="str">
            <v>WSWT19251000SM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WRWT251000/WRWT251000</v>
          </cell>
          <cell r="CA49">
            <v>0</v>
          </cell>
          <cell r="DL49" t="str">
            <v>P6</v>
          </cell>
          <cell r="DM49">
            <v>4</v>
          </cell>
          <cell r="DN49" t="str">
            <v>รอแจ้ง</v>
          </cell>
          <cell r="DP49" t="e">
            <v>#VALUE!</v>
          </cell>
          <cell r="DQ49" t="e">
            <v>#VALUE!</v>
          </cell>
          <cell r="DR49" t="e">
            <v>#VALUE!</v>
          </cell>
          <cell r="DS49" t="e">
            <v>#VALUE!</v>
          </cell>
          <cell r="DT49" t="e">
            <v>#VALUE!</v>
          </cell>
          <cell r="DU49" t="e">
            <v>#VALUE!</v>
          </cell>
          <cell r="DW49"/>
          <cell r="DX49"/>
          <cell r="DY49"/>
          <cell r="DZ49"/>
          <cell r="EA49"/>
          <cell r="EB49"/>
          <cell r="EC49" t="str">
            <v>งานเคลือบ+พิมพ์</v>
          </cell>
          <cell r="ED49" t="str">
            <v xml:space="preserve"> /</v>
          </cell>
          <cell r="EG49"/>
          <cell r="EH49"/>
          <cell r="EI49"/>
        </row>
        <row r="50">
          <cell r="B50">
            <v>0</v>
          </cell>
          <cell r="C50"/>
          <cell r="E50"/>
          <cell r="F50"/>
          <cell r="G50">
            <v>19</v>
          </cell>
          <cell r="H50">
            <v>34</v>
          </cell>
          <cell r="I50" t="str">
            <v>ขาว</v>
          </cell>
          <cell r="J50"/>
          <cell r="L50">
            <v>80</v>
          </cell>
          <cell r="M50" t="str">
            <v>±</v>
          </cell>
          <cell r="N50">
            <v>5</v>
          </cell>
          <cell r="R50"/>
          <cell r="T50"/>
          <cell r="U50"/>
          <cell r="V50"/>
          <cell r="X50"/>
          <cell r="Z50"/>
          <cell r="AA50"/>
          <cell r="AB50">
            <v>0</v>
          </cell>
          <cell r="AC50">
            <v>0</v>
          </cell>
          <cell r="AD50"/>
          <cell r="AG50"/>
          <cell r="AI50" t="str">
            <v>ระบุในSD</v>
          </cell>
          <cell r="AJ50"/>
          <cell r="AL50">
            <v>0</v>
          </cell>
          <cell r="AM50"/>
          <cell r="AN50">
            <v>0</v>
          </cell>
          <cell r="AO50" t="str">
            <v>WSWT19251000SM</v>
          </cell>
          <cell r="AQ50">
            <v>8833.594219999999</v>
          </cell>
          <cell r="AR50">
            <v>6955.0247999999992</v>
          </cell>
          <cell r="AS50">
            <v>1878.5694199999998</v>
          </cell>
          <cell r="AT50">
            <v>0</v>
          </cell>
          <cell r="AU50">
            <v>8833.594219999999</v>
          </cell>
          <cell r="BZ50" t="str">
            <v>WRWT251000/WRYL251000</v>
          </cell>
          <cell r="CA50">
            <v>0</v>
          </cell>
          <cell r="DL50"/>
          <cell r="DM50" t="str">
            <v>Lead time</v>
          </cell>
          <cell r="DN50"/>
          <cell r="DP50"/>
          <cell r="DQ50"/>
          <cell r="DR50"/>
          <cell r="DS50"/>
          <cell r="DT50"/>
          <cell r="DU50"/>
          <cell r="DW50"/>
          <cell r="DX50"/>
          <cell r="DY50"/>
          <cell r="DZ50"/>
          <cell r="EA50"/>
          <cell r="EB50"/>
          <cell r="EC50"/>
          <cell r="ED50"/>
          <cell r="EG50"/>
          <cell r="EH50"/>
          <cell r="EI50">
            <v>0</v>
          </cell>
        </row>
        <row r="51">
          <cell r="B51">
            <v>0</v>
          </cell>
          <cell r="C51"/>
          <cell r="E51"/>
          <cell r="F51"/>
          <cell r="G51">
            <v>20</v>
          </cell>
          <cell r="H51">
            <v>37</v>
          </cell>
          <cell r="I51" t="str">
            <v>ขาว</v>
          </cell>
          <cell r="J51"/>
          <cell r="L51">
            <v>65</v>
          </cell>
          <cell r="M51" t="str">
            <v>±</v>
          </cell>
          <cell r="N51">
            <v>5</v>
          </cell>
          <cell r="R51"/>
          <cell r="T51"/>
          <cell r="U51"/>
          <cell r="V51"/>
          <cell r="X51"/>
          <cell r="Z51"/>
          <cell r="AA51"/>
          <cell r="AB51">
            <v>0</v>
          </cell>
          <cell r="AC51">
            <v>0</v>
          </cell>
          <cell r="AD51"/>
          <cell r="AG51"/>
          <cell r="AI51" t="str">
            <v>ระบุในSD</v>
          </cell>
          <cell r="AJ51"/>
          <cell r="AL51">
            <v>0</v>
          </cell>
          <cell r="AM51"/>
          <cell r="AN51">
            <v>0</v>
          </cell>
          <cell r="AO51" t="str">
            <v>WSWT2025650</v>
          </cell>
          <cell r="AQ51" t="e">
            <v>#REF!</v>
          </cell>
          <cell r="AR51" t="e">
            <v>#REF!</v>
          </cell>
          <cell r="AS51" t="e">
            <v>#REF!</v>
          </cell>
          <cell r="AT51" t="e">
            <v>#REF!</v>
          </cell>
          <cell r="AU51" t="e">
            <v>#REF!</v>
          </cell>
          <cell r="BZ51" t="str">
            <v>WRWT25650/WRWT25650</v>
          </cell>
          <cell r="CA51">
            <v>0</v>
          </cell>
          <cell r="DL51"/>
          <cell r="DM51" t="str">
            <v>Lead time</v>
          </cell>
          <cell r="DN51"/>
          <cell r="DP51"/>
          <cell r="DQ51"/>
          <cell r="DR51"/>
          <cell r="DS51"/>
          <cell r="DT51"/>
          <cell r="DU51"/>
          <cell r="DW51"/>
          <cell r="DX51"/>
          <cell r="DY51"/>
          <cell r="DZ51"/>
          <cell r="EA51"/>
          <cell r="EB51"/>
          <cell r="EC51"/>
          <cell r="ED51"/>
          <cell r="EG51"/>
          <cell r="EH51"/>
          <cell r="EI51">
            <v>0</v>
          </cell>
        </row>
        <row r="52">
          <cell r="B52">
            <v>0</v>
          </cell>
          <cell r="C52"/>
          <cell r="E52"/>
          <cell r="F52"/>
          <cell r="G52">
            <v>20</v>
          </cell>
          <cell r="H52">
            <v>37</v>
          </cell>
          <cell r="I52" t="str">
            <v>ขาว</v>
          </cell>
          <cell r="J52"/>
          <cell r="L52">
            <v>70</v>
          </cell>
          <cell r="M52" t="str">
            <v>±</v>
          </cell>
          <cell r="N52">
            <v>5</v>
          </cell>
          <cell r="R52"/>
          <cell r="T52"/>
          <cell r="U52"/>
          <cell r="V52"/>
          <cell r="X52"/>
          <cell r="Z52"/>
          <cell r="AA52"/>
          <cell r="AB52">
            <v>0</v>
          </cell>
          <cell r="AC52">
            <v>0</v>
          </cell>
          <cell r="AD52"/>
          <cell r="AG52"/>
          <cell r="AI52" t="str">
            <v>ระบุในSD</v>
          </cell>
          <cell r="AJ52"/>
          <cell r="AL52">
            <v>0</v>
          </cell>
          <cell r="AM52"/>
          <cell r="AN52">
            <v>0</v>
          </cell>
          <cell r="AO52" t="str">
            <v>WSWT2025700</v>
          </cell>
          <cell r="AQ52" t="e">
            <v>#REF!</v>
          </cell>
          <cell r="AR52" t="e">
            <v>#REF!</v>
          </cell>
          <cell r="AS52" t="e">
            <v>#REF!</v>
          </cell>
          <cell r="AT52" t="e">
            <v>#REF!</v>
          </cell>
          <cell r="AU52" t="e">
            <v>#REF!</v>
          </cell>
          <cell r="BZ52" t="str">
            <v>WRWT25800/WRWT25650</v>
          </cell>
          <cell r="CA52">
            <v>0</v>
          </cell>
          <cell r="DL52"/>
          <cell r="DM52" t="str">
            <v>Lead time</v>
          </cell>
          <cell r="DN52"/>
          <cell r="DP52"/>
          <cell r="DQ52"/>
          <cell r="DR52"/>
          <cell r="DS52"/>
          <cell r="DT52"/>
          <cell r="DU52"/>
          <cell r="DW52"/>
          <cell r="DX52"/>
          <cell r="DY52"/>
          <cell r="DZ52"/>
          <cell r="EA52"/>
          <cell r="EB52"/>
          <cell r="EC52"/>
          <cell r="ED52"/>
          <cell r="EG52"/>
          <cell r="EH52"/>
          <cell r="EI52">
            <v>0</v>
          </cell>
        </row>
        <row r="53">
          <cell r="B53" t="str">
            <v>MK68-000609</v>
          </cell>
          <cell r="C53">
            <v>45782</v>
          </cell>
          <cell r="E53" t="str">
            <v>บจก.เอสพีเอ็ม อาหารสัตว์</v>
          </cell>
          <cell r="F53" t="str">
            <v xml:space="preserve">SW 441 </v>
          </cell>
          <cell r="G53">
            <v>20</v>
          </cell>
          <cell r="H53">
            <v>38</v>
          </cell>
          <cell r="I53" t="str">
            <v>ขาว</v>
          </cell>
          <cell r="J53" t="str">
            <v>ใส</v>
          </cell>
          <cell r="L53">
            <v>100</v>
          </cell>
          <cell r="M53" t="str">
            <v>±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45909</v>
          </cell>
          <cell r="Z53" t="str">
            <v>500กระสอบแบน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4473</v>
          </cell>
          <cell r="AL53">
            <v>527</v>
          </cell>
          <cell r="AM53">
            <v>5200</v>
          </cell>
          <cell r="AN53">
            <v>0</v>
          </cell>
          <cell r="AO53" t="str">
            <v>WSWT2025800SM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WRWT25850/WRWT25850</v>
          </cell>
          <cell r="CA53">
            <v>0</v>
          </cell>
          <cell r="DL53" t="str">
            <v>P6</v>
          </cell>
          <cell r="DM53">
            <v>4</v>
          </cell>
          <cell r="DN53">
            <v>45909</v>
          </cell>
          <cell r="DP53">
            <v>45904</v>
          </cell>
          <cell r="DQ53">
            <v>45905</v>
          </cell>
          <cell r="DR53">
            <v>45898</v>
          </cell>
          <cell r="DS53">
            <v>45906</v>
          </cell>
          <cell r="DT53">
            <v>45907</v>
          </cell>
          <cell r="DU53">
            <v>45908</v>
          </cell>
          <cell r="DW53"/>
          <cell r="DX53"/>
          <cell r="DY53"/>
          <cell r="DZ53"/>
          <cell r="EA53"/>
          <cell r="EB53"/>
          <cell r="EC53" t="str">
            <v>งานเคลือบ+พิมพ์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MK68-001069</v>
          </cell>
          <cell r="C54">
            <v>45902</v>
          </cell>
          <cell r="E54" t="str">
            <v>บจก.วีซีเอฟ</v>
          </cell>
          <cell r="F54" t="str">
            <v>VC120</v>
          </cell>
          <cell r="G54">
            <v>20</v>
          </cell>
          <cell r="H54">
            <v>37</v>
          </cell>
          <cell r="I54" t="str">
            <v>ขาว</v>
          </cell>
          <cell r="J54" t="str">
            <v>ใส</v>
          </cell>
          <cell r="L54">
            <v>100</v>
          </cell>
          <cell r="M54" t="str">
            <v>±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45910</v>
          </cell>
          <cell r="Z54" t="str">
            <v>500กระสอบแบน</v>
          </cell>
          <cell r="AA54">
            <v>8000</v>
          </cell>
          <cell r="AB54">
            <v>0</v>
          </cell>
          <cell r="AC54">
            <v>0</v>
          </cell>
          <cell r="AD54">
            <v>0</v>
          </cell>
          <cell r="AG54"/>
          <cell r="AI54"/>
          <cell r="AJ54">
            <v>8000</v>
          </cell>
          <cell r="AL54">
            <v>0</v>
          </cell>
          <cell r="AM54">
            <v>20753</v>
          </cell>
          <cell r="AN54">
            <v>0</v>
          </cell>
          <cell r="AO54" t="str">
            <v>WSWT2025800SM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BZ54" t="str">
            <v>WRWT25850/WRWT25850</v>
          </cell>
          <cell r="CA54">
            <v>0</v>
          </cell>
          <cell r="DL54" t="str">
            <v>P6</v>
          </cell>
          <cell r="DM54">
            <v>4</v>
          </cell>
          <cell r="DN54">
            <v>45910</v>
          </cell>
          <cell r="DP54">
            <v>45905</v>
          </cell>
          <cell r="DQ54">
            <v>45906</v>
          </cell>
          <cell r="DR54">
            <v>45899</v>
          </cell>
          <cell r="DS54">
            <v>45907</v>
          </cell>
          <cell r="DT54">
            <v>45908</v>
          </cell>
          <cell r="DU54">
            <v>45909</v>
          </cell>
          <cell r="DW54"/>
          <cell r="DX54"/>
          <cell r="DY54"/>
          <cell r="DZ54"/>
          <cell r="EA54"/>
          <cell r="EB54"/>
          <cell r="EC54" t="str">
            <v>งานเคลือบ+พิมพ์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MK68-001071</v>
          </cell>
          <cell r="C55">
            <v>45902</v>
          </cell>
          <cell r="E55" t="str">
            <v>บจก.วีซีเอฟ</v>
          </cell>
          <cell r="F55" t="str">
            <v>VC108</v>
          </cell>
          <cell r="G55">
            <v>20</v>
          </cell>
          <cell r="H55">
            <v>37</v>
          </cell>
          <cell r="I55" t="str">
            <v>ขาว</v>
          </cell>
          <cell r="J55" t="str">
            <v>ใส</v>
          </cell>
          <cell r="L55">
            <v>100</v>
          </cell>
          <cell r="M55" t="str">
            <v>±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45910</v>
          </cell>
          <cell r="Z55" t="str">
            <v>500กระสอบแบน</v>
          </cell>
          <cell r="AA55">
            <v>10000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0</v>
          </cell>
          <cell r="AL55">
            <v>10000</v>
          </cell>
          <cell r="AM55"/>
          <cell r="AN55">
            <v>10500</v>
          </cell>
          <cell r="AO55" t="str">
            <v>WSWT2025800SM</v>
          </cell>
          <cell r="AQ55">
            <v>10756.900000000001</v>
          </cell>
          <cell r="AR55">
            <v>10756.900000000001</v>
          </cell>
          <cell r="AS55">
            <v>0</v>
          </cell>
          <cell r="AT55">
            <v>0</v>
          </cell>
          <cell r="AU55">
            <v>10756.900000000001</v>
          </cell>
          <cell r="BZ55" t="str">
            <v>WRWT25850/WRWT25850</v>
          </cell>
          <cell r="CA55">
            <v>0</v>
          </cell>
          <cell r="DL55" t="str">
            <v>P6</v>
          </cell>
          <cell r="DM55">
            <v>4</v>
          </cell>
          <cell r="DN55">
            <v>45910</v>
          </cell>
          <cell r="DP55">
            <v>45905</v>
          </cell>
          <cell r="DQ55">
            <v>45906</v>
          </cell>
          <cell r="DR55">
            <v>45899</v>
          </cell>
          <cell r="DS55">
            <v>45907</v>
          </cell>
          <cell r="DT55">
            <v>45908</v>
          </cell>
          <cell r="DU55">
            <v>45909</v>
          </cell>
          <cell r="DW55"/>
          <cell r="DX55"/>
          <cell r="DY55"/>
          <cell r="DZ55"/>
          <cell r="EA55"/>
          <cell r="EB55"/>
          <cell r="EC55" t="str">
            <v>งานเคลือบ+พิมพ์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MK68-001070</v>
          </cell>
          <cell r="C56">
            <v>45902</v>
          </cell>
          <cell r="E56" t="str">
            <v>บจก.วีซีเอฟ</v>
          </cell>
          <cell r="F56" t="str">
            <v>JET555</v>
          </cell>
          <cell r="G56">
            <v>20</v>
          </cell>
          <cell r="H56">
            <v>37</v>
          </cell>
          <cell r="I56" t="str">
            <v>ขาว</v>
          </cell>
          <cell r="J56" t="str">
            <v>ใส</v>
          </cell>
          <cell r="L56">
            <v>100</v>
          </cell>
          <cell r="M56" t="str">
            <v>±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45910</v>
          </cell>
          <cell r="Z56" t="str">
            <v>500กระสอบแบน</v>
          </cell>
          <cell r="AA56">
            <v>10000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10000</v>
          </cell>
          <cell r="AM56"/>
          <cell r="AN56">
            <v>10500</v>
          </cell>
          <cell r="AO56" t="str">
            <v>WSWT2025800SM</v>
          </cell>
          <cell r="AQ56">
            <v>10756.900000000001</v>
          </cell>
          <cell r="AR56">
            <v>10756.900000000001</v>
          </cell>
          <cell r="AS56">
            <v>0</v>
          </cell>
          <cell r="AT56">
            <v>0</v>
          </cell>
          <cell r="AU56">
            <v>10756.900000000001</v>
          </cell>
          <cell r="BZ56" t="str">
            <v>WRWT25850/WRWT25850</v>
          </cell>
          <cell r="CA56">
            <v>0</v>
          </cell>
          <cell r="DL56" t="str">
            <v>P6</v>
          </cell>
          <cell r="DM56">
            <v>4</v>
          </cell>
          <cell r="DN56">
            <v>45910</v>
          </cell>
          <cell r="DP56">
            <v>45905</v>
          </cell>
          <cell r="DQ56">
            <v>45906</v>
          </cell>
          <cell r="DR56">
            <v>45899</v>
          </cell>
          <cell r="DS56">
            <v>45907</v>
          </cell>
          <cell r="DT56">
            <v>45908</v>
          </cell>
          <cell r="DU56">
            <v>45909</v>
          </cell>
          <cell r="DW56"/>
          <cell r="DX56"/>
          <cell r="DY56"/>
          <cell r="DZ56"/>
          <cell r="EA56"/>
          <cell r="EB56"/>
          <cell r="EC56" t="str">
            <v>งานเคลือบ+พิมพ์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MK68-001071</v>
          </cell>
          <cell r="C57">
            <v>45902</v>
          </cell>
          <cell r="E57" t="str">
            <v>บจก.วีซีเอฟ</v>
          </cell>
          <cell r="F57" t="str">
            <v>VC100</v>
          </cell>
          <cell r="G57">
            <v>20</v>
          </cell>
          <cell r="H57">
            <v>37</v>
          </cell>
          <cell r="I57" t="str">
            <v>ขาว</v>
          </cell>
          <cell r="J57" t="str">
            <v>ใส</v>
          </cell>
          <cell r="L57">
            <v>100</v>
          </cell>
          <cell r="M57" t="str">
            <v>±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45912</v>
          </cell>
          <cell r="Z57" t="str">
            <v>500กระสอบแบน</v>
          </cell>
          <cell r="AA57">
            <v>20500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400</v>
          </cell>
          <cell r="AL57">
            <v>20100</v>
          </cell>
          <cell r="AM57"/>
          <cell r="AN57">
            <v>21105</v>
          </cell>
          <cell r="AO57" t="str">
            <v>WSWT2025800SM</v>
          </cell>
          <cell r="AQ57">
            <v>21621.369000000002</v>
          </cell>
          <cell r="AR57">
            <v>21621.369000000002</v>
          </cell>
          <cell r="AS57">
            <v>0</v>
          </cell>
          <cell r="AT57">
            <v>0</v>
          </cell>
          <cell r="AU57">
            <v>21621.369000000002</v>
          </cell>
          <cell r="BZ57" t="str">
            <v>WRWT25850/WRWT25850</v>
          </cell>
          <cell r="CA57">
            <v>0</v>
          </cell>
          <cell r="DL57" t="str">
            <v>P6</v>
          </cell>
          <cell r="DM57">
            <v>4</v>
          </cell>
          <cell r="DN57">
            <v>45912</v>
          </cell>
          <cell r="DP57">
            <v>45907</v>
          </cell>
          <cell r="DQ57">
            <v>45908</v>
          </cell>
          <cell r="DR57">
            <v>45901</v>
          </cell>
          <cell r="DS57">
            <v>45909</v>
          </cell>
          <cell r="DT57">
            <v>45910</v>
          </cell>
          <cell r="DU57">
            <v>45911</v>
          </cell>
          <cell r="DW57"/>
          <cell r="DX57"/>
          <cell r="DY57"/>
          <cell r="DZ57"/>
          <cell r="EA57"/>
          <cell r="EB57"/>
          <cell r="EC57" t="str">
            <v>งานเคลือบ+พิมพ์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MK68-001070</v>
          </cell>
          <cell r="C58">
            <v>45902</v>
          </cell>
          <cell r="E58" t="str">
            <v>บจก.วีซีเอฟ</v>
          </cell>
          <cell r="F58" t="str">
            <v>ไลด์ฟีด 405</v>
          </cell>
          <cell r="G58">
            <v>20</v>
          </cell>
          <cell r="H58">
            <v>37</v>
          </cell>
          <cell r="I58" t="str">
            <v>ขาว</v>
          </cell>
          <cell r="J58" t="str">
            <v>ใส</v>
          </cell>
          <cell r="L58">
            <v>100</v>
          </cell>
          <cell r="M58" t="str">
            <v>±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45912</v>
          </cell>
          <cell r="Z58" t="str">
            <v>500กระสอบแบน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WSWT2025800SM</v>
          </cell>
          <cell r="AQ58">
            <v>5378.4500000000007</v>
          </cell>
          <cell r="AR58">
            <v>5378.4500000000007</v>
          </cell>
          <cell r="AS58">
            <v>0</v>
          </cell>
          <cell r="AT58">
            <v>0</v>
          </cell>
          <cell r="AU58">
            <v>5378.4500000000007</v>
          </cell>
          <cell r="BZ58" t="str">
            <v>WRWT25850/WRWT25850</v>
          </cell>
          <cell r="CA58">
            <v>0</v>
          </cell>
          <cell r="DL58" t="str">
            <v>P6</v>
          </cell>
          <cell r="DM58">
            <v>4</v>
          </cell>
          <cell r="DN58">
            <v>45912</v>
          </cell>
          <cell r="DP58">
            <v>45907</v>
          </cell>
          <cell r="DQ58">
            <v>45908</v>
          </cell>
          <cell r="DR58">
            <v>45901</v>
          </cell>
          <cell r="DS58">
            <v>45909</v>
          </cell>
          <cell r="DT58">
            <v>45910</v>
          </cell>
          <cell r="DU58">
            <v>45911</v>
          </cell>
          <cell r="DW58"/>
          <cell r="DX58"/>
          <cell r="DY58"/>
          <cell r="DZ58"/>
          <cell r="EA58"/>
          <cell r="EB58"/>
          <cell r="EC58" t="str">
            <v>งานเคลือบ+พิมพ์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MK68-001070</v>
          </cell>
          <cell r="C59">
            <v>45902</v>
          </cell>
          <cell r="E59" t="str">
            <v>บจก.วีซีเอฟ</v>
          </cell>
          <cell r="F59" t="str">
            <v>SPEED PLUS 405ENG</v>
          </cell>
          <cell r="G59">
            <v>20</v>
          </cell>
          <cell r="H59">
            <v>37</v>
          </cell>
          <cell r="I59" t="str">
            <v>ขาว</v>
          </cell>
          <cell r="J59" t="str">
            <v>ใส</v>
          </cell>
          <cell r="L59">
            <v>100</v>
          </cell>
          <cell r="M59" t="str">
            <v>±</v>
          </cell>
          <cell r="N59">
            <v>5</v>
          </cell>
          <cell r="R59" t="str">
            <v>ไม่</v>
          </cell>
          <cell r="T59" t="str">
            <v>ไม่สวมถุงใน</v>
          </cell>
          <cell r="U59"/>
          <cell r="V59"/>
          <cell r="X59">
            <v>45912</v>
          </cell>
          <cell r="Z59" t="str">
            <v>500กระสอบแบน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WSWT2025800SM</v>
          </cell>
          <cell r="AQ59">
            <v>5378.4500000000007</v>
          </cell>
          <cell r="AR59">
            <v>5378.4500000000007</v>
          </cell>
          <cell r="AS59">
            <v>0</v>
          </cell>
          <cell r="AT59">
            <v>0</v>
          </cell>
          <cell r="AU59">
            <v>5378.4500000000007</v>
          </cell>
          <cell r="BZ59" t="str">
            <v>WRWT25850/WRWT25850</v>
          </cell>
          <cell r="CA59">
            <v>0</v>
          </cell>
          <cell r="DL59" t="str">
            <v>P6</v>
          </cell>
          <cell r="DM59">
            <v>4</v>
          </cell>
          <cell r="DN59">
            <v>45912</v>
          </cell>
          <cell r="DP59">
            <v>45907</v>
          </cell>
          <cell r="DQ59">
            <v>45908</v>
          </cell>
          <cell r="DR59">
            <v>45901</v>
          </cell>
          <cell r="DS59">
            <v>45909</v>
          </cell>
          <cell r="DT59">
            <v>45910</v>
          </cell>
          <cell r="DU59">
            <v>45911</v>
          </cell>
          <cell r="DW59"/>
          <cell r="DX59"/>
          <cell r="DY59"/>
          <cell r="DZ59"/>
          <cell r="EA59"/>
          <cell r="EB59"/>
          <cell r="EC59" t="str">
            <v>งานเคลือบ+พิมพ์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MK68-001078</v>
          </cell>
          <cell r="C60">
            <v>45905</v>
          </cell>
          <cell r="E60" t="str">
            <v>บจก.อินเทคค์ โกลบอล</v>
          </cell>
          <cell r="F60" t="str">
            <v>เฟิร์สช้อย 914</v>
          </cell>
          <cell r="G60">
            <v>20</v>
          </cell>
          <cell r="H60">
            <v>36</v>
          </cell>
          <cell r="I60" t="str">
            <v>ขาว</v>
          </cell>
          <cell r="J60" t="str">
            <v>ด้าน</v>
          </cell>
          <cell r="L60">
            <v>100</v>
          </cell>
          <cell r="M60" t="str">
            <v>±</v>
          </cell>
          <cell r="N60">
            <v>5</v>
          </cell>
          <cell r="R60" t="str">
            <v>จับจีบ</v>
          </cell>
          <cell r="T60" t="str">
            <v>ไม่สวมถุงใน</v>
          </cell>
          <cell r="U60"/>
          <cell r="V60"/>
          <cell r="X60">
            <v>45919</v>
          </cell>
          <cell r="Z60" t="str">
            <v>มัด80 ใช้สายรัด</v>
          </cell>
          <cell r="AA60">
            <v>5040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5040</v>
          </cell>
          <cell r="AM60"/>
          <cell r="AN60">
            <v>5292</v>
          </cell>
          <cell r="AO60" t="str">
            <v>WSWT2025800SM</v>
          </cell>
          <cell r="AQ60">
            <v>5280.6600000000008</v>
          </cell>
          <cell r="AR60">
            <v>5280.6600000000008</v>
          </cell>
          <cell r="AS60">
            <v>0</v>
          </cell>
          <cell r="AT60">
            <v>0</v>
          </cell>
          <cell r="AU60">
            <v>5280.6600000000008</v>
          </cell>
          <cell r="BZ60" t="str">
            <v>WRWT25850/WRWT25850</v>
          </cell>
          <cell r="CA60">
            <v>0</v>
          </cell>
          <cell r="DL60" t="str">
            <v>P6</v>
          </cell>
          <cell r="DM60">
            <v>4</v>
          </cell>
          <cell r="DN60">
            <v>45919</v>
          </cell>
          <cell r="DP60">
            <v>45914</v>
          </cell>
          <cell r="DQ60">
            <v>45915</v>
          </cell>
          <cell r="DR60">
            <v>45908</v>
          </cell>
          <cell r="DS60">
            <v>45916</v>
          </cell>
          <cell r="DT60">
            <v>45917</v>
          </cell>
          <cell r="DU60">
            <v>45918</v>
          </cell>
          <cell r="DW60"/>
          <cell r="DX60"/>
          <cell r="DY60"/>
          <cell r="DZ60"/>
          <cell r="EA60"/>
          <cell r="EB60"/>
          <cell r="EC60" t="str">
            <v>งานเคลือบ+พิมพ์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MK68-001078</v>
          </cell>
          <cell r="C61">
            <v>45905</v>
          </cell>
          <cell r="E61" t="str">
            <v>บจก.อินเทคค์ โกลบอล</v>
          </cell>
          <cell r="F61" t="str">
            <v>เพอเฟคค์ 912</v>
          </cell>
          <cell r="G61">
            <v>20</v>
          </cell>
          <cell r="H61">
            <v>36</v>
          </cell>
          <cell r="I61" t="str">
            <v>ขาว</v>
          </cell>
          <cell r="J61" t="str">
            <v>ด้าน</v>
          </cell>
          <cell r="L61">
            <v>100</v>
          </cell>
          <cell r="M61" t="str">
            <v>±</v>
          </cell>
          <cell r="N61">
            <v>5</v>
          </cell>
          <cell r="R61" t="str">
            <v>จับจีบ</v>
          </cell>
          <cell r="T61" t="str">
            <v>ไม่สวมถุงใน</v>
          </cell>
          <cell r="U61"/>
          <cell r="V61"/>
          <cell r="X61">
            <v>45919</v>
          </cell>
          <cell r="Z61" t="str">
            <v>มัด80 ใช้สายรัด</v>
          </cell>
          <cell r="AA61">
            <v>10000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10000</v>
          </cell>
          <cell r="AM61"/>
          <cell r="AN61">
            <v>10500</v>
          </cell>
          <cell r="AO61" t="str">
            <v>WSWT2025800SM</v>
          </cell>
          <cell r="AQ61">
            <v>10477.5</v>
          </cell>
          <cell r="AR61">
            <v>10477.5</v>
          </cell>
          <cell r="AS61">
            <v>0</v>
          </cell>
          <cell r="AT61">
            <v>10477.5</v>
          </cell>
          <cell r="AU61">
            <v>0</v>
          </cell>
          <cell r="BZ61" t="str">
            <v>WRWT25850/WRWT25850</v>
          </cell>
          <cell r="CA61">
            <v>0</v>
          </cell>
          <cell r="DL61" t="str">
            <v>P6</v>
          </cell>
          <cell r="DM61">
            <v>4</v>
          </cell>
          <cell r="DN61">
            <v>45919</v>
          </cell>
          <cell r="DP61">
            <v>45914</v>
          </cell>
          <cell r="DQ61">
            <v>45915</v>
          </cell>
          <cell r="DR61">
            <v>45908</v>
          </cell>
          <cell r="DS61">
            <v>45916</v>
          </cell>
          <cell r="DT61">
            <v>45917</v>
          </cell>
          <cell r="DU61">
            <v>45918</v>
          </cell>
          <cell r="DW61"/>
          <cell r="DX61"/>
          <cell r="DY61"/>
          <cell r="DZ61"/>
          <cell r="EA61"/>
          <cell r="EB61"/>
          <cell r="EC61" t="str">
            <v>งานเคลือบ+พิมพ์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MK68-001079</v>
          </cell>
          <cell r="C62">
            <v>45905</v>
          </cell>
          <cell r="E62" t="str">
            <v>บจก.อินเทคค์ โกลบอล</v>
          </cell>
          <cell r="F62" t="str">
            <v>เฟิร์สช้อย 902</v>
          </cell>
          <cell r="G62">
            <v>20</v>
          </cell>
          <cell r="H62">
            <v>36</v>
          </cell>
          <cell r="I62" t="str">
            <v>ขาว</v>
          </cell>
          <cell r="J62" t="str">
            <v>ด้าน</v>
          </cell>
          <cell r="L62">
            <v>100</v>
          </cell>
          <cell r="M62" t="str">
            <v>±</v>
          </cell>
          <cell r="N62">
            <v>5</v>
          </cell>
          <cell r="R62" t="str">
            <v>จับจีบ</v>
          </cell>
          <cell r="T62" t="str">
            <v>ไม่สวมถุงใน</v>
          </cell>
          <cell r="U62"/>
          <cell r="V62"/>
          <cell r="X62">
            <v>45920</v>
          </cell>
          <cell r="Z62" t="str">
            <v>มัด80 ใช้สายรัด</v>
          </cell>
          <cell r="AA62">
            <v>5040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5040</v>
          </cell>
          <cell r="AM62"/>
          <cell r="AN62">
            <v>5292</v>
          </cell>
          <cell r="AO62" t="str">
            <v>WSWT2025800SM</v>
          </cell>
          <cell r="AQ62">
            <v>5280.6600000000008</v>
          </cell>
          <cell r="AR62">
            <v>5280.6600000000008</v>
          </cell>
          <cell r="AS62">
            <v>0</v>
          </cell>
          <cell r="AT62">
            <v>0</v>
          </cell>
          <cell r="AU62">
            <v>5280.6600000000008</v>
          </cell>
          <cell r="BZ62" t="str">
            <v>WRWT25850/WRWT25850</v>
          </cell>
          <cell r="CA62">
            <v>0</v>
          </cell>
          <cell r="DL62" t="str">
            <v>P6</v>
          </cell>
          <cell r="DM62">
            <v>4</v>
          </cell>
          <cell r="DN62">
            <v>45920</v>
          </cell>
          <cell r="DP62">
            <v>45915</v>
          </cell>
          <cell r="DQ62">
            <v>45916</v>
          </cell>
          <cell r="DR62">
            <v>45909</v>
          </cell>
          <cell r="DS62">
            <v>45917</v>
          </cell>
          <cell r="DT62">
            <v>45918</v>
          </cell>
          <cell r="DU62">
            <v>45919</v>
          </cell>
          <cell r="DW62"/>
          <cell r="DX62"/>
          <cell r="DY62"/>
          <cell r="DZ62"/>
          <cell r="EA62"/>
          <cell r="EB62"/>
          <cell r="EC62" t="str">
            <v>งานเคลือบ+พิมพ์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MK68-000671</v>
          </cell>
          <cell r="C63">
            <v>45796</v>
          </cell>
          <cell r="E63" t="str">
            <v>บจก.อินเทคค์ โกลบอล</v>
          </cell>
          <cell r="F63" t="str">
            <v>เฟิร์สช้อย 902</v>
          </cell>
          <cell r="G63">
            <v>20</v>
          </cell>
          <cell r="H63">
            <v>36</v>
          </cell>
          <cell r="I63" t="str">
            <v>ขาว</v>
          </cell>
          <cell r="J63" t="str">
            <v>ด้าน</v>
          </cell>
          <cell r="L63">
            <v>100</v>
          </cell>
          <cell r="M63" t="str">
            <v>±</v>
          </cell>
          <cell r="N63">
            <v>5</v>
          </cell>
          <cell r="R63" t="str">
            <v>จับจีบ</v>
          </cell>
          <cell r="T63" t="str">
            <v>ไม่สวมถุงใน</v>
          </cell>
          <cell r="U63"/>
          <cell r="V63"/>
          <cell r="X63">
            <v>45920</v>
          </cell>
          <cell r="Z63" t="str">
            <v>มัด80 ใช้สายรัด</v>
          </cell>
          <cell r="AA63">
            <v>366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366</v>
          </cell>
          <cell r="AM63">
            <v>0</v>
          </cell>
          <cell r="AN63">
            <v>384.3</v>
          </cell>
          <cell r="AO63" t="str">
            <v>WSWT2025800SM</v>
          </cell>
          <cell r="AQ63">
            <v>383.47650000000004</v>
          </cell>
          <cell r="AR63">
            <v>383.47650000000004</v>
          </cell>
          <cell r="AS63">
            <v>0</v>
          </cell>
          <cell r="AT63">
            <v>0</v>
          </cell>
          <cell r="AU63">
            <v>383.47650000000004</v>
          </cell>
          <cell r="BZ63" t="str">
            <v>WRWT25850/WRWT25850</v>
          </cell>
          <cell r="CA63">
            <v>0</v>
          </cell>
          <cell r="DL63" t="str">
            <v>P6</v>
          </cell>
          <cell r="DM63">
            <v>4</v>
          </cell>
          <cell r="DN63">
            <v>45920</v>
          </cell>
          <cell r="DP63">
            <v>45915</v>
          </cell>
          <cell r="DQ63">
            <v>45916</v>
          </cell>
          <cell r="DR63">
            <v>45909</v>
          </cell>
          <cell r="DS63">
            <v>45917</v>
          </cell>
          <cell r="DT63">
            <v>45918</v>
          </cell>
          <cell r="DU63">
            <v>45919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MK68-001079</v>
          </cell>
          <cell r="C64">
            <v>45905</v>
          </cell>
          <cell r="E64" t="str">
            <v>บจก.อินเทคค์ โกลบอล</v>
          </cell>
          <cell r="F64" t="str">
            <v>เฟิร์สช้อย 912</v>
          </cell>
          <cell r="G64">
            <v>20</v>
          </cell>
          <cell r="H64">
            <v>36</v>
          </cell>
          <cell r="I64" t="str">
            <v>ขาว</v>
          </cell>
          <cell r="J64" t="str">
            <v>ด้าน</v>
          </cell>
          <cell r="L64">
            <v>100</v>
          </cell>
          <cell r="M64" t="str">
            <v>±</v>
          </cell>
          <cell r="N64">
            <v>5</v>
          </cell>
          <cell r="R64" t="str">
            <v>จับจีบ</v>
          </cell>
          <cell r="T64" t="str">
            <v>ไม่สวมถุงใน</v>
          </cell>
          <cell r="U64"/>
          <cell r="V64"/>
          <cell r="X64">
            <v>45920</v>
          </cell>
          <cell r="Z64" t="str">
            <v>มัด80 ใช้สายรัด</v>
          </cell>
          <cell r="AA64">
            <v>5040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5040</v>
          </cell>
          <cell r="AM64"/>
          <cell r="AN64">
            <v>5292</v>
          </cell>
          <cell r="AO64" t="str">
            <v>WSWT2025800SM</v>
          </cell>
          <cell r="AQ64">
            <v>5280.6600000000008</v>
          </cell>
          <cell r="AR64">
            <v>5280.6600000000008</v>
          </cell>
          <cell r="AS64">
            <v>0</v>
          </cell>
          <cell r="AT64">
            <v>0</v>
          </cell>
          <cell r="AU64">
            <v>5280.6600000000008</v>
          </cell>
          <cell r="BZ64" t="str">
            <v>WRWT25850/WRWT25850</v>
          </cell>
          <cell r="CA64">
            <v>0</v>
          </cell>
          <cell r="DL64" t="str">
            <v>P6</v>
          </cell>
          <cell r="DM64">
            <v>4</v>
          </cell>
          <cell r="DN64">
            <v>45920</v>
          </cell>
          <cell r="DP64">
            <v>45915</v>
          </cell>
          <cell r="DQ64">
            <v>45916</v>
          </cell>
          <cell r="DR64">
            <v>45909</v>
          </cell>
          <cell r="DS64">
            <v>45917</v>
          </cell>
          <cell r="DT64">
            <v>45918</v>
          </cell>
          <cell r="DU64">
            <v>45919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MK68-001071</v>
          </cell>
          <cell r="C65">
            <v>45902</v>
          </cell>
          <cell r="E65" t="str">
            <v>บจก.วีซีเอฟ</v>
          </cell>
          <cell r="F65" t="str">
            <v>VC181</v>
          </cell>
          <cell r="G65">
            <v>20</v>
          </cell>
          <cell r="H65">
            <v>37</v>
          </cell>
          <cell r="I65" t="str">
            <v>ขาว</v>
          </cell>
          <cell r="J65" t="str">
            <v>ใส</v>
          </cell>
          <cell r="L65">
            <v>100</v>
          </cell>
          <cell r="M65" t="str">
            <v>±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45920</v>
          </cell>
          <cell r="Z65" t="str">
            <v>500กระสอบแบน</v>
          </cell>
          <cell r="AA65">
            <v>20000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20000</v>
          </cell>
          <cell r="AM65">
            <v>20630</v>
          </cell>
          <cell r="AN65">
            <v>0</v>
          </cell>
          <cell r="AO65" t="str">
            <v>WSWT2025800SM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WRWT25850/WRWT25850</v>
          </cell>
          <cell r="CA65">
            <v>0</v>
          </cell>
          <cell r="DL65" t="str">
            <v>P6</v>
          </cell>
          <cell r="DM65">
            <v>4</v>
          </cell>
          <cell r="DN65">
            <v>45920</v>
          </cell>
          <cell r="DP65">
            <v>45915</v>
          </cell>
          <cell r="DQ65">
            <v>45916</v>
          </cell>
          <cell r="DR65">
            <v>45909</v>
          </cell>
          <cell r="DS65">
            <v>45917</v>
          </cell>
          <cell r="DT65">
            <v>45918</v>
          </cell>
          <cell r="DU65">
            <v>45919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MK68-000961</v>
          </cell>
          <cell r="C66">
            <v>45873</v>
          </cell>
          <cell r="E66" t="str">
            <v>บจก.เอพีเอ็ม อะโกร</v>
          </cell>
          <cell r="F66" t="str">
            <v>U-FEED U2(เอส)</v>
          </cell>
          <cell r="G66">
            <v>20</v>
          </cell>
          <cell r="H66">
            <v>38</v>
          </cell>
          <cell r="I66" t="str">
            <v>ขาว</v>
          </cell>
          <cell r="J66" t="str">
            <v>ใส</v>
          </cell>
          <cell r="L66">
            <v>100</v>
          </cell>
          <cell r="M66" t="str">
            <v>±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45922</v>
          </cell>
          <cell r="Z66" t="str">
            <v>500กระสอบแบน</v>
          </cell>
          <cell r="AA66">
            <v>4000</v>
          </cell>
          <cell r="AB66">
            <v>0</v>
          </cell>
          <cell r="AC66">
            <v>0</v>
          </cell>
          <cell r="AD66">
            <v>0</v>
          </cell>
          <cell r="AG66" t="str">
            <v xml:space="preserve">ลบสี   </v>
          </cell>
          <cell r="AI66" t="str">
            <v>ห้ามเกิน-ขาดได้5%</v>
          </cell>
          <cell r="AJ66">
            <v>4000</v>
          </cell>
          <cell r="AL66">
            <v>0</v>
          </cell>
          <cell r="AM66">
            <v>4130</v>
          </cell>
          <cell r="AN66">
            <v>0</v>
          </cell>
          <cell r="AO66" t="str">
            <v>WSWT2025800SM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WRWT25850/WRWT25850</v>
          </cell>
          <cell r="CA66">
            <v>0</v>
          </cell>
          <cell r="DL66" t="str">
            <v>P6</v>
          </cell>
          <cell r="DM66">
            <v>4</v>
          </cell>
          <cell r="DN66">
            <v>45922</v>
          </cell>
          <cell r="DP66">
            <v>45917</v>
          </cell>
          <cell r="DQ66">
            <v>45918</v>
          </cell>
          <cell r="DR66">
            <v>45911</v>
          </cell>
          <cell r="DS66">
            <v>45919</v>
          </cell>
          <cell r="DT66">
            <v>45920</v>
          </cell>
          <cell r="DU66">
            <v>45921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ใบรับคำสั่งซื้อ</v>
          </cell>
          <cell r="C67">
            <v>45908</v>
          </cell>
          <cell r="E67" t="str">
            <v>บจก.เอ.เจ.ฟาร์ม่าแล็บ</v>
          </cell>
          <cell r="F67" t="str">
            <v>เบส-มิน</v>
          </cell>
          <cell r="G67">
            <v>20</v>
          </cell>
          <cell r="H67">
            <v>34</v>
          </cell>
          <cell r="I67" t="str">
            <v>ขาว</v>
          </cell>
          <cell r="J67" t="str">
            <v>ใส</v>
          </cell>
          <cell r="L67">
            <v>95</v>
          </cell>
          <cell r="M67" t="str">
            <v>±</v>
          </cell>
          <cell r="N67">
            <v>5</v>
          </cell>
          <cell r="R67" t="str">
            <v>จับจีบ</v>
          </cell>
          <cell r="T67" t="str">
            <v>ไม่สวมถุงใน</v>
          </cell>
          <cell r="U67"/>
          <cell r="V67"/>
          <cell r="X67">
            <v>45922</v>
          </cell>
          <cell r="Z67" t="str">
            <v>500กระสอบ</v>
          </cell>
          <cell r="AA67">
            <v>8000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8000</v>
          </cell>
          <cell r="AM67"/>
          <cell r="AN67">
            <v>8400</v>
          </cell>
          <cell r="AO67" t="str">
            <v>WSWT2025800SM</v>
          </cell>
          <cell r="AQ67">
            <v>7934.96</v>
          </cell>
          <cell r="AR67">
            <v>7934.96</v>
          </cell>
          <cell r="AS67">
            <v>0</v>
          </cell>
          <cell r="AT67">
            <v>0</v>
          </cell>
          <cell r="AU67">
            <v>7934.96</v>
          </cell>
          <cell r="BZ67" t="str">
            <v>WRWT25850/WRWT25850</v>
          </cell>
          <cell r="CA67">
            <v>0</v>
          </cell>
          <cell r="DL67"/>
          <cell r="DM67"/>
          <cell r="DN67"/>
          <cell r="DP67"/>
          <cell r="DQ67"/>
          <cell r="DR67"/>
          <cell r="DS67"/>
          <cell r="DT67"/>
          <cell r="DU67"/>
          <cell r="DW67"/>
          <cell r="DX67"/>
          <cell r="DY67"/>
          <cell r="DZ67"/>
          <cell r="EA67"/>
          <cell r="EB67"/>
          <cell r="EC67"/>
          <cell r="ED67"/>
          <cell r="EG67"/>
          <cell r="EH67"/>
          <cell r="EI67"/>
        </row>
        <row r="68">
          <cell r="B68" t="str">
            <v>ใบรับคำสั่งซื้อ</v>
          </cell>
          <cell r="C68">
            <v>45908</v>
          </cell>
          <cell r="E68" t="str">
            <v>บจก.เอ.เจ.ฟาร์ม่าแล็บ</v>
          </cell>
          <cell r="F68" t="str">
            <v>เวท-มิน</v>
          </cell>
          <cell r="G68">
            <v>20</v>
          </cell>
          <cell r="H68">
            <v>34</v>
          </cell>
          <cell r="I68" t="str">
            <v>ขาว</v>
          </cell>
          <cell r="J68" t="str">
            <v>ใส</v>
          </cell>
          <cell r="L68">
            <v>95</v>
          </cell>
          <cell r="M68" t="str">
            <v>±</v>
          </cell>
          <cell r="N68">
            <v>5</v>
          </cell>
          <cell r="R68" t="str">
            <v>จับจีบ</v>
          </cell>
          <cell r="T68" t="str">
            <v>ไม่สวมถุงใน</v>
          </cell>
          <cell r="U68"/>
          <cell r="V68"/>
          <cell r="X68">
            <v>45922</v>
          </cell>
          <cell r="Z68" t="str">
            <v>500กระสอบ</v>
          </cell>
          <cell r="AA68">
            <v>8000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8000</v>
          </cell>
          <cell r="AM68"/>
          <cell r="AN68">
            <v>8400</v>
          </cell>
          <cell r="AO68" t="str">
            <v>WSWT2025800SM</v>
          </cell>
          <cell r="AQ68">
            <v>7934.96</v>
          </cell>
          <cell r="AR68">
            <v>7000</v>
          </cell>
          <cell r="AS68">
            <v>934.96</v>
          </cell>
          <cell r="AT68">
            <v>0</v>
          </cell>
          <cell r="AU68">
            <v>7934.96</v>
          </cell>
          <cell r="BZ68" t="str">
            <v>WRWT25850/WRWT25850</v>
          </cell>
          <cell r="CA68">
            <v>70.641422222222232</v>
          </cell>
          <cell r="DL68"/>
          <cell r="DM68"/>
          <cell r="DN68"/>
          <cell r="DP68"/>
          <cell r="DQ68"/>
          <cell r="DR68"/>
          <cell r="DS68"/>
          <cell r="DT68"/>
          <cell r="DU68"/>
          <cell r="DW68"/>
          <cell r="DX68"/>
          <cell r="DY68"/>
          <cell r="DZ68"/>
          <cell r="EA68"/>
          <cell r="EB68"/>
          <cell r="EC68"/>
          <cell r="ED68"/>
          <cell r="EG68"/>
          <cell r="EH68"/>
          <cell r="EI68"/>
        </row>
        <row r="69">
          <cell r="B69" t="str">
            <v>MK68-001069</v>
          </cell>
          <cell r="C69">
            <v>45902</v>
          </cell>
          <cell r="E69" t="str">
            <v>บจก.วีซีเอฟ</v>
          </cell>
          <cell r="F69" t="str">
            <v>VC193</v>
          </cell>
          <cell r="G69">
            <v>20</v>
          </cell>
          <cell r="H69">
            <v>37</v>
          </cell>
          <cell r="I69" t="str">
            <v>ขาว</v>
          </cell>
          <cell r="J69" t="str">
            <v>ใส</v>
          </cell>
          <cell r="L69">
            <v>100</v>
          </cell>
          <cell r="M69" t="str">
            <v>±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45923</v>
          </cell>
          <cell r="Z69" t="str">
            <v>500กระสอบแบน</v>
          </cell>
          <cell r="AA69">
            <v>10000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10000</v>
          </cell>
          <cell r="AM69"/>
          <cell r="AN69">
            <v>10500</v>
          </cell>
          <cell r="AO69" t="str">
            <v>WSWT2025800SM</v>
          </cell>
          <cell r="AQ69">
            <v>10756.900000000001</v>
          </cell>
          <cell r="AR69">
            <v>10756.900000000001</v>
          </cell>
          <cell r="AS69">
            <v>0</v>
          </cell>
          <cell r="AT69">
            <v>0</v>
          </cell>
          <cell r="AU69">
            <v>10756.900000000001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>
            <v>45923</v>
          </cell>
          <cell r="DP69">
            <v>45918</v>
          </cell>
          <cell r="DQ69">
            <v>45919</v>
          </cell>
          <cell r="DR69">
            <v>45912</v>
          </cell>
          <cell r="DS69">
            <v>45920</v>
          </cell>
          <cell r="DT69">
            <v>45921</v>
          </cell>
          <cell r="DU69">
            <v>45922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MK68-001040</v>
          </cell>
          <cell r="C70">
            <v>45896</v>
          </cell>
          <cell r="E70" t="str">
            <v>บจก.เอสพีเอ็ม อาหารสัตว์</v>
          </cell>
          <cell r="F70" t="str">
            <v>ฟิล กู๊ด พี4</v>
          </cell>
          <cell r="G70">
            <v>20</v>
          </cell>
          <cell r="H70">
            <v>38</v>
          </cell>
          <cell r="I70" t="str">
            <v>ขาว</v>
          </cell>
          <cell r="J70" t="str">
            <v>ใส</v>
          </cell>
          <cell r="L70">
            <v>100</v>
          </cell>
          <cell r="M70" t="str">
            <v>±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45926</v>
          </cell>
          <cell r="Z70" t="str">
            <v>500กระสอบแบน</v>
          </cell>
          <cell r="AA70">
            <v>8000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8000</v>
          </cell>
          <cell r="AM70"/>
          <cell r="AN70">
            <v>8400</v>
          </cell>
          <cell r="AO70" t="str">
            <v>WSWT2025800SM</v>
          </cell>
          <cell r="AQ70">
            <v>8829.0399999999991</v>
          </cell>
          <cell r="AR70">
            <v>8829.0399999999991</v>
          </cell>
          <cell r="AS70">
            <v>0</v>
          </cell>
          <cell r="AT70">
            <v>0</v>
          </cell>
          <cell r="AU70">
            <v>8829.0399999999991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5</v>
          </cell>
          <cell r="DN70">
            <v>45926</v>
          </cell>
          <cell r="DP70">
            <v>45921</v>
          </cell>
          <cell r="DQ70">
            <v>45921</v>
          </cell>
          <cell r="DR70">
            <v>45914</v>
          </cell>
          <cell r="DS70">
            <v>45922</v>
          </cell>
          <cell r="DT70">
            <v>45923</v>
          </cell>
          <cell r="DU70">
            <v>45924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MK68-001029</v>
          </cell>
          <cell r="C71">
            <v>45892</v>
          </cell>
          <cell r="E71" t="str">
            <v>บจก.เอสพีเอ็ม อาหารสัตว์</v>
          </cell>
          <cell r="F71" t="str">
            <v>SPM 312</v>
          </cell>
          <cell r="G71">
            <v>20</v>
          </cell>
          <cell r="H71">
            <v>37</v>
          </cell>
          <cell r="I71" t="str">
            <v>ขาว</v>
          </cell>
          <cell r="J71" t="str">
            <v>ด้าน</v>
          </cell>
          <cell r="L71">
            <v>97</v>
          </cell>
          <cell r="M71" t="str">
            <v>±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45930</v>
          </cell>
          <cell r="Z71" t="str">
            <v>500กระสอบแบน</v>
          </cell>
          <cell r="AA71">
            <v>3000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3000</v>
          </cell>
          <cell r="AM71"/>
          <cell r="AN71">
            <v>3150</v>
          </cell>
          <cell r="AO71" t="str">
            <v>WSWT2025800SM</v>
          </cell>
          <cell r="AQ71">
            <v>3227.07</v>
          </cell>
          <cell r="AR71">
            <v>3227.07</v>
          </cell>
          <cell r="AS71">
            <v>0</v>
          </cell>
          <cell r="AT71">
            <v>3227.07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45930</v>
          </cell>
          <cell r="DP71">
            <v>45925</v>
          </cell>
          <cell r="DQ71">
            <v>45926</v>
          </cell>
          <cell r="DR71">
            <v>45919</v>
          </cell>
          <cell r="DS71">
            <v>45927</v>
          </cell>
          <cell r="DT71">
            <v>45928</v>
          </cell>
          <cell r="DU71">
            <v>45929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MK68-001033</v>
          </cell>
          <cell r="C72">
            <v>45891</v>
          </cell>
          <cell r="E72" t="str">
            <v>บจก.เอสพีเอ็ม อาหารสัตว์</v>
          </cell>
          <cell r="F72" t="str">
            <v>นาโน 03</v>
          </cell>
          <cell r="G72">
            <v>20</v>
          </cell>
          <cell r="H72">
            <v>38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45930</v>
          </cell>
          <cell r="Z72" t="str">
            <v>500กระสอบแบน</v>
          </cell>
          <cell r="AA72">
            <v>9000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9000</v>
          </cell>
          <cell r="AM72"/>
          <cell r="AN72">
            <v>9450</v>
          </cell>
          <cell r="AO72" t="str">
            <v>WSWT2025800SM</v>
          </cell>
          <cell r="AQ72">
            <v>9932.67</v>
          </cell>
          <cell r="AR72">
            <v>9932.67</v>
          </cell>
          <cell r="AS72">
            <v>0</v>
          </cell>
          <cell r="AT72">
            <v>9932.67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5</v>
          </cell>
          <cell r="DN72">
            <v>45930</v>
          </cell>
          <cell r="DP72">
            <v>45925</v>
          </cell>
          <cell r="DQ72">
            <v>45925</v>
          </cell>
          <cell r="DR72">
            <v>45918</v>
          </cell>
          <cell r="DS72">
            <v>45926</v>
          </cell>
          <cell r="DT72">
            <v>45927</v>
          </cell>
          <cell r="DU72">
            <v>45928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MK68-001034</v>
          </cell>
          <cell r="C73">
            <v>45891</v>
          </cell>
          <cell r="E73" t="str">
            <v>บจก.เอสพีเอ็ม อาหารสัตว์</v>
          </cell>
          <cell r="F73" t="str">
            <v>นาโน 01</v>
          </cell>
          <cell r="G73">
            <v>20</v>
          </cell>
          <cell r="H73">
            <v>38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±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45930</v>
          </cell>
          <cell r="Z73" t="str">
            <v>500กระสอบแบน</v>
          </cell>
          <cell r="AA73">
            <v>4000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4000</v>
          </cell>
          <cell r="AM73">
            <v>4100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5</v>
          </cell>
          <cell r="DN73">
            <v>45930</v>
          </cell>
          <cell r="DP73">
            <v>45925</v>
          </cell>
          <cell r="DQ73">
            <v>45925</v>
          </cell>
          <cell r="DR73">
            <v>45918</v>
          </cell>
          <cell r="DS73">
            <v>45926</v>
          </cell>
          <cell r="DT73">
            <v>45927</v>
          </cell>
          <cell r="DU73">
            <v>45928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MK68-001035</v>
          </cell>
          <cell r="C74">
            <v>45891</v>
          </cell>
          <cell r="E74" t="str">
            <v>บจก.เอสพีเอ็ม อาหารสัตว์</v>
          </cell>
          <cell r="F74" t="str">
            <v>นาโน 02</v>
          </cell>
          <cell r="G74">
            <v>20</v>
          </cell>
          <cell r="H74">
            <v>38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45930</v>
          </cell>
          <cell r="Z74" t="str">
            <v>500กระสอบแบน</v>
          </cell>
          <cell r="AA74">
            <v>9000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9000</v>
          </cell>
          <cell r="AM74"/>
          <cell r="AN74">
            <v>9450</v>
          </cell>
          <cell r="AO74" t="str">
            <v>WSWT2025800SM</v>
          </cell>
          <cell r="AQ74">
            <v>9932.67</v>
          </cell>
          <cell r="AR74">
            <v>9932.67</v>
          </cell>
          <cell r="AS74">
            <v>0</v>
          </cell>
          <cell r="AT74">
            <v>9932.67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5</v>
          </cell>
          <cell r="DN74">
            <v>45930</v>
          </cell>
          <cell r="DP74">
            <v>45925</v>
          </cell>
          <cell r="DQ74">
            <v>45925</v>
          </cell>
          <cell r="DR74">
            <v>45918</v>
          </cell>
          <cell r="DS74">
            <v>45926</v>
          </cell>
          <cell r="DT74">
            <v>45927</v>
          </cell>
          <cell r="DU74">
            <v>45928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ประมาณการ</v>
          </cell>
          <cell r="C75" t="str">
            <v>ประมาณการ</v>
          </cell>
          <cell r="E75" t="str">
            <v>บจก.อินเทคค์ โกลบอล</v>
          </cell>
          <cell r="F75" t="str">
            <v>รอแบบ</v>
          </cell>
          <cell r="G75">
            <v>20</v>
          </cell>
          <cell r="H75">
            <v>36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>
            <v>45930</v>
          </cell>
          <cell r="Z75" t="str">
            <v>มัด80 ใช้สายรัด</v>
          </cell>
          <cell r="AA75">
            <v>100000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100000</v>
          </cell>
          <cell r="AM75"/>
          <cell r="AN75">
            <v>105000</v>
          </cell>
          <cell r="AO75" t="str">
            <v>WSWT2025800SM</v>
          </cell>
          <cell r="AQ75">
            <v>104775.00000000001</v>
          </cell>
          <cell r="AR75">
            <v>0</v>
          </cell>
          <cell r="AS75">
            <v>104775.00000000001</v>
          </cell>
          <cell r="AT75">
            <v>0</v>
          </cell>
          <cell r="AU75">
            <v>104775.00000000001</v>
          </cell>
          <cell r="BZ75" t="str">
            <v>WRWT25850/WRWT25850</v>
          </cell>
          <cell r="CA75">
            <v>7916.333333333333</v>
          </cell>
          <cell r="DL75" t="str">
            <v>P6</v>
          </cell>
          <cell r="DM75">
            <v>4</v>
          </cell>
          <cell r="DN75">
            <v>45930</v>
          </cell>
          <cell r="DP75">
            <v>45925</v>
          </cell>
          <cell r="DQ75">
            <v>45926</v>
          </cell>
          <cell r="DR75">
            <v>45919</v>
          </cell>
          <cell r="DS75">
            <v>45927</v>
          </cell>
          <cell r="DT75">
            <v>45928</v>
          </cell>
          <cell r="DU75">
            <v>45929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>รอART</v>
          </cell>
          <cell r="EG75"/>
          <cell r="EH75"/>
          <cell r="EI75"/>
        </row>
        <row r="76">
          <cell r="B76" t="str">
            <v>ประมาณการ</v>
          </cell>
          <cell r="C76" t="str">
            <v>ประมาณการ</v>
          </cell>
          <cell r="E76" t="str">
            <v>บจก.เอสพีเอ็ม อาหารสัตว์</v>
          </cell>
          <cell r="F76" t="str">
            <v>รอแบบ</v>
          </cell>
          <cell r="G76">
            <v>20</v>
          </cell>
          <cell r="H76">
            <v>38</v>
          </cell>
          <cell r="I76" t="str">
            <v>ขาว</v>
          </cell>
          <cell r="J76" t="str">
            <v>ใส</v>
          </cell>
          <cell r="L76">
            <v>100</v>
          </cell>
          <cell r="M76" t="str">
            <v>±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45930</v>
          </cell>
          <cell r="Z76" t="str">
            <v>500กระสอบแบน</v>
          </cell>
          <cell r="AA76">
            <v>20000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20000</v>
          </cell>
          <cell r="AM76"/>
          <cell r="AN76">
            <v>21000</v>
          </cell>
          <cell r="AO76" t="str">
            <v>WSWT2025800SM</v>
          </cell>
          <cell r="AQ76">
            <v>22072.6</v>
          </cell>
          <cell r="AR76">
            <v>0</v>
          </cell>
          <cell r="AS76">
            <v>22072.6</v>
          </cell>
          <cell r="AT76">
            <v>0</v>
          </cell>
          <cell r="AU76">
            <v>22072.6</v>
          </cell>
          <cell r="BZ76" t="str">
            <v>WRWT25850/WRWT25850</v>
          </cell>
          <cell r="CA76">
            <v>1667.7075555555555</v>
          </cell>
          <cell r="DL76" t="str">
            <v>P6</v>
          </cell>
          <cell r="DM76">
            <v>4</v>
          </cell>
          <cell r="DN76">
            <v>45930</v>
          </cell>
          <cell r="DP76">
            <v>45925</v>
          </cell>
          <cell r="DQ76">
            <v>45926</v>
          </cell>
          <cell r="DR76">
            <v>45919</v>
          </cell>
          <cell r="DS76">
            <v>45927</v>
          </cell>
          <cell r="DT76">
            <v>45928</v>
          </cell>
          <cell r="DU76">
            <v>45929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>รอART</v>
          </cell>
          <cell r="EG76"/>
          <cell r="EH76"/>
          <cell r="EI76"/>
        </row>
        <row r="77">
          <cell r="B77" t="str">
            <v>ประมาณการ</v>
          </cell>
          <cell r="C77" t="str">
            <v>ประมาณการ</v>
          </cell>
          <cell r="E77" t="str">
            <v>บจก.ไทยธรรมดี</v>
          </cell>
          <cell r="F77" t="str">
            <v>รอแบบ</v>
          </cell>
          <cell r="G77">
            <v>20</v>
          </cell>
          <cell r="H77">
            <v>37</v>
          </cell>
          <cell r="I77" t="str">
            <v>ขาว</v>
          </cell>
          <cell r="J77" t="str">
            <v>ด้าน</v>
          </cell>
          <cell r="L77">
            <v>97</v>
          </cell>
          <cell r="M77" t="str">
            <v>±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45930</v>
          </cell>
          <cell r="Z77" t="str">
            <v>500กระสอบ</v>
          </cell>
          <cell r="AA77">
            <v>20000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20000</v>
          </cell>
          <cell r="AM77"/>
          <cell r="AN77">
            <v>21000</v>
          </cell>
          <cell r="AO77" t="str">
            <v>WSWT2025800SM</v>
          </cell>
          <cell r="AQ77">
            <v>21513.800000000003</v>
          </cell>
          <cell r="AR77">
            <v>0</v>
          </cell>
          <cell r="AS77">
            <v>21513.800000000003</v>
          </cell>
          <cell r="AT77">
            <v>0</v>
          </cell>
          <cell r="AU77">
            <v>21513.800000000003</v>
          </cell>
          <cell r="BZ77" t="str">
            <v>WRWT25850/WRWT25850</v>
          </cell>
          <cell r="CA77">
            <v>1625.4871111111113</v>
          </cell>
          <cell r="DL77" t="str">
            <v>P6</v>
          </cell>
          <cell r="DM77">
            <v>4</v>
          </cell>
          <cell r="DN77">
            <v>45930</v>
          </cell>
          <cell r="DP77">
            <v>45925</v>
          </cell>
          <cell r="DQ77">
            <v>45926</v>
          </cell>
          <cell r="DR77">
            <v>45919</v>
          </cell>
          <cell r="DS77">
            <v>45927</v>
          </cell>
          <cell r="DT77">
            <v>45928</v>
          </cell>
          <cell r="DU77">
            <v>45929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>รอART</v>
          </cell>
          <cell r="EG77"/>
          <cell r="EH77"/>
          <cell r="EI77"/>
        </row>
        <row r="78">
          <cell r="B78" t="str">
            <v>MK68-001024</v>
          </cell>
          <cell r="C78">
            <v>45892</v>
          </cell>
          <cell r="E78" t="str">
            <v>บจก.อินเทคค์ โกลบอล</v>
          </cell>
          <cell r="F78" t="str">
            <v>เฟิร์สช้อย 913</v>
          </cell>
          <cell r="G78">
            <v>20</v>
          </cell>
          <cell r="H78">
            <v>36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±</v>
          </cell>
          <cell r="N78">
            <v>5</v>
          </cell>
          <cell r="R78" t="str">
            <v>จับจีบ</v>
          </cell>
          <cell r="T78" t="str">
            <v>ไม่สวมถุงใน</v>
          </cell>
          <cell r="U78"/>
          <cell r="V78"/>
          <cell r="X78" t="str">
            <v>รอแจ้ง</v>
          </cell>
          <cell r="Z78" t="str">
            <v>มัด80 ใช้สายรัด</v>
          </cell>
          <cell r="AA78">
            <v>640</v>
          </cell>
          <cell r="AB78">
            <v>0</v>
          </cell>
          <cell r="AC78">
            <v>0</v>
          </cell>
          <cell r="AD78">
            <v>0</v>
          </cell>
          <cell r="AG78" t="str">
            <v>สีผิดเบอร์280</v>
          </cell>
          <cell r="AI78"/>
          <cell r="AJ78">
            <v>0</v>
          </cell>
          <cell r="AL78">
            <v>640</v>
          </cell>
          <cell r="AM78">
            <v>6000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 t="str">
            <v>รอแจ้ง</v>
          </cell>
          <cell r="DP78" t="e">
            <v>#VALUE!</v>
          </cell>
          <cell r="DQ78" t="e">
            <v>#VALUE!</v>
          </cell>
          <cell r="DR78" t="e">
            <v>#VALUE!</v>
          </cell>
          <cell r="DS78" t="e">
            <v>#VALUE!</v>
          </cell>
          <cell r="DT78" t="e">
            <v>#VALUE!</v>
          </cell>
          <cell r="DU78" t="e">
            <v>#VALUE!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MK68-001026</v>
          </cell>
          <cell r="C79">
            <v>45892</v>
          </cell>
          <cell r="E79" t="str">
            <v>บจก.อินเทคค์ โกลบอล</v>
          </cell>
          <cell r="F79" t="str">
            <v>เพอเฟคค์ 913</v>
          </cell>
          <cell r="G79">
            <v>20</v>
          </cell>
          <cell r="H79">
            <v>36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จับจีบ</v>
          </cell>
          <cell r="T79" t="str">
            <v>ไม่สวมถุงใน</v>
          </cell>
          <cell r="U79"/>
          <cell r="V79"/>
          <cell r="X79" t="str">
            <v>รอแจ้ง</v>
          </cell>
          <cell r="Z79" t="str">
            <v>มัด80 ใช้สายรัด</v>
          </cell>
          <cell r="AA79">
            <v>1840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80</v>
          </cell>
          <cell r="AL79">
            <v>1760</v>
          </cell>
          <cell r="AM79">
            <v>10650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 t="str">
            <v>รอแจ้ง</v>
          </cell>
          <cell r="DP79" t="e">
            <v>#VALUE!</v>
          </cell>
          <cell r="DQ79" t="e">
            <v>#VALUE!</v>
          </cell>
          <cell r="DR79" t="e">
            <v>#VALUE!</v>
          </cell>
          <cell r="DS79" t="e">
            <v>#VALUE!</v>
          </cell>
          <cell r="DT79" t="e">
            <v>#VALUE!</v>
          </cell>
          <cell r="DU79" t="e">
            <v>#VALUE!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MK68-001007</v>
          </cell>
          <cell r="C80">
            <v>45887</v>
          </cell>
          <cell r="E80" t="str">
            <v>บจก.อินเทคค์ โกลบอล</v>
          </cell>
          <cell r="F80" t="str">
            <v>เพอเฟคค์ 916</v>
          </cell>
          <cell r="G80">
            <v>20</v>
          </cell>
          <cell r="H80">
            <v>36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±</v>
          </cell>
          <cell r="N80">
            <v>5</v>
          </cell>
          <cell r="R80" t="str">
            <v>จับจีบ</v>
          </cell>
          <cell r="T80" t="str">
            <v>ไม่สวมถุงใน</v>
          </cell>
          <cell r="U80"/>
          <cell r="V80"/>
          <cell r="X80" t="str">
            <v>รอแจ้ง</v>
          </cell>
          <cell r="Z80" t="str">
            <v>มัด80 ใช้สายรัด</v>
          </cell>
          <cell r="AA80">
            <v>104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104</v>
          </cell>
          <cell r="AM80">
            <v>11230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 t="str">
            <v>รอแจ้ง</v>
          </cell>
          <cell r="DP80" t="e">
            <v>#VALUE!</v>
          </cell>
          <cell r="DQ80" t="e">
            <v>#VALUE!</v>
          </cell>
          <cell r="DR80" t="e">
            <v>#VALUE!</v>
          </cell>
          <cell r="DS80" t="e">
            <v>#VALUE!</v>
          </cell>
          <cell r="DT80" t="e">
            <v>#VALUE!</v>
          </cell>
          <cell r="DU80" t="e">
            <v>#VALUE!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 </v>
          </cell>
          <cell r="EG80"/>
          <cell r="EH80"/>
          <cell r="EI80"/>
        </row>
        <row r="81">
          <cell r="B81" t="str">
            <v>MK68-001039</v>
          </cell>
          <cell r="C81">
            <v>45896</v>
          </cell>
          <cell r="E81" t="str">
            <v>บจก.เอสพีเอ็ม อาหารสัตว์</v>
          </cell>
          <cell r="F81" t="str">
            <v>U-GOAT14</v>
          </cell>
          <cell r="G81">
            <v>20</v>
          </cell>
          <cell r="H81">
            <v>38</v>
          </cell>
          <cell r="I81" t="str">
            <v>ขาว</v>
          </cell>
          <cell r="J81" t="str">
            <v>ใส</v>
          </cell>
          <cell r="L81">
            <v>100</v>
          </cell>
          <cell r="M81" t="str">
            <v>±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 t="str">
            <v>รอแจ้ง</v>
          </cell>
          <cell r="Z81" t="str">
            <v>500กระสอบแบน</v>
          </cell>
          <cell r="AA81">
            <v>3000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3000</v>
          </cell>
          <cell r="AM81"/>
          <cell r="AN81">
            <v>3150</v>
          </cell>
          <cell r="AO81" t="str">
            <v>WSWT2025800SM</v>
          </cell>
          <cell r="AQ81">
            <v>3310.89</v>
          </cell>
          <cell r="AR81">
            <v>0</v>
          </cell>
          <cell r="AS81">
            <v>3310.89</v>
          </cell>
          <cell r="AT81">
            <v>0</v>
          </cell>
          <cell r="AU81">
            <v>3310.89</v>
          </cell>
          <cell r="BZ81" t="str">
            <v>WRWT25850/WRWT25850</v>
          </cell>
          <cell r="CA81">
            <v>250.15613333333337</v>
          </cell>
          <cell r="DL81" t="str">
            <v>P6</v>
          </cell>
          <cell r="DM81">
            <v>5</v>
          </cell>
          <cell r="DN81" t="str">
            <v>รอแจ้ง</v>
          </cell>
          <cell r="DP81" t="e">
            <v>#VALUE!</v>
          </cell>
          <cell r="DQ81" t="e">
            <v>#VALUE!</v>
          </cell>
          <cell r="DR81" t="e">
            <v>#VALUE!</v>
          </cell>
          <cell r="DS81" t="e">
            <v>#VALUE!</v>
          </cell>
          <cell r="DT81" t="e">
            <v>#VALUE!</v>
          </cell>
          <cell r="DU81" t="e">
            <v>#VALUE!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 </v>
          </cell>
          <cell r="EG81"/>
          <cell r="EH81"/>
          <cell r="EI81"/>
        </row>
        <row r="82">
          <cell r="B82" t="str">
            <v>MK68-001027</v>
          </cell>
          <cell r="C82">
            <v>45892</v>
          </cell>
          <cell r="E82" t="str">
            <v>บจก.เอสพีเอ็ม อาหารสัตว์</v>
          </cell>
          <cell r="F82" t="str">
            <v>นีโอ 05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±</v>
          </cell>
          <cell r="N82">
            <v>5</v>
          </cell>
          <cell r="R82" t="str">
            <v>ไม่</v>
          </cell>
          <cell r="T82" t="str">
            <v>ไม่สวมถุงใน</v>
          </cell>
          <cell r="U82"/>
          <cell r="V82"/>
          <cell r="X82" t="str">
            <v>รอแจ้ง</v>
          </cell>
          <cell r="Z82" t="str">
            <v>500กระสอบแบน</v>
          </cell>
          <cell r="AA82">
            <v>6000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6000</v>
          </cell>
          <cell r="AM82"/>
          <cell r="AN82">
            <v>6300</v>
          </cell>
          <cell r="AO82" t="str">
            <v>WSWT2025800SM</v>
          </cell>
          <cell r="AQ82">
            <v>6621.78</v>
          </cell>
          <cell r="AR82">
            <v>0</v>
          </cell>
          <cell r="AS82">
            <v>6621.78</v>
          </cell>
          <cell r="AT82">
            <v>0</v>
          </cell>
          <cell r="AU82">
            <v>6621.78</v>
          </cell>
          <cell r="BZ82" t="str">
            <v>WRWT25850/WRWT25850</v>
          </cell>
          <cell r="CA82">
            <v>500.31226666666674</v>
          </cell>
          <cell r="DL82" t="str">
            <v>P6</v>
          </cell>
          <cell r="DM82">
            <v>4</v>
          </cell>
          <cell r="DN82" t="str">
            <v>รอแจ้ง</v>
          </cell>
          <cell r="DP82" t="e">
            <v>#VALUE!</v>
          </cell>
          <cell r="DQ82" t="e">
            <v>#VALUE!</v>
          </cell>
          <cell r="DR82" t="e">
            <v>#VALUE!</v>
          </cell>
          <cell r="DS82" t="e">
            <v>#VALUE!</v>
          </cell>
          <cell r="DT82" t="e">
            <v>#VALUE!</v>
          </cell>
          <cell r="DU82" t="e">
            <v>#VALUE!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MK68-000675</v>
          </cell>
          <cell r="C83">
            <v>45796</v>
          </cell>
          <cell r="E83" t="str">
            <v>บจก.อินเทคค์ โกลบอล</v>
          </cell>
          <cell r="F83" t="str">
            <v>เพอเฟคค์ 914</v>
          </cell>
          <cell r="G83">
            <v>20</v>
          </cell>
          <cell r="H83">
            <v>36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จับจีบ</v>
          </cell>
          <cell r="T83" t="str">
            <v>ไม่สวมถุงใน</v>
          </cell>
          <cell r="U83"/>
          <cell r="V83"/>
          <cell r="X83" t="str">
            <v>รอแจ้ง</v>
          </cell>
          <cell r="Z83" t="str">
            <v>มัด80 ใช้สายรัด</v>
          </cell>
          <cell r="AA83">
            <v>240</v>
          </cell>
          <cell r="AB83">
            <v>0</v>
          </cell>
          <cell r="AC83">
            <v>0</v>
          </cell>
          <cell r="AD83">
            <v>0</v>
          </cell>
          <cell r="AG83" t="str">
            <v>2/6---6/6</v>
          </cell>
          <cell r="AI83"/>
          <cell r="AJ83">
            <v>0</v>
          </cell>
          <cell r="AL83">
            <v>240</v>
          </cell>
          <cell r="AM83">
            <v>0</v>
          </cell>
          <cell r="AN83">
            <v>252</v>
          </cell>
          <cell r="AO83" t="str">
            <v>WSWT2025800SM</v>
          </cell>
          <cell r="AQ83">
            <v>251.46</v>
          </cell>
          <cell r="AR83">
            <v>0</v>
          </cell>
          <cell r="AS83">
            <v>251.46</v>
          </cell>
          <cell r="AT83">
            <v>0</v>
          </cell>
          <cell r="AU83">
            <v>251.46</v>
          </cell>
          <cell r="BZ83" t="str">
            <v>WRWT25850/WRWT25850</v>
          </cell>
          <cell r="CA83">
            <v>18.999199999999998</v>
          </cell>
          <cell r="DL83" t="str">
            <v>P6</v>
          </cell>
          <cell r="DM83">
            <v>4</v>
          </cell>
          <cell r="DN83" t="str">
            <v>รอแจ้ง</v>
          </cell>
          <cell r="DP83" t="e">
            <v>#VALUE!</v>
          </cell>
          <cell r="DQ83" t="e">
            <v>#VALUE!</v>
          </cell>
          <cell r="DR83" t="e">
            <v>#VALUE!</v>
          </cell>
          <cell r="DS83" t="e">
            <v>#VALUE!</v>
          </cell>
          <cell r="DT83" t="e">
            <v>#VALUE!</v>
          </cell>
          <cell r="DU83" t="e">
            <v>#VALUE!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MK68-000983</v>
          </cell>
          <cell r="C84">
            <v>45876</v>
          </cell>
          <cell r="E84" t="str">
            <v>บจก.เอพีเอ็ม อะโกร</v>
          </cell>
          <cell r="F84" t="str">
            <v>ยูฟีด บี2</v>
          </cell>
          <cell r="G84">
            <v>20</v>
          </cell>
          <cell r="H84">
            <v>40</v>
          </cell>
          <cell r="I84" t="str">
            <v>ขาว</v>
          </cell>
          <cell r="J84" t="str">
            <v>ใส</v>
          </cell>
          <cell r="L84">
            <v>108</v>
          </cell>
          <cell r="M84" t="str">
            <v>±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 t="str">
            <v>รอแจ้ง</v>
          </cell>
          <cell r="Z84" t="str">
            <v>500กระสอบแบน</v>
          </cell>
          <cell r="AA84">
            <v>3000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3075</v>
          </cell>
          <cell r="AL84">
            <v>0</v>
          </cell>
          <cell r="AM84"/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 t="str">
            <v>รอแจ้ง</v>
          </cell>
          <cell r="DP84" t="e">
            <v>#VALUE!</v>
          </cell>
          <cell r="DQ84" t="e">
            <v>#VALUE!</v>
          </cell>
          <cell r="DR84" t="e">
            <v>#VALUE!</v>
          </cell>
          <cell r="DS84" t="e">
            <v>#VALUE!</v>
          </cell>
          <cell r="DT84" t="e">
            <v>#VALUE!</v>
          </cell>
          <cell r="DU84" t="e">
            <v>#VALUE!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MK68-000990</v>
          </cell>
          <cell r="C85">
            <v>45877</v>
          </cell>
          <cell r="E85" t="str">
            <v>บจก.เอสพีเอ็ม อาหารสัตว์</v>
          </cell>
          <cell r="F85" t="str">
            <v>SW 441 PLUS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 t="str">
            <v>รอแจ้ง</v>
          </cell>
          <cell r="Z85" t="str">
            <v>500กระสอบแบน</v>
          </cell>
          <cell r="AA85">
            <v>7000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7000</v>
          </cell>
          <cell r="AM85"/>
          <cell r="AN85">
            <v>7350</v>
          </cell>
          <cell r="AO85" t="str">
            <v>WSWT2025800SM</v>
          </cell>
          <cell r="AQ85">
            <v>7725.41</v>
          </cell>
          <cell r="AR85">
            <v>0</v>
          </cell>
          <cell r="AS85">
            <v>7725.41</v>
          </cell>
          <cell r="AT85">
            <v>0</v>
          </cell>
          <cell r="AU85">
            <v>7725.41</v>
          </cell>
          <cell r="BZ85" t="str">
            <v>WRWT25850/WRWT25850</v>
          </cell>
          <cell r="CA85">
            <v>583.69764444444445</v>
          </cell>
          <cell r="DL85" t="str">
            <v>P6</v>
          </cell>
          <cell r="DM85">
            <v>4</v>
          </cell>
          <cell r="DN85" t="str">
            <v>รอแจ้ง</v>
          </cell>
          <cell r="DP85" t="e">
            <v>#VALUE!</v>
          </cell>
          <cell r="DQ85" t="e">
            <v>#VALUE!</v>
          </cell>
          <cell r="DR85" t="e">
            <v>#VALUE!</v>
          </cell>
          <cell r="DS85" t="e">
            <v>#VALUE!</v>
          </cell>
          <cell r="DT85" t="e">
            <v>#VALUE!</v>
          </cell>
          <cell r="DU85" t="e">
            <v>#VALUE!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ประมาณการ</v>
          </cell>
          <cell r="C86" t="str">
            <v>ประมาณการ</v>
          </cell>
          <cell r="E86" t="str">
            <v>บจก.ซันฟีด</v>
          </cell>
          <cell r="F86" t="str">
            <v>รอแบบ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+</v>
          </cell>
          <cell r="N86"/>
          <cell r="R86" t="str">
            <v>บิด</v>
          </cell>
          <cell r="T86" t="str">
            <v>ไม่สวมถุงใน</v>
          </cell>
          <cell r="U86"/>
          <cell r="V86"/>
          <cell r="X86" t="str">
            <v>รอแจ้ง</v>
          </cell>
          <cell r="Z86" t="str">
            <v xml:space="preserve">300กระสอบแบนเต็มใบ </v>
          </cell>
          <cell r="AA86">
            <v>100000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100000</v>
          </cell>
          <cell r="AM86"/>
          <cell r="AN86">
            <v>105000</v>
          </cell>
          <cell r="AO86" t="str">
            <v>WSWT2025800SM</v>
          </cell>
          <cell r="AQ86">
            <v>110363</v>
          </cell>
          <cell r="AR86">
            <v>0</v>
          </cell>
          <cell r="AS86">
            <v>110363</v>
          </cell>
          <cell r="AT86">
            <v>0</v>
          </cell>
          <cell r="AU86">
            <v>110363</v>
          </cell>
          <cell r="BZ86" t="str">
            <v>WRWT25850/WRWT25850</v>
          </cell>
          <cell r="CA86">
            <v>8338.5377777777776</v>
          </cell>
          <cell r="DL86" t="str">
            <v>P6</v>
          </cell>
          <cell r="DM86">
            <v>4</v>
          </cell>
          <cell r="DN86" t="str">
            <v>รอแจ้ง</v>
          </cell>
          <cell r="DP86" t="e">
            <v>#VALUE!</v>
          </cell>
          <cell r="DQ86" t="e">
            <v>#VALUE!</v>
          </cell>
          <cell r="DR86" t="e">
            <v>#VALUE!</v>
          </cell>
          <cell r="DS86" t="e">
            <v>#VALUE!</v>
          </cell>
          <cell r="DT86" t="e">
            <v>#VALUE!</v>
          </cell>
          <cell r="DU86" t="e">
            <v>#VALUE!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>รอART</v>
          </cell>
          <cell r="EG86"/>
          <cell r="EH86"/>
          <cell r="EI86"/>
        </row>
        <row r="87">
          <cell r="B87" t="str">
            <v>MK68-000801</v>
          </cell>
          <cell r="C87">
            <v>45825</v>
          </cell>
          <cell r="E87" t="str">
            <v>บจก.อินเทคค์ โกลบอล</v>
          </cell>
          <cell r="F87" t="str">
            <v>สุบรรณ 111</v>
          </cell>
          <cell r="G87">
            <v>20</v>
          </cell>
          <cell r="H87">
            <v>36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±</v>
          </cell>
          <cell r="N87">
            <v>5</v>
          </cell>
          <cell r="R87" t="str">
            <v>จับจีบ3.5"</v>
          </cell>
          <cell r="T87" t="str">
            <v>ไม่สวมถุงใน</v>
          </cell>
          <cell r="U87"/>
          <cell r="V87"/>
          <cell r="X87" t="str">
            <v>รอแจ้ง</v>
          </cell>
          <cell r="Z87" t="str">
            <v>มัด80 ใช้สายรัด</v>
          </cell>
          <cell r="AA87">
            <v>894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525</v>
          </cell>
          <cell r="AL87">
            <v>369</v>
          </cell>
          <cell r="AM87">
            <v>6000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 t="str">
            <v>รอแจ้ง</v>
          </cell>
          <cell r="DP87" t="e">
            <v>#VALUE!</v>
          </cell>
          <cell r="DQ87" t="e">
            <v>#VALUE!</v>
          </cell>
          <cell r="DR87" t="e">
            <v>#VALUE!</v>
          </cell>
          <cell r="DS87" t="e">
            <v>#VALUE!</v>
          </cell>
          <cell r="DT87" t="e">
            <v>#VALUE!</v>
          </cell>
          <cell r="DU87" t="e">
            <v>#VALUE!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 </v>
          </cell>
          <cell r="EG87"/>
          <cell r="EH87"/>
          <cell r="EI87"/>
        </row>
        <row r="88">
          <cell r="B88" t="str">
            <v>MK68-000673</v>
          </cell>
          <cell r="C88">
            <v>45796</v>
          </cell>
          <cell r="E88" t="str">
            <v>บจก.อินเทคค์ โกลบอล</v>
          </cell>
          <cell r="F88" t="str">
            <v>เพอเฟคค์ 902</v>
          </cell>
          <cell r="G88">
            <v>20</v>
          </cell>
          <cell r="H88">
            <v>36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จับจีบ</v>
          </cell>
          <cell r="T88" t="str">
            <v>ไม่สวมถุงใน</v>
          </cell>
          <cell r="U88"/>
          <cell r="V88"/>
          <cell r="X88" t="str">
            <v>รอแจ้ง</v>
          </cell>
          <cell r="Z88" t="str">
            <v>มัด80 ใช้สายรัด</v>
          </cell>
          <cell r="AA88">
            <v>302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302</v>
          </cell>
          <cell r="AM88">
            <v>5300</v>
          </cell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 t="str">
            <v>รอแจ้ง</v>
          </cell>
          <cell r="DP88" t="e">
            <v>#VALUE!</v>
          </cell>
          <cell r="DQ88" t="e">
            <v>#VALUE!</v>
          </cell>
          <cell r="DR88" t="e">
            <v>#VALUE!</v>
          </cell>
          <cell r="DS88" t="e">
            <v>#VALUE!</v>
          </cell>
          <cell r="DT88" t="e">
            <v>#VALUE!</v>
          </cell>
          <cell r="DU88" t="e">
            <v>#VALUE!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MK68-000609</v>
          </cell>
          <cell r="C89">
            <v>45782</v>
          </cell>
          <cell r="E89" t="str">
            <v>บจก.เอสพีเอ็ม อาหารสัตว์</v>
          </cell>
          <cell r="F89" t="str">
            <v xml:space="preserve">SW 441 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ใส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 t="str">
            <v>รอแจ้ง</v>
          </cell>
          <cell r="Z89" t="str">
            <v>500กระสอบแบน</v>
          </cell>
          <cell r="AA89">
            <v>5000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5000</v>
          </cell>
          <cell r="AM89">
            <v>0</v>
          </cell>
          <cell r="AN89">
            <v>5250</v>
          </cell>
          <cell r="AO89" t="str">
            <v>WSWT2025800SM</v>
          </cell>
          <cell r="AQ89">
            <v>5518.15</v>
          </cell>
          <cell r="AR89">
            <v>0</v>
          </cell>
          <cell r="AS89">
            <v>5518.15</v>
          </cell>
          <cell r="AT89">
            <v>0</v>
          </cell>
          <cell r="AU89">
            <v>5518.15</v>
          </cell>
          <cell r="BZ89" t="str">
            <v>WRWT25850/WRWT25850</v>
          </cell>
          <cell r="CA89">
            <v>416.92688888888887</v>
          </cell>
          <cell r="DL89" t="str">
            <v>P6</v>
          </cell>
          <cell r="DM89">
            <v>4</v>
          </cell>
          <cell r="DN89" t="str">
            <v>รอแจ้ง</v>
          </cell>
          <cell r="DP89" t="e">
            <v>#VALUE!</v>
          </cell>
          <cell r="DQ89" t="e">
            <v>#VALUE!</v>
          </cell>
          <cell r="DR89" t="e">
            <v>#VALUE!</v>
          </cell>
          <cell r="DS89" t="e">
            <v>#VALUE!</v>
          </cell>
          <cell r="DT89" t="e">
            <v>#VALUE!</v>
          </cell>
          <cell r="DU89" t="e">
            <v>#VALUE!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 </v>
          </cell>
          <cell r="EG89"/>
          <cell r="EH89"/>
          <cell r="EI89"/>
        </row>
        <row r="90">
          <cell r="B90" t="str">
            <v>MK68-000693</v>
          </cell>
          <cell r="C90">
            <v>45798</v>
          </cell>
          <cell r="E90" t="str">
            <v>บจก.เอพีเอ็ม อะโกร</v>
          </cell>
          <cell r="F90" t="str">
            <v>ฟีล กู๊ด พี07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 t="str">
            <v>รอแจ้ง</v>
          </cell>
          <cell r="Z90" t="str">
            <v>500กระสอบแบน</v>
          </cell>
          <cell r="AA90">
            <v>5000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5000</v>
          </cell>
          <cell r="AM90"/>
          <cell r="AN90">
            <v>5250</v>
          </cell>
          <cell r="AO90" t="str">
            <v>WSWT2025800SM</v>
          </cell>
          <cell r="AQ90">
            <v>5518.15</v>
          </cell>
          <cell r="AR90">
            <v>0</v>
          </cell>
          <cell r="AS90">
            <v>5518.15</v>
          </cell>
          <cell r="AT90">
            <v>0</v>
          </cell>
          <cell r="AU90">
            <v>5518.15</v>
          </cell>
          <cell r="BZ90" t="str">
            <v>WRWT25850/WRWT25850</v>
          </cell>
          <cell r="CA90">
            <v>416.92688888888887</v>
          </cell>
          <cell r="DL90" t="str">
            <v>P6</v>
          </cell>
          <cell r="DM90">
            <v>4</v>
          </cell>
          <cell r="DN90" t="str">
            <v>รอแจ้ง</v>
          </cell>
          <cell r="DP90" t="e">
            <v>#VALUE!</v>
          </cell>
          <cell r="DQ90" t="e">
            <v>#VALUE!</v>
          </cell>
          <cell r="DR90" t="e">
            <v>#VALUE!</v>
          </cell>
          <cell r="DS90" t="e">
            <v>#VALUE!</v>
          </cell>
          <cell r="DT90" t="e">
            <v>#VALUE!</v>
          </cell>
          <cell r="DU90" t="e">
            <v>#VALUE!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 </v>
          </cell>
          <cell r="EG90"/>
          <cell r="EH90"/>
          <cell r="EI90"/>
        </row>
        <row r="91">
          <cell r="B91" t="str">
            <v>MK68-000093</v>
          </cell>
          <cell r="C91">
            <v>45674</v>
          </cell>
          <cell r="E91" t="str">
            <v>บจก.อินเทคค์ โกลบอล</v>
          </cell>
          <cell r="F91" t="str">
            <v>เฟิร์สคลาส 902</v>
          </cell>
          <cell r="G91">
            <v>20</v>
          </cell>
          <cell r="H91">
            <v>35</v>
          </cell>
          <cell r="I91" t="str">
            <v>ขาว</v>
          </cell>
          <cell r="J91" t="str">
            <v>ด้าน</v>
          </cell>
          <cell r="L91">
            <v>97</v>
          </cell>
          <cell r="M91" t="str">
            <v>±</v>
          </cell>
          <cell r="N91">
            <v>5</v>
          </cell>
          <cell r="R91" t="str">
            <v>จับจีบ4"</v>
          </cell>
          <cell r="T91" t="str">
            <v>ไม่สวมถุงใน</v>
          </cell>
          <cell r="U91"/>
          <cell r="V91"/>
          <cell r="X91" t="str">
            <v>รอแจ้ง</v>
          </cell>
          <cell r="Z91" t="str">
            <v>มัด80 ใช้สายรัด</v>
          </cell>
          <cell r="AA91">
            <v>152</v>
          </cell>
          <cell r="AB91">
            <v>0</v>
          </cell>
          <cell r="AC91">
            <v>0</v>
          </cell>
          <cell r="AD91">
            <v>0</v>
          </cell>
          <cell r="AG91" t="str">
            <v>ลบสี 5040</v>
          </cell>
          <cell r="AI91">
            <v>5987</v>
          </cell>
          <cell r="AJ91">
            <v>0</v>
          </cell>
          <cell r="AL91">
            <v>152</v>
          </cell>
          <cell r="AM91">
            <v>6000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 t="str">
            <v>รอแจ้ง</v>
          </cell>
          <cell r="DP91" t="e">
            <v>#VALUE!</v>
          </cell>
          <cell r="DQ91" t="e">
            <v>#VALUE!</v>
          </cell>
          <cell r="DR91" t="e">
            <v>#VALUE!</v>
          </cell>
          <cell r="DS91" t="e">
            <v>#VALUE!</v>
          </cell>
          <cell r="DT91" t="e">
            <v>#VALUE!</v>
          </cell>
          <cell r="DU91" t="e">
            <v>#VALUE!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MK67-001532</v>
          </cell>
          <cell r="C92">
            <v>45611</v>
          </cell>
          <cell r="E92" t="str">
            <v>บจก.อินเทคค์ โกลบอล</v>
          </cell>
          <cell r="F92" t="str">
            <v>เฟิร์สช้อย 903</v>
          </cell>
          <cell r="G92">
            <v>20</v>
          </cell>
          <cell r="H92">
            <v>36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จับจีบ</v>
          </cell>
          <cell r="T92" t="str">
            <v>ไม่สวมถุงใน</v>
          </cell>
          <cell r="U92"/>
          <cell r="V92"/>
          <cell r="X92" t="str">
            <v>รอแจ้ง</v>
          </cell>
          <cell r="Z92" t="str">
            <v>มัด80 ใช้สายรัด</v>
          </cell>
          <cell r="AA92">
            <v>117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117</v>
          </cell>
          <cell r="AM92">
            <v>10065</v>
          </cell>
          <cell r="AN92">
            <v>0</v>
          </cell>
          <cell r="AO92" t="str">
            <v>WSWT2025800SM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 t="str">
            <v>รอแจ้ง</v>
          </cell>
          <cell r="DP92" t="e">
            <v>#VALUE!</v>
          </cell>
          <cell r="DQ92" t="e">
            <v>#VALUE!</v>
          </cell>
          <cell r="DR92" t="e">
            <v>#VALUE!</v>
          </cell>
          <cell r="DS92" t="e">
            <v>#VALUE!</v>
          </cell>
          <cell r="DT92" t="e">
            <v>#VALUE!</v>
          </cell>
          <cell r="DU92" t="e">
            <v>#VALUE!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MK67-001153</v>
          </cell>
          <cell r="C93">
            <v>45523</v>
          </cell>
          <cell r="E93" t="str">
            <v>บจก.อินเทคค์ โกลบอล</v>
          </cell>
          <cell r="F93" t="str">
            <v>สุบรรณ 777</v>
          </cell>
          <cell r="G93">
            <v>20</v>
          </cell>
          <cell r="H93">
            <v>36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จับจีบ</v>
          </cell>
          <cell r="T93" t="str">
            <v>ไม่สวมถุงใน</v>
          </cell>
          <cell r="U93"/>
          <cell r="V93"/>
          <cell r="X93" t="str">
            <v>รอแจ้ง</v>
          </cell>
          <cell r="Z93" t="str">
            <v>มัด80 ใช้สายรัด</v>
          </cell>
          <cell r="AA93">
            <v>1260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1260</v>
          </cell>
          <cell r="AM93">
            <v>11095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 t="str">
            <v>รอแจ้ง</v>
          </cell>
          <cell r="DP93" t="e">
            <v>#VALUE!</v>
          </cell>
          <cell r="DQ93" t="e">
            <v>#VALUE!</v>
          </cell>
          <cell r="DR93" t="e">
            <v>#VALUE!</v>
          </cell>
          <cell r="DS93" t="e">
            <v>#VALUE!</v>
          </cell>
          <cell r="DT93" t="e">
            <v>#VALUE!</v>
          </cell>
          <cell r="DU93" t="e">
            <v>#VALUE!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MK67-001153</v>
          </cell>
          <cell r="C94">
            <v>45523</v>
          </cell>
          <cell r="E94" t="str">
            <v>บจก.อินเทคค์ โกลบอล</v>
          </cell>
          <cell r="F94" t="str">
            <v>สุบรรณ 666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</v>
          </cell>
          <cell r="T94" t="str">
            <v>ไม่สวมถุงใน</v>
          </cell>
          <cell r="U94"/>
          <cell r="V94"/>
          <cell r="X94" t="str">
            <v>รอแจ้ง</v>
          </cell>
          <cell r="Z94" t="str">
            <v>มัด80 ใช้สายรัด</v>
          </cell>
          <cell r="AA94">
            <v>89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89</v>
          </cell>
          <cell r="AM94">
            <v>11180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 t="str">
            <v>รอแจ้ง</v>
          </cell>
          <cell r="DP94" t="e">
            <v>#VALUE!</v>
          </cell>
          <cell r="DQ94" t="e">
            <v>#VALUE!</v>
          </cell>
          <cell r="DR94" t="e">
            <v>#VALUE!</v>
          </cell>
          <cell r="DS94" t="e">
            <v>#VALUE!</v>
          </cell>
          <cell r="DT94" t="e">
            <v>#VALUE!</v>
          </cell>
          <cell r="DU94" t="e">
            <v>#VALUE!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MK68-000694</v>
          </cell>
          <cell r="C95">
            <v>45799</v>
          </cell>
          <cell r="E95" t="str">
            <v>บจก.เอ.เจ.ฟาร์ม่าแล็บ</v>
          </cell>
          <cell r="F95" t="str">
            <v>เบส-มิน</v>
          </cell>
          <cell r="G95">
            <v>20</v>
          </cell>
          <cell r="H95">
            <v>34</v>
          </cell>
          <cell r="I95" t="str">
            <v>ขาว</v>
          </cell>
          <cell r="J95" t="str">
            <v>ใส</v>
          </cell>
          <cell r="L95">
            <v>95</v>
          </cell>
          <cell r="M95" t="str">
            <v>±</v>
          </cell>
          <cell r="N95">
            <v>5</v>
          </cell>
          <cell r="R95" t="str">
            <v>จับจีบ</v>
          </cell>
          <cell r="T95" t="str">
            <v>ไม่สวมถุงใน</v>
          </cell>
          <cell r="U95"/>
          <cell r="V95"/>
          <cell r="X95" t="str">
            <v>รอส่ง</v>
          </cell>
          <cell r="Z95" t="str">
            <v>500กระสอบ</v>
          </cell>
          <cell r="AA95">
            <v>4000</v>
          </cell>
          <cell r="AB95">
            <v>0</v>
          </cell>
          <cell r="AC95">
            <v>0</v>
          </cell>
          <cell r="AD95">
            <v>0</v>
          </cell>
          <cell r="AG95"/>
          <cell r="AI95" t="str">
            <v>ห้ามขาด-ห้ามเกิน</v>
          </cell>
          <cell r="AJ95">
            <v>2840</v>
          </cell>
          <cell r="AL95">
            <v>1160</v>
          </cell>
          <cell r="AM95">
            <v>8450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 t="str">
            <v>รอส่ง</v>
          </cell>
          <cell r="DP95" t="e">
            <v>#VALUE!</v>
          </cell>
          <cell r="DQ95" t="e">
            <v>#VALUE!</v>
          </cell>
          <cell r="DR95" t="e">
            <v>#VALUE!</v>
          </cell>
          <cell r="DS95" t="e">
            <v>#VALUE!</v>
          </cell>
          <cell r="DT95" t="e">
            <v>#VALUE!</v>
          </cell>
          <cell r="DU95" t="e">
            <v>#VALUE!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MK68-000694</v>
          </cell>
          <cell r="C96">
            <v>45799</v>
          </cell>
          <cell r="E96" t="str">
            <v>บจก.เอ.เจ.ฟาร์ม่าแล็บ</v>
          </cell>
          <cell r="F96" t="str">
            <v>เวท-มิน</v>
          </cell>
          <cell r="G96">
            <v>20</v>
          </cell>
          <cell r="H96">
            <v>34</v>
          </cell>
          <cell r="I96" t="str">
            <v>ขาว</v>
          </cell>
          <cell r="J96" t="str">
            <v>ใส</v>
          </cell>
          <cell r="L96">
            <v>95</v>
          </cell>
          <cell r="M96" t="str">
            <v>±</v>
          </cell>
          <cell r="N96">
            <v>5</v>
          </cell>
          <cell r="R96" t="str">
            <v>จับจีบ</v>
          </cell>
          <cell r="T96" t="str">
            <v>ไม่สวมถุงใน</v>
          </cell>
          <cell r="U96"/>
          <cell r="V96"/>
          <cell r="X96" t="str">
            <v>รอส่ง</v>
          </cell>
          <cell r="Z96" t="str">
            <v>500กระสอบ</v>
          </cell>
          <cell r="AA96">
            <v>4000</v>
          </cell>
          <cell r="AB96">
            <v>0</v>
          </cell>
          <cell r="AC96">
            <v>0</v>
          </cell>
          <cell r="AD96">
            <v>0</v>
          </cell>
          <cell r="AG96"/>
          <cell r="AI96" t="str">
            <v>ห้ามขาด-ห้ามเกิน</v>
          </cell>
          <cell r="AJ96">
            <v>2654</v>
          </cell>
          <cell r="AL96">
            <v>1346</v>
          </cell>
          <cell r="AM96">
            <v>4000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 t="str">
            <v>รอส่ง</v>
          </cell>
          <cell r="DP96" t="e">
            <v>#VALUE!</v>
          </cell>
          <cell r="DQ96" t="e">
            <v>#VALUE!</v>
          </cell>
          <cell r="DR96" t="e">
            <v>#VALUE!</v>
          </cell>
          <cell r="DS96" t="e">
            <v>#VALUE!</v>
          </cell>
          <cell r="DT96" t="e">
            <v>#VALUE!</v>
          </cell>
          <cell r="DU96" t="e">
            <v>#VALUE!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MK68-000452</v>
          </cell>
          <cell r="C97">
            <v>45741</v>
          </cell>
          <cell r="E97" t="str">
            <v>บจก.เอพีเอ็ม อะโกร</v>
          </cell>
          <cell r="F97" t="str">
            <v>วี-ฟีด วี 07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ใส</v>
          </cell>
          <cell r="L97">
            <v>100</v>
          </cell>
          <cell r="M97" t="str">
            <v>±</v>
          </cell>
          <cell r="N97">
            <v>5</v>
          </cell>
          <cell r="R97" t="str">
            <v>บิด</v>
          </cell>
          <cell r="T97" t="str">
            <v>ไม่สวมถุงใน</v>
          </cell>
          <cell r="U97"/>
          <cell r="V97"/>
          <cell r="X97" t="str">
            <v>รอส่ง</v>
          </cell>
          <cell r="Z97" t="str">
            <v>500กระสอบแบน</v>
          </cell>
          <cell r="AA97">
            <v>4000</v>
          </cell>
          <cell r="AB97">
            <v>0</v>
          </cell>
          <cell r="AC97">
            <v>0</v>
          </cell>
          <cell r="AD97">
            <v>0</v>
          </cell>
          <cell r="AG97" t="str">
            <v>มีลบสี</v>
          </cell>
          <cell r="AI97"/>
          <cell r="AJ97">
            <v>3867</v>
          </cell>
          <cell r="AL97">
            <v>133</v>
          </cell>
          <cell r="AM97">
            <v>4200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 t="str">
            <v>รอส่ง</v>
          </cell>
          <cell r="DP97" t="e">
            <v>#VALUE!</v>
          </cell>
          <cell r="DQ97" t="e">
            <v>#VALUE!</v>
          </cell>
          <cell r="DR97" t="e">
            <v>#VALUE!</v>
          </cell>
          <cell r="DS97" t="e">
            <v>#VALUE!</v>
          </cell>
          <cell r="DT97" t="e">
            <v>#VALUE!</v>
          </cell>
          <cell r="DU97" t="e">
            <v>#VALUE!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ใบรับคำสั่งซื้อ</v>
          </cell>
          <cell r="C98">
            <v>45720</v>
          </cell>
          <cell r="E98" t="str">
            <v>บจก.เอพีเอ็ม อะโกร</v>
          </cell>
          <cell r="F98" t="str">
            <v>นีโอ พี3(เอส)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 t="str">
            <v>รอส่ง</v>
          </cell>
          <cell r="Z98" t="str">
            <v>500กระสอบแบน</v>
          </cell>
          <cell r="AA98">
            <v>4000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4010</v>
          </cell>
          <cell r="AL98">
            <v>0</v>
          </cell>
          <cell r="AM98">
            <v>4470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 t="str">
            <v>รอส่ง</v>
          </cell>
          <cell r="DP98" t="e">
            <v>#VALUE!</v>
          </cell>
          <cell r="DQ98" t="e">
            <v>#VALUE!</v>
          </cell>
          <cell r="DR98" t="e">
            <v>#VALUE!</v>
          </cell>
          <cell r="DS98" t="e">
            <v>#VALUE!</v>
          </cell>
          <cell r="DT98" t="e">
            <v>#VALUE!</v>
          </cell>
          <cell r="DU98" t="e">
            <v>#VALUE!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ใบรับคำสั่งซื้อ</v>
          </cell>
          <cell r="C99">
            <v>45720</v>
          </cell>
          <cell r="E99" t="str">
            <v>บจก.เอพีเอ็ม อะโกร</v>
          </cell>
          <cell r="F99" t="str">
            <v>นีโอ พี4(เอส)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 t="str">
            <v>รอส่ง</v>
          </cell>
          <cell r="Z99" t="str">
            <v>500กระสอบแบน</v>
          </cell>
          <cell r="AA99">
            <v>3000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3065</v>
          </cell>
          <cell r="AL99">
            <v>0</v>
          </cell>
          <cell r="AM99">
            <v>3300</v>
          </cell>
          <cell r="AN99">
            <v>0</v>
          </cell>
          <cell r="AO99" t="str">
            <v>WSWT2025800SM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 t="str">
            <v>รอส่ง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MK67-001236</v>
          </cell>
          <cell r="C100">
            <v>45541</v>
          </cell>
          <cell r="E100" t="str">
            <v>บจก.เอพีเอ็ม อะโกร</v>
          </cell>
          <cell r="F100" t="str">
            <v>ยูฟีด รวมไก่ วัว</v>
          </cell>
          <cell r="G100">
            <v>20</v>
          </cell>
          <cell r="H100">
            <v>40</v>
          </cell>
          <cell r="I100" t="str">
            <v>ขาว</v>
          </cell>
          <cell r="J100" t="str">
            <v>ด้าน</v>
          </cell>
          <cell r="L100">
            <v>108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 t="str">
            <v>รอส่ง</v>
          </cell>
          <cell r="Z100" t="str">
            <v>500กระสอบแบน</v>
          </cell>
          <cell r="AA100">
            <v>3000</v>
          </cell>
          <cell r="AB100">
            <v>0</v>
          </cell>
          <cell r="AC100">
            <v>0</v>
          </cell>
          <cell r="AD100">
            <v>0</v>
          </cell>
          <cell r="AG100" t="str">
            <v>ลูกค้าต้องการเคลือบใส แต่เปิดมาเคลือบด้าน</v>
          </cell>
          <cell r="AI100" t="str">
            <v>ลูกค้าสั่งผิดเอาไปส่งเดือน10</v>
          </cell>
          <cell r="AJ100">
            <v>3318</v>
          </cell>
          <cell r="AL100">
            <v>0</v>
          </cell>
          <cell r="AM100"/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 t="str">
            <v>รอส่ง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/>
          <cell r="EG100"/>
          <cell r="EH100"/>
          <cell r="EI100"/>
        </row>
        <row r="101">
          <cell r="B101" t="str">
            <v>MK67-001396</v>
          </cell>
          <cell r="C101">
            <v>45581</v>
          </cell>
          <cell r="E101" t="str">
            <v>บจก.เอพีเอ็ม อะโกร</v>
          </cell>
          <cell r="F101" t="str">
            <v>นีโอ พี4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 t="str">
            <v>รอส่ง</v>
          </cell>
          <cell r="Z101" t="str">
            <v>500กระสอบแบน</v>
          </cell>
          <cell r="AA101">
            <v>3000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3194</v>
          </cell>
          <cell r="AL101">
            <v>0</v>
          </cell>
          <cell r="AM101">
            <v>5632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 t="str">
            <v>รอส่ง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>
            <v>0</v>
          </cell>
          <cell r="C102"/>
          <cell r="E102"/>
          <cell r="F102"/>
          <cell r="G102">
            <v>20</v>
          </cell>
          <cell r="H102">
            <v>38</v>
          </cell>
          <cell r="I102"/>
          <cell r="J102"/>
          <cell r="L102">
            <v>84</v>
          </cell>
          <cell r="M102" t="str">
            <v>±</v>
          </cell>
          <cell r="N102">
            <v>5</v>
          </cell>
          <cell r="R102"/>
          <cell r="T102"/>
          <cell r="U102"/>
          <cell r="V102"/>
          <cell r="X102"/>
          <cell r="Z102"/>
          <cell r="AA102"/>
          <cell r="AB102">
            <v>0</v>
          </cell>
          <cell r="AC102">
            <v>0</v>
          </cell>
          <cell r="AD102"/>
          <cell r="AG102"/>
          <cell r="AI102" t="str">
            <v>ระบุในSD</v>
          </cell>
          <cell r="AJ102"/>
          <cell r="AL102">
            <v>0</v>
          </cell>
          <cell r="AM102"/>
          <cell r="AN102">
            <v>0</v>
          </cell>
          <cell r="AO102" t="str">
            <v>WSWT2025800SM</v>
          </cell>
          <cell r="AQ102">
            <v>426813.53550000011</v>
          </cell>
          <cell r="AR102">
            <v>138208.33550000004</v>
          </cell>
          <cell r="AS102">
            <v>288605.20000000007</v>
          </cell>
          <cell r="AT102">
            <v>33569.909999999996</v>
          </cell>
          <cell r="AU102">
            <v>393243.62550000014</v>
          </cell>
          <cell r="BZ102" t="str">
            <v>WRWT25850/WRWT25850</v>
          </cell>
          <cell r="CA102">
            <v>0</v>
          </cell>
          <cell r="DL102"/>
          <cell r="DM102" t="str">
            <v>Lead time</v>
          </cell>
          <cell r="DN102"/>
          <cell r="DP102"/>
          <cell r="DQ102"/>
          <cell r="DR102"/>
          <cell r="DS102"/>
          <cell r="DT102"/>
          <cell r="DU102"/>
          <cell r="DW102"/>
          <cell r="DX102"/>
          <cell r="DY102"/>
          <cell r="DZ102"/>
          <cell r="EA102"/>
          <cell r="EB102"/>
          <cell r="EC102"/>
          <cell r="ED102"/>
          <cell r="EG102"/>
          <cell r="EH102">
            <v>0</v>
          </cell>
          <cell r="EI102">
            <v>0</v>
          </cell>
        </row>
        <row r="103">
          <cell r="B103" t="str">
            <v>ประมาณการ</v>
          </cell>
          <cell r="C103" t="str">
            <v>ประมาณการ</v>
          </cell>
          <cell r="E103" t="str">
            <v>บจก.ซันฟีด</v>
          </cell>
          <cell r="F103" t="str">
            <v>รอแบบ</v>
          </cell>
          <cell r="G103">
            <v>20</v>
          </cell>
          <cell r="H103">
            <v>39</v>
          </cell>
          <cell r="I103" t="str">
            <v>ขาว</v>
          </cell>
          <cell r="J103"/>
          <cell r="L103">
            <v>84</v>
          </cell>
          <cell r="M103" t="str">
            <v>+</v>
          </cell>
          <cell r="N103"/>
          <cell r="R103" t="str">
            <v>บิด</v>
          </cell>
          <cell r="T103" t="str">
            <v>ไม่สวมถุงใน</v>
          </cell>
          <cell r="U103"/>
          <cell r="V103"/>
          <cell r="X103" t="str">
            <v>รอแจ้ง</v>
          </cell>
          <cell r="Z103" t="str">
            <v xml:space="preserve">300กระสอบแบนเต็มใบ </v>
          </cell>
          <cell r="AA103">
            <v>100000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100000</v>
          </cell>
          <cell r="AM103"/>
          <cell r="AN103">
            <v>105000</v>
          </cell>
          <cell r="AO103" t="str">
            <v>WSWT2025850</v>
          </cell>
          <cell r="AQ103">
            <v>113157.00000000001</v>
          </cell>
          <cell r="AR103">
            <v>99888</v>
          </cell>
          <cell r="AS103">
            <v>13269.000000000015</v>
          </cell>
          <cell r="AT103">
            <v>0</v>
          </cell>
          <cell r="AU103">
            <v>0</v>
          </cell>
          <cell r="BZ103" t="str">
            <v>WRWT25850/WRWT25800</v>
          </cell>
          <cell r="CA103">
            <v>1045.3023333333344</v>
          </cell>
          <cell r="DL103" t="str">
            <v>P7</v>
          </cell>
          <cell r="DM103">
            <v>2</v>
          </cell>
          <cell r="DN103" t="str">
            <v>รอแจ้ง</v>
          </cell>
          <cell r="DP103" t="e">
            <v>#VALUE!</v>
          </cell>
          <cell r="DQ103"/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W103"/>
          <cell r="DX103"/>
          <cell r="DY103"/>
          <cell r="DZ103"/>
          <cell r="EA103"/>
          <cell r="EB103"/>
          <cell r="EC103" t="str">
            <v>งานพิมพ์</v>
          </cell>
          <cell r="ED103" t="str">
            <v>รอART</v>
          </cell>
          <cell r="EG103"/>
          <cell r="EH103"/>
          <cell r="EI103"/>
        </row>
        <row r="104">
          <cell r="B104">
            <v>0</v>
          </cell>
          <cell r="C104"/>
          <cell r="E104"/>
          <cell r="F104"/>
          <cell r="G104">
            <v>20</v>
          </cell>
          <cell r="H104">
            <v>38</v>
          </cell>
          <cell r="I104"/>
          <cell r="J104"/>
          <cell r="L104">
            <v>82</v>
          </cell>
          <cell r="M104" t="str">
            <v>+</v>
          </cell>
          <cell r="N104">
            <v>2</v>
          </cell>
          <cell r="R104"/>
          <cell r="T104"/>
          <cell r="U104"/>
          <cell r="V104"/>
          <cell r="X104"/>
          <cell r="Z104"/>
          <cell r="AA104"/>
          <cell r="AB104"/>
          <cell r="AC104">
            <v>0</v>
          </cell>
          <cell r="AD104"/>
          <cell r="AG104"/>
          <cell r="AI104" t="str">
            <v>ระบุในSD</v>
          </cell>
          <cell r="AJ104"/>
          <cell r="AL104">
            <v>0</v>
          </cell>
          <cell r="AM104"/>
          <cell r="AN104">
            <v>0</v>
          </cell>
          <cell r="AO104" t="str">
            <v>WSWT2025850</v>
          </cell>
          <cell r="AQ104">
            <v>113157.00000000001</v>
          </cell>
          <cell r="AR104">
            <v>99888</v>
          </cell>
          <cell r="AS104">
            <v>13269.000000000015</v>
          </cell>
          <cell r="AT104">
            <v>0</v>
          </cell>
          <cell r="AU104">
            <v>0</v>
          </cell>
          <cell r="BZ104" t="str">
            <v>WRWT200850/WRWT25800</v>
          </cell>
          <cell r="CA104">
            <v>0</v>
          </cell>
          <cell r="DL104"/>
          <cell r="DM104" t="str">
            <v>Lead time</v>
          </cell>
          <cell r="DN104"/>
          <cell r="DP104"/>
          <cell r="DQ104"/>
          <cell r="DR104"/>
          <cell r="DS104"/>
          <cell r="DT104"/>
          <cell r="DU104"/>
          <cell r="DW104"/>
          <cell r="DX104"/>
          <cell r="DY104"/>
          <cell r="DZ104"/>
          <cell r="EA104"/>
          <cell r="EB104"/>
          <cell r="EC104"/>
          <cell r="ED104"/>
          <cell r="EG104"/>
          <cell r="EH104"/>
          <cell r="EI104"/>
        </row>
        <row r="105">
          <cell r="B105">
            <v>0</v>
          </cell>
          <cell r="C105"/>
          <cell r="E105"/>
          <cell r="F105"/>
          <cell r="G105">
            <v>20</v>
          </cell>
          <cell r="H105">
            <v>37</v>
          </cell>
          <cell r="I105"/>
          <cell r="J105"/>
          <cell r="L105">
            <v>82</v>
          </cell>
          <cell r="M105" t="str">
            <v>±</v>
          </cell>
          <cell r="N105">
            <v>5</v>
          </cell>
          <cell r="R105"/>
          <cell r="T105"/>
          <cell r="U105"/>
          <cell r="V105"/>
          <cell r="X105"/>
          <cell r="Z105"/>
          <cell r="AA105"/>
          <cell r="AB105"/>
          <cell r="AC105">
            <v>0</v>
          </cell>
          <cell r="AD105"/>
          <cell r="AG105"/>
          <cell r="AI105" t="str">
            <v>ระบุในSD</v>
          </cell>
          <cell r="AJ105"/>
          <cell r="AL105">
            <v>0</v>
          </cell>
          <cell r="AM105"/>
          <cell r="AN105">
            <v>0</v>
          </cell>
          <cell r="AO105" t="str">
            <v>WSWT2021750</v>
          </cell>
          <cell r="AQ105" t="e">
            <v>#REF!</v>
          </cell>
          <cell r="AR105" t="e">
            <v>#REF!</v>
          </cell>
          <cell r="AS105" t="e">
            <v>#REF!</v>
          </cell>
          <cell r="AT105" t="e">
            <v>#REF!</v>
          </cell>
          <cell r="AU105" t="e">
            <v>#REF!</v>
          </cell>
          <cell r="BZ105" t="str">
            <v>WRWT200750/WRWT21750</v>
          </cell>
          <cell r="CA105">
            <v>0</v>
          </cell>
          <cell r="DL105"/>
          <cell r="DM105" t="str">
            <v>Lead time</v>
          </cell>
          <cell r="DN105"/>
          <cell r="DP105"/>
          <cell r="DQ105"/>
          <cell r="DR105"/>
          <cell r="DS105"/>
          <cell r="DT105"/>
          <cell r="DU105"/>
          <cell r="DW105"/>
          <cell r="DX105"/>
          <cell r="DY105"/>
          <cell r="DZ105"/>
          <cell r="EA105"/>
          <cell r="EB105"/>
          <cell r="EC105"/>
          <cell r="ED105"/>
          <cell r="EG105"/>
          <cell r="EH105">
            <v>0</v>
          </cell>
          <cell r="EI105">
            <v>0</v>
          </cell>
        </row>
        <row r="106">
          <cell r="B106" t="str">
            <v>MK68-001025</v>
          </cell>
          <cell r="C106">
            <v>45892</v>
          </cell>
          <cell r="E106" t="str">
            <v>บจก.อินเทคค์ โกลบอล</v>
          </cell>
          <cell r="F106" t="str">
            <v>เพอเฟคค์ 663</v>
          </cell>
          <cell r="G106">
            <v>20</v>
          </cell>
          <cell r="H106">
            <v>36</v>
          </cell>
          <cell r="I106" t="str">
            <v>ขาว</v>
          </cell>
          <cell r="J106"/>
          <cell r="L106">
            <v>78</v>
          </cell>
          <cell r="M106" t="str">
            <v>±</v>
          </cell>
          <cell r="N106">
            <v>5</v>
          </cell>
          <cell r="R106" t="str">
            <v>จับจีบ4"</v>
          </cell>
          <cell r="T106" t="str">
            <v>ไม่สวมถุงใน</v>
          </cell>
          <cell r="U106"/>
          <cell r="V106"/>
          <cell r="X106">
            <v>45909</v>
          </cell>
          <cell r="Z106" t="str">
            <v>มัด80 ใช้สายรัด</v>
          </cell>
          <cell r="AA106">
            <v>10000</v>
          </cell>
          <cell r="AB106">
            <v>0</v>
          </cell>
          <cell r="AC106">
            <v>0</v>
          </cell>
          <cell r="AD106">
            <v>0</v>
          </cell>
          <cell r="AG106"/>
          <cell r="AI106" t="str">
            <v>ห้ามขาด-ห้ามเกิน</v>
          </cell>
          <cell r="AJ106">
            <v>10000</v>
          </cell>
          <cell r="AL106">
            <v>0</v>
          </cell>
          <cell r="AM106">
            <v>10696</v>
          </cell>
          <cell r="AN106">
            <v>0</v>
          </cell>
          <cell r="AO106" t="str">
            <v>WSWT2025800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WRWT25800/WRWT25800</v>
          </cell>
          <cell r="CA106">
            <v>0</v>
          </cell>
          <cell r="DL106" t="str">
            <v>P7</v>
          </cell>
          <cell r="DM106">
            <v>2</v>
          </cell>
          <cell r="DN106">
            <v>45909</v>
          </cell>
          <cell r="DP106">
            <v>45904</v>
          </cell>
          <cell r="DQ106"/>
          <cell r="DR106">
            <v>45900</v>
          </cell>
          <cell r="DS106">
            <v>45907</v>
          </cell>
          <cell r="DT106">
            <v>45908</v>
          </cell>
          <cell r="DU106">
            <v>45908</v>
          </cell>
          <cell r="DW106"/>
          <cell r="DX106"/>
          <cell r="DY106"/>
          <cell r="DZ106"/>
          <cell r="EA106"/>
          <cell r="EB106"/>
          <cell r="EC106" t="str">
            <v>งานพิมพ์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MK68-001009</v>
          </cell>
          <cell r="C107">
            <v>45887</v>
          </cell>
          <cell r="E107" t="str">
            <v>บจก.อินเทคค์ โกลบอล</v>
          </cell>
          <cell r="F107" t="str">
            <v>เพอเฟคค 664</v>
          </cell>
          <cell r="G107">
            <v>20</v>
          </cell>
          <cell r="H107">
            <v>36</v>
          </cell>
          <cell r="I107" t="str">
            <v>ขาว</v>
          </cell>
          <cell r="J107"/>
          <cell r="L107">
            <v>78</v>
          </cell>
          <cell r="M107" t="str">
            <v>±</v>
          </cell>
          <cell r="N107">
            <v>5</v>
          </cell>
          <cell r="R107" t="str">
            <v>จับจีบ4"</v>
          </cell>
          <cell r="T107" t="str">
            <v>ไม่สวมถุงใน</v>
          </cell>
          <cell r="U107"/>
          <cell r="V107"/>
          <cell r="X107">
            <v>45915</v>
          </cell>
          <cell r="Z107" t="str">
            <v>มัด80 ใช้สายรัด</v>
          </cell>
          <cell r="AA107">
            <v>9153</v>
          </cell>
          <cell r="AB107">
            <v>0</v>
          </cell>
          <cell r="AC107">
            <v>0</v>
          </cell>
          <cell r="AD107">
            <v>0</v>
          </cell>
          <cell r="AG107" t="str">
            <v>1/9 8/9 15/9 22/9</v>
          </cell>
          <cell r="AI107" t="str">
            <v>ห้ามขาด-ห้ามเกิน</v>
          </cell>
          <cell r="AJ107">
            <v>0</v>
          </cell>
          <cell r="AL107">
            <v>9153</v>
          </cell>
          <cell r="AM107">
            <v>18825</v>
          </cell>
          <cell r="AN107">
            <v>0</v>
          </cell>
          <cell r="AO107" t="str">
            <v>WSWT2025800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WRWT25800/WRWT25800</v>
          </cell>
          <cell r="CA107">
            <v>0</v>
          </cell>
          <cell r="DL107" t="str">
            <v>P7</v>
          </cell>
          <cell r="DM107">
            <v>2</v>
          </cell>
          <cell r="DN107">
            <v>45915</v>
          </cell>
          <cell r="DP107">
            <v>45910</v>
          </cell>
          <cell r="DQ107"/>
          <cell r="DR107">
            <v>45906</v>
          </cell>
          <cell r="DS107">
            <v>45913</v>
          </cell>
          <cell r="DT107">
            <v>45914</v>
          </cell>
          <cell r="DU107">
            <v>45914</v>
          </cell>
          <cell r="DW107"/>
          <cell r="DX107"/>
          <cell r="DY107"/>
          <cell r="DZ107"/>
          <cell r="EA107"/>
          <cell r="EB107"/>
          <cell r="EC107" t="str">
            <v>งานพิมพ์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MK68-001010</v>
          </cell>
          <cell r="C108">
            <v>45887</v>
          </cell>
          <cell r="E108" t="str">
            <v>บจก.อินเทคค์ โกลบอล</v>
          </cell>
          <cell r="F108" t="str">
            <v>เพอเฟคค์ 664HP</v>
          </cell>
          <cell r="G108">
            <v>20</v>
          </cell>
          <cell r="H108">
            <v>36</v>
          </cell>
          <cell r="I108" t="str">
            <v>ขาว</v>
          </cell>
          <cell r="J108"/>
          <cell r="L108">
            <v>78</v>
          </cell>
          <cell r="M108" t="str">
            <v>±</v>
          </cell>
          <cell r="N108">
            <v>5</v>
          </cell>
          <cell r="R108" t="str">
            <v>จับจีบ4"</v>
          </cell>
          <cell r="T108" t="str">
            <v>ไม่สวมถุงใน</v>
          </cell>
          <cell r="U108"/>
          <cell r="V108"/>
          <cell r="X108">
            <v>45919</v>
          </cell>
          <cell r="Z108" t="str">
            <v>มัด80 ใช้สายรัด</v>
          </cell>
          <cell r="AA108">
            <v>17360</v>
          </cell>
          <cell r="AB108">
            <v>0</v>
          </cell>
          <cell r="AC108">
            <v>0</v>
          </cell>
          <cell r="AD108">
            <v>0</v>
          </cell>
          <cell r="AG108" t="str">
            <v>2/9 9/9 16/9 19/9 23/9 26/9</v>
          </cell>
          <cell r="AI108" t="str">
            <v>ห้ามขาด-ห้ามเกิน</v>
          </cell>
          <cell r="AJ108">
            <v>10080</v>
          </cell>
          <cell r="AL108">
            <v>7280</v>
          </cell>
          <cell r="AM108">
            <v>40982</v>
          </cell>
          <cell r="AN108">
            <v>0</v>
          </cell>
          <cell r="AO108" t="str">
            <v>WSWT2025800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WRWT25800/WRWT25800</v>
          </cell>
          <cell r="CA108">
            <v>0</v>
          </cell>
          <cell r="DL108" t="str">
            <v>P7</v>
          </cell>
          <cell r="DM108">
            <v>2</v>
          </cell>
          <cell r="DN108">
            <v>45919</v>
          </cell>
          <cell r="DP108">
            <v>45914</v>
          </cell>
          <cell r="DQ108"/>
          <cell r="DR108">
            <v>45910</v>
          </cell>
          <cell r="DS108">
            <v>45917</v>
          </cell>
          <cell r="DT108">
            <v>45918</v>
          </cell>
          <cell r="DU108">
            <v>45918</v>
          </cell>
          <cell r="DW108"/>
          <cell r="DX108"/>
          <cell r="DY108"/>
          <cell r="DZ108"/>
          <cell r="EA108"/>
          <cell r="EB108"/>
          <cell r="EC108" t="str">
            <v>งานพิมพ์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MK68-001010</v>
          </cell>
          <cell r="C109">
            <v>45887</v>
          </cell>
          <cell r="E109" t="str">
            <v>บจก.อินเทคค์ โกลบอล</v>
          </cell>
          <cell r="F109" t="str">
            <v>เพอเฟคค์ 664HP</v>
          </cell>
          <cell r="G109">
            <v>20</v>
          </cell>
          <cell r="H109">
            <v>36</v>
          </cell>
          <cell r="I109" t="str">
            <v>ขาว</v>
          </cell>
          <cell r="J109"/>
          <cell r="L109">
            <v>78</v>
          </cell>
          <cell r="M109" t="str">
            <v>±</v>
          </cell>
          <cell r="N109">
            <v>5</v>
          </cell>
          <cell r="R109" t="str">
            <v>จับจีบ4"</v>
          </cell>
          <cell r="T109" t="str">
            <v>ไม่สวมถุงใน</v>
          </cell>
          <cell r="U109"/>
          <cell r="V109"/>
          <cell r="X109">
            <v>45922</v>
          </cell>
          <cell r="Z109" t="str">
            <v>มัด80 ใช้สายรัด</v>
          </cell>
          <cell r="AA109">
            <v>30000</v>
          </cell>
          <cell r="AB109">
            <v>0</v>
          </cell>
          <cell r="AC109">
            <v>0</v>
          </cell>
          <cell r="AD109">
            <v>0</v>
          </cell>
          <cell r="AG109" t="str">
            <v>2/9 9/9 16/9 19/9 23/9 26/9</v>
          </cell>
          <cell r="AI109" t="str">
            <v>ห้ามขาด-ห้ามเกิน</v>
          </cell>
          <cell r="AJ109">
            <v>0</v>
          </cell>
          <cell r="AL109">
            <v>30000</v>
          </cell>
          <cell r="AM109">
            <v>31000</v>
          </cell>
          <cell r="AN109">
            <v>0</v>
          </cell>
          <cell r="AO109" t="str">
            <v>WSWT2025800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WRWT25800/WRWT25800</v>
          </cell>
          <cell r="CA109">
            <v>0</v>
          </cell>
          <cell r="DL109" t="str">
            <v>P7</v>
          </cell>
          <cell r="DM109">
            <v>2</v>
          </cell>
          <cell r="DN109">
            <v>45922</v>
          </cell>
          <cell r="DP109">
            <v>45917</v>
          </cell>
          <cell r="DQ109"/>
          <cell r="DR109">
            <v>45913</v>
          </cell>
          <cell r="DS109">
            <v>45920</v>
          </cell>
          <cell r="DT109">
            <v>45921</v>
          </cell>
          <cell r="DU109">
            <v>45921</v>
          </cell>
          <cell r="DW109"/>
          <cell r="DX109"/>
          <cell r="DY109"/>
          <cell r="DZ109"/>
          <cell r="EA109"/>
          <cell r="EB109"/>
          <cell r="EC109" t="str">
            <v>งานพิมพ์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MK68-001010</v>
          </cell>
          <cell r="C110">
            <v>45887</v>
          </cell>
          <cell r="E110" t="str">
            <v>บจก.อินเทคค์ โกลบอล</v>
          </cell>
          <cell r="F110" t="str">
            <v>เพอเฟคค์ 664HP</v>
          </cell>
          <cell r="G110">
            <v>20</v>
          </cell>
          <cell r="H110">
            <v>36</v>
          </cell>
          <cell r="I110" t="str">
            <v>ขาว</v>
          </cell>
          <cell r="J110"/>
          <cell r="L110">
            <v>78</v>
          </cell>
          <cell r="M110" t="str">
            <v>±</v>
          </cell>
          <cell r="N110">
            <v>5</v>
          </cell>
          <cell r="R110" t="str">
            <v>จับจีบ4"</v>
          </cell>
          <cell r="T110" t="str">
            <v>ไม่สวมถุงใน</v>
          </cell>
          <cell r="U110"/>
          <cell r="V110"/>
          <cell r="X110">
            <v>45926</v>
          </cell>
          <cell r="Z110" t="str">
            <v>มัด80 ใช้สายรัด</v>
          </cell>
          <cell r="AA110">
            <v>20000</v>
          </cell>
          <cell r="AB110">
            <v>0</v>
          </cell>
          <cell r="AC110">
            <v>0</v>
          </cell>
          <cell r="AD110">
            <v>0</v>
          </cell>
          <cell r="AG110" t="str">
            <v>2/9 9/9 16/9 19/9 23/9 26/9</v>
          </cell>
          <cell r="AI110" t="str">
            <v>ห้ามขาด-ห้ามเกิน</v>
          </cell>
          <cell r="AJ110">
            <v>0</v>
          </cell>
          <cell r="AL110">
            <v>20000</v>
          </cell>
          <cell r="AM110">
            <v>20056</v>
          </cell>
          <cell r="AN110">
            <v>0</v>
          </cell>
          <cell r="AO110" t="str">
            <v>WSWT2025800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WRWT25800/WRWT25800</v>
          </cell>
          <cell r="CA110">
            <v>0</v>
          </cell>
          <cell r="DL110" t="str">
            <v>P7</v>
          </cell>
          <cell r="DM110">
            <v>2</v>
          </cell>
          <cell r="DN110">
            <v>45926</v>
          </cell>
          <cell r="DP110">
            <v>45921</v>
          </cell>
          <cell r="DQ110"/>
          <cell r="DR110">
            <v>45917</v>
          </cell>
          <cell r="DS110">
            <v>45924</v>
          </cell>
          <cell r="DT110">
            <v>45925</v>
          </cell>
          <cell r="DU110">
            <v>45925</v>
          </cell>
          <cell r="DW110"/>
          <cell r="DX110"/>
          <cell r="DY110"/>
          <cell r="DZ110"/>
          <cell r="EA110"/>
          <cell r="EB110"/>
          <cell r="EC110" t="str">
            <v>งานพิมพ์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MK68-001082</v>
          </cell>
          <cell r="C111">
            <v>45905</v>
          </cell>
          <cell r="E111" t="str">
            <v>บจก.ที.เอช.แพลเล็ท</v>
          </cell>
          <cell r="F111" t="str">
            <v>ใบมัน</v>
          </cell>
          <cell r="G111">
            <v>20</v>
          </cell>
          <cell r="H111">
            <v>34</v>
          </cell>
          <cell r="I111" t="str">
            <v>ขาว</v>
          </cell>
          <cell r="J111"/>
          <cell r="L111">
            <v>70</v>
          </cell>
          <cell r="M111" t="str">
            <v>±</v>
          </cell>
          <cell r="N111">
            <v>5</v>
          </cell>
          <cell r="R111" t="str">
            <v>ไม่</v>
          </cell>
          <cell r="T111">
            <v>21</v>
          </cell>
          <cell r="U111">
            <v>37</v>
          </cell>
          <cell r="V111">
            <v>40</v>
          </cell>
          <cell r="X111">
            <v>45912</v>
          </cell>
          <cell r="Z111" t="str">
            <v>500กระสอบแบน</v>
          </cell>
          <cell r="AA111">
            <v>5000</v>
          </cell>
          <cell r="AB111">
            <v>95.846517983999988</v>
          </cell>
          <cell r="AC111">
            <v>0</v>
          </cell>
          <cell r="AD111">
            <v>95.846517983999988</v>
          </cell>
          <cell r="AG111"/>
          <cell r="AI111" t="str">
            <v>ห้ามขาด-เกินได้ 100</v>
          </cell>
          <cell r="AJ111">
            <v>0</v>
          </cell>
          <cell r="AL111">
            <v>5000</v>
          </cell>
          <cell r="AM111"/>
          <cell r="AN111">
            <v>5250</v>
          </cell>
          <cell r="AO111" t="str">
            <v>WSWT2025800</v>
          </cell>
          <cell r="AQ111">
            <v>4959.3500000000004</v>
          </cell>
          <cell r="AR111">
            <v>4959.3500000000004</v>
          </cell>
          <cell r="AS111">
            <v>0</v>
          </cell>
          <cell r="AT111">
            <v>0</v>
          </cell>
          <cell r="AU111">
            <v>0</v>
          </cell>
          <cell r="BZ111" t="str">
            <v>WRWT25800/WRWT25800</v>
          </cell>
          <cell r="CA111">
            <v>0</v>
          </cell>
          <cell r="DL111" t="str">
            <v>P9</v>
          </cell>
          <cell r="DM111">
            <v>3</v>
          </cell>
          <cell r="DN111">
            <v>45912</v>
          </cell>
          <cell r="DP111">
            <v>45907</v>
          </cell>
          <cell r="DQ111"/>
          <cell r="DR111">
            <v>45902</v>
          </cell>
          <cell r="DS111">
            <v>45909</v>
          </cell>
          <cell r="DT111">
            <v>45910</v>
          </cell>
          <cell r="DU111">
            <v>45910</v>
          </cell>
          <cell r="DW111">
            <v>45911</v>
          </cell>
          <cell r="DX111"/>
          <cell r="DY111"/>
          <cell r="DZ111"/>
          <cell r="EA111"/>
          <cell r="EB111"/>
          <cell r="EC111" t="str">
            <v>งานพิมพ์</v>
          </cell>
          <cell r="ED111"/>
          <cell r="EG111"/>
          <cell r="EH111"/>
          <cell r="EI111"/>
        </row>
        <row r="112">
          <cell r="B112" t="str">
            <v>MK68-001081</v>
          </cell>
          <cell r="C112">
            <v>45905</v>
          </cell>
          <cell r="E112" t="str">
            <v>บจก.อินเทคค์ โกลบอล</v>
          </cell>
          <cell r="F112" t="str">
            <v>เพอเฟคค 664</v>
          </cell>
          <cell r="G112">
            <v>20</v>
          </cell>
          <cell r="H112">
            <v>36</v>
          </cell>
          <cell r="I112" t="str">
            <v>ขาว</v>
          </cell>
          <cell r="J112"/>
          <cell r="L112">
            <v>78</v>
          </cell>
          <cell r="M112" t="str">
            <v>±</v>
          </cell>
          <cell r="N112">
            <v>5</v>
          </cell>
          <cell r="R112" t="str">
            <v>จับจีบ4"</v>
          </cell>
          <cell r="T112" t="str">
            <v>ไม่สวมถุงใน</v>
          </cell>
          <cell r="U112"/>
          <cell r="V112"/>
          <cell r="X112">
            <v>45918</v>
          </cell>
          <cell r="Z112" t="str">
            <v>มัด80 ใช้สายรัด</v>
          </cell>
          <cell r="AA112">
            <v>30000</v>
          </cell>
          <cell r="AB112">
            <v>0</v>
          </cell>
          <cell r="AC112">
            <v>0</v>
          </cell>
          <cell r="AD112">
            <v>0</v>
          </cell>
          <cell r="AG112" t="str">
            <v>18/9  22/9</v>
          </cell>
          <cell r="AI112" t="str">
            <v>ห้ามขาด-ห้ามเกิน</v>
          </cell>
          <cell r="AJ112">
            <v>0</v>
          </cell>
          <cell r="AL112">
            <v>30000</v>
          </cell>
          <cell r="AM112">
            <v>19678</v>
          </cell>
          <cell r="AN112">
            <v>10838.1</v>
          </cell>
          <cell r="AO112" t="str">
            <v>WSWT2025800</v>
          </cell>
          <cell r="AQ112">
            <v>11355.619275000001</v>
          </cell>
          <cell r="AR112">
            <v>11355.619275000001</v>
          </cell>
          <cell r="AS112">
            <v>0</v>
          </cell>
          <cell r="AT112">
            <v>0</v>
          </cell>
          <cell r="AU112">
            <v>0</v>
          </cell>
          <cell r="BZ112" t="str">
            <v>WRWT25800/WRWT25800</v>
          </cell>
          <cell r="CA112">
            <v>0</v>
          </cell>
          <cell r="DL112" t="str">
            <v>P7</v>
          </cell>
          <cell r="DM112">
            <v>2</v>
          </cell>
          <cell r="DN112">
            <v>45918</v>
          </cell>
          <cell r="DP112">
            <v>45913</v>
          </cell>
          <cell r="DQ112"/>
          <cell r="DR112">
            <v>45909</v>
          </cell>
          <cell r="DS112">
            <v>45916</v>
          </cell>
          <cell r="DT112">
            <v>45917</v>
          </cell>
          <cell r="DU112">
            <v>45917</v>
          </cell>
          <cell r="DW112"/>
          <cell r="DX112"/>
          <cell r="DY112"/>
          <cell r="DZ112"/>
          <cell r="EA112"/>
          <cell r="EB112"/>
          <cell r="EC112" t="str">
            <v>งานพิมพ์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ประมาณการ</v>
          </cell>
          <cell r="C113" t="str">
            <v>ประมาณการ</v>
          </cell>
          <cell r="E113" t="str">
            <v>บจก.อินเทคค์ โกลบอล</v>
          </cell>
          <cell r="F113" t="str">
            <v>รอแบบ</v>
          </cell>
          <cell r="G113">
            <v>20</v>
          </cell>
          <cell r="H113">
            <v>36</v>
          </cell>
          <cell r="I113" t="str">
            <v>ขาว</v>
          </cell>
          <cell r="J113"/>
          <cell r="L113">
            <v>78</v>
          </cell>
          <cell r="M113" t="str">
            <v>±</v>
          </cell>
          <cell r="N113">
            <v>5</v>
          </cell>
          <cell r="R113" t="str">
            <v>จับจีบ4"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มัด80 ใช้สายรัด</v>
          </cell>
          <cell r="AA113">
            <v>290000</v>
          </cell>
          <cell r="AB113">
            <v>0</v>
          </cell>
          <cell r="AC113">
            <v>0</v>
          </cell>
          <cell r="AD113">
            <v>0</v>
          </cell>
          <cell r="AG113"/>
          <cell r="AI113" t="str">
            <v>ห้ามขาด-ห้ามเกิน</v>
          </cell>
          <cell r="AJ113">
            <v>0</v>
          </cell>
          <cell r="AL113">
            <v>290000</v>
          </cell>
          <cell r="AM113">
            <v>0</v>
          </cell>
          <cell r="AN113">
            <v>304500</v>
          </cell>
          <cell r="AO113" t="str">
            <v>WSWT2025800</v>
          </cell>
          <cell r="AQ113">
            <v>303847.5</v>
          </cell>
          <cell r="AR113">
            <v>72336</v>
          </cell>
          <cell r="AS113">
            <v>231511.5</v>
          </cell>
          <cell r="AT113">
            <v>0</v>
          </cell>
          <cell r="AU113">
            <v>0</v>
          </cell>
          <cell r="BZ113" t="str">
            <v>WRWT25800/WRWT25800</v>
          </cell>
          <cell r="CA113">
            <v>17697.768</v>
          </cell>
          <cell r="DL113" t="str">
            <v>P7</v>
          </cell>
          <cell r="DM113">
            <v>2</v>
          </cell>
          <cell r="DN113" t="str">
            <v>รอแจ้ง</v>
          </cell>
          <cell r="DP113" t="e">
            <v>#VALUE!</v>
          </cell>
          <cell r="DQ113"/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งานพิมพ์</v>
          </cell>
          <cell r="ED113" t="str">
            <v xml:space="preserve"> /</v>
          </cell>
          <cell r="EG113"/>
          <cell r="EH113"/>
          <cell r="EI113"/>
        </row>
        <row r="114">
          <cell r="B114">
            <v>0</v>
          </cell>
          <cell r="C114"/>
          <cell r="E114"/>
          <cell r="F114"/>
          <cell r="G114">
            <v>20</v>
          </cell>
          <cell r="H114">
            <v>37</v>
          </cell>
          <cell r="I114"/>
          <cell r="J114"/>
          <cell r="L114">
            <v>80</v>
          </cell>
          <cell r="M114" t="str">
            <v>±</v>
          </cell>
          <cell r="N114">
            <v>3</v>
          </cell>
          <cell r="R114"/>
          <cell r="T114"/>
          <cell r="U114"/>
          <cell r="V114"/>
          <cell r="X114"/>
          <cell r="Z114"/>
          <cell r="AA114"/>
          <cell r="AB114">
            <v>0</v>
          </cell>
          <cell r="AC114">
            <v>0</v>
          </cell>
          <cell r="AD114"/>
          <cell r="AG114"/>
          <cell r="AI114" t="str">
            <v>ระบุในSD</v>
          </cell>
          <cell r="AJ114"/>
          <cell r="AL114">
            <v>0</v>
          </cell>
          <cell r="AM114"/>
          <cell r="AN114">
            <v>0</v>
          </cell>
          <cell r="AO114" t="str">
            <v>WSWT2025800</v>
          </cell>
          <cell r="AQ114">
            <v>320162.46927499998</v>
          </cell>
          <cell r="AR114">
            <v>88650.969274999996</v>
          </cell>
          <cell r="AS114">
            <v>231511.5</v>
          </cell>
          <cell r="AT114">
            <v>0</v>
          </cell>
          <cell r="AU114">
            <v>0</v>
          </cell>
          <cell r="BZ114" t="str">
            <v>WRWT25800/WRWT25800</v>
          </cell>
          <cell r="CA114">
            <v>0</v>
          </cell>
          <cell r="DL114"/>
          <cell r="DM114" t="str">
            <v>Lead time</v>
          </cell>
          <cell r="DN114"/>
          <cell r="DP114"/>
          <cell r="DQ114"/>
          <cell r="DR114"/>
          <cell r="DS114"/>
          <cell r="DT114"/>
          <cell r="DU114"/>
          <cell r="DW114"/>
          <cell r="DX114"/>
          <cell r="DY114"/>
          <cell r="DZ114"/>
          <cell r="EA114"/>
          <cell r="EB114"/>
          <cell r="EC114"/>
          <cell r="ED114"/>
          <cell r="EG114"/>
          <cell r="EH114"/>
          <cell r="EI114">
            <v>0</v>
          </cell>
        </row>
        <row r="115">
          <cell r="B115">
            <v>0</v>
          </cell>
          <cell r="C115"/>
          <cell r="E115"/>
          <cell r="F115"/>
          <cell r="G115">
            <v>20</v>
          </cell>
          <cell r="H115">
            <v>34</v>
          </cell>
          <cell r="I115"/>
          <cell r="J115"/>
          <cell r="L115">
            <v>98</v>
          </cell>
          <cell r="M115" t="str">
            <v>±</v>
          </cell>
          <cell r="N115">
            <v>5</v>
          </cell>
          <cell r="R115"/>
          <cell r="T115"/>
          <cell r="U115"/>
          <cell r="V115"/>
          <cell r="X115"/>
          <cell r="Z115"/>
          <cell r="AA115"/>
          <cell r="AB115"/>
          <cell r="AC115">
            <v>0</v>
          </cell>
          <cell r="AD115"/>
          <cell r="AG115"/>
          <cell r="AI115" t="str">
            <v>ระบุในSD</v>
          </cell>
          <cell r="AJ115"/>
          <cell r="AL115">
            <v>0</v>
          </cell>
          <cell r="AM115"/>
          <cell r="AN115">
            <v>0</v>
          </cell>
          <cell r="AO115" t="str">
            <v>WSWT2021950UV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BZ115" t="str">
            <v>WRWT200950/WRWT21950</v>
          </cell>
          <cell r="CA115">
            <v>0</v>
          </cell>
          <cell r="DL115"/>
          <cell r="DM115" t="str">
            <v>Lead time</v>
          </cell>
          <cell r="DN115"/>
          <cell r="DP115"/>
          <cell r="DQ115"/>
          <cell r="DR115"/>
          <cell r="DS115"/>
          <cell r="DT115"/>
          <cell r="DU115"/>
          <cell r="DW115"/>
          <cell r="DX115"/>
          <cell r="DY115"/>
          <cell r="DZ115"/>
          <cell r="EA115"/>
          <cell r="EB115"/>
          <cell r="EC115"/>
          <cell r="ED115"/>
          <cell r="EG115"/>
          <cell r="EH115"/>
          <cell r="EI115"/>
        </row>
        <row r="116">
          <cell r="B116">
            <v>0</v>
          </cell>
          <cell r="C116"/>
          <cell r="E116"/>
          <cell r="F116"/>
          <cell r="G116">
            <v>20</v>
          </cell>
          <cell r="H116">
            <v>34</v>
          </cell>
          <cell r="I116"/>
          <cell r="J116"/>
          <cell r="L116">
            <v>95</v>
          </cell>
          <cell r="M116" t="str">
            <v>±</v>
          </cell>
          <cell r="N116">
            <v>5</v>
          </cell>
          <cell r="R116"/>
          <cell r="T116"/>
          <cell r="U116"/>
          <cell r="V116"/>
          <cell r="X116"/>
          <cell r="Z116"/>
          <cell r="AA116"/>
          <cell r="AB116"/>
          <cell r="AC116">
            <v>0</v>
          </cell>
          <cell r="AD116"/>
          <cell r="AG116"/>
          <cell r="AI116" t="str">
            <v>ระบุในSD</v>
          </cell>
          <cell r="AJ116"/>
          <cell r="AL116">
            <v>0</v>
          </cell>
          <cell r="AM116"/>
          <cell r="AN116">
            <v>0</v>
          </cell>
          <cell r="AO116" t="str">
            <v>WSWT2021900UV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BZ116" t="str">
            <v>WRWT200900/WRWT21900</v>
          </cell>
          <cell r="CA116">
            <v>0</v>
          </cell>
          <cell r="DL116"/>
          <cell r="DM116" t="str">
            <v>Lead time</v>
          </cell>
          <cell r="DN116"/>
          <cell r="DP116"/>
          <cell r="DQ116"/>
          <cell r="DR116"/>
          <cell r="DS116"/>
          <cell r="DT116"/>
          <cell r="DU116"/>
          <cell r="DW116"/>
          <cell r="DX116"/>
          <cell r="DY116"/>
          <cell r="DZ116"/>
          <cell r="EA116"/>
          <cell r="EB116"/>
          <cell r="EC116"/>
          <cell r="ED116"/>
          <cell r="EG116"/>
          <cell r="EH116"/>
          <cell r="EI116"/>
        </row>
        <row r="117">
          <cell r="B117">
            <v>0</v>
          </cell>
          <cell r="C117"/>
          <cell r="E117"/>
          <cell r="F117"/>
          <cell r="G117">
            <v>20</v>
          </cell>
          <cell r="H117">
            <v>34</v>
          </cell>
          <cell r="I117"/>
          <cell r="J117"/>
          <cell r="L117">
            <v>80</v>
          </cell>
          <cell r="M117" t="str">
            <v>±</v>
          </cell>
          <cell r="N117">
            <v>5</v>
          </cell>
          <cell r="R117"/>
          <cell r="T117"/>
          <cell r="U117"/>
          <cell r="V117"/>
          <cell r="X117"/>
          <cell r="Z117"/>
          <cell r="AA117"/>
          <cell r="AB117"/>
          <cell r="AC117">
            <v>0</v>
          </cell>
          <cell r="AD117"/>
          <cell r="AG117"/>
          <cell r="AI117" t="str">
            <v>ระบุในSD</v>
          </cell>
          <cell r="AJ117"/>
          <cell r="AL117">
            <v>0</v>
          </cell>
          <cell r="AM117"/>
          <cell r="AN117">
            <v>0</v>
          </cell>
          <cell r="AO117" t="str">
            <v>WSWT2021750UV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BZ117" t="str">
            <v>WRWT200750/WRWT21750</v>
          </cell>
          <cell r="CA117">
            <v>0</v>
          </cell>
          <cell r="DL117"/>
          <cell r="DM117" t="str">
            <v>Lead time</v>
          </cell>
          <cell r="DN117"/>
          <cell r="DP117"/>
          <cell r="DQ117"/>
          <cell r="DR117"/>
          <cell r="DS117"/>
          <cell r="DT117"/>
          <cell r="DU117"/>
          <cell r="DW117"/>
          <cell r="DX117"/>
          <cell r="DY117"/>
          <cell r="DZ117"/>
          <cell r="EA117"/>
          <cell r="EB117"/>
          <cell r="EC117"/>
          <cell r="ED117"/>
          <cell r="EG117"/>
          <cell r="EH117"/>
          <cell r="EI117"/>
        </row>
        <row r="118">
          <cell r="B118">
            <v>0</v>
          </cell>
          <cell r="C118"/>
          <cell r="E118"/>
          <cell r="F118"/>
          <cell r="G118">
            <v>20</v>
          </cell>
          <cell r="H118">
            <v>34</v>
          </cell>
          <cell r="I118"/>
          <cell r="J118"/>
          <cell r="L118">
            <v>80</v>
          </cell>
          <cell r="M118" t="str">
            <v>±</v>
          </cell>
          <cell r="N118">
            <v>5</v>
          </cell>
          <cell r="R118"/>
          <cell r="T118"/>
          <cell r="U118"/>
          <cell r="V118"/>
          <cell r="X118"/>
          <cell r="Z118"/>
          <cell r="AA118"/>
          <cell r="AB118"/>
          <cell r="AC118">
            <v>0</v>
          </cell>
          <cell r="AD118"/>
          <cell r="AG118"/>
          <cell r="AI118" t="str">
            <v>ระบุในSD</v>
          </cell>
          <cell r="AJ118"/>
          <cell r="AL118">
            <v>0</v>
          </cell>
          <cell r="AM118"/>
          <cell r="AN118">
            <v>0</v>
          </cell>
          <cell r="AO118" t="str">
            <v>WSWT2021800UV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BZ118" t="str">
            <v>WRWT200800/WRWT21800</v>
          </cell>
          <cell r="CA118">
            <v>0</v>
          </cell>
          <cell r="DL118"/>
          <cell r="DM118" t="str">
            <v>Lead time</v>
          </cell>
          <cell r="DN118"/>
          <cell r="DP118"/>
          <cell r="DQ118"/>
          <cell r="DR118"/>
          <cell r="DS118"/>
          <cell r="DT118"/>
          <cell r="DU118"/>
          <cell r="DW118"/>
          <cell r="DX118"/>
          <cell r="DY118"/>
          <cell r="DZ118"/>
          <cell r="EA118"/>
          <cell r="EB118"/>
          <cell r="EC118"/>
          <cell r="ED118"/>
          <cell r="EG118"/>
          <cell r="EH118">
            <v>0</v>
          </cell>
          <cell r="EI118"/>
        </row>
        <row r="119">
          <cell r="B119">
            <v>0</v>
          </cell>
          <cell r="C119"/>
          <cell r="E119"/>
          <cell r="F119"/>
          <cell r="G119">
            <v>20</v>
          </cell>
          <cell r="H119">
            <v>37</v>
          </cell>
          <cell r="I119" t="str">
            <v>ขาว</v>
          </cell>
          <cell r="J119"/>
          <cell r="L119">
            <v>70</v>
          </cell>
          <cell r="M119" t="str">
            <v>±</v>
          </cell>
          <cell r="N119">
            <v>5</v>
          </cell>
          <cell r="R119"/>
          <cell r="T119"/>
          <cell r="U119"/>
          <cell r="V119"/>
          <cell r="X119"/>
          <cell r="Z119"/>
          <cell r="AA119"/>
          <cell r="AB119"/>
          <cell r="AC119">
            <v>0</v>
          </cell>
          <cell r="AD119"/>
          <cell r="AG119"/>
          <cell r="AI119" t="str">
            <v>ระบุในSD</v>
          </cell>
          <cell r="AJ119"/>
          <cell r="AL119">
            <v>0</v>
          </cell>
          <cell r="AM119"/>
          <cell r="AN119">
            <v>0</v>
          </cell>
          <cell r="AO119" t="str">
            <v>WSWT2025700(1)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BZ119" t="str">
            <v>WRWT200800/WRWT25650</v>
          </cell>
          <cell r="CA119">
            <v>0</v>
          </cell>
          <cell r="DL119"/>
          <cell r="DM119" t="str">
            <v>Lead time</v>
          </cell>
          <cell r="DN119"/>
          <cell r="DP119"/>
          <cell r="DQ119"/>
          <cell r="DR119"/>
          <cell r="DS119"/>
          <cell r="DT119"/>
          <cell r="DU119"/>
          <cell r="DW119"/>
          <cell r="DX119"/>
          <cell r="DY119"/>
          <cell r="DZ119"/>
          <cell r="EA119"/>
          <cell r="EB119"/>
          <cell r="EC119"/>
          <cell r="ED119"/>
          <cell r="EG119"/>
          <cell r="EH119"/>
          <cell r="EI119"/>
        </row>
        <row r="120">
          <cell r="B120">
            <v>0</v>
          </cell>
          <cell r="C120"/>
          <cell r="E120"/>
          <cell r="F120"/>
          <cell r="G120">
            <v>20</v>
          </cell>
          <cell r="H120">
            <v>34</v>
          </cell>
          <cell r="I120"/>
          <cell r="J120"/>
          <cell r="L120">
            <v>85</v>
          </cell>
          <cell r="M120" t="str">
            <v>±</v>
          </cell>
          <cell r="N120">
            <v>5</v>
          </cell>
          <cell r="R120"/>
          <cell r="T120"/>
          <cell r="U120"/>
          <cell r="V120"/>
          <cell r="X120"/>
          <cell r="Z120"/>
          <cell r="AA120"/>
          <cell r="AB120"/>
          <cell r="AC120">
            <v>0</v>
          </cell>
          <cell r="AD120"/>
          <cell r="AG120"/>
          <cell r="AI120" t="str">
            <v>ระบุในSD</v>
          </cell>
          <cell r="AJ120"/>
          <cell r="AL120">
            <v>0</v>
          </cell>
          <cell r="AM120"/>
          <cell r="AN120">
            <v>0</v>
          </cell>
          <cell r="AO120" t="str">
            <v>WSWT2021850UV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BZ120" t="str">
            <v>WRWT200850/WRWT21850</v>
          </cell>
          <cell r="CA120">
            <v>0</v>
          </cell>
          <cell r="DL120"/>
          <cell r="DM120"/>
          <cell r="DN120"/>
          <cell r="DP120"/>
          <cell r="DQ120"/>
          <cell r="DR120"/>
          <cell r="DS120"/>
          <cell r="DT120"/>
          <cell r="DU120"/>
          <cell r="DW120"/>
          <cell r="DX120"/>
          <cell r="DY120"/>
          <cell r="DZ120"/>
          <cell r="EA120"/>
          <cell r="EB120"/>
          <cell r="EC120"/>
          <cell r="ED120"/>
          <cell r="EG120"/>
          <cell r="EH120">
            <v>0</v>
          </cell>
          <cell r="EI120"/>
        </row>
        <row r="121">
          <cell r="B121">
            <v>0</v>
          </cell>
          <cell r="C121"/>
          <cell r="E121"/>
          <cell r="F121"/>
          <cell r="G121">
            <v>20</v>
          </cell>
          <cell r="H121">
            <v>34</v>
          </cell>
          <cell r="I121"/>
          <cell r="J121"/>
          <cell r="L121">
            <v>80</v>
          </cell>
          <cell r="M121" t="str">
            <v>±</v>
          </cell>
          <cell r="N121">
            <v>5</v>
          </cell>
          <cell r="R121"/>
          <cell r="T121"/>
          <cell r="U121"/>
          <cell r="V121"/>
          <cell r="X121"/>
          <cell r="Z121"/>
          <cell r="AA121"/>
          <cell r="AB121"/>
          <cell r="AC121">
            <v>0</v>
          </cell>
          <cell r="AD121"/>
          <cell r="AG121"/>
          <cell r="AI121" t="str">
            <v>ระบุในSD</v>
          </cell>
          <cell r="AJ121"/>
          <cell r="AL121">
            <v>0</v>
          </cell>
          <cell r="AM121"/>
          <cell r="AN121">
            <v>0</v>
          </cell>
          <cell r="AO121" t="str">
            <v>WSWT2021750UV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BZ121" t="str">
            <v>WRWT200750/WRWT21750</v>
          </cell>
          <cell r="CA121">
            <v>0</v>
          </cell>
          <cell r="DL121"/>
          <cell r="DM121"/>
          <cell r="DN121"/>
          <cell r="DP121"/>
          <cell r="DQ121"/>
          <cell r="DR121"/>
          <cell r="DS121"/>
          <cell r="DT121"/>
          <cell r="DU121"/>
          <cell r="DW121"/>
          <cell r="DX121"/>
          <cell r="DY121"/>
          <cell r="DZ121"/>
          <cell r="EA121"/>
          <cell r="EB121"/>
          <cell r="EC121"/>
          <cell r="ED121"/>
          <cell r="EG121"/>
          <cell r="EH121">
            <v>0</v>
          </cell>
          <cell r="EI121"/>
        </row>
        <row r="122">
          <cell r="B122">
            <v>0</v>
          </cell>
          <cell r="C122"/>
          <cell r="E122"/>
          <cell r="F122"/>
          <cell r="G122">
            <v>21</v>
          </cell>
          <cell r="H122">
            <v>39</v>
          </cell>
          <cell r="I122"/>
          <cell r="J122"/>
          <cell r="L122">
            <v>78</v>
          </cell>
          <cell r="M122" t="str">
            <v>±</v>
          </cell>
          <cell r="N122">
            <v>3</v>
          </cell>
          <cell r="R122"/>
          <cell r="T122"/>
          <cell r="U122"/>
          <cell r="V122"/>
          <cell r="X122"/>
          <cell r="Z122"/>
          <cell r="AA122"/>
          <cell r="AB122"/>
          <cell r="AC122">
            <v>0</v>
          </cell>
          <cell r="AD122"/>
          <cell r="AG122"/>
          <cell r="AI122" t="str">
            <v>ระบุในSD</v>
          </cell>
          <cell r="AJ122"/>
          <cell r="AL122">
            <v>0</v>
          </cell>
          <cell r="AM122"/>
          <cell r="AN122">
            <v>0</v>
          </cell>
          <cell r="AO122" t="str">
            <v>WSWT2125700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BZ122" t="str">
            <v>WRWT210800/WRWT25650</v>
          </cell>
          <cell r="CA122">
            <v>0</v>
          </cell>
          <cell r="DL122"/>
          <cell r="DM122"/>
          <cell r="DN122"/>
          <cell r="DP122"/>
          <cell r="DQ122"/>
          <cell r="DR122"/>
          <cell r="DS122"/>
          <cell r="DT122"/>
          <cell r="DU122"/>
          <cell r="DW122"/>
          <cell r="DX122"/>
          <cell r="DY122"/>
          <cell r="DZ122"/>
          <cell r="EA122"/>
          <cell r="EB122"/>
          <cell r="EC122"/>
          <cell r="ED122"/>
          <cell r="EG122"/>
          <cell r="EH122">
            <v>0</v>
          </cell>
          <cell r="EI122"/>
        </row>
        <row r="123">
          <cell r="B123">
            <v>0</v>
          </cell>
          <cell r="C123"/>
          <cell r="E123"/>
          <cell r="F123"/>
          <cell r="G123">
            <v>21</v>
          </cell>
          <cell r="H123">
            <v>37</v>
          </cell>
          <cell r="I123" t="str">
            <v>ขาว</v>
          </cell>
          <cell r="J123"/>
          <cell r="L123">
            <v>67</v>
          </cell>
          <cell r="M123" t="str">
            <v>±</v>
          </cell>
          <cell r="N123">
            <v>5</v>
          </cell>
          <cell r="R123"/>
          <cell r="T123"/>
          <cell r="U123"/>
          <cell r="V123"/>
          <cell r="X123"/>
          <cell r="Z123"/>
          <cell r="AA123"/>
          <cell r="AB123">
            <v>0</v>
          </cell>
          <cell r="AC123">
            <v>0</v>
          </cell>
          <cell r="AD123"/>
          <cell r="AG123"/>
          <cell r="AI123" t="str">
            <v>ระบุในSD</v>
          </cell>
          <cell r="AJ123"/>
          <cell r="AL123">
            <v>0</v>
          </cell>
          <cell r="AM123"/>
          <cell r="AN123">
            <v>0</v>
          </cell>
          <cell r="AO123" t="str">
            <v>WSWT2125650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BZ123" t="str">
            <v>WRWT25650/WRWT25650</v>
          </cell>
          <cell r="CA123">
            <v>0</v>
          </cell>
          <cell r="DL123"/>
          <cell r="DM123" t="str">
            <v>Lead time</v>
          </cell>
          <cell r="DN123"/>
          <cell r="DP123"/>
          <cell r="DQ123"/>
          <cell r="DR123"/>
          <cell r="DS123"/>
          <cell r="DT123"/>
          <cell r="DU123"/>
          <cell r="DW123"/>
          <cell r="DX123"/>
          <cell r="DY123"/>
          <cell r="DZ123"/>
          <cell r="EA123"/>
          <cell r="EB123"/>
          <cell r="EC123"/>
          <cell r="ED123"/>
          <cell r="EG123"/>
          <cell r="EH123"/>
          <cell r="EI123">
            <v>0</v>
          </cell>
        </row>
        <row r="124">
          <cell r="B124">
            <v>0</v>
          </cell>
          <cell r="C124"/>
          <cell r="E124"/>
          <cell r="F124"/>
          <cell r="G124">
            <v>21</v>
          </cell>
          <cell r="H124">
            <v>37</v>
          </cell>
          <cell r="I124" t="str">
            <v>ขาวแถบใส5</v>
          </cell>
          <cell r="J124"/>
          <cell r="L124">
            <v>67</v>
          </cell>
          <cell r="M124" t="str">
            <v>±</v>
          </cell>
          <cell r="N124">
            <v>5</v>
          </cell>
          <cell r="R124"/>
          <cell r="T124"/>
          <cell r="U124"/>
          <cell r="V124"/>
          <cell r="X124"/>
          <cell r="Z124"/>
          <cell r="AA124"/>
          <cell r="AB124">
            <v>0</v>
          </cell>
          <cell r="AC124">
            <v>0</v>
          </cell>
          <cell r="AD124"/>
          <cell r="AG124"/>
          <cell r="AI124" t="str">
            <v>ระบุในSD</v>
          </cell>
          <cell r="AJ124"/>
          <cell r="AL124">
            <v>0</v>
          </cell>
          <cell r="AM124"/>
          <cell r="AN124">
            <v>0</v>
          </cell>
          <cell r="AO124" t="str">
            <v>WSWTSCL052125650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BZ124" t="str">
            <v>WRWT25650/WRCL25680</v>
          </cell>
          <cell r="CA124">
            <v>0</v>
          </cell>
          <cell r="DL124"/>
          <cell r="DM124" t="str">
            <v>Lead time</v>
          </cell>
          <cell r="DN124"/>
          <cell r="DP124"/>
          <cell r="DQ124"/>
          <cell r="DR124"/>
          <cell r="DS124"/>
          <cell r="DT124"/>
          <cell r="DU124"/>
          <cell r="DW124"/>
          <cell r="DX124"/>
          <cell r="DY124"/>
          <cell r="DZ124"/>
          <cell r="EA124"/>
          <cell r="EB124"/>
          <cell r="EC124"/>
          <cell r="ED124"/>
          <cell r="EG124"/>
          <cell r="EH124">
            <v>0</v>
          </cell>
          <cell r="EI124">
            <v>0</v>
          </cell>
        </row>
        <row r="125">
          <cell r="B125">
            <v>0</v>
          </cell>
          <cell r="C125"/>
          <cell r="E125"/>
          <cell r="F125"/>
          <cell r="G125">
            <v>21</v>
          </cell>
          <cell r="H125">
            <v>37</v>
          </cell>
          <cell r="I125" t="str">
            <v>ขาว</v>
          </cell>
          <cell r="J125"/>
          <cell r="L125">
            <v>83</v>
          </cell>
          <cell r="M125" t="str">
            <v>±</v>
          </cell>
          <cell r="N125">
            <v>5</v>
          </cell>
          <cell r="R125"/>
          <cell r="T125"/>
          <cell r="U125"/>
          <cell r="V125"/>
          <cell r="X125"/>
          <cell r="Z125"/>
          <cell r="AA125"/>
          <cell r="AB125"/>
          <cell r="AC125">
            <v>0</v>
          </cell>
          <cell r="AD125"/>
          <cell r="AG125"/>
          <cell r="AI125" t="str">
            <v>ระบุในSD</v>
          </cell>
          <cell r="AJ125"/>
          <cell r="AL125">
            <v>0</v>
          </cell>
          <cell r="AM125"/>
          <cell r="AN125">
            <v>0</v>
          </cell>
          <cell r="AO125" t="str">
            <v>WSWT2125800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BZ125" t="str">
            <v>WRWT210800/WRWT25800</v>
          </cell>
          <cell r="CA125">
            <v>0</v>
          </cell>
          <cell r="DL125"/>
          <cell r="DM125"/>
          <cell r="DN125"/>
          <cell r="DP125"/>
          <cell r="DQ125"/>
          <cell r="DR125"/>
          <cell r="DS125"/>
          <cell r="DT125"/>
          <cell r="DU125"/>
          <cell r="DW125"/>
          <cell r="DX125"/>
          <cell r="DY125"/>
          <cell r="DZ125"/>
          <cell r="EA125"/>
          <cell r="EB125"/>
          <cell r="EC125"/>
          <cell r="ED125"/>
          <cell r="EG125"/>
          <cell r="EH125"/>
          <cell r="EI125"/>
        </row>
        <row r="126">
          <cell r="B126" t="str">
            <v>MK68-001073</v>
          </cell>
          <cell r="C126">
            <v>45904</v>
          </cell>
          <cell r="E126" t="str">
            <v>บจก.ทีเจที.เทรดเดอร์</v>
          </cell>
          <cell r="F126" t="str">
            <v>เอ็มเค 914</v>
          </cell>
          <cell r="G126">
            <v>21</v>
          </cell>
          <cell r="H126">
            <v>40</v>
          </cell>
          <cell r="I126" t="str">
            <v>ขาว</v>
          </cell>
          <cell r="J126" t="str">
            <v>ใส</v>
          </cell>
          <cell r="L126">
            <v>108</v>
          </cell>
          <cell r="M126" t="str">
            <v>±</v>
          </cell>
          <cell r="N126">
            <v>5</v>
          </cell>
          <cell r="R126" t="str">
            <v>ไม่</v>
          </cell>
          <cell r="T126" t="str">
            <v>ไม่สวมถุงใน</v>
          </cell>
          <cell r="U126"/>
          <cell r="V126"/>
          <cell r="X126">
            <v>45911</v>
          </cell>
          <cell r="Z126" t="str">
            <v>500กระสอบ</v>
          </cell>
          <cell r="AA126">
            <v>4000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4000</v>
          </cell>
          <cell r="AM126">
            <v>4340</v>
          </cell>
          <cell r="AN126">
            <v>0</v>
          </cell>
          <cell r="AO126" t="str">
            <v>WSWT2121670SM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WRWT21670/WRWT21670</v>
          </cell>
          <cell r="CA126">
            <v>0</v>
          </cell>
          <cell r="DL126" t="str">
            <v>P8</v>
          </cell>
          <cell r="DM126">
            <v>4</v>
          </cell>
          <cell r="DN126">
            <v>45911</v>
          </cell>
          <cell r="DP126">
            <v>45906</v>
          </cell>
          <cell r="DQ126">
            <v>45907</v>
          </cell>
          <cell r="DR126">
            <v>45901</v>
          </cell>
          <cell r="DS126">
            <v>45908</v>
          </cell>
          <cell r="DT126">
            <v>45909</v>
          </cell>
          <cell r="DU126">
            <v>45909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/>
          <cell r="EG126"/>
          <cell r="EH126"/>
          <cell r="EI126"/>
        </row>
        <row r="127">
          <cell r="B127" t="str">
            <v>MK68-000977</v>
          </cell>
          <cell r="C127">
            <v>45876</v>
          </cell>
          <cell r="E127" t="str">
            <v>บจก.เอพีเอ็ม อะโกร</v>
          </cell>
          <cell r="F127" t="str">
            <v>โมโม่ 4131</v>
          </cell>
          <cell r="G127">
            <v>21</v>
          </cell>
          <cell r="H127">
            <v>38</v>
          </cell>
          <cell r="I127" t="str">
            <v>ขาว</v>
          </cell>
          <cell r="J127" t="str">
            <v>ใส</v>
          </cell>
          <cell r="L127">
            <v>102</v>
          </cell>
          <cell r="M127" t="str">
            <v>±</v>
          </cell>
          <cell r="N127">
            <v>5</v>
          </cell>
          <cell r="R127" t="str">
            <v>จับจีบ</v>
          </cell>
          <cell r="T127">
            <v>22</v>
          </cell>
          <cell r="U127">
            <v>40</v>
          </cell>
          <cell r="V127">
            <v>40</v>
          </cell>
          <cell r="X127">
            <v>45926</v>
          </cell>
          <cell r="Z127" t="str">
            <v>500กระสอบแบน</v>
          </cell>
          <cell r="AA127">
            <v>3000</v>
          </cell>
          <cell r="AB127">
            <v>65.13122457599998</v>
          </cell>
          <cell r="AC127">
            <v>0</v>
          </cell>
          <cell r="AD127">
            <v>65.13122457599998</v>
          </cell>
          <cell r="AG127"/>
          <cell r="AI127"/>
          <cell r="AJ127">
            <v>0</v>
          </cell>
          <cell r="AL127">
            <v>3000</v>
          </cell>
          <cell r="AM127"/>
          <cell r="AN127">
            <v>3150</v>
          </cell>
          <cell r="AO127" t="str">
            <v>WSWT2121670SM</v>
          </cell>
          <cell r="AQ127">
            <v>3310.89</v>
          </cell>
          <cell r="AR127">
            <v>3310.89</v>
          </cell>
          <cell r="AS127">
            <v>0</v>
          </cell>
          <cell r="AT127">
            <v>3310.89</v>
          </cell>
          <cell r="AU127">
            <v>0</v>
          </cell>
          <cell r="BZ127" t="str">
            <v>WRWT21670/WRWT21670</v>
          </cell>
          <cell r="CA127">
            <v>0</v>
          </cell>
          <cell r="DL127" t="str">
            <v>P8</v>
          </cell>
          <cell r="DM127">
            <v>4</v>
          </cell>
          <cell r="DN127">
            <v>45926</v>
          </cell>
          <cell r="DP127">
            <v>45921</v>
          </cell>
          <cell r="DQ127">
            <v>45922</v>
          </cell>
          <cell r="DR127">
            <v>45916</v>
          </cell>
          <cell r="DS127">
            <v>45923</v>
          </cell>
          <cell r="DT127">
            <v>45924</v>
          </cell>
          <cell r="DU127">
            <v>45924</v>
          </cell>
          <cell r="DW127">
            <v>45925</v>
          </cell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ประมาณการ</v>
          </cell>
          <cell r="C128" t="str">
            <v>ประมาณการ</v>
          </cell>
          <cell r="E128" t="str">
            <v>บจก.แอมโก้เวท</v>
          </cell>
          <cell r="F128" t="str">
            <v>รอแบบ</v>
          </cell>
          <cell r="G128">
            <v>21</v>
          </cell>
          <cell r="H128">
            <v>37</v>
          </cell>
          <cell r="I128" t="str">
            <v>ขาว</v>
          </cell>
          <cell r="J128" t="str">
            <v>ใส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>
            <v>45930</v>
          </cell>
          <cell r="Z128" t="str">
            <v>500กระสอบ</v>
          </cell>
          <cell r="AA128">
            <v>100000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100000</v>
          </cell>
          <cell r="AM128"/>
          <cell r="AN128">
            <v>105000</v>
          </cell>
          <cell r="AO128" t="str">
            <v>WSWT2121670SM</v>
          </cell>
          <cell r="AQ128">
            <v>107569.00000000001</v>
          </cell>
          <cell r="AR128">
            <v>107569.00000000001</v>
          </cell>
          <cell r="AS128">
            <v>0</v>
          </cell>
          <cell r="AT128">
            <v>107569.00000000001</v>
          </cell>
          <cell r="AU128">
            <v>0</v>
          </cell>
          <cell r="BZ128" t="str">
            <v>WRWT21670/WRWT21670</v>
          </cell>
          <cell r="CA128">
            <v>0</v>
          </cell>
          <cell r="DL128" t="str">
            <v>P8</v>
          </cell>
          <cell r="DM128">
            <v>4</v>
          </cell>
          <cell r="DN128">
            <v>45930</v>
          </cell>
          <cell r="DP128">
            <v>45925</v>
          </cell>
          <cell r="DQ128">
            <v>45926</v>
          </cell>
          <cell r="DR128">
            <v>45920</v>
          </cell>
          <cell r="DS128">
            <v>45927</v>
          </cell>
          <cell r="DT128">
            <v>45928</v>
          </cell>
          <cell r="DU128">
            <v>45928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MK67-001643</v>
          </cell>
          <cell r="C129">
            <v>45631</v>
          </cell>
          <cell r="E129" t="str">
            <v>บจก.ที.ซี.ยูเนี่ยน อโกรเทค</v>
          </cell>
          <cell r="F129" t="str">
            <v>Zhejiang UN</v>
          </cell>
          <cell r="G129">
            <v>21</v>
          </cell>
          <cell r="H129">
            <v>37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ไม่</v>
          </cell>
          <cell r="T129" t="str">
            <v>ไม่สวมถุงใน</v>
          </cell>
          <cell r="U129"/>
          <cell r="V129"/>
          <cell r="X129" t="str">
            <v>รอแจ้ง</v>
          </cell>
          <cell r="Z129" t="str">
            <v xml:space="preserve">300กระสอบแบนเต็มใบ </v>
          </cell>
          <cell r="AA129">
            <v>16000</v>
          </cell>
          <cell r="AB129">
            <v>0</v>
          </cell>
          <cell r="AC129">
            <v>0</v>
          </cell>
          <cell r="AD129">
            <v>0</v>
          </cell>
          <cell r="AG129" t="str">
            <v>17/2---28/3 ลูกค้าแจ้งเลื่อน</v>
          </cell>
          <cell r="AI129"/>
          <cell r="AJ129">
            <v>0</v>
          </cell>
          <cell r="AL129">
            <v>16000</v>
          </cell>
          <cell r="AM129"/>
          <cell r="AN129">
            <v>16800</v>
          </cell>
          <cell r="AO129" t="str">
            <v>WSWT2121670SM</v>
          </cell>
          <cell r="AQ129">
            <v>17211.04</v>
          </cell>
          <cell r="AR129">
            <v>17211.04</v>
          </cell>
          <cell r="AS129">
            <v>0</v>
          </cell>
          <cell r="AT129">
            <v>0</v>
          </cell>
          <cell r="AU129">
            <v>17211.04</v>
          </cell>
          <cell r="BZ129" t="str">
            <v>WRWT21670/WRWT21670</v>
          </cell>
          <cell r="CA129">
            <v>0</v>
          </cell>
          <cell r="DL129" t="str">
            <v>P8</v>
          </cell>
          <cell r="DM129">
            <v>4</v>
          </cell>
          <cell r="DN129" t="str">
            <v>รอแจ้ง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MK67-001642</v>
          </cell>
          <cell r="C130">
            <v>45631</v>
          </cell>
          <cell r="E130" t="str">
            <v>บจก.ที.ซี.ยูเนี่ยน อโกรเทค</v>
          </cell>
          <cell r="F130" t="str">
            <v>Zhejiang UN</v>
          </cell>
          <cell r="G130">
            <v>21</v>
          </cell>
          <cell r="H130">
            <v>37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ไม่</v>
          </cell>
          <cell r="T130" t="str">
            <v>ไม่สวมถุงใน</v>
          </cell>
          <cell r="U130"/>
          <cell r="V130"/>
          <cell r="X130" t="str">
            <v>รอแจ้ง</v>
          </cell>
          <cell r="Z130" t="str">
            <v xml:space="preserve">300กระสอบแบนเต็มใบ </v>
          </cell>
          <cell r="AA130">
            <v>9000</v>
          </cell>
          <cell r="AB130">
            <v>0</v>
          </cell>
          <cell r="AC130">
            <v>0</v>
          </cell>
          <cell r="AD130">
            <v>0</v>
          </cell>
          <cell r="AG130" t="str">
            <v>3/2---19/3 ลูกค้าแจ้งเลื่อน</v>
          </cell>
          <cell r="AI130"/>
          <cell r="AJ130">
            <v>0</v>
          </cell>
          <cell r="AL130">
            <v>9000</v>
          </cell>
          <cell r="AM130"/>
          <cell r="AN130">
            <v>9450</v>
          </cell>
          <cell r="AO130" t="str">
            <v>WSWT2121670SM</v>
          </cell>
          <cell r="AQ130">
            <v>9681.2100000000009</v>
          </cell>
          <cell r="AR130">
            <v>9681.2100000000009</v>
          </cell>
          <cell r="AS130">
            <v>0</v>
          </cell>
          <cell r="AT130">
            <v>0</v>
          </cell>
          <cell r="AU130">
            <v>9681.2100000000009</v>
          </cell>
          <cell r="BZ130" t="str">
            <v>WRWT21670/WRWT21670</v>
          </cell>
          <cell r="CA130">
            <v>0</v>
          </cell>
          <cell r="DL130" t="str">
            <v>P8</v>
          </cell>
          <cell r="DM130">
            <v>4</v>
          </cell>
          <cell r="DN130" t="str">
            <v>รอแจ้ง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MK68-001036</v>
          </cell>
          <cell r="C131">
            <v>45896</v>
          </cell>
          <cell r="E131" t="str">
            <v>บจก.เอพีเอ็ม อะโกร</v>
          </cell>
          <cell r="F131" t="str">
            <v>โมโม่ 491</v>
          </cell>
          <cell r="G131">
            <v>21</v>
          </cell>
          <cell r="H131">
            <v>38</v>
          </cell>
          <cell r="I131" t="str">
            <v>ขาว</v>
          </cell>
          <cell r="J131" t="str">
            <v>ใส</v>
          </cell>
          <cell r="L131">
            <v>102</v>
          </cell>
          <cell r="M131" t="str">
            <v>±</v>
          </cell>
          <cell r="N131">
            <v>5</v>
          </cell>
          <cell r="R131" t="str">
            <v>จับจีบ</v>
          </cell>
          <cell r="T131">
            <v>22</v>
          </cell>
          <cell r="U131">
            <v>40</v>
          </cell>
          <cell r="V131">
            <v>40</v>
          </cell>
          <cell r="X131" t="str">
            <v>รอแจ้ง</v>
          </cell>
          <cell r="Z131" t="str">
            <v>500กระสอบแบน</v>
          </cell>
          <cell r="AA131">
            <v>3000</v>
          </cell>
          <cell r="AB131">
            <v>65.13122457599998</v>
          </cell>
          <cell r="AC131">
            <v>0</v>
          </cell>
          <cell r="AD131">
            <v>65.13122457599998</v>
          </cell>
          <cell r="AG131"/>
          <cell r="AI131"/>
          <cell r="AJ131">
            <v>0</v>
          </cell>
          <cell r="AL131">
            <v>3000</v>
          </cell>
          <cell r="AM131"/>
          <cell r="AN131">
            <v>3150</v>
          </cell>
          <cell r="AO131" t="str">
            <v>WSWT2121670SM</v>
          </cell>
          <cell r="AQ131">
            <v>3310.89</v>
          </cell>
          <cell r="AR131">
            <v>3310.89</v>
          </cell>
          <cell r="AS131">
            <v>0</v>
          </cell>
          <cell r="AT131">
            <v>0</v>
          </cell>
          <cell r="AU131">
            <v>3310.89</v>
          </cell>
          <cell r="BZ131" t="str">
            <v>WRWT21670/WRWT21670</v>
          </cell>
          <cell r="CA131">
            <v>0</v>
          </cell>
          <cell r="DL131" t="str">
            <v>P8</v>
          </cell>
          <cell r="DM131">
            <v>4</v>
          </cell>
          <cell r="DN131" t="str">
            <v>รอแจ้ง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 t="e">
            <v>#VALUE!</v>
          </cell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MK68-001038</v>
          </cell>
          <cell r="C132">
            <v>45896</v>
          </cell>
          <cell r="E132" t="str">
            <v>บจก.เอพีเอ็ม อะโกร</v>
          </cell>
          <cell r="F132" t="str">
            <v>โมโม่ 492</v>
          </cell>
          <cell r="G132">
            <v>21</v>
          </cell>
          <cell r="H132">
            <v>38</v>
          </cell>
          <cell r="I132" t="str">
            <v>ขาว</v>
          </cell>
          <cell r="J132" t="str">
            <v>ใส</v>
          </cell>
          <cell r="L132">
            <v>102</v>
          </cell>
          <cell r="M132" t="str">
            <v>±</v>
          </cell>
          <cell r="N132">
            <v>5</v>
          </cell>
          <cell r="R132" t="str">
            <v>จับจีบ</v>
          </cell>
          <cell r="T132">
            <v>22</v>
          </cell>
          <cell r="U132">
            <v>40</v>
          </cell>
          <cell r="V132">
            <v>40</v>
          </cell>
          <cell r="X132" t="str">
            <v>รอแจ้ง</v>
          </cell>
          <cell r="Z132" t="str">
            <v>500กระสอบแบน</v>
          </cell>
          <cell r="AA132">
            <v>5000</v>
          </cell>
          <cell r="AB132">
            <v>108.55204095999999</v>
          </cell>
          <cell r="AC132">
            <v>0</v>
          </cell>
          <cell r="AD132">
            <v>108.55204095999999</v>
          </cell>
          <cell r="AG132"/>
          <cell r="AI132"/>
          <cell r="AJ132">
            <v>0</v>
          </cell>
          <cell r="AL132">
            <v>5000</v>
          </cell>
          <cell r="AM132"/>
          <cell r="AN132">
            <v>5250</v>
          </cell>
          <cell r="AO132" t="str">
            <v>WSWT2121670SM</v>
          </cell>
          <cell r="AQ132">
            <v>5518.15</v>
          </cell>
          <cell r="AR132">
            <v>5518.15</v>
          </cell>
          <cell r="AS132">
            <v>0</v>
          </cell>
          <cell r="AT132">
            <v>0</v>
          </cell>
          <cell r="AU132">
            <v>5518.15</v>
          </cell>
          <cell r="BZ132" t="str">
            <v>WRWT21670/WRWT21670</v>
          </cell>
          <cell r="CA132">
            <v>0</v>
          </cell>
          <cell r="DL132" t="str">
            <v>P8</v>
          </cell>
          <cell r="DM132">
            <v>4</v>
          </cell>
          <cell r="DN132" t="str">
            <v>รอแจ้ง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 t="e">
            <v>#VALUE!</v>
          </cell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MK68-001037</v>
          </cell>
          <cell r="C133">
            <v>45896</v>
          </cell>
          <cell r="E133" t="str">
            <v>บจก.เอพีเอ็ม อะโกร</v>
          </cell>
          <cell r="F133" t="str">
            <v>โมโม่ 401</v>
          </cell>
          <cell r="G133">
            <v>21</v>
          </cell>
          <cell r="H133">
            <v>38</v>
          </cell>
          <cell r="I133" t="str">
            <v>ขาว</v>
          </cell>
          <cell r="J133" t="str">
            <v>ใส</v>
          </cell>
          <cell r="L133">
            <v>102</v>
          </cell>
          <cell r="M133" t="str">
            <v>±</v>
          </cell>
          <cell r="N133">
            <v>5</v>
          </cell>
          <cell r="R133" t="str">
            <v>จับจีบ</v>
          </cell>
          <cell r="T133">
            <v>22</v>
          </cell>
          <cell r="U133">
            <v>40</v>
          </cell>
          <cell r="V133">
            <v>40</v>
          </cell>
          <cell r="X133" t="str">
            <v>รอแจ้ง</v>
          </cell>
          <cell r="Z133" t="str">
            <v>500กระสอบแบน</v>
          </cell>
          <cell r="AA133">
            <v>3000</v>
          </cell>
          <cell r="AB133">
            <v>65.13122457599998</v>
          </cell>
          <cell r="AC133">
            <v>0</v>
          </cell>
          <cell r="AD133">
            <v>65.13122457599998</v>
          </cell>
          <cell r="AG133"/>
          <cell r="AI133"/>
          <cell r="AJ133">
            <v>0</v>
          </cell>
          <cell r="AL133">
            <v>3000</v>
          </cell>
          <cell r="AM133"/>
          <cell r="AN133">
            <v>3150</v>
          </cell>
          <cell r="AO133" t="str">
            <v>WSWT2121670SM</v>
          </cell>
          <cell r="AQ133">
            <v>3310.89</v>
          </cell>
          <cell r="AR133">
            <v>3310.89</v>
          </cell>
          <cell r="AS133">
            <v>0</v>
          </cell>
          <cell r="AT133">
            <v>0</v>
          </cell>
          <cell r="AU133">
            <v>3310.89</v>
          </cell>
          <cell r="BZ133" t="str">
            <v>WRWT21670/WRWT21670</v>
          </cell>
          <cell r="CA133">
            <v>0</v>
          </cell>
          <cell r="DL133" t="str">
            <v>P8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 t="e">
            <v>#VALUE!</v>
          </cell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MK68-000982</v>
          </cell>
          <cell r="C134">
            <v>45876</v>
          </cell>
          <cell r="E134" t="str">
            <v>บจก.เอพีเอ็ม อะโกร</v>
          </cell>
          <cell r="F134" t="str">
            <v>ฟีล กู๊ด 893</v>
          </cell>
          <cell r="G134">
            <v>21</v>
          </cell>
          <cell r="H134">
            <v>40</v>
          </cell>
          <cell r="I134" t="str">
            <v>ขาว</v>
          </cell>
          <cell r="J134" t="str">
            <v>ใส</v>
          </cell>
          <cell r="L134">
            <v>108</v>
          </cell>
          <cell r="M134" t="str">
            <v>±</v>
          </cell>
          <cell r="N134">
            <v>5</v>
          </cell>
          <cell r="R134" t="str">
            <v>บิด</v>
          </cell>
          <cell r="T134">
            <v>22</v>
          </cell>
          <cell r="U134">
            <v>42</v>
          </cell>
          <cell r="V134">
            <v>40</v>
          </cell>
          <cell r="X134" t="str">
            <v>รอแจ้ง</v>
          </cell>
          <cell r="Z134" t="str">
            <v>500กระสอบ</v>
          </cell>
          <cell r="AA134">
            <v>3000</v>
          </cell>
          <cell r="AB134">
            <v>68.387785804799989</v>
          </cell>
          <cell r="AC134">
            <v>0</v>
          </cell>
          <cell r="AD134">
            <v>68.387785804799989</v>
          </cell>
          <cell r="AG134"/>
          <cell r="AI134"/>
          <cell r="AJ134">
            <v>0</v>
          </cell>
          <cell r="AL134">
            <v>3000</v>
          </cell>
          <cell r="AM134"/>
          <cell r="AN134">
            <v>3150</v>
          </cell>
          <cell r="AO134" t="str">
            <v>WSWT2121670SM</v>
          </cell>
          <cell r="AQ134">
            <v>3478.5300000000007</v>
          </cell>
          <cell r="AR134">
            <v>3478.5300000000007</v>
          </cell>
          <cell r="AS134">
            <v>0</v>
          </cell>
          <cell r="AT134">
            <v>0</v>
          </cell>
          <cell r="AU134">
            <v>3478.5300000000007</v>
          </cell>
          <cell r="BZ134" t="str">
            <v>WRWT21670/WRWT21670</v>
          </cell>
          <cell r="CA134">
            <v>0</v>
          </cell>
          <cell r="DL134" t="str">
            <v>P8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 t="e">
            <v>#VALUE!</v>
          </cell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MK68-000978</v>
          </cell>
          <cell r="C135">
            <v>45876</v>
          </cell>
          <cell r="E135" t="str">
            <v>บจก.เอพีเอ็ม อะโกร</v>
          </cell>
          <cell r="F135" t="str">
            <v>โมโม่ 4132</v>
          </cell>
          <cell r="G135">
            <v>21</v>
          </cell>
          <cell r="H135">
            <v>40</v>
          </cell>
          <cell r="I135" t="str">
            <v>ขาว</v>
          </cell>
          <cell r="J135" t="str">
            <v>ใส</v>
          </cell>
          <cell r="L135">
            <v>108</v>
          </cell>
          <cell r="M135" t="str">
            <v>±</v>
          </cell>
          <cell r="N135">
            <v>5</v>
          </cell>
          <cell r="R135" t="str">
            <v>บิด</v>
          </cell>
          <cell r="T135">
            <v>22</v>
          </cell>
          <cell r="U135">
            <v>42</v>
          </cell>
          <cell r="V135">
            <v>40</v>
          </cell>
          <cell r="X135" t="str">
            <v>รอแจ้ง</v>
          </cell>
          <cell r="Z135" t="str">
            <v>500กระสอบ</v>
          </cell>
          <cell r="AA135">
            <v>5000</v>
          </cell>
          <cell r="AB135">
            <v>113.97964300799998</v>
          </cell>
          <cell r="AC135">
            <v>0</v>
          </cell>
          <cell r="AD135">
            <v>113.97964300799998</v>
          </cell>
          <cell r="AG135"/>
          <cell r="AI135"/>
          <cell r="AJ135">
            <v>0</v>
          </cell>
          <cell r="AL135">
            <v>5000</v>
          </cell>
          <cell r="AM135"/>
          <cell r="AN135">
            <v>5250</v>
          </cell>
          <cell r="AO135" t="str">
            <v>WSWT2121670SM</v>
          </cell>
          <cell r="AQ135">
            <v>5797.55</v>
          </cell>
          <cell r="AR135">
            <v>5797.55</v>
          </cell>
          <cell r="AS135">
            <v>0</v>
          </cell>
          <cell r="AT135">
            <v>0</v>
          </cell>
          <cell r="AU135">
            <v>5797.55</v>
          </cell>
          <cell r="BZ135" t="str">
            <v>WRWT21670/WRWT21670</v>
          </cell>
          <cell r="CA135">
            <v>0</v>
          </cell>
          <cell r="DL135" t="str">
            <v>P8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 t="e">
            <v>#VALUE!</v>
          </cell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ประมาณการ</v>
          </cell>
          <cell r="C136" t="str">
            <v>ประมาณการ</v>
          </cell>
          <cell r="E136" t="str">
            <v>บจก.ที.ซี.ยูเนี่ยน อโกรเทค</v>
          </cell>
          <cell r="F136" t="str">
            <v>Zhejiang UN</v>
          </cell>
          <cell r="G136">
            <v>21</v>
          </cell>
          <cell r="H136">
            <v>37</v>
          </cell>
          <cell r="I136" t="str">
            <v>ขาว</v>
          </cell>
          <cell r="J136" t="str">
            <v>ใส</v>
          </cell>
          <cell r="L136">
            <v>100</v>
          </cell>
          <cell r="M136" t="str">
            <v>±</v>
          </cell>
          <cell r="N136">
            <v>5</v>
          </cell>
          <cell r="R136" t="str">
            <v>ไม่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 xml:space="preserve">300กระสอบแบนเต็มใบ </v>
          </cell>
          <cell r="AA136">
            <v>10000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10000</v>
          </cell>
          <cell r="AM136"/>
          <cell r="AN136">
            <v>10500</v>
          </cell>
          <cell r="AO136" t="str">
            <v>WSWT2121670SM</v>
          </cell>
          <cell r="AQ136">
            <v>10756.900000000001</v>
          </cell>
          <cell r="AR136">
            <v>10756.900000000001</v>
          </cell>
          <cell r="AS136">
            <v>0</v>
          </cell>
          <cell r="AT136">
            <v>0</v>
          </cell>
          <cell r="AU136">
            <v>10756.900000000001</v>
          </cell>
          <cell r="BZ136" t="str">
            <v>WRWT21670/WRWT21670</v>
          </cell>
          <cell r="CA136">
            <v>0</v>
          </cell>
          <cell r="DL136" t="str">
            <v>P8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MK68-000892</v>
          </cell>
          <cell r="C137">
            <v>45854</v>
          </cell>
          <cell r="E137" t="str">
            <v>บจก.เอสพีเอ็ม อาหารสัตว์</v>
          </cell>
          <cell r="F137" t="str">
            <v>มาซู ฟีดซี042</v>
          </cell>
          <cell r="G137">
            <v>21</v>
          </cell>
          <cell r="H137">
            <v>38</v>
          </cell>
          <cell r="I137" t="str">
            <v>ขาว</v>
          </cell>
          <cell r="J137" t="str">
            <v>ด้าน</v>
          </cell>
          <cell r="L137">
            <v>102</v>
          </cell>
          <cell r="M137" t="str">
            <v>±</v>
          </cell>
          <cell r="N137">
            <v>5</v>
          </cell>
          <cell r="R137" t="str">
            <v>บิด</v>
          </cell>
          <cell r="T137">
            <v>22</v>
          </cell>
          <cell r="U137">
            <v>40</v>
          </cell>
          <cell r="V137">
            <v>40</v>
          </cell>
          <cell r="X137" t="str">
            <v>รอแจ้ง</v>
          </cell>
          <cell r="Z137" t="str">
            <v>500กระสอบแบน</v>
          </cell>
          <cell r="AA137">
            <v>3000</v>
          </cell>
          <cell r="AB137">
            <v>65.13122457599998</v>
          </cell>
          <cell r="AC137">
            <v>0</v>
          </cell>
          <cell r="AD137">
            <v>65.13122457599998</v>
          </cell>
          <cell r="AG137"/>
          <cell r="AI137"/>
          <cell r="AJ137">
            <v>0</v>
          </cell>
          <cell r="AL137">
            <v>3000</v>
          </cell>
          <cell r="AM137"/>
          <cell r="AN137">
            <v>3150</v>
          </cell>
          <cell r="AO137" t="str">
            <v>WSWT2121670SM</v>
          </cell>
          <cell r="AQ137">
            <v>3310.89</v>
          </cell>
          <cell r="AR137">
            <v>3310.89</v>
          </cell>
          <cell r="AS137">
            <v>0</v>
          </cell>
          <cell r="AT137">
            <v>0</v>
          </cell>
          <cell r="AU137">
            <v>3310.89</v>
          </cell>
          <cell r="BZ137" t="str">
            <v>WRWT21670/WRWT21670</v>
          </cell>
          <cell r="CA137">
            <v>0</v>
          </cell>
          <cell r="DL137" t="str">
            <v>P8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 t="e">
            <v>#VALUE!</v>
          </cell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MK68-000893</v>
          </cell>
          <cell r="C138">
            <v>45854</v>
          </cell>
          <cell r="E138" t="str">
            <v>บจก.เอสพีเอ็ม อาหารสัตว์</v>
          </cell>
          <cell r="F138" t="str">
            <v>มาซู ฟีดจี041</v>
          </cell>
          <cell r="G138">
            <v>21</v>
          </cell>
          <cell r="H138">
            <v>38</v>
          </cell>
          <cell r="I138" t="str">
            <v>ขาว</v>
          </cell>
          <cell r="J138" t="str">
            <v>ด้าน</v>
          </cell>
          <cell r="L138">
            <v>102</v>
          </cell>
          <cell r="M138" t="str">
            <v>±</v>
          </cell>
          <cell r="N138">
            <v>5</v>
          </cell>
          <cell r="R138" t="str">
            <v>บิด</v>
          </cell>
          <cell r="T138">
            <v>22</v>
          </cell>
          <cell r="U138">
            <v>40</v>
          </cell>
          <cell r="V138">
            <v>40</v>
          </cell>
          <cell r="X138" t="str">
            <v>รอแจ้ง</v>
          </cell>
          <cell r="Z138" t="str">
            <v>500กระสอบแบน</v>
          </cell>
          <cell r="AA138">
            <v>3000</v>
          </cell>
          <cell r="AB138">
            <v>65.13122457599998</v>
          </cell>
          <cell r="AC138">
            <v>0</v>
          </cell>
          <cell r="AD138">
            <v>65.13122457599998</v>
          </cell>
          <cell r="AG138"/>
          <cell r="AI138"/>
          <cell r="AJ138">
            <v>0</v>
          </cell>
          <cell r="AL138">
            <v>3000</v>
          </cell>
          <cell r="AM138"/>
          <cell r="AN138">
            <v>3150</v>
          </cell>
          <cell r="AO138" t="str">
            <v>WSWT2121670SM</v>
          </cell>
          <cell r="AQ138">
            <v>3310.89</v>
          </cell>
          <cell r="AR138">
            <v>3310.89</v>
          </cell>
          <cell r="AS138">
            <v>0</v>
          </cell>
          <cell r="AT138">
            <v>0</v>
          </cell>
          <cell r="AU138">
            <v>3310.89</v>
          </cell>
          <cell r="BZ138" t="str">
            <v>WRWT21670/WRWT21670</v>
          </cell>
          <cell r="CA138">
            <v>0</v>
          </cell>
          <cell r="DL138" t="str">
            <v>P8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 t="e">
            <v>#VALUE!</v>
          </cell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MK68-000804</v>
          </cell>
          <cell r="C139">
            <v>45826</v>
          </cell>
          <cell r="E139" t="str">
            <v>บจก.เอพีเอ็ม อะโกร</v>
          </cell>
          <cell r="F139" t="str">
            <v>ฟีล กู๊ด 802</v>
          </cell>
          <cell r="G139">
            <v>21</v>
          </cell>
          <cell r="H139">
            <v>38</v>
          </cell>
          <cell r="I139" t="str">
            <v>ขาว</v>
          </cell>
          <cell r="J139" t="str">
            <v>ใส</v>
          </cell>
          <cell r="L139">
            <v>102</v>
          </cell>
          <cell r="M139" t="str">
            <v>±</v>
          </cell>
          <cell r="N139">
            <v>5</v>
          </cell>
          <cell r="R139" t="str">
            <v>บิด</v>
          </cell>
          <cell r="T139">
            <v>22</v>
          </cell>
          <cell r="U139">
            <v>40</v>
          </cell>
          <cell r="V139">
            <v>40</v>
          </cell>
          <cell r="X139" t="str">
            <v>รอแจ้ง</v>
          </cell>
          <cell r="Z139" t="str">
            <v>500กระสอบแบน</v>
          </cell>
          <cell r="AA139">
            <v>8000</v>
          </cell>
          <cell r="AB139">
            <v>163.47937368575995</v>
          </cell>
          <cell r="AC139">
            <v>0</v>
          </cell>
          <cell r="AD139">
            <v>163.47937368575995</v>
          </cell>
          <cell r="AG139"/>
          <cell r="AI139"/>
          <cell r="AJ139">
            <v>470</v>
          </cell>
          <cell r="AL139">
            <v>7530</v>
          </cell>
          <cell r="AM139"/>
          <cell r="AN139">
            <v>7906.5</v>
          </cell>
          <cell r="AO139" t="str">
            <v>WSWT2121670SM</v>
          </cell>
          <cell r="AQ139">
            <v>8310.3338999999996</v>
          </cell>
          <cell r="AR139">
            <v>8310.3338999999996</v>
          </cell>
          <cell r="AS139">
            <v>0</v>
          </cell>
          <cell r="AT139">
            <v>0</v>
          </cell>
          <cell r="AU139">
            <v>8310.3338999999996</v>
          </cell>
          <cell r="BZ139" t="str">
            <v>WRWT21670/WRWT21670</v>
          </cell>
          <cell r="CA139">
            <v>0</v>
          </cell>
          <cell r="DL139" t="str">
            <v>P8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 t="e">
            <v>#VALUE!</v>
          </cell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MK66-000701</v>
          </cell>
          <cell r="C140">
            <v>45066</v>
          </cell>
          <cell r="E140" t="str">
            <v>บจก.เอสพีเอ็ม อาหารสัตว์</v>
          </cell>
          <cell r="F140" t="str">
            <v>มาซูฟีด ซี041</v>
          </cell>
          <cell r="G140">
            <v>21</v>
          </cell>
          <cell r="H140">
            <v>38</v>
          </cell>
          <cell r="I140" t="str">
            <v>ขาว</v>
          </cell>
          <cell r="J140" t="str">
            <v>ด้าน</v>
          </cell>
          <cell r="L140">
            <v>102</v>
          </cell>
          <cell r="M140" t="str">
            <v>±</v>
          </cell>
          <cell r="N140">
            <v>5</v>
          </cell>
          <cell r="R140" t="str">
            <v>บิด</v>
          </cell>
          <cell r="T140">
            <v>22</v>
          </cell>
          <cell r="U140">
            <v>40</v>
          </cell>
          <cell r="V140">
            <v>40</v>
          </cell>
          <cell r="X140" t="str">
            <v>รอแจ้ง</v>
          </cell>
          <cell r="Z140" t="str">
            <v>500กระสอบแบน</v>
          </cell>
          <cell r="AA140">
            <v>5000</v>
          </cell>
          <cell r="AB140">
            <v>108.55204095999999</v>
          </cell>
          <cell r="AC140">
            <v>0</v>
          </cell>
          <cell r="AD140">
            <v>108.55204095999999</v>
          </cell>
          <cell r="AG140"/>
          <cell r="AI140"/>
          <cell r="AJ140">
            <v>0</v>
          </cell>
          <cell r="AL140">
            <v>5000</v>
          </cell>
          <cell r="AM140"/>
          <cell r="AN140">
            <v>5250</v>
          </cell>
          <cell r="AO140" t="str">
            <v>WSWT2121670SM</v>
          </cell>
          <cell r="AQ140">
            <v>5518.15</v>
          </cell>
          <cell r="AR140">
            <v>5518.15</v>
          </cell>
          <cell r="AS140">
            <v>0</v>
          </cell>
          <cell r="AT140">
            <v>0</v>
          </cell>
          <cell r="AU140">
            <v>5518.15</v>
          </cell>
          <cell r="BZ140" t="str">
            <v>WRWT21670/WRWT21670</v>
          </cell>
          <cell r="CA140">
            <v>0</v>
          </cell>
          <cell r="DL140" t="str">
            <v>P8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 t="e">
            <v>#VALUE!</v>
          </cell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>
            <v>0</v>
          </cell>
          <cell r="C141"/>
          <cell r="E141"/>
          <cell r="F141"/>
          <cell r="G141">
            <v>21</v>
          </cell>
          <cell r="H141">
            <v>37</v>
          </cell>
          <cell r="I141"/>
          <cell r="J141"/>
          <cell r="L141">
            <v>74</v>
          </cell>
          <cell r="M141" t="str">
            <v>±</v>
          </cell>
          <cell r="N141">
            <v>5</v>
          </cell>
          <cell r="R141"/>
          <cell r="T141"/>
          <cell r="U141"/>
          <cell r="V141"/>
          <cell r="X141"/>
          <cell r="Z141"/>
          <cell r="AA141"/>
          <cell r="AB141"/>
          <cell r="AC141" t="str">
            <v>ว</v>
          </cell>
          <cell r="AD141"/>
          <cell r="AG141"/>
          <cell r="AI141" t="str">
            <v>ระบุในSD</v>
          </cell>
          <cell r="AJ141"/>
          <cell r="AL141">
            <v>0</v>
          </cell>
          <cell r="AM141"/>
          <cell r="AN141">
            <v>0</v>
          </cell>
          <cell r="AO141" t="str">
            <v>WSWT2121670SM</v>
          </cell>
          <cell r="AQ141">
            <v>190395.31390000004</v>
          </cell>
          <cell r="AR141">
            <v>190395.31390000004</v>
          </cell>
          <cell r="AS141">
            <v>0</v>
          </cell>
          <cell r="AT141">
            <v>110879.89000000001</v>
          </cell>
          <cell r="AU141">
            <v>79515.423899999994</v>
          </cell>
          <cell r="BZ141" t="str">
            <v>WRWT210670/WRWT21670</v>
          </cell>
          <cell r="CA141">
            <v>0</v>
          </cell>
          <cell r="DL141"/>
          <cell r="DM141" t="str">
            <v>Lead time</v>
          </cell>
          <cell r="DN141"/>
          <cell r="DP141"/>
          <cell r="DQ141"/>
          <cell r="DR141"/>
          <cell r="DS141"/>
          <cell r="DT141"/>
          <cell r="DU141"/>
          <cell r="DW141"/>
          <cell r="DX141"/>
          <cell r="DY141"/>
          <cell r="DZ141"/>
          <cell r="EA141"/>
          <cell r="EB141"/>
          <cell r="EC141"/>
          <cell r="ED141"/>
          <cell r="EG141"/>
          <cell r="EH141">
            <v>0</v>
          </cell>
          <cell r="EI141">
            <v>0</v>
          </cell>
        </row>
        <row r="142">
          <cell r="B142">
            <v>0</v>
          </cell>
          <cell r="C142"/>
          <cell r="E142"/>
          <cell r="F142"/>
          <cell r="G142">
            <v>21.6</v>
          </cell>
          <cell r="H142">
            <v>34</v>
          </cell>
          <cell r="I142"/>
          <cell r="J142"/>
          <cell r="L142">
            <v>97</v>
          </cell>
          <cell r="M142" t="str">
            <v>±</v>
          </cell>
          <cell r="N142">
            <v>5</v>
          </cell>
          <cell r="R142"/>
          <cell r="T142"/>
          <cell r="U142"/>
          <cell r="V142"/>
          <cell r="X142"/>
          <cell r="Z142"/>
          <cell r="AA142"/>
          <cell r="AB142">
            <v>0</v>
          </cell>
          <cell r="AC142">
            <v>0</v>
          </cell>
          <cell r="AD142"/>
          <cell r="AG142"/>
          <cell r="AI142" t="str">
            <v>ระบุในSD</v>
          </cell>
          <cell r="AJ142"/>
          <cell r="AL142">
            <v>0</v>
          </cell>
          <cell r="AM142"/>
          <cell r="AN142">
            <v>0</v>
          </cell>
          <cell r="AO142" t="str">
            <v>WSWT2221940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BZ142" t="str">
            <v>WRWT21940/WRWT21940</v>
          </cell>
          <cell r="CA142">
            <v>0</v>
          </cell>
          <cell r="DL142"/>
          <cell r="DM142" t="str">
            <v>Lead time</v>
          </cell>
          <cell r="DN142"/>
          <cell r="DP142"/>
          <cell r="DQ142"/>
          <cell r="DR142"/>
          <cell r="DS142"/>
          <cell r="DT142"/>
          <cell r="DU142"/>
          <cell r="DW142"/>
          <cell r="DX142"/>
          <cell r="DY142"/>
          <cell r="DZ142"/>
          <cell r="EA142"/>
          <cell r="EB142"/>
          <cell r="EC142"/>
          <cell r="ED142"/>
          <cell r="EG142"/>
          <cell r="EH142"/>
          <cell r="EI142">
            <v>0</v>
          </cell>
        </row>
        <row r="143">
          <cell r="B143" t="str">
            <v>ประมาณการ</v>
          </cell>
          <cell r="C143" t="str">
            <v>ประมาณการ</v>
          </cell>
          <cell r="E143" t="str">
            <v>พันธุ์ข้าว</v>
          </cell>
          <cell r="F143" t="str">
            <v>พันธุ์ข้าว</v>
          </cell>
          <cell r="G143">
            <v>23</v>
          </cell>
          <cell r="H143">
            <v>34</v>
          </cell>
          <cell r="I143" t="str">
            <v>ขาว</v>
          </cell>
          <cell r="J143"/>
          <cell r="L143">
            <v>68</v>
          </cell>
          <cell r="M143" t="str">
            <v>±</v>
          </cell>
          <cell r="N143">
            <v>5</v>
          </cell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45930</v>
          </cell>
          <cell r="Z143" t="str">
            <v>500กระสอบ</v>
          </cell>
          <cell r="AA143">
            <v>30000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30000</v>
          </cell>
          <cell r="AM143"/>
          <cell r="AN143">
            <v>31500</v>
          </cell>
          <cell r="AO143" t="str">
            <v>WSWT2325650</v>
          </cell>
          <cell r="AQ143">
            <v>29756.100000000002</v>
          </cell>
          <cell r="AR143">
            <v>29756.100000000002</v>
          </cell>
          <cell r="AS143">
            <v>0</v>
          </cell>
          <cell r="AT143">
            <v>0</v>
          </cell>
          <cell r="AU143">
            <v>0</v>
          </cell>
          <cell r="BZ143" t="str">
            <v>WRWT25650/WRWT25650</v>
          </cell>
          <cell r="CA143">
            <v>0</v>
          </cell>
          <cell r="DL143" t="str">
            <v>P7</v>
          </cell>
          <cell r="DM143">
            <v>2</v>
          </cell>
          <cell r="DN143">
            <v>45930</v>
          </cell>
          <cell r="DP143">
            <v>45925</v>
          </cell>
          <cell r="DQ143"/>
          <cell r="DR143">
            <v>45921</v>
          </cell>
          <cell r="DS143">
            <v>45928</v>
          </cell>
          <cell r="DT143">
            <v>45929</v>
          </cell>
          <cell r="DU143">
            <v>45929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/>
          <cell r="EG143"/>
          <cell r="EH143"/>
          <cell r="EI143"/>
        </row>
        <row r="144">
          <cell r="B144" t="str">
            <v>ประมาณการ</v>
          </cell>
          <cell r="C144" t="str">
            <v>ประมาณการ</v>
          </cell>
          <cell r="E144" t="str">
            <v>บจก.ซิเบลโก้(สบปราบ)</v>
          </cell>
          <cell r="F144" t="str">
            <v>รอแบบ</v>
          </cell>
          <cell r="G144">
            <v>23</v>
          </cell>
          <cell r="H144">
            <v>34</v>
          </cell>
          <cell r="I144" t="str">
            <v>ขาว</v>
          </cell>
          <cell r="J144"/>
          <cell r="L144">
            <v>68</v>
          </cell>
          <cell r="M144" t="str">
            <v>±</v>
          </cell>
          <cell r="N144">
            <v>5</v>
          </cell>
          <cell r="R144" t="str">
            <v>ไม่</v>
          </cell>
          <cell r="T144">
            <v>24</v>
          </cell>
          <cell r="U144">
            <v>37</v>
          </cell>
          <cell r="V144">
            <v>50</v>
          </cell>
          <cell r="X144">
            <v>45930</v>
          </cell>
          <cell r="Z144" t="str">
            <v>มัด100</v>
          </cell>
          <cell r="AA144">
            <v>30000</v>
          </cell>
          <cell r="AB144">
            <v>821.54158271999995</v>
          </cell>
          <cell r="AC144">
            <v>0</v>
          </cell>
          <cell r="AD144">
            <v>821.54158271999995</v>
          </cell>
          <cell r="AG144"/>
          <cell r="AI144"/>
          <cell r="AJ144">
            <v>0</v>
          </cell>
          <cell r="AL144">
            <v>30000</v>
          </cell>
          <cell r="AM144"/>
          <cell r="AN144">
            <v>31500</v>
          </cell>
          <cell r="AO144" t="str">
            <v>WSWT2325650</v>
          </cell>
          <cell r="AQ144">
            <v>29756.100000000002</v>
          </cell>
          <cell r="AR144">
            <v>18178</v>
          </cell>
          <cell r="AS144">
            <v>11578.100000000002</v>
          </cell>
          <cell r="AT144">
            <v>0</v>
          </cell>
          <cell r="AU144">
            <v>0</v>
          </cell>
          <cell r="BZ144" t="str">
            <v>WRWT25650/WRWT25650</v>
          </cell>
          <cell r="CA144">
            <v>865.46297500000014</v>
          </cell>
          <cell r="DL144" t="str">
            <v>P9</v>
          </cell>
          <cell r="DM144">
            <v>3</v>
          </cell>
          <cell r="DN144">
            <v>45930</v>
          </cell>
          <cell r="DP144">
            <v>45925</v>
          </cell>
          <cell r="DQ144"/>
          <cell r="DR144">
            <v>45920</v>
          </cell>
          <cell r="DS144">
            <v>45927</v>
          </cell>
          <cell r="DT144">
            <v>45928</v>
          </cell>
          <cell r="DU144">
            <v>45928</v>
          </cell>
          <cell r="DW144">
            <v>45929</v>
          </cell>
          <cell r="DX144"/>
          <cell r="DY144"/>
          <cell r="DZ144"/>
          <cell r="EA144"/>
          <cell r="EB144"/>
          <cell r="EC144" t="str">
            <v>งานพิมพ์</v>
          </cell>
          <cell r="ED144" t="str">
            <v>รอART</v>
          </cell>
          <cell r="EG144"/>
          <cell r="EH144"/>
          <cell r="EI144"/>
        </row>
        <row r="145">
          <cell r="B145">
            <v>0</v>
          </cell>
          <cell r="C145"/>
          <cell r="E145"/>
          <cell r="F145"/>
          <cell r="G145">
            <v>23</v>
          </cell>
          <cell r="H145">
            <v>34</v>
          </cell>
          <cell r="I145" t="str">
            <v>ขาว</v>
          </cell>
          <cell r="J145"/>
          <cell r="L145">
            <v>68</v>
          </cell>
          <cell r="M145" t="str">
            <v>±</v>
          </cell>
          <cell r="N145">
            <v>5</v>
          </cell>
          <cell r="R145"/>
          <cell r="T145"/>
          <cell r="U145"/>
          <cell r="V145"/>
          <cell r="X145"/>
          <cell r="Z145"/>
          <cell r="AA145"/>
          <cell r="AB145">
            <v>0</v>
          </cell>
          <cell r="AC145">
            <v>0</v>
          </cell>
          <cell r="AD145"/>
          <cell r="AG145"/>
          <cell r="AI145" t="str">
            <v>ระบุในSD</v>
          </cell>
          <cell r="AJ145"/>
          <cell r="AL145">
            <v>0</v>
          </cell>
          <cell r="AM145"/>
          <cell r="AN145">
            <v>0</v>
          </cell>
          <cell r="AO145" t="str">
            <v>WSWT2325650</v>
          </cell>
          <cell r="AQ145">
            <v>59512.200000000004</v>
          </cell>
          <cell r="AR145">
            <v>47934.100000000006</v>
          </cell>
          <cell r="AS145">
            <v>11578.100000000002</v>
          </cell>
          <cell r="AT145">
            <v>0</v>
          </cell>
          <cell r="AU145">
            <v>0</v>
          </cell>
          <cell r="BZ145" t="str">
            <v>WRWT25650/WRWT25650</v>
          </cell>
          <cell r="CA145">
            <v>0</v>
          </cell>
          <cell r="DL145"/>
          <cell r="DM145" t="str">
            <v>Lead time</v>
          </cell>
          <cell r="DN145"/>
          <cell r="DP145"/>
          <cell r="DQ145"/>
          <cell r="DR145"/>
          <cell r="DS145"/>
          <cell r="DT145"/>
          <cell r="DU145"/>
          <cell r="DW145"/>
          <cell r="DX145"/>
          <cell r="DY145"/>
          <cell r="DZ145"/>
          <cell r="EA145"/>
          <cell r="EB145"/>
          <cell r="EC145"/>
          <cell r="ED145"/>
          <cell r="EG145"/>
          <cell r="EH145"/>
          <cell r="EI145">
            <v>0</v>
          </cell>
        </row>
        <row r="146">
          <cell r="B146">
            <v>0</v>
          </cell>
          <cell r="C146"/>
          <cell r="E146"/>
          <cell r="F146"/>
          <cell r="G146">
            <v>23</v>
          </cell>
          <cell r="H146">
            <v>34</v>
          </cell>
          <cell r="I146" t="str">
            <v>ขาวแถบใส5</v>
          </cell>
          <cell r="J146"/>
          <cell r="L146">
            <v>68</v>
          </cell>
          <cell r="M146" t="str">
            <v>±</v>
          </cell>
          <cell r="N146">
            <v>5</v>
          </cell>
          <cell r="R146"/>
          <cell r="T146"/>
          <cell r="U146"/>
          <cell r="V146"/>
          <cell r="X146"/>
          <cell r="Z146"/>
          <cell r="AA146"/>
          <cell r="AB146">
            <v>0</v>
          </cell>
          <cell r="AC146">
            <v>0</v>
          </cell>
          <cell r="AD146"/>
          <cell r="AG146"/>
          <cell r="AI146"/>
          <cell r="AJ146"/>
          <cell r="AL146">
            <v>0</v>
          </cell>
          <cell r="AM146"/>
          <cell r="AN146">
            <v>0</v>
          </cell>
          <cell r="AO146" t="str">
            <v>WSWTSCL052325650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BZ146" t="str">
            <v>WRWT25650/WRCL25680</v>
          </cell>
          <cell r="CA146">
            <v>0</v>
          </cell>
          <cell r="DL146"/>
          <cell r="DM146" t="str">
            <v>Lead time</v>
          </cell>
          <cell r="DN146"/>
          <cell r="DP146"/>
          <cell r="DQ146"/>
          <cell r="DR146"/>
          <cell r="DS146"/>
          <cell r="DT146"/>
          <cell r="DU146"/>
          <cell r="DW146"/>
          <cell r="DX146"/>
          <cell r="DY146"/>
          <cell r="DZ146"/>
          <cell r="EA146"/>
          <cell r="EB146"/>
          <cell r="EC146"/>
          <cell r="ED146"/>
          <cell r="EG146"/>
          <cell r="EH146"/>
          <cell r="EI146">
            <v>0</v>
          </cell>
        </row>
        <row r="147">
          <cell r="B147">
            <v>0</v>
          </cell>
          <cell r="C147"/>
          <cell r="E147"/>
          <cell r="F147"/>
          <cell r="G147">
            <v>23</v>
          </cell>
          <cell r="H147">
            <v>34</v>
          </cell>
          <cell r="I147" t="str">
            <v>ขาวแถบใส2</v>
          </cell>
          <cell r="J147"/>
          <cell r="L147">
            <v>68</v>
          </cell>
          <cell r="M147" t="str">
            <v>±</v>
          </cell>
          <cell r="N147">
            <v>5</v>
          </cell>
          <cell r="R147"/>
          <cell r="T147"/>
          <cell r="U147"/>
          <cell r="V147"/>
          <cell r="X147"/>
          <cell r="Z147"/>
          <cell r="AA147"/>
          <cell r="AB147">
            <v>0</v>
          </cell>
          <cell r="AC147">
            <v>0</v>
          </cell>
          <cell r="AD147"/>
          <cell r="AG147"/>
          <cell r="AI147" t="str">
            <v>ระบุในSD</v>
          </cell>
          <cell r="AJ147"/>
          <cell r="AL147">
            <v>0</v>
          </cell>
          <cell r="AM147"/>
          <cell r="AN147">
            <v>0</v>
          </cell>
          <cell r="AO147" t="str">
            <v>WSWTFCL022325650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BZ147" t="str">
            <v>WRWT25650/WRCL25680</v>
          </cell>
          <cell r="CA147">
            <v>0</v>
          </cell>
          <cell r="DL147"/>
          <cell r="DM147" t="str">
            <v>Lead time</v>
          </cell>
          <cell r="DN147"/>
          <cell r="DP147"/>
          <cell r="DQ147"/>
          <cell r="DR147"/>
          <cell r="DS147"/>
          <cell r="DT147"/>
          <cell r="DU147"/>
          <cell r="DW147"/>
          <cell r="DX147"/>
          <cell r="DY147"/>
          <cell r="DZ147"/>
          <cell r="EA147"/>
          <cell r="EB147"/>
          <cell r="EC147"/>
          <cell r="ED147"/>
          <cell r="EG147"/>
          <cell r="EH147">
            <v>0</v>
          </cell>
          <cell r="EI147">
            <v>0</v>
          </cell>
        </row>
        <row r="148">
          <cell r="B148">
            <v>0</v>
          </cell>
          <cell r="C148"/>
          <cell r="E148"/>
          <cell r="F148"/>
          <cell r="G148">
            <v>23</v>
          </cell>
          <cell r="H148">
            <v>37</v>
          </cell>
          <cell r="I148" t="str">
            <v>ขาว</v>
          </cell>
          <cell r="J148"/>
          <cell r="L148">
            <v>85</v>
          </cell>
          <cell r="M148" t="str">
            <v>±</v>
          </cell>
          <cell r="N148">
            <v>5</v>
          </cell>
          <cell r="R148"/>
          <cell r="T148"/>
          <cell r="U148"/>
          <cell r="V148"/>
          <cell r="X148"/>
          <cell r="Z148"/>
          <cell r="AA148"/>
          <cell r="AB148">
            <v>0</v>
          </cell>
          <cell r="AC148">
            <v>0</v>
          </cell>
          <cell r="AD148"/>
          <cell r="AG148"/>
          <cell r="AI148" t="str">
            <v>ระบุในSD</v>
          </cell>
          <cell r="AJ148"/>
          <cell r="AL148">
            <v>0</v>
          </cell>
          <cell r="AM148"/>
          <cell r="AN148">
            <v>0</v>
          </cell>
          <cell r="AO148" t="str">
            <v>WSWT2325800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BZ148" t="str">
            <v>WRWT25800/WRWT28750</v>
          </cell>
          <cell r="CA148">
            <v>0</v>
          </cell>
          <cell r="DL148"/>
          <cell r="DM148" t="str">
            <v>Lead time</v>
          </cell>
          <cell r="DN148"/>
          <cell r="DP148"/>
          <cell r="DQ148"/>
          <cell r="DR148"/>
          <cell r="DS148"/>
          <cell r="DT148"/>
          <cell r="DU148"/>
          <cell r="DW148"/>
          <cell r="DX148"/>
          <cell r="DY148"/>
          <cell r="DZ148"/>
          <cell r="EA148"/>
          <cell r="EB148"/>
          <cell r="EC148"/>
          <cell r="ED148"/>
          <cell r="EG148"/>
          <cell r="EH148">
            <v>0</v>
          </cell>
          <cell r="EI148">
            <v>0</v>
          </cell>
        </row>
        <row r="149">
          <cell r="B149" t="str">
            <v>MK68-000378</v>
          </cell>
          <cell r="C149">
            <v>45727</v>
          </cell>
          <cell r="E149" t="str">
            <v>บจก.แอมโก้เวท</v>
          </cell>
          <cell r="F149" t="str">
            <v>ไม่พิมพ์</v>
          </cell>
          <cell r="G149">
            <v>23</v>
          </cell>
          <cell r="H149">
            <v>40</v>
          </cell>
          <cell r="I149" t="str">
            <v>ขาว</v>
          </cell>
          <cell r="J149" t="str">
            <v>ใส</v>
          </cell>
          <cell r="L149">
            <v>125</v>
          </cell>
          <cell r="M149" t="str">
            <v>±</v>
          </cell>
          <cell r="N149">
            <v>5</v>
          </cell>
          <cell r="R149" t="str">
            <v>จับจีบ4"</v>
          </cell>
          <cell r="T149" t="str">
            <v>ไม่สวมถุงใน</v>
          </cell>
          <cell r="U149"/>
          <cell r="V149"/>
          <cell r="X149" t="str">
            <v>รอแจ้ง</v>
          </cell>
          <cell r="Z149" t="str">
            <v>500กระสอบแบน</v>
          </cell>
          <cell r="AA149">
            <v>1000</v>
          </cell>
          <cell r="AB149">
            <v>0</v>
          </cell>
          <cell r="AC149">
            <v>0</v>
          </cell>
          <cell r="AD149">
            <v>0</v>
          </cell>
          <cell r="AG149"/>
          <cell r="AI149" t="str">
            <v>ห้ามขาด-เกินได้5%</v>
          </cell>
          <cell r="AJ149">
            <v>0</v>
          </cell>
          <cell r="AL149">
            <v>1000</v>
          </cell>
          <cell r="AM149"/>
          <cell r="AN149">
            <v>0</v>
          </cell>
          <cell r="AO149" t="str">
            <v>WSWT2321750</v>
          </cell>
          <cell r="AQ149">
            <v>1159.5100000000002</v>
          </cell>
          <cell r="AR149">
            <v>1159.5100000000002</v>
          </cell>
          <cell r="AS149">
            <v>0</v>
          </cell>
          <cell r="AT149">
            <v>1159.5100000000002</v>
          </cell>
          <cell r="AU149">
            <v>0</v>
          </cell>
          <cell r="BZ149" t="str">
            <v>WRWT21750/WRWT21750</v>
          </cell>
          <cell r="CA149">
            <v>0</v>
          </cell>
          <cell r="DL149" t="str">
            <v>P11</v>
          </cell>
          <cell r="DM149">
            <v>2</v>
          </cell>
          <cell r="DN149" t="str">
            <v>รอแจ้ง</v>
          </cell>
          <cell r="DP149" t="e">
            <v>#VALUE!</v>
          </cell>
          <cell r="DQ149" t="e">
            <v>#VALUE!</v>
          </cell>
          <cell r="DR149"/>
          <cell r="DS149"/>
          <cell r="DT149"/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งานเคลือบ+ตัด</v>
          </cell>
          <cell r="ED149"/>
          <cell r="EG149"/>
          <cell r="EH149"/>
          <cell r="EI149"/>
        </row>
        <row r="150">
          <cell r="B150">
            <v>0</v>
          </cell>
          <cell r="C150"/>
          <cell r="E150"/>
          <cell r="F150"/>
          <cell r="G150">
            <v>23</v>
          </cell>
          <cell r="H150">
            <v>37</v>
          </cell>
          <cell r="I150"/>
          <cell r="J150"/>
          <cell r="L150">
            <v>85</v>
          </cell>
          <cell r="M150" t="str">
            <v>±</v>
          </cell>
          <cell r="N150">
            <v>5</v>
          </cell>
          <cell r="R150"/>
          <cell r="T150"/>
          <cell r="U150"/>
          <cell r="V150"/>
          <cell r="X150"/>
          <cell r="Z150"/>
          <cell r="AA150"/>
          <cell r="AB150"/>
          <cell r="AC150">
            <v>0</v>
          </cell>
          <cell r="AD150"/>
          <cell r="AG150"/>
          <cell r="AI150" t="str">
            <v>ระบุในSD</v>
          </cell>
          <cell r="AJ150"/>
          <cell r="AL150">
            <v>0</v>
          </cell>
          <cell r="AM150"/>
          <cell r="AN150">
            <v>0</v>
          </cell>
          <cell r="AO150" t="str">
            <v>WSWT2321750</v>
          </cell>
          <cell r="AQ150">
            <v>1159.5100000000002</v>
          </cell>
          <cell r="AR150">
            <v>1159.5100000000002</v>
          </cell>
          <cell r="AS150">
            <v>0</v>
          </cell>
          <cell r="AT150">
            <v>1159.5100000000002</v>
          </cell>
          <cell r="AU150">
            <v>0</v>
          </cell>
          <cell r="BZ150" t="str">
            <v>WRWT230750/WRWT21750</v>
          </cell>
          <cell r="CA150">
            <v>0</v>
          </cell>
          <cell r="DL150"/>
          <cell r="DM150" t="str">
            <v>Lead time</v>
          </cell>
          <cell r="DN150"/>
          <cell r="DP150"/>
          <cell r="DQ150"/>
          <cell r="DR150"/>
          <cell r="DS150"/>
          <cell r="DT150"/>
          <cell r="DU150"/>
          <cell r="DW150"/>
          <cell r="DX150"/>
          <cell r="DY150"/>
          <cell r="DZ150"/>
          <cell r="EA150"/>
          <cell r="EB150"/>
          <cell r="EC150"/>
          <cell r="ED150"/>
          <cell r="EG150"/>
          <cell r="EH150">
            <v>0</v>
          </cell>
          <cell r="EI150">
            <v>0</v>
          </cell>
        </row>
        <row r="151">
          <cell r="B151" t="str">
            <v>ใบรับคำสั่งซื้อ</v>
          </cell>
          <cell r="C151">
            <v>45908</v>
          </cell>
          <cell r="E151" t="str">
            <v>โรงสีธัญญกิจ(ราชบุรี)</v>
          </cell>
          <cell r="F151" t="str">
            <v>ไม่พิมพ์</v>
          </cell>
          <cell r="G151">
            <v>23</v>
          </cell>
          <cell r="H151">
            <v>35</v>
          </cell>
          <cell r="I151" t="str">
            <v>ขาวแถบใส2"</v>
          </cell>
          <cell r="J151"/>
          <cell r="L151">
            <v>90</v>
          </cell>
          <cell r="M151" t="str">
            <v>±</v>
          </cell>
          <cell r="N151">
            <v>5</v>
          </cell>
          <cell r="R151" t="str">
            <v>ไม่</v>
          </cell>
          <cell r="T151" t="str">
            <v>ไม่สวมถุงใน</v>
          </cell>
          <cell r="U151"/>
          <cell r="V151"/>
          <cell r="X151">
            <v>45922</v>
          </cell>
          <cell r="Z151" t="str">
            <v>500กระสอบ</v>
          </cell>
          <cell r="AA151">
            <v>10000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/>
          <cell r="AL151">
            <v>10000</v>
          </cell>
          <cell r="AM151"/>
          <cell r="AN151">
            <v>0</v>
          </cell>
          <cell r="AO151" t="str">
            <v>WSWTSCL042325800</v>
          </cell>
          <cell r="AQ151">
            <v>10198.1</v>
          </cell>
          <cell r="AR151">
            <v>0</v>
          </cell>
          <cell r="AS151">
            <v>10198.1</v>
          </cell>
          <cell r="AT151">
            <v>0</v>
          </cell>
          <cell r="AU151">
            <v>0</v>
          </cell>
          <cell r="BZ151" t="str">
            <v>WRWT25800/WRCL25650</v>
          </cell>
          <cell r="CA151">
            <v>939.58494666666661</v>
          </cell>
          <cell r="DL151" t="str">
            <v>P3</v>
          </cell>
          <cell r="DM151">
            <v>1</v>
          </cell>
          <cell r="DN151">
            <v>45922</v>
          </cell>
          <cell r="DP151">
            <v>45917</v>
          </cell>
          <cell r="DQ151"/>
          <cell r="DR151"/>
          <cell r="DS151"/>
          <cell r="DT151"/>
          <cell r="DU151">
            <v>45921</v>
          </cell>
          <cell r="DW151"/>
          <cell r="DX151"/>
          <cell r="DY151"/>
          <cell r="DZ151"/>
          <cell r="EA151"/>
          <cell r="EB151"/>
          <cell r="EC151" t="str">
            <v>ตัด</v>
          </cell>
          <cell r="ED151"/>
          <cell r="EG151"/>
          <cell r="EH151"/>
          <cell r="EI151"/>
        </row>
        <row r="152">
          <cell r="B152">
            <v>0</v>
          </cell>
          <cell r="C152"/>
          <cell r="E152"/>
          <cell r="F152"/>
          <cell r="G152">
            <v>23</v>
          </cell>
          <cell r="H152">
            <v>34</v>
          </cell>
          <cell r="I152"/>
          <cell r="J152"/>
          <cell r="L152">
            <v>90</v>
          </cell>
          <cell r="M152" t="str">
            <v>±</v>
          </cell>
          <cell r="N152">
            <v>5</v>
          </cell>
          <cell r="R152"/>
          <cell r="T152"/>
          <cell r="U152"/>
          <cell r="V152"/>
          <cell r="X152"/>
          <cell r="Z152"/>
          <cell r="AA152"/>
          <cell r="AB152"/>
          <cell r="AC152">
            <v>0</v>
          </cell>
          <cell r="AD152"/>
          <cell r="AG152"/>
          <cell r="AI152" t="str">
            <v>ระบุในSD</v>
          </cell>
          <cell r="AJ152"/>
          <cell r="AL152">
            <v>0</v>
          </cell>
          <cell r="AM152"/>
          <cell r="AN152">
            <v>0</v>
          </cell>
          <cell r="AO152" t="str">
            <v>WSWTSCL042325800</v>
          </cell>
          <cell r="AQ152">
            <v>10198.1</v>
          </cell>
          <cell r="AR152">
            <v>0</v>
          </cell>
          <cell r="AS152">
            <v>10198.1</v>
          </cell>
          <cell r="AT152">
            <v>0</v>
          </cell>
          <cell r="AU152">
            <v>0</v>
          </cell>
          <cell r="BZ152" t="str">
            <v>WRWT230800/WRWT25650</v>
          </cell>
          <cell r="CA152">
            <v>0</v>
          </cell>
          <cell r="DL152"/>
          <cell r="DM152" t="str">
            <v>Lead time</v>
          </cell>
          <cell r="DN152"/>
          <cell r="DP152"/>
          <cell r="DQ152"/>
          <cell r="DR152"/>
          <cell r="DS152"/>
          <cell r="DT152"/>
          <cell r="DU152"/>
          <cell r="DW152"/>
          <cell r="DX152"/>
          <cell r="DY152"/>
          <cell r="DZ152"/>
          <cell r="EA152"/>
          <cell r="EB152"/>
          <cell r="EC152"/>
          <cell r="ED152"/>
          <cell r="EG152"/>
          <cell r="EH152"/>
          <cell r="EI152">
            <v>0</v>
          </cell>
        </row>
        <row r="153">
          <cell r="B153">
            <v>0</v>
          </cell>
          <cell r="C153"/>
          <cell r="E153"/>
          <cell r="F153"/>
          <cell r="G153">
            <v>23</v>
          </cell>
          <cell r="H153">
            <v>37</v>
          </cell>
          <cell r="I153" t="str">
            <v>ขาว</v>
          </cell>
          <cell r="J153"/>
          <cell r="L153">
            <v>90</v>
          </cell>
          <cell r="M153" t="str">
            <v>±</v>
          </cell>
          <cell r="N153">
            <v>5</v>
          </cell>
          <cell r="R153"/>
          <cell r="T153"/>
          <cell r="U153"/>
          <cell r="V153"/>
          <cell r="X153"/>
          <cell r="Z153"/>
          <cell r="AA153"/>
          <cell r="AB153">
            <v>0</v>
          </cell>
          <cell r="AC153">
            <v>0</v>
          </cell>
          <cell r="AD153"/>
          <cell r="AG153"/>
          <cell r="AI153" t="str">
            <v>ระบุในSD</v>
          </cell>
          <cell r="AJ153"/>
          <cell r="AL153">
            <v>0</v>
          </cell>
          <cell r="AM153"/>
          <cell r="AN153">
            <v>0</v>
          </cell>
          <cell r="AO153" t="str">
            <v>WSWT2325800SM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BZ153" t="str">
            <v>WRWT21800/WRWT21800</v>
          </cell>
          <cell r="CA153">
            <v>0</v>
          </cell>
          <cell r="DL153"/>
          <cell r="DM153" t="str">
            <v>Lead time</v>
          </cell>
          <cell r="DN153"/>
          <cell r="DP153"/>
          <cell r="DQ153"/>
          <cell r="DR153"/>
          <cell r="DS153"/>
          <cell r="DT153"/>
          <cell r="DU153"/>
          <cell r="DW153"/>
          <cell r="DX153"/>
          <cell r="DY153"/>
          <cell r="DZ153"/>
          <cell r="EA153"/>
          <cell r="EB153"/>
          <cell r="EC153"/>
          <cell r="ED153"/>
          <cell r="EG153"/>
          <cell r="EH153"/>
          <cell r="EI153">
            <v>0</v>
          </cell>
        </row>
        <row r="154">
          <cell r="B154">
            <v>0</v>
          </cell>
          <cell r="C154"/>
          <cell r="E154"/>
          <cell r="F154"/>
          <cell r="G154">
            <v>23</v>
          </cell>
          <cell r="H154">
            <v>37</v>
          </cell>
          <cell r="I154"/>
          <cell r="J154"/>
          <cell r="L154">
            <v>120</v>
          </cell>
          <cell r="M154" t="str">
            <v>+</v>
          </cell>
          <cell r="N154">
            <v>5</v>
          </cell>
          <cell r="R154"/>
          <cell r="T154"/>
          <cell r="U154"/>
          <cell r="V154"/>
          <cell r="X154"/>
          <cell r="Z154"/>
          <cell r="AA154"/>
          <cell r="AB154"/>
          <cell r="AC154">
            <v>0</v>
          </cell>
          <cell r="AD154"/>
          <cell r="AG154"/>
          <cell r="AI154" t="str">
            <v>ระบุในSD</v>
          </cell>
          <cell r="AJ154"/>
          <cell r="AL154">
            <v>0</v>
          </cell>
          <cell r="AM154"/>
          <cell r="AN154">
            <v>0</v>
          </cell>
          <cell r="AO154" t="str">
            <v>WSWT23211125120SMFX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BZ154" t="str">
            <v>WROP2301125/WRBR21940</v>
          </cell>
          <cell r="CA154">
            <v>0</v>
          </cell>
          <cell r="DL154"/>
          <cell r="DM154" t="str">
            <v>Lead time</v>
          </cell>
          <cell r="DN154"/>
          <cell r="DP154"/>
          <cell r="DQ154"/>
          <cell r="DR154"/>
          <cell r="DS154"/>
          <cell r="DT154"/>
          <cell r="DU154"/>
          <cell r="DW154"/>
          <cell r="DX154"/>
          <cell r="DY154"/>
          <cell r="DZ154"/>
          <cell r="EA154"/>
          <cell r="EB154"/>
          <cell r="EC154"/>
          <cell r="ED154"/>
          <cell r="EG154"/>
          <cell r="EH154"/>
          <cell r="EI154">
            <v>0</v>
          </cell>
        </row>
        <row r="155">
          <cell r="B155">
            <v>0</v>
          </cell>
          <cell r="C155"/>
          <cell r="E155"/>
          <cell r="F155" t="str">
            <v xml:space="preserve">  </v>
          </cell>
          <cell r="G155">
            <v>23</v>
          </cell>
          <cell r="H155">
            <v>37</v>
          </cell>
          <cell r="I155" t="str">
            <v>ขาว</v>
          </cell>
          <cell r="J155"/>
          <cell r="L155">
            <v>130</v>
          </cell>
          <cell r="M155" t="str">
            <v>+</v>
          </cell>
          <cell r="N155">
            <v>3</v>
          </cell>
          <cell r="R155"/>
          <cell r="T155"/>
          <cell r="U155"/>
          <cell r="V155"/>
          <cell r="X155"/>
          <cell r="Z155"/>
          <cell r="AA155"/>
          <cell r="AB155">
            <v>0</v>
          </cell>
          <cell r="AC155">
            <v>0</v>
          </cell>
          <cell r="AD155"/>
          <cell r="AG155"/>
          <cell r="AI155" t="str">
            <v>ระบุในSD</v>
          </cell>
          <cell r="AJ155"/>
          <cell r="AL155">
            <v>0</v>
          </cell>
          <cell r="AM155"/>
          <cell r="AN155">
            <v>0</v>
          </cell>
          <cell r="AO155" t="str">
            <v>WSWT23211125130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BZ155" t="str">
            <v>WRWT211125/WRWT251080</v>
          </cell>
          <cell r="CA155">
            <v>0</v>
          </cell>
          <cell r="DL155"/>
          <cell r="DM155" t="str">
            <v>Lead time</v>
          </cell>
          <cell r="DN155"/>
          <cell r="DP155"/>
          <cell r="DQ155"/>
          <cell r="DR155"/>
          <cell r="DS155"/>
          <cell r="DT155"/>
          <cell r="DU155"/>
          <cell r="DW155"/>
          <cell r="DX155"/>
          <cell r="DY155"/>
          <cell r="DZ155"/>
          <cell r="EA155"/>
          <cell r="EB155"/>
          <cell r="EC155"/>
          <cell r="ED155"/>
          <cell r="EG155"/>
          <cell r="EH155"/>
          <cell r="EI155">
            <v>0</v>
          </cell>
        </row>
        <row r="156">
          <cell r="B156">
            <v>0</v>
          </cell>
          <cell r="C156"/>
          <cell r="E156"/>
          <cell r="F156"/>
          <cell r="G156">
            <v>23</v>
          </cell>
          <cell r="H156">
            <v>37</v>
          </cell>
          <cell r="I156"/>
          <cell r="J156"/>
          <cell r="L156">
            <v>120</v>
          </cell>
          <cell r="M156" t="str">
            <v>±</v>
          </cell>
          <cell r="N156">
            <v>3</v>
          </cell>
          <cell r="R156"/>
          <cell r="T156"/>
          <cell r="U156"/>
          <cell r="V156"/>
          <cell r="X156"/>
          <cell r="Z156"/>
          <cell r="AA156"/>
          <cell r="AB156">
            <v>0</v>
          </cell>
          <cell r="AC156">
            <v>0</v>
          </cell>
          <cell r="AD156"/>
          <cell r="AG156"/>
          <cell r="AI156" t="str">
            <v>ระบุในSD</v>
          </cell>
          <cell r="AJ156"/>
          <cell r="AL156">
            <v>0</v>
          </cell>
          <cell r="AM156"/>
          <cell r="AN156">
            <v>0</v>
          </cell>
          <cell r="AO156" t="str">
            <v>WSWT2321112512051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BZ156" t="str">
            <v>WRWT211125/WRWT21900</v>
          </cell>
          <cell r="CA156">
            <v>0</v>
          </cell>
          <cell r="DL156"/>
          <cell r="DM156" t="str">
            <v>Lead time</v>
          </cell>
          <cell r="DN156"/>
          <cell r="DP156"/>
          <cell r="DQ156"/>
          <cell r="DR156"/>
          <cell r="DS156"/>
          <cell r="DT156"/>
          <cell r="DU156"/>
          <cell r="DW156"/>
          <cell r="DX156"/>
          <cell r="DY156"/>
          <cell r="DZ156"/>
          <cell r="EA156"/>
          <cell r="EB156"/>
          <cell r="EC156"/>
          <cell r="ED156"/>
          <cell r="EG156"/>
          <cell r="EH156"/>
          <cell r="EI156">
            <v>0</v>
          </cell>
        </row>
        <row r="157">
          <cell r="B157" t="str">
            <v>MK67-001490</v>
          </cell>
          <cell r="C157">
            <v>45601</v>
          </cell>
          <cell r="E157" t="str">
            <v>บจก.น้ำตาลทิพย์สุโขทัย</v>
          </cell>
          <cell r="F157" t="str">
            <v>Green for white sugar</v>
          </cell>
          <cell r="G157">
            <v>23</v>
          </cell>
          <cell r="H157">
            <v>37</v>
          </cell>
          <cell r="I157" t="str">
            <v>ขาว</v>
          </cell>
          <cell r="J157"/>
          <cell r="L157">
            <v>130</v>
          </cell>
          <cell r="M157" t="str">
            <v>±</v>
          </cell>
          <cell r="N157">
            <v>5</v>
          </cell>
          <cell r="R157" t="str">
            <v>บิด</v>
          </cell>
          <cell r="T157">
            <v>24</v>
          </cell>
          <cell r="U157">
            <v>40</v>
          </cell>
          <cell r="V157">
            <v>55</v>
          </cell>
          <cell r="X157" t="str">
            <v>รอแจ้ง</v>
          </cell>
          <cell r="Z157" t="str">
            <v>300แบน</v>
          </cell>
          <cell r="AA157">
            <v>100000</v>
          </cell>
          <cell r="AB157">
            <v>3207.7128103679997</v>
          </cell>
          <cell r="AC157">
            <v>0</v>
          </cell>
          <cell r="AD157">
            <v>3207.7128103679997</v>
          </cell>
          <cell r="AG157"/>
          <cell r="AI157"/>
          <cell r="AJ157">
            <v>1500</v>
          </cell>
          <cell r="AL157">
            <v>98500</v>
          </cell>
          <cell r="AM157"/>
          <cell r="AN157">
            <v>103425</v>
          </cell>
          <cell r="AO157" t="str">
            <v>WSWT2321112512551</v>
          </cell>
          <cell r="AQ157">
            <v>105955.465</v>
          </cell>
          <cell r="AR157">
            <v>18859</v>
          </cell>
          <cell r="AS157">
            <v>87096.464999999997</v>
          </cell>
          <cell r="AT157">
            <v>0</v>
          </cell>
          <cell r="AU157">
            <v>0</v>
          </cell>
          <cell r="BZ157" t="str">
            <v>WRWT211125/WRWT251030</v>
          </cell>
          <cell r="CA157">
            <v>11157.371681512501</v>
          </cell>
          <cell r="DL157" t="str">
            <v>P9</v>
          </cell>
          <cell r="DM157">
            <v>3</v>
          </cell>
          <cell r="DN157" t="str">
            <v>รอแจ้ง</v>
          </cell>
          <cell r="DP157" t="e">
            <v>#VALUE!</v>
          </cell>
          <cell r="DQ157"/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 t="e">
            <v>#VALUE!</v>
          </cell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MK67-001490</v>
          </cell>
          <cell r="C158">
            <v>45601</v>
          </cell>
          <cell r="E158" t="str">
            <v>บจก.น้ำตาลทิพย์สุโขทัย</v>
          </cell>
          <cell r="F158" t="str">
            <v>Green for white sugar</v>
          </cell>
          <cell r="G158">
            <v>23</v>
          </cell>
          <cell r="H158">
            <v>37</v>
          </cell>
          <cell r="I158" t="str">
            <v>ขาว</v>
          </cell>
          <cell r="J158"/>
          <cell r="L158">
            <v>130</v>
          </cell>
          <cell r="M158" t="str">
            <v>±</v>
          </cell>
          <cell r="N158">
            <v>5</v>
          </cell>
          <cell r="R158" t="str">
            <v>บิด</v>
          </cell>
          <cell r="T158">
            <v>24</v>
          </cell>
          <cell r="U158">
            <v>40</v>
          </cell>
          <cell r="V158">
            <v>55</v>
          </cell>
          <cell r="X158" t="str">
            <v>รอแจ้ง</v>
          </cell>
          <cell r="Z158" t="str">
            <v>300แบน</v>
          </cell>
          <cell r="AA158">
            <v>337878</v>
          </cell>
          <cell r="AB158">
            <v>11003.203948644863</v>
          </cell>
          <cell r="AC158">
            <v>0</v>
          </cell>
          <cell r="AD158">
            <v>11003.203948644863</v>
          </cell>
          <cell r="AG158"/>
          <cell r="AI158"/>
          <cell r="AJ158">
            <v>0</v>
          </cell>
          <cell r="AL158">
            <v>337878</v>
          </cell>
          <cell r="AM158"/>
          <cell r="AN158">
            <v>354771.9</v>
          </cell>
          <cell r="AO158" t="str">
            <v>WSWT2321112512551</v>
          </cell>
          <cell r="AQ158">
            <v>363451.98582000006</v>
          </cell>
          <cell r="AR158">
            <v>0</v>
          </cell>
          <cell r="AS158">
            <v>363451.98582000006</v>
          </cell>
          <cell r="AT158">
            <v>0</v>
          </cell>
          <cell r="AU158">
            <v>0</v>
          </cell>
          <cell r="BZ158" t="str">
            <v>WRWT211125/WRWT251030</v>
          </cell>
          <cell r="CA158">
            <v>46559.511849046357</v>
          </cell>
          <cell r="DL158" t="str">
            <v>P9</v>
          </cell>
          <cell r="DM158">
            <v>3</v>
          </cell>
          <cell r="DN158" t="str">
            <v>รอแจ้ง</v>
          </cell>
          <cell r="DP158" t="e">
            <v>#VALUE!</v>
          </cell>
          <cell r="DQ158"/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 t="e">
            <v>#VALUE!</v>
          </cell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>
            <v>0</v>
          </cell>
          <cell r="C159"/>
          <cell r="E159"/>
          <cell r="F159"/>
          <cell r="G159">
            <v>23</v>
          </cell>
          <cell r="H159">
            <v>37</v>
          </cell>
          <cell r="I159"/>
          <cell r="J159"/>
          <cell r="L159">
            <v>128</v>
          </cell>
          <cell r="M159" t="str">
            <v>±</v>
          </cell>
          <cell r="N159">
            <v>5</v>
          </cell>
          <cell r="R159"/>
          <cell r="T159"/>
          <cell r="U159"/>
          <cell r="V159"/>
          <cell r="X159"/>
          <cell r="Z159"/>
          <cell r="AA159"/>
          <cell r="AB159"/>
          <cell r="AC159">
            <v>0</v>
          </cell>
          <cell r="AD159"/>
          <cell r="AG159"/>
          <cell r="AI159" t="str">
            <v>ระบุในSD</v>
          </cell>
          <cell r="AJ159"/>
          <cell r="AL159">
            <v>0</v>
          </cell>
          <cell r="AM159"/>
          <cell r="AN159">
            <v>0</v>
          </cell>
          <cell r="AO159" t="str">
            <v>WSWT2321112512551</v>
          </cell>
          <cell r="AQ159">
            <v>469407.45082000003</v>
          </cell>
          <cell r="AR159">
            <v>18859</v>
          </cell>
          <cell r="AS159">
            <v>450548.45082000003</v>
          </cell>
          <cell r="AT159">
            <v>0</v>
          </cell>
          <cell r="AU159">
            <v>0</v>
          </cell>
          <cell r="BZ159" t="str">
            <v>WRWT2301125/WRWT251030</v>
          </cell>
          <cell r="CA159">
            <v>0</v>
          </cell>
          <cell r="DL159"/>
          <cell r="DM159"/>
          <cell r="DN159"/>
          <cell r="DP159"/>
          <cell r="DQ159"/>
          <cell r="DR159"/>
          <cell r="DS159"/>
          <cell r="DT159"/>
          <cell r="DU159"/>
          <cell r="DW159"/>
          <cell r="DX159"/>
          <cell r="DY159"/>
          <cell r="DZ159"/>
          <cell r="EA159"/>
          <cell r="EB159"/>
          <cell r="EC159"/>
          <cell r="ED159"/>
          <cell r="EG159"/>
          <cell r="EH159">
            <v>0</v>
          </cell>
          <cell r="EI159">
            <v>0</v>
          </cell>
        </row>
        <row r="160">
          <cell r="B160">
            <v>0</v>
          </cell>
          <cell r="C160"/>
          <cell r="E160"/>
          <cell r="F160"/>
          <cell r="G160">
            <v>24</v>
          </cell>
          <cell r="H160">
            <v>37</v>
          </cell>
          <cell r="I160"/>
          <cell r="J160"/>
          <cell r="L160">
            <v>120</v>
          </cell>
          <cell r="M160" t="str">
            <v>+</v>
          </cell>
          <cell r="N160">
            <v>3</v>
          </cell>
          <cell r="R160"/>
          <cell r="T160"/>
          <cell r="U160"/>
          <cell r="V160"/>
          <cell r="X160"/>
          <cell r="Z160"/>
          <cell r="AA160"/>
          <cell r="AB160"/>
          <cell r="AC160">
            <v>0</v>
          </cell>
          <cell r="AD160"/>
          <cell r="AG160"/>
          <cell r="AI160" t="str">
            <v>ระบุในSD</v>
          </cell>
          <cell r="AJ160"/>
          <cell r="AL160">
            <v>0</v>
          </cell>
          <cell r="AM160"/>
          <cell r="AN160">
            <v>0</v>
          </cell>
          <cell r="AO160" t="str">
            <v>WSWT24211125120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BZ160" t="str">
            <v>WRWT2401125/WRWT25850</v>
          </cell>
          <cell r="CA160">
            <v>0</v>
          </cell>
          <cell r="DL160"/>
          <cell r="DM160"/>
          <cell r="DN160"/>
          <cell r="DP160"/>
          <cell r="DQ160"/>
          <cell r="DR160"/>
          <cell r="DS160"/>
          <cell r="DT160"/>
          <cell r="DU160"/>
          <cell r="DW160"/>
          <cell r="DX160"/>
          <cell r="DY160"/>
          <cell r="DZ160"/>
          <cell r="EA160"/>
          <cell r="EB160"/>
          <cell r="EC160"/>
          <cell r="ED160"/>
          <cell r="EG160"/>
          <cell r="EH160">
            <v>0</v>
          </cell>
          <cell r="EI160">
            <v>0</v>
          </cell>
        </row>
        <row r="161">
          <cell r="B161">
            <v>0</v>
          </cell>
          <cell r="C161"/>
          <cell r="E161"/>
          <cell r="F161" t="str">
            <v xml:space="preserve"> </v>
          </cell>
          <cell r="G161">
            <v>24</v>
          </cell>
          <cell r="H161">
            <v>37</v>
          </cell>
          <cell r="I161"/>
          <cell r="J161"/>
          <cell r="L161">
            <v>125</v>
          </cell>
          <cell r="M161" t="str">
            <v>+</v>
          </cell>
          <cell r="N161">
            <v>3</v>
          </cell>
          <cell r="R161"/>
          <cell r="T161"/>
          <cell r="U161"/>
          <cell r="V161"/>
          <cell r="X161"/>
          <cell r="Z161"/>
          <cell r="AA161"/>
          <cell r="AB161"/>
          <cell r="AC161">
            <v>0</v>
          </cell>
          <cell r="AD161"/>
          <cell r="AG161"/>
          <cell r="AI161" t="str">
            <v>ระบุในSD</v>
          </cell>
          <cell r="AJ161"/>
          <cell r="AL161">
            <v>0</v>
          </cell>
          <cell r="AM161"/>
          <cell r="AN161">
            <v>0</v>
          </cell>
          <cell r="AO161" t="str">
            <v>WSWT2421112512551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BZ161" t="str">
            <v>WRWT2401125/WRWT25960</v>
          </cell>
          <cell r="CA161">
            <v>0</v>
          </cell>
          <cell r="DL161"/>
          <cell r="DM161" t="str">
            <v>Lead time</v>
          </cell>
          <cell r="DN161"/>
          <cell r="DP161"/>
          <cell r="DQ161"/>
          <cell r="DR161"/>
          <cell r="DS161"/>
          <cell r="DT161"/>
          <cell r="DU161"/>
          <cell r="DW161"/>
          <cell r="DX161"/>
          <cell r="DY161"/>
          <cell r="DZ161"/>
          <cell r="EA161"/>
          <cell r="EB161"/>
          <cell r="EC161"/>
          <cell r="ED161"/>
          <cell r="EG161"/>
          <cell r="EH161">
            <v>0</v>
          </cell>
          <cell r="EI161">
            <v>0</v>
          </cell>
        </row>
        <row r="162">
          <cell r="B162">
            <v>0</v>
          </cell>
          <cell r="C162"/>
          <cell r="E162"/>
          <cell r="F162"/>
          <cell r="G162">
            <v>26</v>
          </cell>
          <cell r="H162">
            <v>38</v>
          </cell>
          <cell r="I162" t="str">
            <v>เหลือง</v>
          </cell>
          <cell r="J162"/>
          <cell r="L162">
            <v>105</v>
          </cell>
          <cell r="M162" t="str">
            <v>±</v>
          </cell>
          <cell r="N162">
            <v>5</v>
          </cell>
          <cell r="R162"/>
          <cell r="T162"/>
          <cell r="U162"/>
          <cell r="V162"/>
          <cell r="X162"/>
          <cell r="Z162"/>
          <cell r="AA162"/>
          <cell r="AB162">
            <v>0</v>
          </cell>
          <cell r="AC162">
            <v>0</v>
          </cell>
          <cell r="AD162"/>
          <cell r="AG162"/>
          <cell r="AI162" t="str">
            <v>ระบุในSD</v>
          </cell>
          <cell r="AJ162"/>
          <cell r="AL162">
            <v>0</v>
          </cell>
          <cell r="AM162"/>
          <cell r="AN162">
            <v>0</v>
          </cell>
          <cell r="AO162" t="str">
            <v>WSYL2625850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BZ162" t="str">
            <v>WRYL25850/WRYL25850</v>
          </cell>
          <cell r="CA162">
            <v>0</v>
          </cell>
          <cell r="DL162"/>
          <cell r="DM162" t="str">
            <v>Lead time</v>
          </cell>
          <cell r="DN162"/>
          <cell r="DP162"/>
          <cell r="DQ162"/>
          <cell r="DR162"/>
          <cell r="DS162"/>
          <cell r="DT162"/>
          <cell r="DU162"/>
          <cell r="DW162"/>
          <cell r="DX162"/>
          <cell r="DY162"/>
          <cell r="DZ162"/>
          <cell r="EA162"/>
          <cell r="EB162"/>
          <cell r="EC162"/>
          <cell r="ED162"/>
          <cell r="EG162"/>
          <cell r="EH162"/>
          <cell r="EI162">
            <v>0</v>
          </cell>
        </row>
        <row r="163">
          <cell r="B163" t="str">
            <v>MK68-001030</v>
          </cell>
          <cell r="C163">
            <v>45894</v>
          </cell>
          <cell r="E163" t="str">
            <v>คุณธนนท์ อุทัยไพศาลวงศ์</v>
          </cell>
          <cell r="F163" t="str">
            <v>ไม่พิมพ์</v>
          </cell>
          <cell r="G163">
            <v>26</v>
          </cell>
          <cell r="H163">
            <v>39</v>
          </cell>
          <cell r="I163" t="str">
            <v>ขาว</v>
          </cell>
          <cell r="J163"/>
          <cell r="L163">
            <v>93</v>
          </cell>
          <cell r="M163" t="str">
            <v>±</v>
          </cell>
          <cell r="N163">
            <v>5</v>
          </cell>
          <cell r="R163" t="str">
            <v>ไม่</v>
          </cell>
          <cell r="T163" t="str">
            <v>ไม่สวมถุงใน</v>
          </cell>
          <cell r="U163"/>
          <cell r="V163"/>
          <cell r="X163">
            <v>45910</v>
          </cell>
          <cell r="Z163" t="str">
            <v>มัด100</v>
          </cell>
          <cell r="AA163">
            <v>5000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5000</v>
          </cell>
          <cell r="AL163">
            <v>0</v>
          </cell>
          <cell r="AM163"/>
          <cell r="AN163">
            <v>0</v>
          </cell>
          <cell r="AO163" t="str">
            <v>WSWT2625650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BZ163" t="str">
            <v>WRWT25650/WRWT25650</v>
          </cell>
          <cell r="CA163">
            <v>0</v>
          </cell>
          <cell r="DL163" t="str">
            <v>P3</v>
          </cell>
          <cell r="DM163">
            <v>1</v>
          </cell>
          <cell r="DN163">
            <v>45910</v>
          </cell>
          <cell r="DP163">
            <v>45905</v>
          </cell>
          <cell r="DQ163"/>
          <cell r="DR163"/>
          <cell r="DS163"/>
          <cell r="DT163"/>
          <cell r="DU163">
            <v>45909</v>
          </cell>
          <cell r="DW163"/>
          <cell r="DX163"/>
          <cell r="DY163"/>
          <cell r="DZ163"/>
          <cell r="EA163"/>
          <cell r="EB163"/>
          <cell r="EC163" t="str">
            <v>ตัด</v>
          </cell>
          <cell r="ED163"/>
          <cell r="EG163"/>
          <cell r="EH163"/>
          <cell r="EI163"/>
        </row>
        <row r="164">
          <cell r="B164" t="str">
            <v>MK68-001083</v>
          </cell>
          <cell r="C164">
            <v>45906</v>
          </cell>
          <cell r="E164" t="str">
            <v>บจก.กบินทร์อินทรีย์</v>
          </cell>
          <cell r="F164" t="str">
            <v>หลอดไฟ 20กก.</v>
          </cell>
          <cell r="G164">
            <v>26</v>
          </cell>
          <cell r="H164">
            <v>41</v>
          </cell>
          <cell r="I164" t="str">
            <v>ขาว</v>
          </cell>
          <cell r="J164"/>
          <cell r="L164">
            <v>97</v>
          </cell>
          <cell r="M164" t="str">
            <v>±</v>
          </cell>
          <cell r="N164">
            <v>5</v>
          </cell>
          <cell r="R164" t="str">
            <v>บิด</v>
          </cell>
          <cell r="T164">
            <v>27</v>
          </cell>
          <cell r="U164">
            <v>43</v>
          </cell>
          <cell r="V164">
            <v>40</v>
          </cell>
          <cell r="X164">
            <v>45919</v>
          </cell>
          <cell r="Z164" t="str">
            <v>300กระสอบ</v>
          </cell>
          <cell r="AA164">
            <v>4000</v>
          </cell>
          <cell r="AB164">
            <v>114.57174504959998</v>
          </cell>
          <cell r="AC164">
            <v>0</v>
          </cell>
          <cell r="AD164">
            <v>114.57174504959998</v>
          </cell>
          <cell r="AG164"/>
          <cell r="AI164"/>
          <cell r="AJ164">
            <v>0</v>
          </cell>
          <cell r="AL164">
            <v>4000</v>
          </cell>
          <cell r="AM164"/>
          <cell r="AN164">
            <v>4200</v>
          </cell>
          <cell r="AO164" t="str">
            <v>WSWT2625650</v>
          </cell>
          <cell r="AQ164">
            <v>4749.8</v>
          </cell>
          <cell r="AR164">
            <v>0</v>
          </cell>
          <cell r="AS164">
            <v>4749.8</v>
          </cell>
          <cell r="AT164">
            <v>0</v>
          </cell>
          <cell r="AU164">
            <v>0</v>
          </cell>
          <cell r="BZ164" t="str">
            <v>WRWT25650/WRWT25650</v>
          </cell>
          <cell r="CA164">
            <v>383.51996222222226</v>
          </cell>
          <cell r="DL164" t="str">
            <v>P9</v>
          </cell>
          <cell r="DM164">
            <v>3</v>
          </cell>
          <cell r="DN164">
            <v>45919</v>
          </cell>
          <cell r="DP164">
            <v>45914</v>
          </cell>
          <cell r="DQ164"/>
          <cell r="DR164">
            <v>45909</v>
          </cell>
          <cell r="DS164">
            <v>45916</v>
          </cell>
          <cell r="DT164">
            <v>45917</v>
          </cell>
          <cell r="DU164">
            <v>45917</v>
          </cell>
          <cell r="DW164">
            <v>45918</v>
          </cell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>รอART</v>
          </cell>
          <cell r="EG164"/>
          <cell r="EH164"/>
          <cell r="EI164"/>
        </row>
        <row r="165">
          <cell r="B165" t="str">
            <v>MK68-001083</v>
          </cell>
          <cell r="C165">
            <v>45906</v>
          </cell>
          <cell r="E165" t="str">
            <v>บจก.กบินทร์อินทรีย์</v>
          </cell>
          <cell r="F165" t="str">
            <v xml:space="preserve">ไก่เหยียบศรกบินทร์ </v>
          </cell>
          <cell r="G165">
            <v>26</v>
          </cell>
          <cell r="H165">
            <v>41</v>
          </cell>
          <cell r="I165" t="str">
            <v>ขาว</v>
          </cell>
          <cell r="J165"/>
          <cell r="L165">
            <v>97</v>
          </cell>
          <cell r="M165" t="str">
            <v>±</v>
          </cell>
          <cell r="N165">
            <v>5</v>
          </cell>
          <cell r="R165" t="str">
            <v>บิด</v>
          </cell>
          <cell r="T165">
            <v>27</v>
          </cell>
          <cell r="U165">
            <v>43</v>
          </cell>
          <cell r="V165">
            <v>40</v>
          </cell>
          <cell r="X165">
            <v>45919</v>
          </cell>
          <cell r="Z165" t="str">
            <v>300กระสอบ</v>
          </cell>
          <cell r="AA165">
            <v>4000</v>
          </cell>
          <cell r="AB165">
            <v>114.57174504959998</v>
          </cell>
          <cell r="AC165">
            <v>0</v>
          </cell>
          <cell r="AD165">
            <v>114.57174504959998</v>
          </cell>
          <cell r="AG165"/>
          <cell r="AI165"/>
          <cell r="AJ165">
            <v>0</v>
          </cell>
          <cell r="AL165">
            <v>4000</v>
          </cell>
          <cell r="AM165"/>
          <cell r="AN165">
            <v>4200</v>
          </cell>
          <cell r="AO165" t="str">
            <v>WSWT2625650</v>
          </cell>
          <cell r="AQ165">
            <v>4749.8</v>
          </cell>
          <cell r="AR165">
            <v>0</v>
          </cell>
          <cell r="AS165">
            <v>4749.8</v>
          </cell>
          <cell r="AT165">
            <v>0</v>
          </cell>
          <cell r="AU165">
            <v>0</v>
          </cell>
          <cell r="BZ165" t="str">
            <v>WRWT25650/WRWT25650</v>
          </cell>
          <cell r="CA165">
            <v>383.51996222222226</v>
          </cell>
          <cell r="DL165" t="str">
            <v>P9</v>
          </cell>
          <cell r="DM165">
            <v>3</v>
          </cell>
          <cell r="DN165">
            <v>45919</v>
          </cell>
          <cell r="DP165">
            <v>45914</v>
          </cell>
          <cell r="DQ165"/>
          <cell r="DR165">
            <v>45909</v>
          </cell>
          <cell r="DS165">
            <v>45916</v>
          </cell>
          <cell r="DT165">
            <v>45917</v>
          </cell>
          <cell r="DU165">
            <v>45917</v>
          </cell>
          <cell r="DW165">
            <v>45918</v>
          </cell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>รอART</v>
          </cell>
          <cell r="EG165"/>
          <cell r="EH165"/>
          <cell r="EI165"/>
        </row>
        <row r="166">
          <cell r="B166" t="str">
            <v>ใบรับคำสั่งซื้อ</v>
          </cell>
          <cell r="C166">
            <v>45906</v>
          </cell>
          <cell r="E166" t="str">
            <v>บจก.กบินทร์อินทรีย์</v>
          </cell>
          <cell r="F166" t="str">
            <v>ไก่เหยียบศรีวรรณ</v>
          </cell>
          <cell r="G166">
            <v>26</v>
          </cell>
          <cell r="H166">
            <v>41</v>
          </cell>
          <cell r="I166" t="str">
            <v>ขาว</v>
          </cell>
          <cell r="J166"/>
          <cell r="L166">
            <v>97</v>
          </cell>
          <cell r="M166" t="str">
            <v>±</v>
          </cell>
          <cell r="N166">
            <v>5</v>
          </cell>
          <cell r="R166" t="str">
            <v>บิด</v>
          </cell>
          <cell r="T166">
            <v>27</v>
          </cell>
          <cell r="U166">
            <v>43</v>
          </cell>
          <cell r="V166">
            <v>40</v>
          </cell>
          <cell r="X166">
            <v>45919</v>
          </cell>
          <cell r="Z166" t="str">
            <v>300กระสอบ</v>
          </cell>
          <cell r="AA166">
            <v>4000</v>
          </cell>
          <cell r="AB166">
            <v>114.57174504959998</v>
          </cell>
          <cell r="AC166">
            <v>0</v>
          </cell>
          <cell r="AD166">
            <v>114.57174504959998</v>
          </cell>
          <cell r="AG166"/>
          <cell r="AI166"/>
          <cell r="AJ166">
            <v>0</v>
          </cell>
          <cell r="AL166">
            <v>4000</v>
          </cell>
          <cell r="AM166"/>
          <cell r="AN166">
            <v>4200</v>
          </cell>
          <cell r="AO166" t="str">
            <v>WSWT2625650</v>
          </cell>
          <cell r="AQ166">
            <v>4749.8</v>
          </cell>
          <cell r="AR166">
            <v>0</v>
          </cell>
          <cell r="AS166">
            <v>4749.8</v>
          </cell>
          <cell r="AT166">
            <v>0</v>
          </cell>
          <cell r="AU166">
            <v>0</v>
          </cell>
          <cell r="BZ166" t="str">
            <v>WRWT25650/WRWT25650</v>
          </cell>
          <cell r="CA166">
            <v>383.51996222222226</v>
          </cell>
          <cell r="DL166" t="str">
            <v>P9</v>
          </cell>
          <cell r="DM166">
            <v>3</v>
          </cell>
          <cell r="DN166">
            <v>45919</v>
          </cell>
          <cell r="DP166">
            <v>45914</v>
          </cell>
          <cell r="DQ166"/>
          <cell r="DR166">
            <v>45909</v>
          </cell>
          <cell r="DS166">
            <v>45916</v>
          </cell>
          <cell r="DT166">
            <v>45917</v>
          </cell>
          <cell r="DU166">
            <v>45917</v>
          </cell>
          <cell r="DW166">
            <v>45918</v>
          </cell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>รอART</v>
          </cell>
          <cell r="EG166"/>
          <cell r="EH166"/>
          <cell r="EI166"/>
        </row>
        <row r="167">
          <cell r="B167">
            <v>0</v>
          </cell>
          <cell r="C167"/>
          <cell r="E167"/>
          <cell r="F167"/>
          <cell r="G167">
            <v>26</v>
          </cell>
          <cell r="H167">
            <v>43</v>
          </cell>
          <cell r="I167" t="str">
            <v>ขาว</v>
          </cell>
          <cell r="J167"/>
          <cell r="L167">
            <v>102</v>
          </cell>
          <cell r="M167" t="str">
            <v>±</v>
          </cell>
          <cell r="N167">
            <v>5</v>
          </cell>
          <cell r="R167"/>
          <cell r="T167"/>
          <cell r="U167"/>
          <cell r="V167"/>
          <cell r="X167"/>
          <cell r="Z167"/>
          <cell r="AA167"/>
          <cell r="AB167">
            <v>0</v>
          </cell>
          <cell r="AC167">
            <v>0</v>
          </cell>
          <cell r="AD167"/>
          <cell r="AG167"/>
          <cell r="AI167" t="str">
            <v>ระบุในSD</v>
          </cell>
          <cell r="AJ167"/>
          <cell r="AL167">
            <v>0</v>
          </cell>
          <cell r="AM167"/>
          <cell r="AN167">
            <v>0</v>
          </cell>
          <cell r="AO167" t="str">
            <v>WSWT2625650</v>
          </cell>
          <cell r="AQ167">
            <v>14249.400000000001</v>
          </cell>
          <cell r="AR167">
            <v>0</v>
          </cell>
          <cell r="AS167">
            <v>14249.400000000001</v>
          </cell>
          <cell r="AT167">
            <v>0</v>
          </cell>
          <cell r="AU167">
            <v>0</v>
          </cell>
          <cell r="BZ167" t="str">
            <v>WRWT25650/WRWT25650</v>
          </cell>
          <cell r="CA167">
            <v>0</v>
          </cell>
          <cell r="DL167"/>
          <cell r="DM167" t="str">
            <v>Lead time</v>
          </cell>
          <cell r="DN167"/>
          <cell r="DP167"/>
          <cell r="DQ167"/>
          <cell r="DR167"/>
          <cell r="DS167"/>
          <cell r="DT167"/>
          <cell r="DU167"/>
          <cell r="DW167"/>
          <cell r="DX167"/>
          <cell r="DY167"/>
          <cell r="DZ167"/>
          <cell r="EA167"/>
          <cell r="EB167"/>
          <cell r="EC167"/>
          <cell r="ED167"/>
          <cell r="EG167"/>
          <cell r="EH167"/>
          <cell r="EI167">
            <v>0</v>
          </cell>
        </row>
        <row r="168">
          <cell r="B168" t="str">
            <v>MK68-001074</v>
          </cell>
          <cell r="C168">
            <v>45904</v>
          </cell>
          <cell r="E168" t="str">
            <v>บจก.ทีพีเค แอ็บโซลูท สตาร์ช</v>
          </cell>
          <cell r="F168" t="str">
            <v>MASTER CHEF</v>
          </cell>
          <cell r="G168">
            <v>26</v>
          </cell>
          <cell r="H168">
            <v>43</v>
          </cell>
          <cell r="I168" t="str">
            <v>ขาว</v>
          </cell>
          <cell r="J168" t="str">
            <v>ใส</v>
          </cell>
          <cell r="L168">
            <v>140</v>
          </cell>
          <cell r="M168" t="str">
            <v>±</v>
          </cell>
          <cell r="N168">
            <v>5</v>
          </cell>
          <cell r="R168" t="str">
            <v>ไม่</v>
          </cell>
          <cell r="T168" t="str">
            <v>ไม่สวมถุงใน</v>
          </cell>
          <cell r="U168"/>
          <cell r="V168"/>
          <cell r="X168">
            <v>45912</v>
          </cell>
          <cell r="Z168" t="str">
            <v xml:space="preserve">300กระสอบแบน  </v>
          </cell>
          <cell r="AA168">
            <v>10000</v>
          </cell>
          <cell r="AB168">
            <v>0</v>
          </cell>
          <cell r="AC168">
            <v>0</v>
          </cell>
          <cell r="AD168">
            <v>0</v>
          </cell>
          <cell r="AG168"/>
          <cell r="AI168" t="str">
            <v>ห้ามใช้เชือกฟาง</v>
          </cell>
          <cell r="AJ168">
            <v>0</v>
          </cell>
          <cell r="AL168">
            <v>10000</v>
          </cell>
          <cell r="AM168"/>
          <cell r="AN168">
            <v>10500</v>
          </cell>
          <cell r="AO168" t="str">
            <v>WSWT262575051</v>
          </cell>
          <cell r="AQ168">
            <v>12433.3</v>
          </cell>
          <cell r="AR168">
            <v>11491</v>
          </cell>
          <cell r="AS168">
            <v>942.29999999999927</v>
          </cell>
          <cell r="AT168">
            <v>0</v>
          </cell>
          <cell r="AU168">
            <v>12433.3</v>
          </cell>
          <cell r="BZ168" t="str">
            <v>WRWT25800/WRWT25650</v>
          </cell>
          <cell r="CA168">
            <v>84.660419999999945</v>
          </cell>
          <cell r="DL168" t="str">
            <v>P6</v>
          </cell>
          <cell r="DM168">
            <v>4</v>
          </cell>
          <cell r="DN168">
            <v>45912</v>
          </cell>
          <cell r="DP168">
            <v>45907</v>
          </cell>
          <cell r="DQ168">
            <v>45908</v>
          </cell>
          <cell r="DR168">
            <v>45901</v>
          </cell>
          <cell r="DS168">
            <v>45909</v>
          </cell>
          <cell r="DT168">
            <v>45910</v>
          </cell>
          <cell r="DU168">
            <v>45911</v>
          </cell>
          <cell r="DW168"/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/>
          <cell r="EG168"/>
          <cell r="EH168"/>
          <cell r="EI168"/>
        </row>
        <row r="169">
          <cell r="B169">
            <v>0</v>
          </cell>
          <cell r="C169"/>
          <cell r="E169"/>
          <cell r="F169"/>
          <cell r="G169">
            <v>26</v>
          </cell>
          <cell r="H169">
            <v>43</v>
          </cell>
          <cell r="I169"/>
          <cell r="J169"/>
          <cell r="L169">
            <v>100</v>
          </cell>
          <cell r="M169" t="str">
            <v>±</v>
          </cell>
          <cell r="N169">
            <v>5</v>
          </cell>
          <cell r="R169"/>
          <cell r="T169"/>
          <cell r="U169"/>
          <cell r="V169"/>
          <cell r="X169"/>
          <cell r="Z169"/>
          <cell r="AA169"/>
          <cell r="AB169"/>
          <cell r="AC169">
            <v>0</v>
          </cell>
          <cell r="AD169"/>
          <cell r="AG169"/>
          <cell r="AI169" t="str">
            <v>ระบุในSD</v>
          </cell>
          <cell r="AJ169"/>
          <cell r="AL169">
            <v>0</v>
          </cell>
          <cell r="AM169"/>
          <cell r="AN169">
            <v>0</v>
          </cell>
          <cell r="AO169" t="str">
            <v>WSWT262575051</v>
          </cell>
          <cell r="AQ169">
            <v>12433.3</v>
          </cell>
          <cell r="AR169">
            <v>11491</v>
          </cell>
          <cell r="AS169">
            <v>942.29999999999927</v>
          </cell>
          <cell r="AT169">
            <v>0</v>
          </cell>
          <cell r="AU169">
            <v>12433.3</v>
          </cell>
          <cell r="BZ169" t="str">
            <v>WRWT25800/WRWT25650</v>
          </cell>
          <cell r="CA169">
            <v>0</v>
          </cell>
          <cell r="DL169"/>
          <cell r="DM169" t="str">
            <v>Lead time</v>
          </cell>
          <cell r="DN169"/>
          <cell r="DP169"/>
          <cell r="DQ169"/>
          <cell r="DR169"/>
          <cell r="DS169"/>
          <cell r="DT169"/>
          <cell r="DU169"/>
          <cell r="DW169"/>
          <cell r="DX169"/>
          <cell r="DY169"/>
          <cell r="DZ169"/>
          <cell r="EA169"/>
          <cell r="EB169"/>
          <cell r="EC169"/>
          <cell r="ED169"/>
          <cell r="EG169"/>
          <cell r="EH169">
            <v>0</v>
          </cell>
          <cell r="EI169">
            <v>0</v>
          </cell>
        </row>
        <row r="170">
          <cell r="B170">
            <v>0</v>
          </cell>
          <cell r="C170"/>
          <cell r="E170"/>
          <cell r="F170"/>
          <cell r="G170">
            <v>26</v>
          </cell>
          <cell r="H170">
            <v>43</v>
          </cell>
          <cell r="I170"/>
          <cell r="J170"/>
          <cell r="L170">
            <v>113</v>
          </cell>
          <cell r="M170" t="str">
            <v>±</v>
          </cell>
          <cell r="N170">
            <v>5</v>
          </cell>
          <cell r="R170"/>
          <cell r="T170"/>
          <cell r="U170"/>
          <cell r="V170"/>
          <cell r="X170"/>
          <cell r="Z170"/>
          <cell r="AA170"/>
          <cell r="AB170"/>
          <cell r="AC170">
            <v>0</v>
          </cell>
          <cell r="AD170"/>
          <cell r="AG170"/>
          <cell r="AI170" t="str">
            <v>ระบุในSD</v>
          </cell>
          <cell r="AJ170"/>
          <cell r="AL170">
            <v>0</v>
          </cell>
          <cell r="AM170"/>
          <cell r="AN170">
            <v>0</v>
          </cell>
          <cell r="AO170" t="str">
            <v>WSWT2625700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BZ170" t="str">
            <v>WRWT260800/WRWT25650</v>
          </cell>
          <cell r="CA170">
            <v>0</v>
          </cell>
          <cell r="DL170"/>
          <cell r="DM170" t="str">
            <v>Lead time</v>
          </cell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>
            <v>0</v>
          </cell>
          <cell r="EI170">
            <v>0</v>
          </cell>
        </row>
        <row r="171">
          <cell r="B171">
            <v>0</v>
          </cell>
          <cell r="C171"/>
          <cell r="E171"/>
          <cell r="F171"/>
          <cell r="G171">
            <v>26</v>
          </cell>
          <cell r="H171">
            <v>41</v>
          </cell>
          <cell r="I171"/>
          <cell r="J171"/>
          <cell r="L171">
            <v>90</v>
          </cell>
          <cell r="M171" t="str">
            <v>±</v>
          </cell>
          <cell r="N171">
            <v>5</v>
          </cell>
          <cell r="R171"/>
          <cell r="T171"/>
          <cell r="U171"/>
          <cell r="V171"/>
          <cell r="X171"/>
          <cell r="Z171"/>
          <cell r="AA171"/>
          <cell r="AB171"/>
          <cell r="AC171">
            <v>0</v>
          </cell>
          <cell r="AD171"/>
          <cell r="AG171"/>
          <cell r="AI171" t="str">
            <v>ระบุในSD</v>
          </cell>
          <cell r="AJ171"/>
          <cell r="AL171">
            <v>0</v>
          </cell>
          <cell r="AM171"/>
          <cell r="AN171">
            <v>0</v>
          </cell>
          <cell r="AO171" t="str">
            <v>WSWT2625800SM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BZ171" t="str">
            <v>WRWT260800/WRWT25650</v>
          </cell>
          <cell r="CA171">
            <v>0</v>
          </cell>
          <cell r="DL171"/>
          <cell r="DM171" t="str">
            <v>Lead time</v>
          </cell>
          <cell r="DN171"/>
          <cell r="DP171"/>
          <cell r="DQ171"/>
          <cell r="DR171"/>
          <cell r="DS171"/>
          <cell r="DT171"/>
          <cell r="DU171"/>
          <cell r="DW171"/>
          <cell r="DX171"/>
          <cell r="DY171"/>
          <cell r="DZ171"/>
          <cell r="EA171"/>
          <cell r="EB171"/>
          <cell r="EC171"/>
          <cell r="ED171"/>
          <cell r="EG171"/>
          <cell r="EH171">
            <v>0</v>
          </cell>
          <cell r="EI171">
            <v>0</v>
          </cell>
        </row>
        <row r="172">
          <cell r="B172" t="str">
            <v>ประมาณการ</v>
          </cell>
          <cell r="C172" t="str">
            <v>ประมาณการ</v>
          </cell>
          <cell r="E172" t="str">
            <v>บจก.ที.ซี.ยูเนี่ยน อโกรเทค</v>
          </cell>
          <cell r="F172" t="str">
            <v>ไม่พิมพ์</v>
          </cell>
          <cell r="G172">
            <v>26</v>
          </cell>
          <cell r="H172">
            <v>43</v>
          </cell>
          <cell r="I172" t="str">
            <v>ขาว</v>
          </cell>
          <cell r="J172"/>
          <cell r="L172">
            <v>116</v>
          </cell>
          <cell r="M172" t="str">
            <v>±</v>
          </cell>
          <cell r="N172">
            <v>5</v>
          </cell>
          <cell r="R172" t="str">
            <v>ไม่</v>
          </cell>
          <cell r="T172" t="str">
            <v>ไม่สวมถุงใน</v>
          </cell>
          <cell r="U172"/>
          <cell r="V172"/>
          <cell r="X172">
            <v>45925</v>
          </cell>
          <cell r="Z172" t="str">
            <v xml:space="preserve">300กระสอบแบนเต็มใบ </v>
          </cell>
          <cell r="AA172">
            <v>10000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10000</v>
          </cell>
          <cell r="AM172"/>
          <cell r="AN172">
            <v>0</v>
          </cell>
          <cell r="AO172" t="str">
            <v xml:space="preserve">WSWT2625800 </v>
          </cell>
          <cell r="AQ172">
            <v>12433.3</v>
          </cell>
          <cell r="AR172">
            <v>12433.3</v>
          </cell>
          <cell r="AS172">
            <v>0</v>
          </cell>
          <cell r="AT172">
            <v>0</v>
          </cell>
          <cell r="AU172">
            <v>0</v>
          </cell>
          <cell r="BZ172" t="str">
            <v>WRWT25800/WRWT25800</v>
          </cell>
          <cell r="CA172">
            <v>0</v>
          </cell>
          <cell r="DL172" t="str">
            <v>P3</v>
          </cell>
          <cell r="DM172">
            <v>1</v>
          </cell>
          <cell r="DN172">
            <v>45925</v>
          </cell>
          <cell r="DP172">
            <v>45920</v>
          </cell>
          <cell r="DQ172"/>
          <cell r="DR172"/>
          <cell r="DS172"/>
          <cell r="DT172"/>
          <cell r="DU172">
            <v>45924</v>
          </cell>
          <cell r="DW172"/>
          <cell r="DX172"/>
          <cell r="DY172"/>
          <cell r="DZ172"/>
          <cell r="EA172"/>
          <cell r="EB172"/>
          <cell r="EC172" t="str">
            <v>ตัด</v>
          </cell>
          <cell r="ED172"/>
          <cell r="EG172"/>
          <cell r="EH172"/>
          <cell r="EI172"/>
        </row>
        <row r="173">
          <cell r="B173">
            <v>0</v>
          </cell>
          <cell r="C173"/>
          <cell r="E173"/>
          <cell r="F173"/>
          <cell r="G173">
            <v>26</v>
          </cell>
          <cell r="H173">
            <v>43</v>
          </cell>
          <cell r="I173"/>
          <cell r="J173"/>
          <cell r="L173">
            <v>116</v>
          </cell>
          <cell r="M173" t="str">
            <v>±</v>
          </cell>
          <cell r="N173">
            <v>5</v>
          </cell>
          <cell r="R173"/>
          <cell r="T173"/>
          <cell r="U173"/>
          <cell r="V173"/>
          <cell r="X173"/>
          <cell r="Z173"/>
          <cell r="AA173"/>
          <cell r="AB173"/>
          <cell r="AC173">
            <v>0</v>
          </cell>
          <cell r="AD173"/>
          <cell r="AG173"/>
          <cell r="AI173" t="str">
            <v>ระบุในSD</v>
          </cell>
          <cell r="AJ173"/>
          <cell r="AL173">
            <v>0</v>
          </cell>
          <cell r="AM173"/>
          <cell r="AN173">
            <v>0</v>
          </cell>
          <cell r="AO173" t="str">
            <v xml:space="preserve">WSWT2625800 </v>
          </cell>
          <cell r="AQ173">
            <v>12433.3</v>
          </cell>
          <cell r="AR173">
            <v>12433.3</v>
          </cell>
          <cell r="AS173">
            <v>0</v>
          </cell>
          <cell r="AT173">
            <v>0</v>
          </cell>
          <cell r="AU173">
            <v>0</v>
          </cell>
          <cell r="BZ173" t="str">
            <v>WRWT260800/WRWT25800</v>
          </cell>
          <cell r="CA173">
            <v>0</v>
          </cell>
          <cell r="DL173"/>
          <cell r="DM173" t="str">
            <v>Lead time</v>
          </cell>
          <cell r="DN173"/>
          <cell r="DP173"/>
          <cell r="DQ173"/>
          <cell r="DR173"/>
          <cell r="DS173"/>
          <cell r="DT173"/>
          <cell r="DU173"/>
          <cell r="DW173"/>
          <cell r="DX173"/>
          <cell r="DY173"/>
          <cell r="DZ173"/>
          <cell r="EA173"/>
          <cell r="EB173"/>
          <cell r="EC173"/>
          <cell r="ED173"/>
          <cell r="EG173"/>
          <cell r="EH173">
            <v>0</v>
          </cell>
          <cell r="EI173">
            <v>0</v>
          </cell>
        </row>
        <row r="174">
          <cell r="B174" t="str">
            <v>MK68-001052</v>
          </cell>
          <cell r="C174">
            <v>45898</v>
          </cell>
          <cell r="E174" t="str">
            <v>บจก.ที.ซี.ยูเนี่ยน อโกรเทค</v>
          </cell>
          <cell r="F174" t="str">
            <v>ไม่พิมพ์</v>
          </cell>
          <cell r="G174">
            <v>26</v>
          </cell>
          <cell r="H174">
            <v>43</v>
          </cell>
          <cell r="I174" t="str">
            <v>ขาว</v>
          </cell>
          <cell r="J174" t="str">
            <v>ใส</v>
          </cell>
          <cell r="L174">
            <v>150</v>
          </cell>
          <cell r="M174" t="str">
            <v>±</v>
          </cell>
          <cell r="N174">
            <v>5</v>
          </cell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45917</v>
          </cell>
          <cell r="Z174" t="str">
            <v xml:space="preserve">300กระสอบแบนเต็มใบ </v>
          </cell>
          <cell r="AA174">
            <v>15000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15000</v>
          </cell>
          <cell r="AM174"/>
          <cell r="AN174">
            <v>0</v>
          </cell>
          <cell r="AO174" t="str">
            <v>WSWT2625850SM</v>
          </cell>
          <cell r="AQ174">
            <v>18649.949999999997</v>
          </cell>
          <cell r="AR174">
            <v>4658</v>
          </cell>
          <cell r="AS174">
            <v>13991.949999999997</v>
          </cell>
          <cell r="AT174">
            <v>0</v>
          </cell>
          <cell r="AU174">
            <v>18649.949999999997</v>
          </cell>
          <cell r="BZ174" t="str">
            <v>WRWT25850/WRWT25850</v>
          </cell>
          <cell r="CA174">
            <v>1443.0364433333332</v>
          </cell>
          <cell r="DL174" t="str">
            <v>P11</v>
          </cell>
          <cell r="DM174">
            <v>2</v>
          </cell>
          <cell r="DN174">
            <v>45917</v>
          </cell>
          <cell r="DP174">
            <v>45912</v>
          </cell>
          <cell r="DQ174">
            <v>45915</v>
          </cell>
          <cell r="DR174"/>
          <cell r="DS174"/>
          <cell r="DT174"/>
          <cell r="DU174">
            <v>45916</v>
          </cell>
          <cell r="DW174"/>
          <cell r="DX174"/>
          <cell r="DY174"/>
          <cell r="DZ174"/>
          <cell r="EA174"/>
          <cell r="EB174"/>
          <cell r="EC174" t="str">
            <v>งานเคลือบ+ตัด</v>
          </cell>
          <cell r="ED174"/>
          <cell r="EG174"/>
          <cell r="EH174"/>
          <cell r="EI174"/>
        </row>
        <row r="175">
          <cell r="B175" t="str">
            <v>MK68-001066</v>
          </cell>
          <cell r="C175">
            <v>45901</v>
          </cell>
          <cell r="E175" t="str">
            <v>บจก.ที.ซี.ยูเนี่ยน อโกรเทค</v>
          </cell>
          <cell r="F175" t="str">
            <v>Zhejiang UN</v>
          </cell>
          <cell r="G175">
            <v>26</v>
          </cell>
          <cell r="H175">
            <v>43</v>
          </cell>
          <cell r="I175" t="str">
            <v>ขาว</v>
          </cell>
          <cell r="J175" t="str">
            <v>ใส</v>
          </cell>
          <cell r="L175">
            <v>150</v>
          </cell>
          <cell r="M175" t="str">
            <v>±</v>
          </cell>
          <cell r="N175">
            <v>5</v>
          </cell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45930</v>
          </cell>
          <cell r="Z175" t="str">
            <v xml:space="preserve">300กระสอบแบนเต็มใบ </v>
          </cell>
          <cell r="AA175">
            <v>30000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5000</v>
          </cell>
          <cell r="AL175">
            <v>25000</v>
          </cell>
          <cell r="AM175">
            <v>9475</v>
          </cell>
          <cell r="AN175">
            <v>21551.25</v>
          </cell>
          <cell r="AO175" t="str">
            <v>WSWT2625850SM</v>
          </cell>
          <cell r="AQ175">
            <v>26795.315662500001</v>
          </cell>
          <cell r="AR175">
            <v>0</v>
          </cell>
          <cell r="AS175">
            <v>26795.315662500001</v>
          </cell>
          <cell r="AT175">
            <v>0</v>
          </cell>
          <cell r="AU175">
            <v>26795.315662500001</v>
          </cell>
          <cell r="BZ175" t="str">
            <v>WRWT25850/WRWT25850</v>
          </cell>
          <cell r="CA175">
            <v>2763.4902219925007</v>
          </cell>
          <cell r="DL175" t="str">
            <v>P6</v>
          </cell>
          <cell r="DM175">
            <v>4</v>
          </cell>
          <cell r="DN175">
            <v>45930</v>
          </cell>
          <cell r="DP175">
            <v>45925</v>
          </cell>
          <cell r="DQ175">
            <v>45926</v>
          </cell>
          <cell r="DR175">
            <v>45919</v>
          </cell>
          <cell r="DS175">
            <v>45927</v>
          </cell>
          <cell r="DT175">
            <v>45928</v>
          </cell>
          <cell r="DU175">
            <v>45929</v>
          </cell>
          <cell r="DW175"/>
          <cell r="DX175"/>
          <cell r="DY175"/>
          <cell r="DZ175"/>
          <cell r="EA175"/>
          <cell r="EB175"/>
          <cell r="EC175" t="str">
            <v>งานเคลือบ+พิมพ์</v>
          </cell>
          <cell r="ED175"/>
          <cell r="EG175"/>
          <cell r="EH175"/>
          <cell r="EI175"/>
        </row>
        <row r="176">
          <cell r="B176" t="str">
            <v>MK68-001067</v>
          </cell>
          <cell r="C176">
            <v>45901</v>
          </cell>
          <cell r="E176" t="str">
            <v>บจก.ที.ซี.ยูเนี่ยน อโกรเทค</v>
          </cell>
          <cell r="F176" t="str">
            <v>Zhejiang UN</v>
          </cell>
          <cell r="G176">
            <v>26</v>
          </cell>
          <cell r="H176">
            <v>43</v>
          </cell>
          <cell r="I176" t="str">
            <v>ขาว</v>
          </cell>
          <cell r="J176" t="str">
            <v>ใส</v>
          </cell>
          <cell r="L176">
            <v>150</v>
          </cell>
          <cell r="M176" t="str">
            <v>±</v>
          </cell>
          <cell r="N176">
            <v>5</v>
          </cell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45945</v>
          </cell>
          <cell r="Z176" t="str">
            <v xml:space="preserve">300กระสอบแบนเต็มใบ </v>
          </cell>
          <cell r="AA176">
            <v>10000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10000</v>
          </cell>
          <cell r="AM176"/>
          <cell r="AN176">
            <v>10500</v>
          </cell>
          <cell r="AO176" t="str">
            <v>WSWT2625850SM</v>
          </cell>
          <cell r="AQ176">
            <v>12433.3</v>
          </cell>
          <cell r="AR176">
            <v>0</v>
          </cell>
          <cell r="AS176">
            <v>12433.3</v>
          </cell>
          <cell r="AT176">
            <v>0</v>
          </cell>
          <cell r="AU176">
            <v>12433.3</v>
          </cell>
          <cell r="BZ176" t="str">
            <v>WRWT25850/WRWT25850</v>
          </cell>
          <cell r="CA176">
            <v>1282.2876733333333</v>
          </cell>
          <cell r="DL176" t="str">
            <v>P6</v>
          </cell>
          <cell r="DM176">
            <v>4</v>
          </cell>
          <cell r="DN176">
            <v>45945</v>
          </cell>
          <cell r="DP176">
            <v>45940</v>
          </cell>
          <cell r="DQ176">
            <v>45941</v>
          </cell>
          <cell r="DR176">
            <v>45934</v>
          </cell>
          <cell r="DS176">
            <v>45942</v>
          </cell>
          <cell r="DT176">
            <v>45943</v>
          </cell>
          <cell r="DU176">
            <v>45944</v>
          </cell>
          <cell r="DW176"/>
          <cell r="DX176"/>
          <cell r="DY176"/>
          <cell r="DZ176"/>
          <cell r="EA176"/>
          <cell r="EB176"/>
          <cell r="EC176" t="str">
            <v>งานเคลือบ+พิมพ์</v>
          </cell>
          <cell r="ED176"/>
          <cell r="EG176"/>
          <cell r="EH176"/>
          <cell r="EI176"/>
        </row>
        <row r="177">
          <cell r="B177">
            <v>0</v>
          </cell>
          <cell r="C177"/>
          <cell r="E177"/>
          <cell r="F177"/>
          <cell r="G177">
            <v>26</v>
          </cell>
          <cell r="H177">
            <v>43</v>
          </cell>
          <cell r="I177"/>
          <cell r="J177"/>
          <cell r="L177">
            <v>120</v>
          </cell>
          <cell r="M177" t="str">
            <v>±</v>
          </cell>
          <cell r="N177">
            <v>5</v>
          </cell>
          <cell r="R177"/>
          <cell r="T177"/>
          <cell r="U177"/>
          <cell r="V177"/>
          <cell r="X177"/>
          <cell r="Z177"/>
          <cell r="AA177"/>
          <cell r="AB177"/>
          <cell r="AC177">
            <v>0</v>
          </cell>
          <cell r="AD177"/>
          <cell r="AG177"/>
          <cell r="AI177" t="str">
            <v>ระบุในSD</v>
          </cell>
          <cell r="AJ177"/>
          <cell r="AL177">
            <v>0</v>
          </cell>
          <cell r="AM177"/>
          <cell r="AN177">
            <v>0</v>
          </cell>
          <cell r="AO177" t="str">
            <v>WSWT2625850SM</v>
          </cell>
          <cell r="AQ177">
            <v>57878.565662499997</v>
          </cell>
          <cell r="AR177">
            <v>4658</v>
          </cell>
          <cell r="AS177">
            <v>53220.565662499997</v>
          </cell>
          <cell r="AT177">
            <v>0</v>
          </cell>
          <cell r="AU177">
            <v>57878.565662499997</v>
          </cell>
          <cell r="BZ177" t="str">
            <v>WRWT260850/WRWT25850</v>
          </cell>
          <cell r="CA177">
            <v>0</v>
          </cell>
          <cell r="DL177"/>
          <cell r="DM177" t="str">
            <v>Lead time</v>
          </cell>
          <cell r="DN177"/>
          <cell r="DP177"/>
          <cell r="DQ177"/>
          <cell r="DR177"/>
          <cell r="DS177"/>
          <cell r="DT177"/>
          <cell r="DU177"/>
          <cell r="DW177"/>
          <cell r="DX177"/>
          <cell r="DY177"/>
          <cell r="DZ177"/>
          <cell r="EA177"/>
          <cell r="EB177"/>
          <cell r="EC177"/>
          <cell r="ED177"/>
          <cell r="EG177"/>
          <cell r="EH177">
            <v>0</v>
          </cell>
          <cell r="EI177">
            <v>0</v>
          </cell>
        </row>
        <row r="178">
          <cell r="B178">
            <v>0</v>
          </cell>
          <cell r="C178"/>
          <cell r="E178"/>
          <cell r="F178"/>
          <cell r="G178">
            <v>28</v>
          </cell>
          <cell r="H178">
            <v>41</v>
          </cell>
          <cell r="I178" t="str">
            <v>ขาว</v>
          </cell>
          <cell r="J178"/>
          <cell r="L178">
            <v>122</v>
          </cell>
          <cell r="M178" t="str">
            <v>+</v>
          </cell>
          <cell r="N178">
            <v>3</v>
          </cell>
          <cell r="R178"/>
          <cell r="T178"/>
          <cell r="U178"/>
          <cell r="V178"/>
          <cell r="X178"/>
          <cell r="Z178"/>
          <cell r="AA178"/>
          <cell r="AB178">
            <v>0</v>
          </cell>
          <cell r="AC178">
            <v>0</v>
          </cell>
          <cell r="AD178"/>
          <cell r="AG178"/>
          <cell r="AI178" t="str">
            <v>ระบุในSD</v>
          </cell>
          <cell r="AJ178"/>
          <cell r="AL178">
            <v>0</v>
          </cell>
          <cell r="AM178"/>
          <cell r="AN178">
            <v>0</v>
          </cell>
          <cell r="AO178" t="str">
            <v>WSWT2825800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BZ178" t="str">
            <v>WRWT25850/WRWT25800</v>
          </cell>
          <cell r="CA178">
            <v>0</v>
          </cell>
          <cell r="DL178"/>
          <cell r="DM178" t="str">
            <v>Lead time</v>
          </cell>
          <cell r="DN178"/>
          <cell r="DP178"/>
          <cell r="DQ178"/>
          <cell r="DR178"/>
          <cell r="DS178"/>
          <cell r="DT178"/>
          <cell r="DU178"/>
          <cell r="DW178"/>
          <cell r="DX178"/>
          <cell r="DY178"/>
          <cell r="DZ178"/>
          <cell r="EA178"/>
          <cell r="EB178"/>
          <cell r="EC178"/>
          <cell r="ED178"/>
          <cell r="EG178"/>
          <cell r="EH178"/>
          <cell r="EI178">
            <v>0</v>
          </cell>
        </row>
        <row r="179">
          <cell r="B179" t="str">
            <v>MK68-001032</v>
          </cell>
          <cell r="C179">
            <v>45895</v>
          </cell>
          <cell r="E179" t="str">
            <v>บจก.ไทยร่วมใจน้ำมันพืช</v>
          </cell>
          <cell r="F179" t="str">
            <v>TRJ</v>
          </cell>
          <cell r="G179">
            <v>28</v>
          </cell>
          <cell r="H179">
            <v>41</v>
          </cell>
          <cell r="I179" t="str">
            <v>ขาว</v>
          </cell>
          <cell r="J179"/>
          <cell r="L179">
            <v>120</v>
          </cell>
          <cell r="M179" t="str">
            <v>+</v>
          </cell>
          <cell r="N179">
            <v>3</v>
          </cell>
          <cell r="R179" t="str">
            <v>ไม่</v>
          </cell>
          <cell r="T179" t="str">
            <v>ไม่สวมถุงใน</v>
          </cell>
          <cell r="U179"/>
          <cell r="V179"/>
          <cell r="X179">
            <v>45916</v>
          </cell>
          <cell r="Z179" t="str">
            <v>500กระสอบ</v>
          </cell>
          <cell r="AA179">
            <v>13000</v>
          </cell>
          <cell r="AB179">
            <v>0</v>
          </cell>
          <cell r="AC179">
            <v>0</v>
          </cell>
          <cell r="AD179">
            <v>0</v>
          </cell>
          <cell r="AG179" t="str">
            <v>มีน้ำหนักต่ำ รอผสม</v>
          </cell>
          <cell r="AI179"/>
          <cell r="AJ179">
            <v>13000</v>
          </cell>
          <cell r="AL179">
            <v>0</v>
          </cell>
          <cell r="AM179">
            <v>53544</v>
          </cell>
          <cell r="AN179">
            <v>0</v>
          </cell>
          <cell r="AO179" t="str">
            <v>WSWT2825850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BZ179" t="str">
            <v>WRWT25850/WRWT25850</v>
          </cell>
          <cell r="CA179">
            <v>0</v>
          </cell>
          <cell r="DL179" t="str">
            <v>P7</v>
          </cell>
          <cell r="DM179">
            <v>2</v>
          </cell>
          <cell r="DN179">
            <v>45916</v>
          </cell>
          <cell r="DP179">
            <v>45911</v>
          </cell>
          <cell r="DQ179"/>
          <cell r="DR179">
            <v>45907</v>
          </cell>
          <cell r="DS179">
            <v>45914</v>
          </cell>
          <cell r="DT179">
            <v>45915</v>
          </cell>
          <cell r="DU179">
            <v>45915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ใบรับคำสั่งซื้อ</v>
          </cell>
          <cell r="C180">
            <v>45909</v>
          </cell>
          <cell r="E180" t="str">
            <v>บจก.ไทยร่วมใจน้ำมันพืช</v>
          </cell>
          <cell r="F180" t="str">
            <v>TRJ</v>
          </cell>
          <cell r="G180">
            <v>28</v>
          </cell>
          <cell r="H180">
            <v>41</v>
          </cell>
          <cell r="I180" t="str">
            <v>ขาว</v>
          </cell>
          <cell r="J180"/>
          <cell r="L180">
            <v>120</v>
          </cell>
          <cell r="M180" t="str">
            <v>+</v>
          </cell>
          <cell r="N180">
            <v>3</v>
          </cell>
          <cell r="R180" t="str">
            <v>ไม่</v>
          </cell>
          <cell r="T180" t="str">
            <v>ไม่สวมถุงใน</v>
          </cell>
          <cell r="U180"/>
          <cell r="V180"/>
          <cell r="X180">
            <v>45922</v>
          </cell>
          <cell r="Z180" t="str">
            <v>500กระสอบ</v>
          </cell>
          <cell r="AA180">
            <v>50000</v>
          </cell>
          <cell r="AB180">
            <v>0</v>
          </cell>
          <cell r="AC180">
            <v>0</v>
          </cell>
          <cell r="AD180">
            <v>0</v>
          </cell>
          <cell r="AG180" t="str">
            <v>22/9เย็น</v>
          </cell>
          <cell r="AI180"/>
          <cell r="AJ180">
            <v>0</v>
          </cell>
          <cell r="AL180">
            <v>50000</v>
          </cell>
          <cell r="AM180">
            <v>0</v>
          </cell>
          <cell r="AN180">
            <v>52500</v>
          </cell>
          <cell r="AO180" t="str">
            <v>WSWT2825850</v>
          </cell>
          <cell r="AQ180">
            <v>59372.5</v>
          </cell>
          <cell r="AR180">
            <v>16630</v>
          </cell>
          <cell r="AS180">
            <v>42742.5</v>
          </cell>
          <cell r="AT180">
            <v>0</v>
          </cell>
          <cell r="AU180">
            <v>0</v>
          </cell>
          <cell r="BZ180" t="str">
            <v>WRWT25850/WRWT25850</v>
          </cell>
          <cell r="CA180">
            <v>4803.7820833333326</v>
          </cell>
          <cell r="DL180" t="str">
            <v>P7</v>
          </cell>
          <cell r="DM180">
            <v>2</v>
          </cell>
          <cell r="DN180">
            <v>45922</v>
          </cell>
          <cell r="DP180">
            <v>45917</v>
          </cell>
          <cell r="DQ180"/>
          <cell r="DR180">
            <v>45913</v>
          </cell>
          <cell r="DS180">
            <v>45920</v>
          </cell>
          <cell r="DT180">
            <v>45921</v>
          </cell>
          <cell r="DU180">
            <v>45921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>รอART</v>
          </cell>
          <cell r="EG180"/>
          <cell r="EH180"/>
          <cell r="EI180"/>
        </row>
        <row r="181">
          <cell r="B181" t="str">
            <v>ประมาณการ</v>
          </cell>
          <cell r="C181" t="str">
            <v>ประมาณการ</v>
          </cell>
          <cell r="E181" t="str">
            <v>บจก.ที.ซี.ยูเนี่ยน อโกรเทค</v>
          </cell>
          <cell r="F181" t="str">
            <v>ไม่พิมพ์</v>
          </cell>
          <cell r="G181">
            <v>28</v>
          </cell>
          <cell r="H181">
            <v>47</v>
          </cell>
          <cell r="I181" t="str">
            <v>ขาว</v>
          </cell>
          <cell r="J181" t="str">
            <v>ใส</v>
          </cell>
          <cell r="L181">
            <v>180</v>
          </cell>
          <cell r="M181" t="str">
            <v>±</v>
          </cell>
          <cell r="N181">
            <v>5</v>
          </cell>
          <cell r="R181" t="str">
            <v>ไม่</v>
          </cell>
          <cell r="T181" t="str">
            <v>ไม่สวมถุงใน</v>
          </cell>
          <cell r="U181"/>
          <cell r="V181"/>
          <cell r="X181">
            <v>45925</v>
          </cell>
          <cell r="Z181" t="str">
            <v xml:space="preserve">300กระสอบแบนเต็มใบ </v>
          </cell>
          <cell r="AA181">
            <v>5000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5000</v>
          </cell>
          <cell r="AM181"/>
          <cell r="AN181">
            <v>0</v>
          </cell>
          <cell r="AO181" t="str">
            <v>WSWT2825850</v>
          </cell>
          <cell r="AQ181">
            <v>6775.4500000000007</v>
          </cell>
          <cell r="AR181">
            <v>0</v>
          </cell>
          <cell r="AS181">
            <v>6775.4500000000007</v>
          </cell>
          <cell r="AT181">
            <v>0</v>
          </cell>
          <cell r="AU181">
            <v>6775.4500000000007</v>
          </cell>
          <cell r="BZ181" t="str">
            <v>WRWT25850/WRWT25850</v>
          </cell>
          <cell r="CA181">
            <v>761.48529722222236</v>
          </cell>
          <cell r="DL181" t="str">
            <v>P11</v>
          </cell>
          <cell r="DM181">
            <v>2</v>
          </cell>
          <cell r="DN181">
            <v>45925</v>
          </cell>
          <cell r="DP181">
            <v>45920</v>
          </cell>
          <cell r="DQ181">
            <v>45923</v>
          </cell>
          <cell r="DR181"/>
          <cell r="DS181"/>
          <cell r="DT181"/>
          <cell r="DU181">
            <v>45924</v>
          </cell>
          <cell r="DW181"/>
          <cell r="DX181"/>
          <cell r="DY181"/>
          <cell r="DZ181"/>
          <cell r="EA181"/>
          <cell r="EB181"/>
          <cell r="EC181" t="str">
            <v>งานเคลือบ+ตัด</v>
          </cell>
          <cell r="ED181"/>
          <cell r="EG181"/>
          <cell r="EH181"/>
          <cell r="EI181"/>
        </row>
        <row r="182">
          <cell r="B182">
            <v>0</v>
          </cell>
          <cell r="C182"/>
          <cell r="E182"/>
          <cell r="F182"/>
          <cell r="G182">
            <v>28</v>
          </cell>
          <cell r="H182">
            <v>43</v>
          </cell>
          <cell r="I182"/>
          <cell r="J182"/>
          <cell r="L182">
            <v>130</v>
          </cell>
          <cell r="M182" t="str">
            <v>±</v>
          </cell>
          <cell r="N182">
            <v>3</v>
          </cell>
          <cell r="R182"/>
          <cell r="T182"/>
          <cell r="U182"/>
          <cell r="V182"/>
          <cell r="X182"/>
          <cell r="Z182"/>
          <cell r="AA182"/>
          <cell r="AB182"/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WSWT2825850</v>
          </cell>
          <cell r="AQ182">
            <v>66147.95</v>
          </cell>
          <cell r="AR182">
            <v>16630</v>
          </cell>
          <cell r="AS182">
            <v>49517.95</v>
          </cell>
          <cell r="AT182">
            <v>0</v>
          </cell>
          <cell r="AU182">
            <v>6775.4500000000007</v>
          </cell>
          <cell r="BZ182" t="str">
            <v>WRWT280850/WRWT25850</v>
          </cell>
          <cell r="CA182">
            <v>0</v>
          </cell>
          <cell r="DL182"/>
          <cell r="DM182"/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/>
          <cell r="EI182"/>
        </row>
        <row r="183">
          <cell r="B183">
            <v>0</v>
          </cell>
          <cell r="C183"/>
          <cell r="E183"/>
          <cell r="F183"/>
          <cell r="G183">
            <v>30</v>
          </cell>
          <cell r="H183">
            <v>41</v>
          </cell>
          <cell r="I183"/>
          <cell r="J183"/>
          <cell r="L183">
            <v>122</v>
          </cell>
          <cell r="M183" t="str">
            <v>±</v>
          </cell>
          <cell r="N183">
            <v>5</v>
          </cell>
          <cell r="R183"/>
          <cell r="T183"/>
          <cell r="U183"/>
          <cell r="V183"/>
          <cell r="X183"/>
          <cell r="Z183"/>
          <cell r="AA183"/>
          <cell r="AB183">
            <v>0</v>
          </cell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WSWT3025800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BZ183" t="str">
            <v>WRWT25800/WRWT28750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/>
          <cell r="EI183">
            <v>0</v>
          </cell>
        </row>
        <row r="184">
          <cell r="B184"/>
          <cell r="C184"/>
          <cell r="E184"/>
          <cell r="F184"/>
          <cell r="G184"/>
          <cell r="H184"/>
          <cell r="I184"/>
          <cell r="J184"/>
          <cell r="L184"/>
          <cell r="M184"/>
          <cell r="N184"/>
          <cell r="R184"/>
          <cell r="T184"/>
          <cell r="U184"/>
          <cell r="V184"/>
          <cell r="X184" t="str">
            <v>ค้างส่งทั้งหมด</v>
          </cell>
          <cell r="Z184"/>
          <cell r="AA184">
            <v>2282598</v>
          </cell>
          <cell r="AB184"/>
          <cell r="AC184"/>
          <cell r="AD184"/>
          <cell r="AG184"/>
          <cell r="AI184"/>
          <cell r="AJ184">
            <v>134302</v>
          </cell>
          <cell r="AL184"/>
          <cell r="AM184"/>
          <cell r="AN184"/>
          <cell r="AO184"/>
          <cell r="AQ184" t="e">
            <v>#REF!</v>
          </cell>
          <cell r="AR184" t="e">
            <v>#REF!</v>
          </cell>
          <cell r="AS184" t="e">
            <v>#REF!</v>
          </cell>
          <cell r="AT184"/>
          <cell r="AU184"/>
          <cell r="BZ184"/>
          <cell r="CA184">
            <v>129879.80396847229</v>
          </cell>
          <cell r="DL184"/>
          <cell r="DM184" t="str">
            <v>Lead time</v>
          </cell>
          <cell r="DN184"/>
          <cell r="DP184">
            <v>-5</v>
          </cell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/>
          <cell r="EI184"/>
        </row>
        <row r="185">
          <cell r="B185"/>
          <cell r="C185"/>
          <cell r="E185"/>
          <cell r="F185"/>
          <cell r="G185"/>
          <cell r="H185"/>
          <cell r="I185"/>
          <cell r="J185"/>
          <cell r="L185"/>
          <cell r="M185"/>
          <cell r="N185"/>
          <cell r="R185"/>
          <cell r="T185"/>
          <cell r="U185"/>
          <cell r="V185"/>
          <cell r="X185"/>
          <cell r="Z185">
            <v>140000</v>
          </cell>
          <cell r="AA185">
            <v>16.304271428571429</v>
          </cell>
          <cell r="AB185"/>
          <cell r="AC185"/>
          <cell r="AD185"/>
          <cell r="AG185"/>
          <cell r="AI185"/>
          <cell r="AJ185"/>
          <cell r="AL185">
            <v>0</v>
          </cell>
          <cell r="AM185"/>
          <cell r="AN185">
            <v>0</v>
          </cell>
          <cell r="AO185"/>
          <cell r="AQ185" t="e">
            <v>#REF!</v>
          </cell>
          <cell r="AR185"/>
          <cell r="AS185" t="e">
            <v>#REF!</v>
          </cell>
          <cell r="AT185"/>
          <cell r="AU185"/>
          <cell r="BZ185"/>
          <cell r="CA185" t="str">
            <v>ห้ามลบ</v>
          </cell>
          <cell r="DL185" t="str">
            <v>P1</v>
          </cell>
          <cell r="DM185">
            <v>2</v>
          </cell>
          <cell r="DN185">
            <v>0</v>
          </cell>
          <cell r="DP185">
            <v>-5</v>
          </cell>
          <cell r="DQ185"/>
          <cell r="DR185">
            <v>-9</v>
          </cell>
          <cell r="DS185">
            <v>-2</v>
          </cell>
          <cell r="DT185"/>
          <cell r="DU185">
            <v>-1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>รอART</v>
          </cell>
          <cell r="EG185"/>
          <cell r="EH185"/>
          <cell r="EI185"/>
        </row>
        <row r="186">
          <cell r="B186"/>
          <cell r="C186"/>
          <cell r="E186"/>
          <cell r="F186"/>
          <cell r="G186"/>
          <cell r="H186"/>
          <cell r="I186"/>
          <cell r="J186"/>
          <cell r="L186"/>
          <cell r="M186"/>
          <cell r="N186"/>
          <cell r="R186"/>
          <cell r="T186"/>
          <cell r="U186"/>
          <cell r="V186"/>
          <cell r="X186" t="str">
            <v>ประมาณการ</v>
          </cell>
          <cell r="Z186"/>
          <cell r="AA186">
            <v>1030000</v>
          </cell>
          <cell r="AB186"/>
          <cell r="AC186"/>
          <cell r="AD186"/>
          <cell r="AG186"/>
          <cell r="AI186"/>
          <cell r="AJ186"/>
          <cell r="AL186"/>
          <cell r="AM186"/>
          <cell r="AN186"/>
          <cell r="AO186"/>
          <cell r="AQ186"/>
          <cell r="AR186"/>
          <cell r="AS186">
            <v>0</v>
          </cell>
          <cell r="AT186"/>
          <cell r="AU186"/>
          <cell r="BZ186"/>
          <cell r="CA186"/>
          <cell r="DL186" t="str">
            <v>P3</v>
          </cell>
          <cell r="DM186">
            <v>1</v>
          </cell>
          <cell r="DN186" t="str">
            <v>ประมาณการ</v>
          </cell>
          <cell r="DP186" t="e">
            <v>#VALUE!</v>
          </cell>
          <cell r="DQ186"/>
          <cell r="DR186"/>
          <cell r="DS186"/>
          <cell r="DT186"/>
          <cell r="DU186" t="e">
            <v>#VALUE!</v>
          </cell>
          <cell r="DW186"/>
          <cell r="DX186"/>
          <cell r="DY186"/>
          <cell r="DZ186"/>
          <cell r="EA186"/>
          <cell r="EB186"/>
          <cell r="EC186" t="str">
            <v>ตัด</v>
          </cell>
          <cell r="ED186"/>
          <cell r="EG186"/>
          <cell r="EH186"/>
          <cell r="EI186"/>
        </row>
        <row r="187">
          <cell r="B187"/>
          <cell r="C187"/>
          <cell r="E187"/>
          <cell r="F187"/>
          <cell r="G187"/>
          <cell r="H187"/>
          <cell r="I187"/>
          <cell r="J187"/>
          <cell r="L187"/>
          <cell r="M187"/>
          <cell r="N187"/>
          <cell r="R187"/>
          <cell r="T187"/>
          <cell r="U187"/>
          <cell r="V187"/>
          <cell r="X187" t="str">
            <v>รอแจ้ง</v>
          </cell>
          <cell r="Z187"/>
          <cell r="AA187">
            <v>1052019</v>
          </cell>
          <cell r="AB187"/>
          <cell r="AC187"/>
          <cell r="AD187"/>
          <cell r="AG187"/>
          <cell r="AI187"/>
          <cell r="AJ187"/>
          <cell r="AL187"/>
          <cell r="AM187"/>
          <cell r="AN187"/>
          <cell r="AO187"/>
          <cell r="AQ187"/>
          <cell r="AR187"/>
          <cell r="AS187">
            <v>845240.44082000002</v>
          </cell>
          <cell r="AT187"/>
          <cell r="AU187"/>
          <cell r="BZ187"/>
          <cell r="CA187"/>
          <cell r="DL187" t="str">
            <v>P2</v>
          </cell>
          <cell r="DM187">
            <v>3</v>
          </cell>
          <cell r="DN187" t="str">
            <v>รอแจ้ง</v>
          </cell>
          <cell r="DP187" t="e">
            <v>#VALUE!</v>
          </cell>
          <cell r="DQ187" t="e">
            <v>#VALUE!</v>
          </cell>
          <cell r="DR187" t="e">
            <v>#VALUE!</v>
          </cell>
          <cell r="DS187" t="e">
            <v>#VALUE!</v>
          </cell>
          <cell r="DT187"/>
          <cell r="DU187" t="e">
            <v>#VALUE!</v>
          </cell>
          <cell r="DW187"/>
          <cell r="DX187"/>
          <cell r="DY187"/>
          <cell r="DZ187"/>
          <cell r="EA187"/>
          <cell r="EB187"/>
          <cell r="EC187" t="str">
            <v>งานเคลือบ+พิมพ์</v>
          </cell>
          <cell r="ED187"/>
          <cell r="EG187"/>
          <cell r="EH187"/>
          <cell r="EI187"/>
        </row>
        <row r="188">
          <cell r="B188"/>
          <cell r="C188"/>
          <cell r="E188"/>
          <cell r="F188"/>
          <cell r="G188"/>
          <cell r="H188"/>
          <cell r="I188"/>
          <cell r="J188"/>
          <cell r="L188"/>
          <cell r="M188"/>
          <cell r="N188"/>
          <cell r="R188"/>
          <cell r="T188"/>
          <cell r="U188"/>
          <cell r="V188"/>
          <cell r="X188" t="str">
            <v>รอส่ง</v>
          </cell>
          <cell r="Z188"/>
          <cell r="AA188">
            <v>25000</v>
          </cell>
          <cell r="AB188"/>
          <cell r="AC188"/>
          <cell r="AD188"/>
          <cell r="AG188"/>
          <cell r="AI188"/>
          <cell r="AJ188"/>
          <cell r="AL188"/>
          <cell r="AM188"/>
          <cell r="AN188"/>
          <cell r="AO188"/>
          <cell r="AQ188"/>
          <cell r="AR188"/>
          <cell r="AS188">
            <v>0</v>
          </cell>
          <cell r="AT188"/>
          <cell r="AU188"/>
          <cell r="BZ188"/>
          <cell r="CA188"/>
          <cell r="DL188" t="str">
            <v>P6</v>
          </cell>
          <cell r="DM188">
            <v>4</v>
          </cell>
          <cell r="DN188" t="str">
            <v>รอส่ง</v>
          </cell>
          <cell r="DP188" t="e">
            <v>#VALUE!</v>
          </cell>
          <cell r="DQ188" t="e">
            <v>#VALUE!</v>
          </cell>
          <cell r="DR188" t="e">
            <v>#VALUE!</v>
          </cell>
          <cell r="DS188" t="e">
            <v>#VALUE!</v>
          </cell>
          <cell r="DT188" t="e">
            <v>#VALUE!</v>
          </cell>
          <cell r="DU188" t="e">
            <v>#VALUE!</v>
          </cell>
          <cell r="DW188"/>
          <cell r="DX188"/>
          <cell r="DY188"/>
          <cell r="DZ188"/>
          <cell r="EA188"/>
          <cell r="EB188"/>
          <cell r="EC188" t="str">
            <v>งานเคลือบ+พิมพ์</v>
          </cell>
          <cell r="ED188"/>
          <cell r="EG188"/>
          <cell r="EH188"/>
          <cell r="EI188"/>
        </row>
        <row r="189">
          <cell r="B189"/>
          <cell r="C189"/>
          <cell r="E189"/>
          <cell r="F189"/>
          <cell r="G189"/>
          <cell r="H189"/>
          <cell r="I189"/>
          <cell r="J189"/>
          <cell r="L189"/>
          <cell r="M189"/>
          <cell r="N189"/>
          <cell r="R189"/>
          <cell r="T189"/>
          <cell r="U189"/>
          <cell r="V189"/>
          <cell r="X189" t="str">
            <v>มีกำหนดส่ง</v>
          </cell>
          <cell r="Z189"/>
          <cell r="AA189">
            <v>175579</v>
          </cell>
          <cell r="AB189"/>
          <cell r="AC189"/>
          <cell r="AD189"/>
          <cell r="AG189"/>
          <cell r="AI189"/>
          <cell r="AJ189"/>
          <cell r="AL189"/>
          <cell r="AM189"/>
          <cell r="AN189"/>
          <cell r="AO189"/>
          <cell r="AQ189"/>
          <cell r="AR189"/>
          <cell r="AS189" t="e">
            <v>#REF!</v>
          </cell>
          <cell r="AT189" t="e">
            <v>#REF!</v>
          </cell>
          <cell r="AU189"/>
          <cell r="BZ189"/>
          <cell r="CA189"/>
          <cell r="DL189" t="str">
            <v>P11</v>
          </cell>
          <cell r="DM189">
            <v>2</v>
          </cell>
          <cell r="DN189" t="str">
            <v>มีกำหนดส่ง</v>
          </cell>
          <cell r="DP189" t="e">
            <v>#VALUE!</v>
          </cell>
          <cell r="DQ189" t="e">
            <v>#VALUE!</v>
          </cell>
          <cell r="DR189"/>
          <cell r="DS189"/>
          <cell r="DT189"/>
          <cell r="DU189" t="e">
            <v>#VALUE!</v>
          </cell>
          <cell r="DW189"/>
          <cell r="DX189"/>
          <cell r="DY189"/>
          <cell r="DZ189"/>
          <cell r="EA189"/>
          <cell r="EB189"/>
          <cell r="EC189" t="str">
            <v>งานเคลือบ+ตัด</v>
          </cell>
          <cell r="ED189"/>
          <cell r="EG189"/>
          <cell r="EH189"/>
          <cell r="EI189"/>
        </row>
        <row r="190">
          <cell r="B190"/>
          <cell r="C190"/>
          <cell r="E190" t="str">
            <v>ผู้สั่งผลิต..................................................</v>
          </cell>
          <cell r="F190"/>
          <cell r="G190"/>
          <cell r="H190"/>
          <cell r="I190" t="str">
            <v xml:space="preserve"> </v>
          </cell>
          <cell r="J190"/>
          <cell r="L190"/>
          <cell r="M190" t="str">
            <v xml:space="preserve"> </v>
          </cell>
          <cell r="N190"/>
          <cell r="R190"/>
          <cell r="T190"/>
          <cell r="U190"/>
          <cell r="V190"/>
          <cell r="X190"/>
          <cell r="Z190"/>
          <cell r="AA190"/>
          <cell r="AB190"/>
          <cell r="AC190"/>
          <cell r="AD190"/>
          <cell r="AG190"/>
          <cell r="AI190"/>
          <cell r="AJ190"/>
          <cell r="AL190"/>
          <cell r="AM190"/>
          <cell r="AN190"/>
          <cell r="AO190"/>
          <cell r="AQ190"/>
          <cell r="AR190"/>
          <cell r="AS190"/>
          <cell r="AT190"/>
          <cell r="AU190"/>
          <cell r="BZ190"/>
          <cell r="CA190"/>
          <cell r="DL190" t="str">
            <v>P9</v>
          </cell>
          <cell r="DM190">
            <v>3</v>
          </cell>
          <cell r="DN190">
            <v>0</v>
          </cell>
          <cell r="DP190">
            <v>-5</v>
          </cell>
          <cell r="DQ190"/>
          <cell r="DR190">
            <v>-10</v>
          </cell>
          <cell r="DS190">
            <v>-3</v>
          </cell>
          <cell r="DT190">
            <v>-2</v>
          </cell>
          <cell r="DU190">
            <v>-1</v>
          </cell>
          <cell r="DW190">
            <v>0</v>
          </cell>
          <cell r="DX190"/>
          <cell r="DY190"/>
          <cell r="DZ190"/>
          <cell r="EA190"/>
          <cell r="EB190"/>
          <cell r="EC190" t="str">
            <v>งานพิมพ์</v>
          </cell>
          <cell r="ED190"/>
          <cell r="EG190"/>
          <cell r="EH190"/>
          <cell r="EI190"/>
        </row>
        <row r="191">
          <cell r="B191"/>
          <cell r="C191"/>
          <cell r="E191" t="str">
            <v>เจ้าหน้าที่วางแผนการผลิต</v>
          </cell>
          <cell r="F191"/>
          <cell r="G191"/>
          <cell r="H191"/>
          <cell r="I191"/>
          <cell r="J191"/>
          <cell r="L191"/>
          <cell r="M191" t="str">
            <v>ผู้อนุมัติ..................................................</v>
          </cell>
          <cell r="N191"/>
          <cell r="R191"/>
          <cell r="T191"/>
          <cell r="U191"/>
          <cell r="V191"/>
          <cell r="X191"/>
          <cell r="Z191"/>
          <cell r="AA191"/>
          <cell r="AB191"/>
          <cell r="AC191"/>
          <cell r="AD191"/>
          <cell r="AG191"/>
          <cell r="AI191"/>
          <cell r="AJ191"/>
          <cell r="AL191"/>
          <cell r="AM191"/>
          <cell r="AN191"/>
          <cell r="AO191"/>
          <cell r="AQ191"/>
          <cell r="AR191"/>
          <cell r="AS191"/>
          <cell r="AT191" t="str">
            <v xml:space="preserve"> </v>
          </cell>
          <cell r="AU191"/>
          <cell r="BZ191"/>
          <cell r="CA191"/>
          <cell r="DL191" t="str">
            <v>P4</v>
          </cell>
          <cell r="DM191">
            <v>3</v>
          </cell>
          <cell r="DN191">
            <v>0</v>
          </cell>
          <cell r="DP191">
            <v>-5</v>
          </cell>
          <cell r="DQ191"/>
          <cell r="DR191">
            <v>-10</v>
          </cell>
          <cell r="DS191">
            <v>-3</v>
          </cell>
          <cell r="DT191"/>
          <cell r="DU191">
            <v>-2</v>
          </cell>
          <cell r="DW191">
            <v>-1</v>
          </cell>
          <cell r="DX191"/>
          <cell r="DY191"/>
          <cell r="DZ191"/>
          <cell r="EA191"/>
          <cell r="EB191"/>
          <cell r="EC191" t="str">
            <v>งานพิมพ์</v>
          </cell>
          <cell r="ED191"/>
          <cell r="EG191"/>
          <cell r="EH191"/>
          <cell r="EI191"/>
        </row>
        <row r="192">
          <cell r="B192"/>
          <cell r="C192"/>
          <cell r="E192" t="str">
            <v xml:space="preserve">        /         /        .</v>
          </cell>
          <cell r="F192"/>
          <cell r="G192"/>
          <cell r="H192"/>
          <cell r="I192"/>
          <cell r="J192"/>
          <cell r="L192"/>
          <cell r="M192" t="str">
            <v>ผู้จัดการฝ่ายผลิต</v>
          </cell>
          <cell r="N192"/>
          <cell r="R192"/>
          <cell r="T192"/>
          <cell r="U192"/>
          <cell r="V192" t="str">
            <v xml:space="preserve"> </v>
          </cell>
          <cell r="X192"/>
          <cell r="Z192"/>
          <cell r="AA192"/>
          <cell r="AB192"/>
          <cell r="AC192"/>
          <cell r="AD192"/>
          <cell r="AG192"/>
          <cell r="AI192"/>
          <cell r="AJ192"/>
          <cell r="AL192"/>
          <cell r="AM192"/>
          <cell r="AN192"/>
          <cell r="AO192"/>
          <cell r="AQ192"/>
          <cell r="AR192"/>
          <cell r="AS192"/>
          <cell r="AT192"/>
          <cell r="AU192"/>
          <cell r="BZ192"/>
          <cell r="CA192"/>
          <cell r="DL192" t="str">
            <v>P7</v>
          </cell>
          <cell r="DM192">
            <v>2</v>
          </cell>
          <cell r="DN192">
            <v>0</v>
          </cell>
          <cell r="DP192">
            <v>-5</v>
          </cell>
          <cell r="DQ192"/>
          <cell r="DR192">
            <v>-9</v>
          </cell>
          <cell r="DS192">
            <v>-2</v>
          </cell>
          <cell r="DT192">
            <v>-1</v>
          </cell>
          <cell r="DU192">
            <v>-1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/>
          <cell r="EG192"/>
          <cell r="EH192"/>
          <cell r="EI192"/>
        </row>
        <row r="193">
          <cell r="B193"/>
          <cell r="C193"/>
          <cell r="E193"/>
          <cell r="F193"/>
          <cell r="G193"/>
          <cell r="H193"/>
          <cell r="I193"/>
          <cell r="J193"/>
          <cell r="L193"/>
          <cell r="M193" t="str">
            <v xml:space="preserve">        /         /        .</v>
          </cell>
          <cell r="N193"/>
          <cell r="R193"/>
          <cell r="T193"/>
          <cell r="U193"/>
          <cell r="V193"/>
          <cell r="X193"/>
          <cell r="Z193"/>
          <cell r="AA193"/>
          <cell r="AB193"/>
          <cell r="AC193"/>
          <cell r="AD193"/>
          <cell r="AG193"/>
          <cell r="AI193"/>
          <cell r="AJ193"/>
          <cell r="AL193"/>
          <cell r="AM193"/>
          <cell r="AN193"/>
          <cell r="AO193"/>
          <cell r="AQ193"/>
          <cell r="AR193"/>
          <cell r="AS193"/>
          <cell r="AT193"/>
          <cell r="AU193"/>
          <cell r="BZ193"/>
          <cell r="CA193"/>
          <cell r="DL193" t="str">
            <v>P8</v>
          </cell>
          <cell r="DM193">
            <v>4</v>
          </cell>
          <cell r="DN193">
            <v>0</v>
          </cell>
          <cell r="DP193">
            <v>-5</v>
          </cell>
          <cell r="DQ193">
            <v>-4</v>
          </cell>
          <cell r="DR193">
            <v>-10</v>
          </cell>
          <cell r="DS193">
            <v>-3</v>
          </cell>
          <cell r="DT193">
            <v>-2</v>
          </cell>
          <cell r="DU193">
            <v>-2</v>
          </cell>
          <cell r="DW193">
            <v>-1</v>
          </cell>
          <cell r="DX193"/>
          <cell r="DY193"/>
          <cell r="DZ193"/>
          <cell r="EA193"/>
          <cell r="EB193"/>
          <cell r="EC193" t="str">
            <v>งานเคลือบ+พิมพ์</v>
          </cell>
          <cell r="ED193"/>
          <cell r="EG193"/>
          <cell r="EH193"/>
          <cell r="EI193"/>
        </row>
        <row r="194">
          <cell r="B194"/>
          <cell r="C194"/>
          <cell r="E194"/>
          <cell r="F194" t="str">
            <v xml:space="preserve"> </v>
          </cell>
          <cell r="G194" t="str">
            <v xml:space="preserve"> </v>
          </cell>
          <cell r="H194"/>
          <cell r="I194"/>
          <cell r="J194"/>
          <cell r="L194"/>
          <cell r="M194"/>
          <cell r="N194"/>
          <cell r="R194"/>
          <cell r="T194"/>
          <cell r="U194"/>
          <cell r="V194"/>
          <cell r="X194"/>
          <cell r="Z194"/>
          <cell r="AA194"/>
          <cell r="AB194"/>
          <cell r="AC194"/>
          <cell r="AD194"/>
          <cell r="AG194"/>
          <cell r="AI194"/>
          <cell r="AJ194"/>
          <cell r="AL194"/>
          <cell r="AM194"/>
          <cell r="AN194"/>
          <cell r="AO194"/>
          <cell r="AQ194"/>
          <cell r="AR194"/>
          <cell r="AS194"/>
          <cell r="AT194"/>
          <cell r="AU194"/>
          <cell r="BZ194"/>
          <cell r="CA194"/>
          <cell r="DL194" t="str">
            <v>P13</v>
          </cell>
          <cell r="DM194">
            <v>2</v>
          </cell>
          <cell r="DN194">
            <v>0</v>
          </cell>
          <cell r="DP194">
            <v>-5</v>
          </cell>
          <cell r="DQ194"/>
          <cell r="DR194"/>
          <cell r="DS194"/>
          <cell r="DT194"/>
          <cell r="DU194">
            <v>-2</v>
          </cell>
          <cell r="DW194">
            <v>-1</v>
          </cell>
          <cell r="DX194"/>
          <cell r="DY194"/>
          <cell r="DZ194"/>
          <cell r="EA194"/>
          <cell r="EB194"/>
          <cell r="EC194" t="str">
            <v>ตัด</v>
          </cell>
          <cell r="ED194"/>
          <cell r="EG194"/>
          <cell r="EH194"/>
          <cell r="EI194"/>
        </row>
        <row r="195">
          <cell r="B195"/>
          <cell r="C195"/>
          <cell r="E195"/>
          <cell r="F195"/>
          <cell r="G195"/>
          <cell r="H195"/>
          <cell r="I195"/>
          <cell r="J195"/>
          <cell r="L195"/>
          <cell r="M195"/>
          <cell r="N195"/>
          <cell r="R195"/>
          <cell r="T195"/>
          <cell r="U195"/>
          <cell r="V195" t="str">
            <v xml:space="preserve"> </v>
          </cell>
          <cell r="X195"/>
          <cell r="Z195"/>
          <cell r="AA195"/>
          <cell r="AB195"/>
          <cell r="AC195"/>
          <cell r="AD195"/>
          <cell r="AG195"/>
          <cell r="AI195"/>
          <cell r="AJ195"/>
          <cell r="AL195"/>
          <cell r="AM195"/>
          <cell r="AN195"/>
          <cell r="AO195"/>
          <cell r="AQ195"/>
          <cell r="AR195"/>
          <cell r="AS195"/>
          <cell r="AT195"/>
          <cell r="AU195"/>
          <cell r="BZ195"/>
          <cell r="CA195"/>
          <cell r="DL195" t="str">
            <v>P10</v>
          </cell>
          <cell r="DM195">
            <v>3</v>
          </cell>
          <cell r="DN195">
            <v>0</v>
          </cell>
          <cell r="DP195">
            <v>-5</v>
          </cell>
          <cell r="DQ195">
            <v>-3</v>
          </cell>
          <cell r="DR195">
            <v>-9</v>
          </cell>
          <cell r="DS195">
            <v>-2</v>
          </cell>
          <cell r="DT195"/>
          <cell r="DU195">
            <v>-1</v>
          </cell>
          <cell r="DW195">
            <v>0</v>
          </cell>
          <cell r="DX195"/>
          <cell r="DY195"/>
          <cell r="DZ195"/>
          <cell r="EA195"/>
          <cell r="EB195"/>
          <cell r="EC195" t="str">
            <v>งานเคลือบ+พิมพ์</v>
          </cell>
          <cell r="ED195"/>
          <cell r="EG195"/>
          <cell r="EH195"/>
          <cell r="EI195"/>
        </row>
        <row r="196">
          <cell r="B196"/>
          <cell r="C196"/>
          <cell r="E196"/>
          <cell r="F196"/>
          <cell r="G196"/>
          <cell r="H196"/>
          <cell r="I196"/>
          <cell r="J196"/>
          <cell r="L196"/>
          <cell r="M196"/>
          <cell r="N196"/>
          <cell r="R196"/>
          <cell r="T196"/>
          <cell r="U196"/>
          <cell r="V196"/>
          <cell r="X196"/>
          <cell r="Z196"/>
          <cell r="AA196" t="str">
            <v xml:space="preserve"> </v>
          </cell>
          <cell r="AB196"/>
          <cell r="AC196"/>
          <cell r="AD196"/>
          <cell r="AG196"/>
          <cell r="AI196"/>
          <cell r="AJ196" t="str">
            <v>.</v>
          </cell>
          <cell r="AL196"/>
          <cell r="AM196"/>
          <cell r="AN196"/>
          <cell r="AO196"/>
          <cell r="AQ196"/>
          <cell r="AR196"/>
          <cell r="AS196"/>
          <cell r="AT196"/>
          <cell r="AU196"/>
          <cell r="BZ196"/>
          <cell r="CA196"/>
          <cell r="DL196"/>
          <cell r="DM196" t="str">
            <v>Lead time</v>
          </cell>
          <cell r="DN196"/>
          <cell r="DP196">
            <v>-5</v>
          </cell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/>
          <cell r="EI196"/>
        </row>
        <row r="197">
          <cell r="B197"/>
          <cell r="C197"/>
          <cell r="E197"/>
          <cell r="F197"/>
          <cell r="G197"/>
          <cell r="H197"/>
          <cell r="I197"/>
          <cell r="J197"/>
          <cell r="L197"/>
          <cell r="M197"/>
          <cell r="N197"/>
          <cell r="R197"/>
          <cell r="T197"/>
          <cell r="U197"/>
          <cell r="V197"/>
          <cell r="X197"/>
          <cell r="Z197"/>
          <cell r="AA197"/>
          <cell r="AB197"/>
          <cell r="AC197"/>
          <cell r="AD197"/>
          <cell r="AG197"/>
          <cell r="AI197"/>
          <cell r="AJ197"/>
          <cell r="AL197"/>
          <cell r="AM197"/>
          <cell r="AN197"/>
          <cell r="AO197"/>
          <cell r="AQ197"/>
          <cell r="AR197"/>
          <cell r="AS197"/>
          <cell r="AT197"/>
          <cell r="AU197"/>
          <cell r="BZ197"/>
          <cell r="CA197"/>
          <cell r="DL197" t="str">
            <v>P5.2</v>
          </cell>
          <cell r="DM197">
            <v>4</v>
          </cell>
          <cell r="DN197">
            <v>0</v>
          </cell>
          <cell r="DP197">
            <v>-15</v>
          </cell>
          <cell r="DQ197"/>
          <cell r="DR197">
            <v>-11</v>
          </cell>
          <cell r="DS197">
            <v>-4</v>
          </cell>
          <cell r="DT197">
            <v>-3</v>
          </cell>
          <cell r="DU197">
            <v>-3</v>
          </cell>
          <cell r="DW197">
            <v>-2</v>
          </cell>
          <cell r="DX197">
            <v>-1</v>
          </cell>
          <cell r="DY197"/>
          <cell r="DZ197"/>
          <cell r="EA197"/>
          <cell r="EB197"/>
          <cell r="EC197"/>
          <cell r="ED197"/>
          <cell r="EG197"/>
          <cell r="EH197"/>
          <cell r="EI197"/>
        </row>
        <row r="198">
          <cell r="B198"/>
          <cell r="C198"/>
          <cell r="E198"/>
          <cell r="F198"/>
          <cell r="G198"/>
          <cell r="H198"/>
          <cell r="I198"/>
          <cell r="J198"/>
          <cell r="L198"/>
          <cell r="M198"/>
          <cell r="N198"/>
          <cell r="R198"/>
          <cell r="T198"/>
          <cell r="U198"/>
          <cell r="V198"/>
          <cell r="X198"/>
          <cell r="Z198"/>
          <cell r="AA198"/>
          <cell r="AB198"/>
          <cell r="AC198"/>
          <cell r="AD198"/>
          <cell r="AG198"/>
          <cell r="AI198"/>
          <cell r="AJ198"/>
          <cell r="AL198"/>
          <cell r="AM198"/>
          <cell r="AN198"/>
          <cell r="AO198"/>
          <cell r="AQ198"/>
          <cell r="AR198"/>
          <cell r="AS198"/>
          <cell r="AT198"/>
          <cell r="AU198"/>
          <cell r="BZ198"/>
          <cell r="CA198"/>
          <cell r="DL198" t="str">
            <v>P5.3</v>
          </cell>
          <cell r="DM198">
            <v>6</v>
          </cell>
          <cell r="DN198">
            <v>0</v>
          </cell>
          <cell r="DP198">
            <v>-15</v>
          </cell>
          <cell r="DQ198">
            <v>-6</v>
          </cell>
          <cell r="DR198">
            <v>-12</v>
          </cell>
          <cell r="DS198">
            <v>-5</v>
          </cell>
          <cell r="DT198">
            <v>-4</v>
          </cell>
          <cell r="DU198">
            <v>-3</v>
          </cell>
          <cell r="DW198">
            <v>-2</v>
          </cell>
          <cell r="DX198">
            <v>-1</v>
          </cell>
          <cell r="DY198"/>
          <cell r="DZ198"/>
          <cell r="EA198"/>
          <cell r="EB198"/>
          <cell r="EC198"/>
          <cell r="ED198"/>
          <cell r="EG198"/>
          <cell r="EH198"/>
          <cell r="EI198"/>
        </row>
        <row r="199">
          <cell r="B199"/>
          <cell r="C199"/>
          <cell r="E199"/>
          <cell r="F199"/>
          <cell r="G199"/>
          <cell r="H199"/>
          <cell r="I199"/>
          <cell r="J199"/>
          <cell r="L199"/>
          <cell r="M199"/>
          <cell r="N199"/>
          <cell r="R199"/>
          <cell r="T199"/>
          <cell r="U199"/>
          <cell r="V199"/>
          <cell r="X199"/>
          <cell r="Z199"/>
          <cell r="AA199"/>
          <cell r="AB199"/>
          <cell r="AC199"/>
          <cell r="AD199"/>
          <cell r="AG199"/>
          <cell r="AI199"/>
          <cell r="AJ199"/>
          <cell r="AL199"/>
          <cell r="AM199"/>
          <cell r="AN199"/>
          <cell r="AO199"/>
          <cell r="AQ199"/>
          <cell r="AR199"/>
          <cell r="AS199"/>
          <cell r="AT199"/>
          <cell r="AU199"/>
          <cell r="BZ199"/>
          <cell r="CA199"/>
          <cell r="DL199"/>
          <cell r="DM199"/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/>
          <cell r="EI199"/>
        </row>
        <row r="200">
          <cell r="B200"/>
          <cell r="C200"/>
          <cell r="E200"/>
          <cell r="F200"/>
          <cell r="G200"/>
          <cell r="H200"/>
          <cell r="I200"/>
          <cell r="J200"/>
          <cell r="L200"/>
          <cell r="M200"/>
          <cell r="N200"/>
          <cell r="R200"/>
          <cell r="T200"/>
          <cell r="U200"/>
          <cell r="V200"/>
          <cell r="X200"/>
          <cell r="Z200"/>
          <cell r="AA200"/>
          <cell r="AB200"/>
          <cell r="AC200"/>
          <cell r="AD200"/>
          <cell r="AG200"/>
          <cell r="AI200"/>
          <cell r="AJ200"/>
          <cell r="AL200"/>
          <cell r="AM200"/>
          <cell r="AN200"/>
          <cell r="AO200"/>
          <cell r="AQ200"/>
          <cell r="AR200"/>
          <cell r="AS200"/>
          <cell r="AT200"/>
          <cell r="AU200"/>
          <cell r="BZ200"/>
          <cell r="CA200"/>
          <cell r="DL200"/>
          <cell r="DM200"/>
          <cell r="DN200"/>
          <cell r="DP200"/>
          <cell r="DQ200"/>
          <cell r="DR200"/>
          <cell r="DS200"/>
          <cell r="DT200"/>
          <cell r="DU200"/>
          <cell r="DW200"/>
          <cell r="DX200"/>
          <cell r="DY200"/>
          <cell r="DZ200"/>
          <cell r="EA200"/>
          <cell r="EB200"/>
          <cell r="EC200"/>
          <cell r="ED200"/>
          <cell r="EG200"/>
          <cell r="EH200"/>
          <cell r="EI200"/>
        </row>
        <row r="201">
          <cell r="B201"/>
          <cell r="C201"/>
          <cell r="E201"/>
          <cell r="F201"/>
          <cell r="G201"/>
          <cell r="H201"/>
          <cell r="I201"/>
          <cell r="J201"/>
          <cell r="L201"/>
          <cell r="M201"/>
          <cell r="N201"/>
          <cell r="R201"/>
          <cell r="T201"/>
          <cell r="U201"/>
          <cell r="V201"/>
          <cell r="X201"/>
          <cell r="Z201"/>
          <cell r="AA201"/>
          <cell r="AB201"/>
          <cell r="AC201"/>
          <cell r="AD201"/>
          <cell r="AG201"/>
          <cell r="AI201"/>
          <cell r="AJ201"/>
          <cell r="AL201"/>
          <cell r="AM201"/>
          <cell r="AN201"/>
          <cell r="AO201"/>
          <cell r="AQ201"/>
          <cell r="AR201"/>
          <cell r="AS201"/>
          <cell r="AT201"/>
          <cell r="AU201"/>
          <cell r="BZ201"/>
          <cell r="CA201"/>
          <cell r="DL201"/>
          <cell r="DM201"/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/>
          <cell r="EI201"/>
        </row>
        <row r="202">
          <cell r="B202"/>
          <cell r="C202"/>
          <cell r="E202"/>
          <cell r="F202"/>
          <cell r="G202"/>
          <cell r="H202"/>
          <cell r="I202"/>
          <cell r="J202"/>
          <cell r="L202"/>
          <cell r="M202"/>
          <cell r="N202"/>
          <cell r="R202"/>
          <cell r="T202"/>
          <cell r="U202"/>
          <cell r="V202"/>
          <cell r="X202"/>
          <cell r="Z202"/>
          <cell r="AA202"/>
          <cell r="AB202"/>
          <cell r="AC202"/>
          <cell r="AD202"/>
          <cell r="AG202"/>
          <cell r="AI202"/>
          <cell r="AJ202"/>
          <cell r="AL202"/>
          <cell r="AM202"/>
          <cell r="AN202"/>
          <cell r="AO202"/>
          <cell r="AQ202"/>
          <cell r="AR202"/>
          <cell r="AS202"/>
          <cell r="AT202"/>
          <cell r="AU202"/>
          <cell r="BZ202"/>
          <cell r="CA202"/>
          <cell r="DL202"/>
          <cell r="DM202"/>
          <cell r="DN202"/>
          <cell r="DP202"/>
          <cell r="DQ202"/>
          <cell r="DR202"/>
          <cell r="DS202"/>
          <cell r="DT202"/>
          <cell r="DU202"/>
          <cell r="DW202"/>
          <cell r="DX202"/>
          <cell r="DY202"/>
          <cell r="DZ202"/>
          <cell r="EA202"/>
          <cell r="EB202"/>
          <cell r="EC202"/>
          <cell r="ED202"/>
          <cell r="EG202"/>
          <cell r="EH202"/>
          <cell r="EI202"/>
        </row>
        <row r="203">
          <cell r="B203"/>
          <cell r="C203"/>
          <cell r="E203"/>
          <cell r="F203"/>
          <cell r="G203"/>
          <cell r="H203"/>
          <cell r="I203"/>
          <cell r="J203"/>
          <cell r="L203"/>
          <cell r="M203"/>
          <cell r="N203"/>
          <cell r="R203"/>
          <cell r="T203"/>
          <cell r="U203"/>
          <cell r="V203"/>
          <cell r="X203"/>
          <cell r="Z203"/>
          <cell r="AA203"/>
          <cell r="AB203"/>
          <cell r="AC203"/>
          <cell r="AD203"/>
          <cell r="AG203"/>
          <cell r="AI203"/>
          <cell r="AJ203"/>
          <cell r="AL203"/>
          <cell r="AM203"/>
          <cell r="AN203"/>
          <cell r="AO203"/>
          <cell r="AQ203"/>
          <cell r="AR203"/>
          <cell r="AS203"/>
          <cell r="AT203"/>
          <cell r="AU203"/>
          <cell r="BZ203"/>
          <cell r="CA203"/>
          <cell r="DL203"/>
          <cell r="DM203"/>
          <cell r="DN203"/>
          <cell r="DP203"/>
          <cell r="DQ203"/>
          <cell r="DR203"/>
          <cell r="DS203"/>
          <cell r="DT203"/>
          <cell r="DU203"/>
          <cell r="DW203"/>
          <cell r="DX203"/>
          <cell r="DY203"/>
          <cell r="DZ203"/>
          <cell r="EA203"/>
          <cell r="EB203"/>
          <cell r="EC203"/>
          <cell r="ED203"/>
          <cell r="EG203"/>
          <cell r="EH203"/>
          <cell r="EI203"/>
        </row>
        <row r="204">
          <cell r="B204"/>
          <cell r="C204"/>
          <cell r="E204"/>
          <cell r="F204"/>
          <cell r="G204"/>
          <cell r="H204"/>
          <cell r="I204"/>
          <cell r="J204"/>
          <cell r="L204"/>
          <cell r="M204"/>
          <cell r="N204"/>
          <cell r="R204"/>
          <cell r="T204"/>
          <cell r="U204"/>
          <cell r="V204"/>
          <cell r="X204"/>
          <cell r="Z204"/>
          <cell r="AA204"/>
          <cell r="AB204"/>
          <cell r="AC204"/>
          <cell r="AD204"/>
          <cell r="AG204"/>
          <cell r="AI204"/>
          <cell r="AJ204"/>
          <cell r="AL204"/>
          <cell r="AM204"/>
          <cell r="AN204"/>
          <cell r="AO204"/>
          <cell r="AQ204"/>
          <cell r="AR204"/>
          <cell r="AS204"/>
          <cell r="AT204"/>
          <cell r="AU204"/>
          <cell r="BZ204"/>
          <cell r="CA204"/>
          <cell r="DL204"/>
          <cell r="DM204"/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/>
          <cell r="EI204"/>
        </row>
        <row r="205">
          <cell r="B205"/>
          <cell r="C205"/>
          <cell r="E205"/>
          <cell r="F205"/>
          <cell r="G205"/>
          <cell r="H205"/>
          <cell r="I205"/>
          <cell r="J205"/>
          <cell r="L205"/>
          <cell r="M205"/>
          <cell r="N205"/>
          <cell r="R205"/>
          <cell r="T205"/>
          <cell r="U205"/>
          <cell r="V205"/>
          <cell r="X205"/>
          <cell r="Z205"/>
          <cell r="AA205"/>
          <cell r="AB205"/>
          <cell r="AC205"/>
          <cell r="AD205"/>
          <cell r="AG205"/>
          <cell r="AI205"/>
          <cell r="AJ205"/>
          <cell r="AL205"/>
          <cell r="AM205"/>
          <cell r="AN205"/>
          <cell r="AO205"/>
          <cell r="AQ205"/>
          <cell r="AR205"/>
          <cell r="AS205"/>
          <cell r="AT205"/>
          <cell r="AU205"/>
          <cell r="BZ205"/>
          <cell r="CA205"/>
          <cell r="DL205"/>
          <cell r="DM205"/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/>
          <cell r="EI205"/>
        </row>
        <row r="206">
          <cell r="B206"/>
          <cell r="C206"/>
          <cell r="E206"/>
          <cell r="F206"/>
          <cell r="G206"/>
          <cell r="H206"/>
          <cell r="I206"/>
          <cell r="J206"/>
          <cell r="L206"/>
          <cell r="M206"/>
          <cell r="N206"/>
          <cell r="R206"/>
          <cell r="T206"/>
          <cell r="U206"/>
          <cell r="V206"/>
          <cell r="X206"/>
          <cell r="Z206"/>
          <cell r="AA206"/>
          <cell r="AB206"/>
          <cell r="AC206"/>
          <cell r="AD206"/>
          <cell r="AG206"/>
          <cell r="AI206"/>
          <cell r="AJ206"/>
          <cell r="AL206"/>
          <cell r="AM206"/>
          <cell r="AN206"/>
          <cell r="AO206"/>
          <cell r="AQ206"/>
          <cell r="AR206"/>
          <cell r="AS206"/>
          <cell r="AT206"/>
          <cell r="AU206"/>
          <cell r="BZ206"/>
          <cell r="CA206"/>
          <cell r="DL206"/>
          <cell r="DM206"/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/>
          <cell r="EI206"/>
        </row>
        <row r="207">
          <cell r="B207"/>
          <cell r="C207"/>
          <cell r="E207"/>
          <cell r="F207"/>
          <cell r="G207"/>
          <cell r="H207"/>
          <cell r="I207"/>
          <cell r="J207"/>
          <cell r="L207"/>
          <cell r="M207"/>
          <cell r="N207"/>
          <cell r="R207"/>
          <cell r="T207"/>
          <cell r="U207"/>
          <cell r="V207"/>
          <cell r="X207"/>
          <cell r="Z207"/>
          <cell r="AA207"/>
          <cell r="AB207"/>
          <cell r="AC207"/>
          <cell r="AD207"/>
          <cell r="AG207"/>
          <cell r="AI207"/>
          <cell r="AJ207"/>
          <cell r="AL207"/>
          <cell r="AM207"/>
          <cell r="AN207"/>
          <cell r="AO207"/>
          <cell r="AQ207"/>
          <cell r="AR207"/>
          <cell r="AS207"/>
          <cell r="AT207"/>
          <cell r="AU207"/>
          <cell r="BZ207"/>
          <cell r="CA207"/>
          <cell r="DL207"/>
          <cell r="DM207"/>
          <cell r="DN207"/>
          <cell r="DP207"/>
          <cell r="DQ207"/>
          <cell r="DR207"/>
          <cell r="DS207"/>
          <cell r="DT207"/>
          <cell r="DU207"/>
          <cell r="DW207"/>
          <cell r="DX207"/>
          <cell r="DY207"/>
          <cell r="DZ207"/>
          <cell r="EA207"/>
          <cell r="EB207"/>
          <cell r="EC207"/>
          <cell r="ED207"/>
          <cell r="EG207"/>
          <cell r="EH207"/>
          <cell r="EI207"/>
        </row>
        <row r="208">
          <cell r="B208"/>
          <cell r="C208"/>
          <cell r="E208"/>
          <cell r="F208"/>
          <cell r="G208"/>
          <cell r="H208"/>
          <cell r="I208"/>
          <cell r="J208"/>
          <cell r="L208"/>
          <cell r="M208"/>
          <cell r="N208"/>
          <cell r="R208"/>
          <cell r="T208"/>
          <cell r="U208"/>
          <cell r="V208"/>
          <cell r="X208"/>
          <cell r="Z208"/>
          <cell r="AA208"/>
          <cell r="AB208"/>
          <cell r="AC208"/>
          <cell r="AD208"/>
          <cell r="AG208"/>
          <cell r="AI208"/>
          <cell r="AJ208"/>
          <cell r="AL208"/>
          <cell r="AM208"/>
          <cell r="AN208"/>
          <cell r="AO208"/>
          <cell r="AQ208"/>
          <cell r="AR208"/>
          <cell r="AS208"/>
          <cell r="AT208"/>
          <cell r="AU208"/>
          <cell r="BZ208"/>
          <cell r="CA208"/>
          <cell r="DL208"/>
          <cell r="DM208"/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/>
          <cell r="EI208"/>
        </row>
        <row r="209">
          <cell r="B209"/>
          <cell r="C209"/>
          <cell r="E209"/>
          <cell r="F209"/>
          <cell r="G209"/>
          <cell r="H209"/>
          <cell r="I209"/>
          <cell r="J209"/>
          <cell r="L209"/>
          <cell r="M209"/>
          <cell r="N209"/>
          <cell r="R209"/>
          <cell r="T209"/>
          <cell r="U209"/>
          <cell r="V209"/>
          <cell r="X209"/>
          <cell r="Z209"/>
          <cell r="AA209"/>
          <cell r="AB209"/>
          <cell r="AC209"/>
          <cell r="AD209"/>
          <cell r="AG209"/>
          <cell r="AI209"/>
          <cell r="AJ209"/>
          <cell r="AL209"/>
          <cell r="AM209"/>
          <cell r="AN209"/>
          <cell r="AO209"/>
          <cell r="AQ209"/>
          <cell r="AR209"/>
          <cell r="AS209"/>
          <cell r="AT209"/>
          <cell r="AU209"/>
          <cell r="BZ209"/>
          <cell r="CA209"/>
          <cell r="DL209"/>
          <cell r="DM209"/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/>
        </row>
        <row r="210">
          <cell r="B210"/>
          <cell r="C210"/>
          <cell r="E210"/>
          <cell r="F210"/>
          <cell r="G210"/>
          <cell r="H210"/>
          <cell r="I210"/>
          <cell r="J210"/>
          <cell r="L210"/>
          <cell r="M210"/>
          <cell r="N210"/>
          <cell r="R210"/>
          <cell r="T210"/>
          <cell r="U210"/>
          <cell r="V210"/>
          <cell r="X210"/>
          <cell r="Z210"/>
          <cell r="AA210"/>
          <cell r="AB210"/>
          <cell r="AC210"/>
          <cell r="AD210"/>
          <cell r="AG210"/>
          <cell r="AI210"/>
          <cell r="AJ210"/>
          <cell r="AL210"/>
          <cell r="AM210"/>
          <cell r="AN210"/>
          <cell r="AO210"/>
          <cell r="AQ210"/>
          <cell r="AR210"/>
          <cell r="AS210"/>
          <cell r="AT210"/>
          <cell r="AU210"/>
          <cell r="BZ210"/>
          <cell r="CA210"/>
          <cell r="DL210"/>
          <cell r="DM210"/>
          <cell r="DN210"/>
          <cell r="DP210"/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/>
          <cell r="EI210"/>
        </row>
        <row r="211">
          <cell r="B211"/>
          <cell r="C211"/>
          <cell r="E211"/>
          <cell r="F211"/>
          <cell r="G211"/>
          <cell r="H211"/>
          <cell r="I211"/>
          <cell r="J211"/>
          <cell r="L211"/>
          <cell r="M211"/>
          <cell r="N211"/>
          <cell r="R211"/>
          <cell r="T211"/>
          <cell r="U211"/>
          <cell r="V211"/>
          <cell r="X211"/>
          <cell r="Z211"/>
          <cell r="AA211"/>
          <cell r="AB211"/>
          <cell r="AC211"/>
          <cell r="AD211"/>
          <cell r="AG211"/>
          <cell r="AI211"/>
          <cell r="AJ211"/>
          <cell r="AL211"/>
          <cell r="AM211"/>
          <cell r="AN211"/>
          <cell r="AO211"/>
          <cell r="AQ211"/>
          <cell r="AR211"/>
          <cell r="AS211"/>
          <cell r="AT211"/>
          <cell r="AU211"/>
          <cell r="BZ211"/>
          <cell r="CA211"/>
          <cell r="DL211"/>
          <cell r="DM211"/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/>
          <cell r="EI211"/>
        </row>
        <row r="212">
          <cell r="B212"/>
          <cell r="C212"/>
          <cell r="E212"/>
          <cell r="F212"/>
          <cell r="G212"/>
          <cell r="H212"/>
          <cell r="I212"/>
          <cell r="J212"/>
          <cell r="L212"/>
          <cell r="M212"/>
          <cell r="N212"/>
          <cell r="R212"/>
          <cell r="T212"/>
          <cell r="U212"/>
          <cell r="V212"/>
          <cell r="X212"/>
          <cell r="Z212"/>
          <cell r="AA212"/>
          <cell r="AB212"/>
          <cell r="AC212"/>
          <cell r="AD212"/>
          <cell r="AG212"/>
          <cell r="AI212"/>
          <cell r="AJ212"/>
          <cell r="AL212"/>
          <cell r="AM212"/>
          <cell r="AN212"/>
          <cell r="AO212"/>
          <cell r="AQ212"/>
          <cell r="AR212"/>
          <cell r="AS212"/>
          <cell r="AT212"/>
          <cell r="AU212"/>
          <cell r="BZ212"/>
          <cell r="CA212"/>
          <cell r="DL212"/>
          <cell r="DM212"/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/>
          <cell r="EI212"/>
        </row>
        <row r="213">
          <cell r="B213"/>
          <cell r="C213"/>
          <cell r="E213"/>
          <cell r="F213"/>
          <cell r="G213"/>
          <cell r="H213"/>
          <cell r="I213"/>
          <cell r="J213"/>
          <cell r="L213"/>
          <cell r="M213"/>
          <cell r="N213"/>
          <cell r="R213"/>
          <cell r="T213"/>
          <cell r="U213"/>
          <cell r="V213"/>
          <cell r="X213"/>
          <cell r="Z213"/>
          <cell r="AA213"/>
          <cell r="AB213"/>
          <cell r="AC213"/>
          <cell r="AD213"/>
          <cell r="AG213"/>
          <cell r="AI213"/>
          <cell r="AJ213"/>
          <cell r="AL213"/>
          <cell r="AM213"/>
          <cell r="AN213"/>
          <cell r="AO213"/>
          <cell r="AQ213"/>
          <cell r="AR213"/>
          <cell r="AS213"/>
          <cell r="AT213"/>
          <cell r="AU213"/>
          <cell r="BZ213"/>
          <cell r="CA213"/>
          <cell r="DL213"/>
          <cell r="DM213"/>
          <cell r="DN213"/>
          <cell r="DP213"/>
          <cell r="DQ213"/>
          <cell r="DR213"/>
          <cell r="DS213"/>
          <cell r="DT213"/>
          <cell r="DU213"/>
          <cell r="DW213"/>
          <cell r="DX213"/>
          <cell r="DY213"/>
          <cell r="DZ213"/>
          <cell r="EA213"/>
          <cell r="EB213"/>
          <cell r="EC213"/>
          <cell r="ED213"/>
          <cell r="EG213"/>
          <cell r="EH213"/>
          <cell r="EI213"/>
        </row>
        <row r="214">
          <cell r="B214"/>
          <cell r="C214"/>
          <cell r="E214"/>
          <cell r="F214"/>
          <cell r="G214"/>
          <cell r="H214"/>
          <cell r="I214"/>
          <cell r="J214"/>
          <cell r="L214"/>
          <cell r="M214"/>
          <cell r="N214"/>
          <cell r="R214"/>
          <cell r="T214"/>
          <cell r="U214"/>
          <cell r="V214"/>
          <cell r="X214"/>
          <cell r="Z214"/>
          <cell r="AA214"/>
          <cell r="AB214"/>
          <cell r="AC214"/>
          <cell r="AD214"/>
          <cell r="AG214"/>
          <cell r="AI214"/>
          <cell r="AJ214"/>
          <cell r="AL214"/>
          <cell r="AM214"/>
          <cell r="AN214"/>
          <cell r="AO214"/>
          <cell r="AQ214"/>
          <cell r="AR214"/>
          <cell r="AS214"/>
          <cell r="AT214"/>
          <cell r="AU214"/>
          <cell r="BZ214"/>
          <cell r="CA214"/>
          <cell r="DL214"/>
          <cell r="DM214"/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/>
          <cell r="EI214"/>
        </row>
        <row r="215">
          <cell r="B215"/>
          <cell r="C215"/>
          <cell r="E215"/>
          <cell r="F215"/>
          <cell r="G215"/>
          <cell r="H215" t="str">
            <v xml:space="preserve"> </v>
          </cell>
          <cell r="I215"/>
          <cell r="J215"/>
          <cell r="L215"/>
          <cell r="M215"/>
          <cell r="N215"/>
          <cell r="R215"/>
          <cell r="T215"/>
          <cell r="U215"/>
          <cell r="V215"/>
          <cell r="X215"/>
          <cell r="Z215"/>
          <cell r="AA215"/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/>
          <cell r="AT215"/>
          <cell r="AU215"/>
          <cell r="BZ215"/>
          <cell r="CA215"/>
          <cell r="DL215"/>
          <cell r="DM215"/>
          <cell r="DN215"/>
          <cell r="DP215"/>
          <cell r="DQ215"/>
          <cell r="DR215"/>
          <cell r="DS215"/>
          <cell r="DT215"/>
          <cell r="DU215"/>
          <cell r="DW215"/>
          <cell r="DX215"/>
          <cell r="DY215"/>
          <cell r="DZ215"/>
          <cell r="EA215"/>
          <cell r="EB215"/>
          <cell r="EC215"/>
          <cell r="ED215"/>
          <cell r="EG215"/>
          <cell r="EH215"/>
          <cell r="EI215"/>
        </row>
        <row r="216">
          <cell r="B216"/>
          <cell r="C216"/>
          <cell r="E216"/>
          <cell r="F216"/>
          <cell r="G216"/>
          <cell r="H216"/>
          <cell r="I216"/>
          <cell r="J216"/>
          <cell r="L216"/>
          <cell r="M216"/>
          <cell r="N216"/>
          <cell r="R216"/>
          <cell r="T216"/>
          <cell r="U216"/>
          <cell r="V216"/>
          <cell r="X216"/>
          <cell r="Z216"/>
          <cell r="AA216"/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/>
          <cell r="AT216"/>
          <cell r="AU216"/>
          <cell r="BZ216"/>
          <cell r="CA216"/>
          <cell r="DL216"/>
          <cell r="DM216"/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/>
          <cell r="EI216"/>
        </row>
        <row r="217">
          <cell r="B217"/>
          <cell r="C217"/>
          <cell r="E217"/>
          <cell r="F217"/>
          <cell r="G217"/>
          <cell r="H217"/>
          <cell r="I217"/>
          <cell r="J217"/>
          <cell r="L217"/>
          <cell r="M217"/>
          <cell r="N217"/>
          <cell r="R217"/>
          <cell r="T217"/>
          <cell r="U217"/>
          <cell r="V217"/>
          <cell r="X217"/>
          <cell r="Z217"/>
          <cell r="AA217"/>
          <cell r="AB217"/>
          <cell r="AC217"/>
          <cell r="AD217"/>
          <cell r="AG217"/>
          <cell r="AI217"/>
          <cell r="AJ217"/>
          <cell r="AL217"/>
          <cell r="AM217"/>
          <cell r="AN217"/>
          <cell r="AO217"/>
          <cell r="AQ217"/>
          <cell r="AR217"/>
          <cell r="AS217"/>
          <cell r="AT217"/>
          <cell r="AU217"/>
          <cell r="BZ217"/>
          <cell r="CA217"/>
          <cell r="DL217"/>
          <cell r="DM217"/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/>
          <cell r="EI217"/>
        </row>
        <row r="218">
          <cell r="B218"/>
          <cell r="C218"/>
          <cell r="E218"/>
          <cell r="F218"/>
          <cell r="G218"/>
          <cell r="H218"/>
          <cell r="I218"/>
          <cell r="J218"/>
          <cell r="L218"/>
          <cell r="M218"/>
          <cell r="N218"/>
          <cell r="R218"/>
          <cell r="T218"/>
          <cell r="U218"/>
          <cell r="V218"/>
          <cell r="X218"/>
          <cell r="Z218"/>
          <cell r="AA218"/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/>
          <cell r="AT218"/>
          <cell r="AU218"/>
          <cell r="BZ218"/>
          <cell r="CA218"/>
          <cell r="DL218"/>
          <cell r="DM218"/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/>
          <cell r="EI218"/>
        </row>
        <row r="219">
          <cell r="B219"/>
          <cell r="C219"/>
          <cell r="E219"/>
          <cell r="F219"/>
          <cell r="G219"/>
          <cell r="H219"/>
          <cell r="I219"/>
          <cell r="J219"/>
          <cell r="L219"/>
          <cell r="M219"/>
          <cell r="N219"/>
          <cell r="R219"/>
          <cell r="T219"/>
          <cell r="U219"/>
          <cell r="V219"/>
          <cell r="X219"/>
          <cell r="Z219"/>
          <cell r="AA219"/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/>
          <cell r="DM219"/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/>
        </row>
        <row r="220">
          <cell r="B220"/>
          <cell r="C220"/>
          <cell r="E220"/>
          <cell r="F220"/>
          <cell r="G220"/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/>
          <cell r="Z220"/>
          <cell r="AA220"/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/>
          <cell r="AT220"/>
          <cell r="AU220"/>
          <cell r="BZ220"/>
          <cell r="CA220"/>
          <cell r="DL220"/>
          <cell r="DM220"/>
          <cell r="DN220"/>
          <cell r="DP220"/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/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/>
          <cell r="DM221"/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/>
          <cell r="X222"/>
          <cell r="Z222"/>
          <cell r="AA222"/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/>
          <cell r="DM222"/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/>
          <cell r="DM223"/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/>
          <cell r="I224"/>
          <cell r="J224"/>
          <cell r="L224"/>
          <cell r="M224"/>
          <cell r="N224"/>
          <cell r="R224"/>
          <cell r="T224"/>
          <cell r="U224"/>
          <cell r="V224"/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/>
          <cell r="DM224"/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/>
          <cell r="DM225"/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พร้อมส่ง</v>
          </cell>
        </row>
        <row r="27">
          <cell r="DC27" t="str">
            <v>รอตัด</v>
          </cell>
        </row>
        <row r="28">
          <cell r="DC28" t="str">
            <v>พิมพ์ไม่ครบ</v>
          </cell>
        </row>
        <row r="29">
          <cell r="DC29" t="str">
            <v>รอแบบ</v>
          </cell>
        </row>
        <row r="30">
          <cell r="DC30" t="str">
            <v>ยังไม่ได้พิมพ์</v>
          </cell>
        </row>
        <row r="31">
          <cell r="DC31" t="str">
            <v>พร้อมส่ง</v>
          </cell>
        </row>
        <row r="32">
          <cell r="DC32" t="str">
            <v>ผ้าขาว</v>
          </cell>
        </row>
        <row r="33">
          <cell r="DC33" t="str">
            <v>ผ้าขาว</v>
          </cell>
        </row>
        <row r="34">
          <cell r="DC34" t="str">
            <v>รอตัด</v>
          </cell>
        </row>
        <row r="35">
          <cell r="DC35" t="str">
            <v>รอตัด</v>
          </cell>
        </row>
        <row r="36">
          <cell r="DC36" t="str">
            <v>รอตัด</v>
          </cell>
        </row>
        <row r="37">
          <cell r="DC37" t="str">
            <v>รอตัด</v>
          </cell>
        </row>
        <row r="38">
          <cell r="DC38" t="str">
            <v>รอตัด</v>
          </cell>
        </row>
        <row r="39">
          <cell r="DC39" t="str">
            <v>รอตัด</v>
          </cell>
        </row>
        <row r="40">
          <cell r="DC40" t="str">
            <v>รอตัด</v>
          </cell>
        </row>
        <row r="41">
          <cell r="DC41" t="str">
            <v>ยังไม่ได้พิมพ์</v>
          </cell>
        </row>
        <row r="42">
          <cell r="DC42" t="str">
            <v>ผ้าขาว</v>
          </cell>
        </row>
        <row r="43">
          <cell r="DC43" t="str">
            <v>ผ้าขาว</v>
          </cell>
        </row>
        <row r="44">
          <cell r="DC44" t="str">
            <v>รอแบบ</v>
          </cell>
        </row>
        <row r="45">
          <cell r="DC45" t="str">
            <v>พร้อมส่ง</v>
          </cell>
        </row>
        <row r="46">
          <cell r="DC46" t="str">
            <v>พร้อมส่ง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พร้อมส่ง</v>
          </cell>
        </row>
        <row r="50">
          <cell r="DC50" t="str">
            <v>พร้อมส่ง</v>
          </cell>
        </row>
        <row r="51">
          <cell r="DC51" t="str">
            <v>พร้อมส่ง</v>
          </cell>
        </row>
        <row r="52">
          <cell r="DC52" t="str">
            <v>พร้อมส่ง</v>
          </cell>
        </row>
        <row r="53">
          <cell r="DC53" t="str">
            <v>พร้อมส่ง</v>
          </cell>
        </row>
        <row r="54">
          <cell r="DC54" t="str">
            <v>พร้อมส่ง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พร้อมส่ง</v>
          </cell>
        </row>
        <row r="64">
          <cell r="DC64" t="str">
            <v>ยังไม่ได้พิมพ์</v>
          </cell>
        </row>
        <row r="65">
          <cell r="DC65" t="str">
            <v>รอตัด</v>
          </cell>
        </row>
        <row r="66">
          <cell r="DC66" t="str">
            <v>พร้อมส่ง</v>
          </cell>
        </row>
        <row r="67">
          <cell r="DC67" t="str">
            <v>ยังไม่ได้พิมพ์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รอตัด</v>
          </cell>
        </row>
        <row r="74">
          <cell r="DC74" t="str">
            <v>ยังไม่ได้พิมพ์</v>
          </cell>
        </row>
        <row r="75">
          <cell r="DC75" t="str">
            <v>รอแบบ</v>
          </cell>
        </row>
        <row r="76">
          <cell r="DC76" t="str">
            <v>รอแบบ</v>
          </cell>
        </row>
        <row r="77">
          <cell r="DC77" t="str">
            <v>รอแบบ</v>
          </cell>
        </row>
        <row r="78">
          <cell r="DC78" t="str">
            <v>พร้อมส่ง</v>
          </cell>
        </row>
        <row r="79">
          <cell r="DC79" t="str">
            <v>รอตัด</v>
          </cell>
        </row>
        <row r="80">
          <cell r="DC80" t="str">
            <v>พร้อมส่ง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พร้อมส่ง</v>
          </cell>
        </row>
        <row r="84">
          <cell r="DC84" t="str">
            <v>พร้อมส่ง</v>
          </cell>
        </row>
        <row r="85">
          <cell r="DC85" t="str">
            <v>ยังไม่ได้พิมพ์</v>
          </cell>
        </row>
        <row r="86">
          <cell r="DC86" t="str">
            <v>รอแบบ</v>
          </cell>
        </row>
        <row r="87">
          <cell r="DC87" t="str">
            <v>พร้อมส่ง</v>
          </cell>
        </row>
        <row r="88">
          <cell r="DC88" t="str">
            <v>พร้อมส่ง</v>
          </cell>
        </row>
        <row r="89">
          <cell r="DC89" t="str">
            <v>ยังไม่ได้พิมพ์</v>
          </cell>
        </row>
        <row r="90">
          <cell r="DC90" t="str">
            <v>ยังไม่ได้พิมพ์</v>
          </cell>
        </row>
        <row r="91">
          <cell r="DC91" t="str">
            <v>พร้อมส่ง</v>
          </cell>
        </row>
        <row r="92">
          <cell r="DC92" t="str">
            <v>พร้อมส่ง</v>
          </cell>
        </row>
        <row r="93">
          <cell r="DC93" t="str">
            <v>รอตัด</v>
          </cell>
        </row>
        <row r="94">
          <cell r="DC94" t="str">
            <v>พร้อมส่ง</v>
          </cell>
        </row>
        <row r="95">
          <cell r="DC95" t="str">
            <v>รอตัด</v>
          </cell>
        </row>
        <row r="96">
          <cell r="DC96" t="str">
            <v>รอตัด</v>
          </cell>
        </row>
        <row r="97">
          <cell r="DC97" t="str">
            <v>พร้อมส่ง</v>
          </cell>
        </row>
        <row r="98">
          <cell r="DC98" t="str">
            <v>พร้อมส่ง</v>
          </cell>
        </row>
        <row r="99">
          <cell r="DC99" t="str">
            <v>พร้อมส่ง</v>
          </cell>
        </row>
        <row r="100">
          <cell r="DC100" t="str">
            <v>พร้อมส่ง</v>
          </cell>
        </row>
        <row r="101">
          <cell r="DC101" t="str">
            <v>พร้อมส่ง</v>
          </cell>
        </row>
        <row r="102">
          <cell r="DC102" t="str">
            <v>พร้อมส่ง</v>
          </cell>
        </row>
        <row r="103">
          <cell r="DC103" t="str">
            <v>รอแบบ</v>
          </cell>
        </row>
        <row r="104">
          <cell r="DC104" t="str">
            <v>พร้อมส่ง</v>
          </cell>
        </row>
        <row r="105">
          <cell r="DC105" t="str">
            <v>พร้อมส่ง</v>
          </cell>
        </row>
        <row r="106">
          <cell r="DC106" t="str">
            <v>พร้อมส่ง</v>
          </cell>
        </row>
        <row r="107">
          <cell r="DC107" t="str">
            <v>รอตัด</v>
          </cell>
        </row>
        <row r="108">
          <cell r="DC108" t="str">
            <v>รอตัด</v>
          </cell>
        </row>
        <row r="109">
          <cell r="DC109" t="str">
            <v>รอตัด</v>
          </cell>
        </row>
        <row r="110">
          <cell r="DC110" t="str">
            <v>รอตัด</v>
          </cell>
        </row>
        <row r="111">
          <cell r="DC111" t="str">
            <v>ยังไม่ได้พิมพ์</v>
          </cell>
        </row>
        <row r="112">
          <cell r="DC112" t="str">
            <v>พิมพ์ไม่ครบ</v>
          </cell>
        </row>
        <row r="113">
          <cell r="DC113" t="str">
            <v>รอแบบ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พร้อมส่ง</v>
          </cell>
        </row>
        <row r="124">
          <cell r="DC124" t="str">
            <v>พร้อมส่ง</v>
          </cell>
        </row>
        <row r="125">
          <cell r="DC125" t="str">
            <v>พร้อมส่ง</v>
          </cell>
        </row>
        <row r="126">
          <cell r="DC126" t="str">
            <v>รอตัด</v>
          </cell>
        </row>
        <row r="127">
          <cell r="DC127" t="str">
            <v>ยังไม่ได้พิมพ์</v>
          </cell>
        </row>
        <row r="128">
          <cell r="DC128" t="str">
            <v>รอแบบ</v>
          </cell>
        </row>
        <row r="129">
          <cell r="DC129" t="str">
            <v>ยังไม่ได้พิมพ์</v>
          </cell>
        </row>
        <row r="130">
          <cell r="DC130" t="str">
            <v>ยังไม่ได้พิมพ์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ยังไม่ได้พิมพ์</v>
          </cell>
        </row>
        <row r="138">
          <cell r="DC138" t="str">
            <v>ยังไม่ได้พิมพ์</v>
          </cell>
        </row>
        <row r="139">
          <cell r="DC139" t="str">
            <v>ยังไม่ได้พิมพ์</v>
          </cell>
        </row>
        <row r="140">
          <cell r="DC140" t="str">
            <v>ยังไม่ได้พิมพ์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ยังไม่ได้พิมพ์</v>
          </cell>
        </row>
        <row r="144">
          <cell r="DC144" t="str">
            <v>รอแบบ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ผ้าขาว</v>
          </cell>
        </row>
        <row r="150">
          <cell r="DC150" t="str">
            <v>พร้อมส่ง</v>
          </cell>
        </row>
        <row r="151">
          <cell r="DC151" t="str">
            <v>ผ้าขาว</v>
          </cell>
        </row>
        <row r="152">
          <cell r="DC152" t="str">
            <v>พร้อมส่ง</v>
          </cell>
        </row>
        <row r="153">
          <cell r="DC153" t="str">
            <v>พร้อมส่ง</v>
          </cell>
        </row>
        <row r="154">
          <cell r="DC154" t="str">
            <v>พร้อมส่ง</v>
          </cell>
        </row>
        <row r="155">
          <cell r="DC155" t="str">
            <v>พร้อมส่ง</v>
          </cell>
        </row>
        <row r="156">
          <cell r="DC156" t="str">
            <v>พร้อมส่ง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พร้อมส่ง</v>
          </cell>
        </row>
        <row r="160">
          <cell r="DC160" t="str">
            <v>พร้อมส่ง</v>
          </cell>
        </row>
        <row r="161">
          <cell r="DC161" t="str">
            <v>พร้อมส่ง</v>
          </cell>
        </row>
        <row r="162">
          <cell r="DC162" t="str">
            <v>พร้อมส่ง</v>
          </cell>
        </row>
        <row r="163">
          <cell r="DC163" t="str">
            <v>ผ้าขาว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พร้อมส่ง</v>
          </cell>
        </row>
        <row r="168">
          <cell r="DC168" t="str">
            <v>ยังไม่ได้พิมพ์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ผ้าขาว</v>
          </cell>
        </row>
        <row r="173">
          <cell r="DC173" t="str">
            <v>พร้อมส่ง</v>
          </cell>
        </row>
        <row r="174">
          <cell r="DC174" t="str">
            <v>ผ้าขาว</v>
          </cell>
        </row>
        <row r="175">
          <cell r="DC175" t="str">
            <v>พิมพ์ไม่ครบ</v>
          </cell>
        </row>
        <row r="176">
          <cell r="DC176" t="str">
            <v>ยังไม่ได้พิมพ์</v>
          </cell>
        </row>
        <row r="177">
          <cell r="DC177" t="str">
            <v>พร้อมส่ง</v>
          </cell>
        </row>
        <row r="178">
          <cell r="DC178" t="str">
            <v>พร้อมส่ง</v>
          </cell>
        </row>
        <row r="179">
          <cell r="DC179" t="str">
            <v>พร้อมส่ง</v>
          </cell>
        </row>
        <row r="180">
          <cell r="DC180" t="str">
            <v>ยังไม่ได้พิมพ์</v>
          </cell>
        </row>
        <row r="181">
          <cell r="DC181" t="str">
            <v>ผ้าขาว</v>
          </cell>
        </row>
        <row r="182">
          <cell r="DC182" t="str">
            <v>พร้อมส่ง</v>
          </cell>
        </row>
        <row r="183">
          <cell r="DC183" t="str">
            <v>พร้อมส่ง</v>
          </cell>
        </row>
        <row r="184">
          <cell r="DC184"/>
        </row>
        <row r="185">
          <cell r="DC185"/>
        </row>
        <row r="186">
          <cell r="DC186"/>
        </row>
        <row r="187">
          <cell r="DC187" t="str">
            <v xml:space="preserve"> </v>
          </cell>
        </row>
        <row r="188">
          <cell r="DC188"/>
        </row>
        <row r="189">
          <cell r="DC189"/>
        </row>
        <row r="190">
          <cell r="DC190"/>
        </row>
        <row r="191">
          <cell r="DC191"/>
        </row>
        <row r="192">
          <cell r="DC192"/>
        </row>
        <row r="193">
          <cell r="DC193"/>
        </row>
        <row r="194">
          <cell r="DC194"/>
        </row>
        <row r="195">
          <cell r="DC195"/>
        </row>
        <row r="196">
          <cell r="DC196"/>
        </row>
        <row r="197">
          <cell r="DC197"/>
        </row>
        <row r="198">
          <cell r="DC198"/>
        </row>
        <row r="199">
          <cell r="DC199"/>
        </row>
        <row r="200">
          <cell r="DC200"/>
        </row>
        <row r="201">
          <cell r="DC201"/>
        </row>
        <row r="202">
          <cell r="DC202"/>
        </row>
        <row r="203">
          <cell r="DC203"/>
        </row>
        <row r="204">
          <cell r="DC204"/>
        </row>
        <row r="205">
          <cell r="DC205"/>
        </row>
        <row r="206">
          <cell r="DC206"/>
        </row>
        <row r="207">
          <cell r="DC207"/>
        </row>
        <row r="208">
          <cell r="DC208"/>
        </row>
        <row r="209">
          <cell r="DC209"/>
        </row>
        <row r="210">
          <cell r="DC210"/>
        </row>
        <row r="211">
          <cell r="DC211"/>
        </row>
        <row r="212">
          <cell r="DC212"/>
        </row>
        <row r="213">
          <cell r="DC213"/>
        </row>
        <row r="214">
          <cell r="DC214"/>
        </row>
        <row r="215">
          <cell r="DC215"/>
        </row>
        <row r="216">
          <cell r="DC216"/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4-9-68%2010.34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91.476727777779" createdVersion="8" refreshedVersion="8" minRefreshableVersion="3" recordCount="166" xr:uid="{722F9C5D-D27F-482C-B488-60F2A6A97708}">
  <cacheSource type="worksheet">
    <worksheetSource ref="A5:AF171" sheet="22-8-68" r:id="rId2"/>
  </cacheSource>
  <cacheFields count="32">
    <cacheField name="วันรับออร์เดอร์/แบบ" numFmtId="187">
      <sharedItems containsDate="1" containsMixedTypes="1" minDate="1899-12-30T00:00:00" maxDate="2025-08-23T00:00:00"/>
    </cacheField>
    <cacheField name="เลขที่ SO" numFmtId="0">
      <sharedItems containsMixedTypes="1" containsNumber="1" containsInteger="1" minValue="0" maxValue="0" count="80">
        <s v="MK68-000868"/>
        <s v="ประมาณการ"/>
        <n v="0"/>
        <s v="MK68-000951"/>
        <s v="MK68-000944"/>
        <s v="MK68-001001"/>
        <s v="MK68-001002"/>
        <s v="MK68-000945"/>
        <s v="MK68-000953"/>
        <s v="MK68-000954"/>
        <s v="MK68-001011"/>
        <s v="MK68-000680"/>
        <s v="MK68-001018"/>
        <s v="MK68-000952"/>
        <s v="MK68-000880"/>
        <s v="MK68-000976"/>
        <s v="MK68-000980"/>
        <s v="MK68-000966"/>
        <s v="MK68-000675"/>
        <s v="MK68-001019"/>
        <s v="MK68-000979"/>
        <s v="MK68-000983"/>
        <s v="MK68-000879"/>
        <s v="MK68-001003"/>
        <s v="MK68-000796"/>
        <s v="MK68-001004"/>
        <s v="MK68-001005"/>
        <s v="MK68-000902"/>
        <s v="MK68-001006"/>
        <s v="MK68-000674"/>
        <s v="MK68-001007"/>
        <s v="MK68-001012"/>
        <s v="MK68-000990"/>
        <s v="MK68-000961"/>
        <s v="MK68-000801"/>
        <s v="MK68-000671"/>
        <s v="MK68-000673"/>
        <s v="MK68-000877"/>
        <s v="MK68-000609"/>
        <s v="MK68-000693"/>
        <s v="MK68-000093"/>
        <s v="MK67-001532"/>
        <s v="MK67-001153"/>
        <s v="MK68-000694"/>
        <s v="MK68-000452"/>
        <s v="ใบรับคำสั่งซื้อ"/>
        <s v="MK67-001236"/>
        <s v="MK67-001396"/>
        <s v="MK68-000965"/>
        <s v="MK68-000926"/>
        <s v="MK68-000924"/>
        <s v="MK68-000927"/>
        <s v="MK68-000946"/>
        <s v="MK68-001008"/>
        <s v="MK68-001009"/>
        <s v="MK68-001010"/>
        <s v="MK68-001020"/>
        <s v="MK68-000930"/>
        <s v="MK68-000984"/>
        <s v="MK68-000985"/>
        <s v="MK68-001017"/>
        <s v="MK68-000982"/>
        <s v="MK68-000977"/>
        <s v="MK68-000978"/>
        <s v="MK68-000892"/>
        <s v="MK68-000893"/>
        <s v="MK68-000804"/>
        <s v="MK67-001617"/>
        <s v="MK67-001642"/>
        <s v="MK67-001643"/>
        <s v="MK66-000701"/>
        <s v="MK68-000972"/>
        <s v="MK68-001022"/>
        <s v="MK68-001021"/>
        <s v="MK68-001013"/>
        <s v="MK68-000378"/>
        <s v="MK68-000997"/>
        <s v="MK67-001490"/>
        <s v="MK68-000995"/>
        <s v="MK68-000913"/>
      </sharedItems>
    </cacheField>
    <cacheField name="ชื่อลูกค้า" numFmtId="0">
      <sharedItems containsMixedTypes="1" containsNumber="1" containsInteger="1" minValue="0" maxValue="0" count="35">
        <s v="พีมินเนอร์"/>
        <s v="บจก.ซัน ซีเมนต์ โพรเซส"/>
        <n v="0"/>
        <s v="บจก.ฟาร์เธอร์ส วิง ซัพพลาย"/>
        <s v="  "/>
        <s v="บจก.ซีแมน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หนกองบัวฟีด"/>
        <s v="บจก.วีซีเอฟ"/>
        <s v="บจก.เอพีเอ็ม อะโกร"/>
        <s v="บจก.กันยาวิ 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บจก.หนองบัวฟีดมิลล์"/>
        <s v="บจก.บลูฟาโล่"/>
        <s v="บจก.เอ็นบี ดิสทริบิวชั่น"/>
        <s v="บจก.แอมโก้เวท"/>
        <s v="บจก.ที.ซี.ยูเนี่ยน อโกรเทค"/>
        <s v="บจก.ซิเบลโก้(บางเลน)"/>
        <s v="คุณปราสาท เจริญธรรมรักษา"/>
        <s v="พันธุ์ข้าว"/>
        <s v="บจก.ซิเบลโก้(สบปราบ)"/>
        <s v="คุณวัลภา เผ่าเต็ม"/>
        <s v="โรงสีธัญญกิจ(ราชบุรี)"/>
        <s v="บจก.น้ำตาลทิพย์สุโขทัย"/>
        <s v="บจก.กบินทร์อินทรีย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23T00:00:00" maxDate="2025-09-27T00:00:00" count="20">
        <s v="รอส่ง"/>
        <s v="รอแจ้ง"/>
        <m/>
        <d v="2025-08-25T00:00:00"/>
        <d v="2025-09-25T00:00:00"/>
        <d v="2025-08-23T00:00:00"/>
        <d v="2025-08-26T00:00:00"/>
        <d v="2025-08-28T00:00:00"/>
        <d v="2025-08-29T00:00:00"/>
        <d v="2025-08-30T00:00:00"/>
        <d v="2025-08-27T00:00:00"/>
        <d v="2025-09-12T00:00:00"/>
        <d v="2025-09-08T00:00:00"/>
        <d v="2025-09-15T00:00:00"/>
        <d v="2025-09-02T00:00:00"/>
        <d v="2025-09-09T00:00:00"/>
        <d v="2025-09-16T00:00:00"/>
        <d v="2025-09-19T00:00:00"/>
        <d v="2025-09-22T00:00:00"/>
        <d v="2025-09-26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64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67899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0">
        <s v="WSWT1625800SM"/>
        <s v="WSWT1825800"/>
        <s v="WSWT1925800"/>
        <s v="WSWT1921720"/>
        <s v="WSWT19251000SM"/>
        <s v="WSWT2025650"/>
        <s v="WSWT2025800SM"/>
        <s v="WSWT2025850"/>
        <s v="WSWT2025800"/>
        <s v="WSWT2125650"/>
        <s v="WSWT2121670SM"/>
        <s v="WSWT2325650"/>
        <s v="WSWTFCL022325650"/>
        <s v="WSWT2321750"/>
        <s v="WSWT23211125120SMFX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46019.98206249997"/>
    </cacheField>
    <cacheField name="Stock" numFmtId="3">
      <sharedItems containsSemiMixedTypes="0" containsString="0" containsNumber="1" minValue="0" maxValue="249563.4820625"/>
    </cacheField>
    <cacheField name="ค้างทอ" numFmtId="3">
      <sharedItems containsSemiMixedTypes="0" containsString="0" containsNumber="1" minValue="0" maxValue="461812.45082000003"/>
    </cacheField>
    <cacheField name="Stock2" numFmtId="3">
      <sharedItems containsSemiMixedTypes="0" containsString="0" containsNumber="1" minValue="0" maxValue="136291.32"/>
    </cacheField>
    <cacheField name="ค้างเคลือบ" numFmtId="3">
      <sharedItems containsSemiMixedTypes="0" containsString="0" containsNumber="1" minValue="0" maxValue="376873.8589000000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08.440934259263" createdVersion="8" refreshedVersion="8" minRefreshableVersion="3" recordCount="143" xr:uid="{48FFD935-ADF3-474E-BE34-0C922A183A53}">
  <cacheSource type="worksheet">
    <worksheetSource ref="A5:AF148" sheet="8-9-68"/>
  </cacheSource>
  <cacheFields count="32">
    <cacheField name="วันรับออร์เดอร์/แบบ" numFmtId="187">
      <sharedItems containsDate="1" containsMixedTypes="1" minDate="1899-12-30T00:00:00" maxDate="2025-09-07T00:00:00"/>
    </cacheField>
    <cacheField name="เลขที่ SO" numFmtId="0">
      <sharedItems containsMixedTypes="1" containsNumber="1" containsInteger="1" minValue="0" maxValue="0" count="75">
        <s v="MK68-001041"/>
        <n v="0"/>
        <s v="MK68-001045"/>
        <s v="ประมาณการ"/>
        <s v="MK68-001068"/>
        <s v="MK68-001048"/>
        <s v="MK68-001049"/>
        <s v="MK68-001043"/>
        <s v="MK68-001044"/>
        <s v="MK68-001075"/>
        <s v="MK68-001076"/>
        <s v="MK68-001077"/>
        <s v="MK68-001080"/>
        <s v="MK68-000680"/>
        <s v="MK68-000609"/>
        <s v="MK68-001078"/>
        <s v="MK68-001079"/>
        <s v="MK68-000671"/>
        <s v="MK68-000961"/>
        <s v="MK68-001040"/>
        <s v="MK68-001071"/>
        <s v="MK68-001069"/>
        <s v="MK68-001070"/>
        <s v="MK68-001029"/>
        <s v="MK68-001033"/>
        <s v="MK68-001034"/>
        <s v="MK68-001035"/>
        <s v="MK68-001024"/>
        <s v="MK68-001026"/>
        <s v="MK68-001007"/>
        <s v="MK68-001039"/>
        <s v="MK68-001027"/>
        <s v="MK68-000675"/>
        <s v="MK68-000983"/>
        <s v="MK68-000990"/>
        <s v="MK68-000801"/>
        <s v="MK68-000673"/>
        <s v="MK68-000693"/>
        <s v="MK68-000093"/>
        <s v="MK67-001532"/>
        <s v="MK67-001153"/>
        <s v="MK68-000694"/>
        <s v="MK68-000452"/>
        <s v="ใบรับคำสั่งซื้อ"/>
        <s v="MK67-001236"/>
        <s v="MK67-001396"/>
        <s v="MK68-001025"/>
        <s v="MK68-001009"/>
        <s v="MK68-001010"/>
        <s v="MK68-001082"/>
        <s v="MK68-001081"/>
        <s v="MK68-001073"/>
        <s v="MK68-000977"/>
        <s v="MK67-001643"/>
        <s v="MK67-001642"/>
        <s v="MK68-001036"/>
        <s v="MK68-001038"/>
        <s v="MK68-001037"/>
        <s v="MK68-000982"/>
        <s v="MK68-000978"/>
        <s v="MK68-000892"/>
        <s v="MK68-000893"/>
        <s v="MK68-000804"/>
        <s v="MK66-000701"/>
        <s v="MK68-000378"/>
        <s v="MK67-001490"/>
        <s v="MK68-001030"/>
        <s v="MK68-001083"/>
        <s v="MK68-001074"/>
        <s v="MK68-001065"/>
        <s v="MK68-001051"/>
        <s v="MK68-001052"/>
        <s v="MK68-001066"/>
        <s v="MK68-001067"/>
        <s v="MK68-001032"/>
      </sharedItems>
    </cacheField>
    <cacheField name="ชื่อลูกค้า" numFmtId="0">
      <sharedItems containsMixedTypes="1" containsNumber="1" containsInteger="1" minValue="0" maxValue="0" count="27">
        <s v="บจก.ซัน ซีเมนต์ โพรเซส"/>
        <n v="0"/>
        <s v="บจก.เคอรี่ฟลาวมิลล์"/>
        <s v="บจก.ฟาร์เธอร์ส วิง ซัพพลาย"/>
        <s v="  "/>
        <s v="บจก.ยืนยงยิปซั่มปลาสเตอร์"/>
        <s v="บจก.เพรซิเดนท์ฟลาวมิลล์"/>
        <s v="บจก.เอ็กเซลเล้นท์"/>
        <s v="บจก.ไลม์มาสเตอร์"/>
        <s v="บจก.อินเทคค์ โกลบอล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ที.เอช.แพลเล็ท"/>
        <s v="บจก.ทีเจที.เทรดเดอร์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บจก.น้ำตาลทิพย์สุโขทัย"/>
        <s v="คุณธนนท์ อุทัยไพศาลวงศ์"/>
        <s v="บจก.กบินทร์อินทรีย์"/>
        <s v="บจก.ทีพีเค แอ็บโซลูท สตาร์ช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09T00:00:00" maxDate="2025-10-16T00:00:00" count="19">
        <d v="2025-09-09T00:00:00"/>
        <m/>
        <d v="2025-09-25T00:00:00"/>
        <s v="รอแจ้ง"/>
        <d v="2025-09-12T00:00:00"/>
        <d v="2025-09-11T00:00:00"/>
        <d v="2025-09-17T00:00:00"/>
        <d v="2025-09-15T00:00:00"/>
        <d v="2025-09-16T00:00:00"/>
        <d v="2025-09-18T00:00:00"/>
        <d v="2025-09-24T00:00:00"/>
        <d v="2025-09-30T00:00:00"/>
        <d v="2025-09-20T00:00:00"/>
        <d v="2025-09-19T00:00:00"/>
        <d v="2025-09-22T00:00:00"/>
        <d v="2025-09-26T00:00:00"/>
        <s v="รอส่ง"/>
        <d v="2025-09-10T00:00:00"/>
        <d v="2025-10-15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30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53544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19">
        <s v="WSWT1625800SM"/>
        <s v="WSWT1625800"/>
        <s v="WSWT1825800"/>
        <s v="WSWT1825800SM"/>
        <s v="WSWT1925800"/>
        <s v="WSWT1921720"/>
        <s v="WSWT19251000SM"/>
        <s v="WSWT2025800SM"/>
        <s v="WSWT2025850"/>
        <s v="WSWT2025800"/>
        <s v="WSWT2121670SM"/>
        <s v="WSWT2325650"/>
        <s v="WSWT232175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469407.45082000003"/>
    </cacheField>
    <cacheField name="Stock" numFmtId="3">
      <sharedItems containsSemiMixedTypes="0" containsString="0" containsNumber="1" minValue="0" maxValue="195033.35390000005"/>
    </cacheField>
    <cacheField name="ค้างทอ" numFmtId="3">
      <sharedItems containsSemiMixedTypes="0" containsString="0" containsNumber="1" minValue="0" maxValue="454561.45082000003"/>
    </cacheField>
    <cacheField name="Stock2" numFmtId="3">
      <sharedItems containsSemiMixedTypes="0" containsString="0" containsNumber="1" minValue="0" maxValue="115517.93000000002"/>
    </cacheField>
    <cacheField name="ค้างเคลือบ" numFmtId="3">
      <sharedItems containsSemiMixedTypes="0" containsString="0" containsNumber="1" minValue="0" maxValue="412131.06550000008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d v="2025-07-04T00:00:00"/>
    <x v="0"/>
    <x v="0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0"/>
    <n v="4000"/>
    <n v="3922"/>
    <n v="78"/>
    <n v="5295"/>
    <n v="0"/>
    <x v="0"/>
    <n v="0"/>
    <n v="0"/>
    <n v="0"/>
    <n v="0"/>
    <n v="0"/>
    <s v="รอส่ง รอลูกค้ามารับเอง"/>
  </r>
  <r>
    <s v="ประมาณการ"/>
    <x v="1"/>
    <x v="1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1"/>
    <n v="5000"/>
    <n v="0"/>
    <n v="5000"/>
    <n v="0"/>
    <n v="5250"/>
    <x v="0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0"/>
    <n v="3702.0499999999997"/>
    <n v="0"/>
    <n v="3702.0499999999997"/>
    <n v="0"/>
    <n v="3702.0499999999997"/>
    <s v="ระบุในSD"/>
  </r>
  <r>
    <s v="ประมาณการ"/>
    <x v="1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1"/>
    <n v="15000"/>
    <n v="0"/>
    <n v="15000"/>
    <n v="0"/>
    <n v="15750"/>
    <x v="1"/>
    <n v="13201.65"/>
    <n v="2599"/>
    <n v="10602.65"/>
    <n v="0"/>
    <n v="0"/>
    <n v="0"/>
  </r>
  <r>
    <d v="1899-12-30T00:00:00"/>
    <x v="2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1"/>
    <n v="13201.65"/>
    <n v="2599"/>
    <n v="10602.65"/>
    <n v="0"/>
    <n v="0"/>
    <s v="ระบุในSD"/>
  </r>
  <r>
    <d v="2025-08-01T00:00:00"/>
    <x v="3"/>
    <x v="5"/>
    <s v="W30"/>
    <n v="19"/>
    <n v="28"/>
    <s v="ขาว"/>
    <n v="0"/>
    <n v="56"/>
    <s v="±"/>
    <n v="5"/>
    <s v="ไม่"/>
    <n v="20"/>
    <n v="30"/>
    <n v="90"/>
    <n v="0"/>
    <n v="0"/>
    <n v="0"/>
    <s v="มัด100"/>
    <x v="3"/>
    <n v="5800"/>
    <n v="5800"/>
    <n v="0"/>
    <n v="41600"/>
    <n v="0"/>
    <x v="2"/>
    <n v="0"/>
    <n v="0"/>
    <n v="0"/>
    <n v="0"/>
    <n v="0"/>
    <n v="0"/>
  </r>
  <r>
    <s v="ประมาณการ"/>
    <x v="1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2"/>
    <n v="88010.999999999985"/>
    <n v="28203"/>
    <n v="59807.999999999985"/>
    <n v="0"/>
    <n v="0"/>
    <n v="0"/>
  </r>
  <r>
    <s v="ประมาณการ"/>
    <x v="1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25000"/>
    <n v="0"/>
    <n v="25000"/>
    <n v="0"/>
    <n v="26250"/>
    <x v="2"/>
    <n v="22002.749999999996"/>
    <n v="0"/>
    <n v="22002.749999999996"/>
    <n v="0"/>
    <n v="0"/>
    <n v="0"/>
  </r>
  <r>
    <s v="ประมาณการ"/>
    <x v="1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4"/>
    <n v="20000"/>
    <n v="233"/>
    <n v="19767"/>
    <n v="0"/>
    <n v="20755.350000000002"/>
    <x v="2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2"/>
    <n v="128515.46432999999"/>
    <n v="28203"/>
    <n v="100312.46432999999"/>
    <n v="0"/>
    <n v="0"/>
    <s v="ระบุในSD"/>
  </r>
  <r>
    <d v="2025-07-31T00:00:00"/>
    <x v="4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8-15T00:00:00"/>
    <x v="5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66"/>
    <n v="0"/>
    <x v="3"/>
    <n v="0"/>
    <n v="0"/>
    <n v="0"/>
    <n v="0"/>
    <n v="0"/>
    <s v="PDR250266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52"/>
    <n v="0"/>
    <x v="3"/>
    <n v="0"/>
    <n v="0"/>
    <n v="0"/>
    <n v="0"/>
    <n v="0"/>
    <s v="PDR250266"/>
  </r>
  <r>
    <d v="2025-08-15T00:00:00"/>
    <x v="5"/>
    <x v="9"/>
    <s v="แต้ม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3"/>
    <n v="0"/>
    <n v="0"/>
    <n v="0"/>
    <n v="0"/>
    <n v="0"/>
    <s v="PDR250266"/>
  </r>
  <r>
    <d v="2025-08-15T00:00:00"/>
    <x v="5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3"/>
    <n v="9359.9000000000015"/>
    <n v="9359.9000000000015"/>
    <n v="0"/>
    <n v="0"/>
    <n v="0"/>
    <s v="PDR250263"/>
  </r>
  <r>
    <d v="2025-08-15T00:00:00"/>
    <x v="5"/>
    <x v="9"/>
    <s v="ปลาโลมาท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400"/>
    <n v="0"/>
    <x v="3"/>
    <n v="0"/>
    <n v="0"/>
    <n v="0"/>
    <n v="0"/>
    <n v="0"/>
    <s v="PDR250263"/>
  </r>
  <r>
    <d v="2025-08-15T00:00:00"/>
    <x v="5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665"/>
    <n v="0"/>
    <x v="3"/>
    <n v="0"/>
    <n v="0"/>
    <n v="0"/>
    <n v="0"/>
    <n v="0"/>
    <s v="PDR250263"/>
  </r>
  <r>
    <d v="2025-08-15T00:00:00"/>
    <x v="5"/>
    <x v="9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250"/>
    <n v="0"/>
    <x v="3"/>
    <n v="0"/>
    <n v="0"/>
    <n v="0"/>
    <n v="0"/>
    <n v="0"/>
    <s v="PDR250263"/>
  </r>
  <r>
    <d v="2025-07-31T00:00:00"/>
    <x v="4"/>
    <x v="9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3"/>
    <n v="0"/>
    <n v="0"/>
    <n v="0"/>
    <n v="0"/>
    <n v="0"/>
    <s v="PDR250252"/>
  </r>
  <r>
    <d v="2025-07-31T00:00:00"/>
    <x v="4"/>
    <x v="9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80"/>
    <n v="0"/>
    <x v="3"/>
    <n v="0"/>
    <n v="0"/>
    <n v="0"/>
    <n v="0"/>
    <n v="0"/>
    <s v="PDR250252"/>
  </r>
  <r>
    <d v="2025-07-31T00:00:00"/>
    <x v="4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3"/>
    <n v="0"/>
    <n v="0"/>
    <n v="0"/>
    <n v="0"/>
    <n v="0"/>
    <s v="PDR250252"/>
  </r>
  <r>
    <d v="2025-07-31T00:00:00"/>
    <x v="4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665"/>
    <n v="0"/>
    <x v="3"/>
    <n v="0"/>
    <n v="0"/>
    <n v="0"/>
    <n v="0"/>
    <n v="0"/>
    <s v="PDR250252"/>
  </r>
  <r>
    <d v="2025-07-31T00:00:00"/>
    <x v="4"/>
    <x v="9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52"/>
  </r>
  <r>
    <d v="2025-08-15T00:00:00"/>
    <x v="6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0"/>
    <x v="3"/>
    <n v="5238.75"/>
    <n v="5238.75"/>
    <n v="0"/>
    <n v="0"/>
    <n v="0"/>
    <s v="PDR250264"/>
  </r>
  <r>
    <d v="2025-08-15T00:00:00"/>
    <x v="5"/>
    <x v="9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64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67"/>
    <n v="0"/>
    <x v="3"/>
    <n v="0"/>
    <n v="0"/>
    <n v="0"/>
    <n v="0"/>
    <n v="0"/>
    <s v="PDR250264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8-15T00:00:00"/>
    <x v="5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7-31T00:00:00"/>
    <x v="4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7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3"/>
    <n v="5238.75"/>
    <n v="5238.75"/>
    <n v="0"/>
    <n v="0"/>
    <n v="0"/>
    <s v="PDR250253"/>
  </r>
  <r>
    <d v="2025-08-15T00:00:00"/>
    <x v="5"/>
    <x v="9"/>
    <s v="ถุงเขีย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65"/>
  </r>
  <r>
    <d v="2025-08-01T00:00:00"/>
    <x v="8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2025-08-01T00:00:00"/>
    <x v="9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3"/>
    <n v="99396.550000000017"/>
    <n v="99396.550000000017"/>
    <n v="0"/>
    <n v="0"/>
    <n v="0"/>
    <s v="ระบุในSD"/>
  </r>
  <r>
    <d v="2025-08-18T00:00:00"/>
    <x v="10"/>
    <x v="10"/>
    <s v="เพอเฟคค์ 102S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5139.8424000000005"/>
    <n v="5139.8424000000005"/>
    <n v="0"/>
    <n v="0"/>
    <n v="5139.8424000000005"/>
    <n v="0"/>
  </r>
  <r>
    <d v="2025-08-18T00:00:00"/>
    <x v="10"/>
    <x v="10"/>
    <s v="เพอเฟคค์ 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4999.0247999999992"/>
    <n v="0"/>
    <n v="4999.0247999999992"/>
    <n v="0"/>
    <n v="4999.0247999999992"/>
    <n v="0"/>
  </r>
  <r>
    <d v="2025-05-19T00:00:00"/>
    <x v="11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"/>
    <n v="503"/>
    <n v="0"/>
    <n v="503"/>
    <n v="5250"/>
    <n v="0"/>
    <x v="4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4"/>
    <n v="10138.867200000001"/>
    <n v="5139.8424000000005"/>
    <n v="4999.0247999999992"/>
    <n v="0"/>
    <n v="10138.867200000001"/>
    <s v="ระบุในSD"/>
  </r>
  <r>
    <d v="2025-08-20T00:00:00"/>
    <x v="12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5000"/>
    <n v="5000"/>
    <n v="0"/>
    <n v="0"/>
    <n v="0"/>
    <x v="5"/>
    <n v="0"/>
    <n v="0"/>
    <n v="0"/>
    <n v="0"/>
    <n v="0"/>
    <n v="0"/>
  </r>
  <r>
    <d v="1899-12-30T00:00:00"/>
    <x v="2"/>
    <x v="2"/>
    <n v="0"/>
    <n v="20"/>
    <n v="37"/>
    <s v="ขาว"/>
    <n v="0"/>
    <n v="65"/>
    <s v="±"/>
    <n v="5"/>
    <n v="0"/>
    <n v="0"/>
    <n v="0"/>
    <n v="0"/>
    <n v="0"/>
    <n v="0"/>
    <n v="0"/>
    <n v="0"/>
    <x v="2"/>
    <n v="0"/>
    <n v="0"/>
    <n v="0"/>
    <n v="0"/>
    <n v="0"/>
    <x v="5"/>
    <n v="0"/>
    <n v="0"/>
    <n v="0"/>
    <n v="0"/>
    <n v="0"/>
    <s v="ระบุในSD"/>
  </r>
  <r>
    <d v="2025-07-30T00:00:00"/>
    <x v="13"/>
    <x v="12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20000"/>
    <n v="0"/>
    <n v="20900"/>
    <n v="0"/>
    <x v="6"/>
    <n v="0"/>
    <n v="0"/>
    <n v="0"/>
    <n v="0"/>
    <n v="0"/>
    <n v="0"/>
  </r>
  <r>
    <d v="2025-07-12T00:00:00"/>
    <x v="14"/>
    <x v="13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4000"/>
    <n v="0"/>
    <n v="4100"/>
    <n v="0"/>
    <x v="6"/>
    <n v="0"/>
    <n v="0"/>
    <n v="0"/>
    <n v="0"/>
    <n v="0"/>
    <n v="0"/>
  </r>
  <r>
    <d v="2025-08-07T00:00:00"/>
    <x v="15"/>
    <x v="13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100"/>
    <n v="0"/>
    <x v="6"/>
    <n v="0"/>
    <n v="0"/>
    <n v="0"/>
    <n v="0"/>
    <n v="0"/>
    <s v="ห้ามเกิน-ขาดได้5%"/>
  </r>
  <r>
    <d v="2025-08-07T00:00:00"/>
    <x v="16"/>
    <x v="13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200"/>
    <n v="0"/>
    <x v="6"/>
    <n v="0"/>
    <n v="0"/>
    <n v="0"/>
    <n v="0"/>
    <n v="0"/>
    <s v="ห้ามเกิน-ขาดได้5%"/>
  </r>
  <r>
    <d v="2025-08-05T00:00:00"/>
    <x v="17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614"/>
    <n v="0"/>
    <n v="614"/>
    <n v="0"/>
    <n v="644.70000000000005"/>
    <x v="6"/>
    <n v="643.31850000000009"/>
    <n v="643.31850000000009"/>
    <n v="0"/>
    <n v="643.31850000000009"/>
    <n v="0"/>
    <n v="0"/>
  </r>
  <r>
    <d v="2025-05-19T00:00:00"/>
    <x v="18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240"/>
    <n v="0"/>
    <n v="240"/>
    <n v="0"/>
    <n v="252"/>
    <x v="6"/>
    <n v="251.46"/>
    <n v="251.46"/>
    <n v="0"/>
    <n v="251.46"/>
    <n v="0"/>
    <n v="0"/>
  </r>
  <r>
    <d v="2025-08-22T00:00:00"/>
    <x v="19"/>
    <x v="14"/>
    <s v="หมูแดง 002"/>
    <n v="20"/>
    <n v="37"/>
    <s v="ขาว"/>
    <s v="ใส"/>
    <n v="97"/>
    <s v="±"/>
    <n v="5"/>
    <s v="ไม่"/>
    <s v="ไม่สวมถุงใน"/>
    <n v="0"/>
    <n v="0"/>
    <n v="0"/>
    <n v="0"/>
    <n v="0"/>
    <s v="500กระสอบ"/>
    <x v="10"/>
    <n v="8000"/>
    <n v="0"/>
    <n v="8000"/>
    <n v="0"/>
    <n v="8400"/>
    <x v="6"/>
    <n v="8605.52"/>
    <n v="8605.52"/>
    <n v="0"/>
    <n v="0"/>
    <n v="8605.52"/>
    <s v="ขาด-เกินได้5%"/>
  </r>
  <r>
    <d v="2025-08-07T00:00:00"/>
    <x v="20"/>
    <x v="13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6"/>
    <n v="4414.5199999999995"/>
    <n v="4414.5199999999995"/>
    <n v="0"/>
    <n v="0"/>
    <n v="4414.5199999999995"/>
    <s v="ขอ 3000เกิน"/>
  </r>
  <r>
    <d v="2025-08-07T00:00:00"/>
    <x v="21"/>
    <x v="13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"/>
    <n v="3000"/>
    <n v="3075"/>
    <n v="0"/>
    <n v="0"/>
    <n v="0"/>
    <x v="6"/>
    <n v="0"/>
    <n v="0"/>
    <n v="0"/>
    <n v="0"/>
    <n v="0"/>
    <n v="0"/>
  </r>
  <r>
    <d v="2025-07-12T00:00:00"/>
    <x v="22"/>
    <x v="13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0"/>
    <n v="4000"/>
    <n v="4100"/>
    <n v="0"/>
    <x v="6"/>
    <n v="0"/>
    <n v="0"/>
    <n v="0"/>
    <n v="0"/>
    <n v="0"/>
    <n v="0"/>
  </r>
  <r>
    <d v="2025-08-18T00:00:00"/>
    <x v="23"/>
    <x v="10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6000"/>
    <n v="0"/>
    <x v="6"/>
    <n v="0"/>
    <n v="0"/>
    <n v="0"/>
    <n v="0"/>
    <n v="0"/>
    <n v="0"/>
  </r>
  <r>
    <d v="2025-06-17T00:00:00"/>
    <x v="24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27"/>
    <n v="0"/>
    <n v="127"/>
    <n v="145"/>
    <n v="0"/>
    <x v="6"/>
    <n v="0"/>
    <n v="0"/>
    <n v="0"/>
    <n v="0"/>
    <n v="0"/>
    <n v="0"/>
  </r>
  <r>
    <d v="2025-08-18T00:00:00"/>
    <x v="23"/>
    <x v="10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20000"/>
    <n v="0"/>
    <n v="20000"/>
    <n v="3943"/>
    <n v="16859.850000000002"/>
    <x v="6"/>
    <n v="17664.907837500003"/>
    <n v="17664.907837500003"/>
    <n v="0"/>
    <n v="17664.907837500003"/>
    <n v="0"/>
    <n v="0"/>
  </r>
  <r>
    <d v="2025-08-18T00:00:00"/>
    <x v="2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10477.5"/>
    <n v="0"/>
    <n v="0"/>
    <n v="10477.5"/>
    <n v="0"/>
  </r>
  <r>
    <d v="2025-08-18T00:00:00"/>
    <x v="25"/>
    <x v="10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5280.6600000000008"/>
    <n v="0"/>
    <n v="0"/>
    <n v="5280.6600000000008"/>
    <n v="0"/>
  </r>
  <r>
    <d v="2025-08-18T00:00:00"/>
    <x v="26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8675"/>
    <n v="1802.5"/>
    <n v="0"/>
    <n v="10477.5"/>
    <n v="0"/>
  </r>
  <r>
    <d v="2025-07-19T00:00:00"/>
    <x v="27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20"/>
    <n v="0"/>
    <n v="120"/>
    <n v="0"/>
    <n v="126"/>
    <x v="6"/>
    <n v="125.73"/>
    <n v="0"/>
    <n v="125.73"/>
    <n v="0"/>
    <n v="125.73"/>
    <n v="0"/>
  </r>
  <r>
    <d v="2025-08-18T00:00:00"/>
    <x v="26"/>
    <x v="10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5-19T00:00:00"/>
    <x v="29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446"/>
    <n v="0"/>
    <n v="1446"/>
    <n v="0"/>
    <n v="1518.3"/>
    <x v="6"/>
    <n v="1515.0465000000002"/>
    <n v="0"/>
    <n v="1515.0465000000002"/>
    <n v="0"/>
    <n v="1515.0465000000002"/>
    <n v="0"/>
  </r>
  <r>
    <d v="2025-08-18T00:00:00"/>
    <x v="30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8-18T00:00:00"/>
    <x v="30"/>
    <x v="10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31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139.8424000000005"/>
    <n v="0"/>
    <n v="5139.8424000000005"/>
    <n v="0"/>
    <n v="5139.8424000000005"/>
    <n v="0"/>
  </r>
  <r>
    <s v="ประมาณการ"/>
    <x v="1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1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6"/>
    <n v="22072.6"/>
    <n v="0"/>
    <n v="22072.6"/>
    <n v="0"/>
    <n v="22072.6"/>
    <n v="0"/>
  </r>
  <r>
    <s v="ประมาณการ"/>
    <x v="1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6"/>
    <n v="21513.800000000003"/>
    <n v="0"/>
    <n v="21513.800000000003"/>
    <n v="0"/>
    <n v="21513.800000000003"/>
    <n v="0"/>
  </r>
  <r>
    <d v="2025-08-08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8-04T00:00:00"/>
    <x v="33"/>
    <x v="13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6"/>
    <n v="4414.5199999999995"/>
    <n v="0"/>
    <n v="4414.5199999999995"/>
    <n v="0"/>
    <n v="4414.5199999999995"/>
    <s v="ห้ามเกิน-ขาดได้5%"/>
  </r>
  <r>
    <s v="ประมาณการ"/>
    <x v="1"/>
    <x v="17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6"/>
    <n v="110363"/>
    <n v="0"/>
    <n v="110363"/>
    <n v="0"/>
    <n v="110363"/>
    <n v="0"/>
  </r>
  <r>
    <d v="2025-06-17T00:00:00"/>
    <x v="34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"/>
    <n v="894"/>
    <n v="525"/>
    <n v="369"/>
    <n v="6000"/>
    <n v="0"/>
    <x v="6"/>
    <n v="0"/>
    <n v="0"/>
    <n v="0"/>
    <n v="0"/>
    <n v="0"/>
    <n v="0"/>
  </r>
  <r>
    <d v="2025-05-19T00:00:00"/>
    <x v="35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66"/>
    <n v="0"/>
    <n v="366"/>
    <n v="5113"/>
    <n v="0"/>
    <x v="6"/>
    <n v="0"/>
    <n v="0"/>
    <n v="0"/>
    <n v="0"/>
    <n v="0"/>
    <n v="0"/>
  </r>
  <r>
    <d v="2025-05-19T00:00:00"/>
    <x v="36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02"/>
    <n v="0"/>
    <n v="302"/>
    <n v="5300"/>
    <n v="0"/>
    <x v="6"/>
    <n v="0"/>
    <n v="0"/>
    <n v="0"/>
    <n v="0"/>
    <n v="0"/>
    <n v="0"/>
  </r>
  <r>
    <d v="2025-07-12T00:00:00"/>
    <x v="37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3000"/>
    <n v="0"/>
    <n v="3000"/>
    <n v="0"/>
    <n v="3150"/>
    <x v="6"/>
    <n v="3310.89"/>
    <n v="0"/>
    <n v="3310.89"/>
    <n v="0"/>
    <n v="3310.89"/>
    <n v="0"/>
  </r>
  <r>
    <d v="2025-05-05T00:00:00"/>
    <x v="38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5-21T00:00:00"/>
    <x v="39"/>
    <x v="13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5000"/>
    <n v="0"/>
    <n v="5000"/>
    <n v="0"/>
    <n v="5250"/>
    <x v="6"/>
    <n v="5518.15"/>
    <n v="0"/>
    <n v="5518.15"/>
    <n v="0"/>
    <n v="5518.15"/>
    <n v="0"/>
  </r>
  <r>
    <d v="2025-01-17T00:00:00"/>
    <x v="4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"/>
    <n v="152"/>
    <n v="0"/>
    <n v="152"/>
    <n v="6000"/>
    <n v="0"/>
    <x v="6"/>
    <n v="0"/>
    <n v="0"/>
    <n v="0"/>
    <n v="0"/>
    <n v="0"/>
    <n v="5987"/>
  </r>
  <r>
    <d v="2024-11-15T00:00:00"/>
    <x v="4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17"/>
    <n v="0"/>
    <n v="117"/>
    <n v="10065"/>
    <n v="0"/>
    <x v="6"/>
    <n v="0"/>
    <n v="0"/>
    <n v="0"/>
    <n v="0"/>
    <n v="0"/>
    <n v="0"/>
  </r>
  <r>
    <d v="2024-08-19T00:00:00"/>
    <x v="4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260"/>
    <n v="0"/>
    <n v="1260"/>
    <n v="11095"/>
    <n v="0"/>
    <x v="6"/>
    <n v="0"/>
    <n v="0"/>
    <n v="0"/>
    <n v="0"/>
    <n v="0"/>
    <n v="0"/>
  </r>
  <r>
    <d v="2024-08-19T00:00:00"/>
    <x v="4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89"/>
    <n v="0"/>
    <n v="89"/>
    <n v="11180"/>
    <n v="0"/>
    <x v="6"/>
    <n v="0"/>
    <n v="0"/>
    <n v="0"/>
    <n v="0"/>
    <n v="0"/>
    <n v="0"/>
  </r>
  <r>
    <d v="2025-05-22T00:00:00"/>
    <x v="43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3840"/>
    <n v="160"/>
    <n v="8450"/>
    <n v="0"/>
    <x v="6"/>
    <n v="0"/>
    <n v="0"/>
    <n v="0"/>
    <n v="0"/>
    <n v="0"/>
    <s v="ห้ามขาด-ห้ามเกิน"/>
  </r>
  <r>
    <d v="2025-03-25T00:00:00"/>
    <x v="44"/>
    <x v="13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3867"/>
    <n v="133"/>
    <n v="4200"/>
    <n v="0"/>
    <x v="6"/>
    <n v="0"/>
    <n v="0"/>
    <n v="0"/>
    <n v="0"/>
    <n v="0"/>
    <n v="0"/>
  </r>
  <r>
    <d v="2025-03-04T00:00:00"/>
    <x v="45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4010"/>
    <n v="0"/>
    <n v="4470"/>
    <n v="0"/>
    <x v="6"/>
    <n v="0"/>
    <n v="0"/>
    <n v="0"/>
    <n v="0"/>
    <n v="0"/>
    <n v="0"/>
  </r>
  <r>
    <d v="2025-03-04T00:00:00"/>
    <x v="45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65"/>
    <n v="0"/>
    <n v="3300"/>
    <n v="0"/>
    <x v="6"/>
    <n v="0"/>
    <n v="0"/>
    <n v="0"/>
    <n v="0"/>
    <n v="0"/>
    <n v="0"/>
  </r>
  <r>
    <d v="2024-09-06T00:00:00"/>
    <x v="46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47"/>
    <x v="13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194"/>
    <n v="0"/>
    <n v="5632"/>
    <n v="0"/>
    <x v="6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6"/>
    <n v="395433.54523750005"/>
    <n v="56012.886337500007"/>
    <n v="339420.65889999998"/>
    <n v="18559.686337500003"/>
    <n v="376873.85890000005"/>
    <s v="ระบุในSD"/>
  </r>
  <r>
    <s v="ประมาณการ"/>
    <x v="1"/>
    <x v="17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7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7"/>
    <n v="113157.00000000001"/>
    <n v="0"/>
    <n v="113157.00000000001"/>
    <n v="0"/>
    <n v="0"/>
    <s v="ระบุในSD"/>
  </r>
  <r>
    <d v="2025-08-05T00:00:00"/>
    <x v="48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93"/>
    <n v="0"/>
    <n v="393"/>
    <n v="0"/>
    <n v="412.65000000000003"/>
    <x v="8"/>
    <n v="411.76575000000003"/>
    <n v="411.76575000000003"/>
    <n v="0"/>
    <n v="0"/>
    <n v="0"/>
    <s v="ห้ามขาด-ห้ามเกิน"/>
  </r>
  <r>
    <d v="2025-07-24T00:00:00"/>
    <x v="49"/>
    <x v="19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7000"/>
    <n v="0"/>
    <n v="7315"/>
    <n v="0"/>
    <x v="8"/>
    <n v="0"/>
    <n v="0"/>
    <n v="0"/>
    <n v="0"/>
    <n v="0"/>
    <s v="หนองบุญมาก"/>
  </r>
  <r>
    <d v="2025-07-24T00:00:00"/>
    <x v="50"/>
    <x v="19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64000"/>
    <n v="64000"/>
    <n v="0"/>
    <n v="67899"/>
    <n v="0"/>
    <x v="8"/>
    <n v="0"/>
    <n v="0"/>
    <n v="0"/>
    <n v="0"/>
    <n v="0"/>
    <s v="หนองบุญมาก"/>
  </r>
  <r>
    <d v="2025-07-24T00:00:00"/>
    <x v="51"/>
    <x v="19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5000"/>
    <n v="2000"/>
    <n v="7350"/>
    <n v="0"/>
    <x v="8"/>
    <n v="0"/>
    <n v="0"/>
    <n v="0"/>
    <n v="0"/>
    <n v="0"/>
    <s v="หนองบุญมาก"/>
  </r>
  <r>
    <d v="2025-08-01T00:00:00"/>
    <x v="52"/>
    <x v="19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5000"/>
    <n v="0"/>
    <n v="5400"/>
    <n v="0"/>
    <x v="8"/>
    <n v="0"/>
    <n v="0"/>
    <n v="0"/>
    <n v="0"/>
    <n v="0"/>
    <s v="ลพบุรี3"/>
  </r>
  <r>
    <d v="2025-08-01T00:00:00"/>
    <x v="52"/>
    <x v="19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20000"/>
    <n v="20000"/>
    <n v="0"/>
    <n v="20900"/>
    <n v="0"/>
    <x v="8"/>
    <n v="0"/>
    <n v="0"/>
    <n v="0"/>
    <n v="0"/>
    <n v="0"/>
    <s v="ลพบุรี3"/>
  </r>
  <r>
    <d v="2025-08-18T00:00:00"/>
    <x v="53"/>
    <x v="10"/>
    <s v="เพอเฟคค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10000"/>
    <n v="0"/>
    <n v="10975"/>
    <n v="0"/>
    <x v="8"/>
    <n v="0"/>
    <n v="0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70000"/>
    <n v="20000"/>
    <n v="50000"/>
    <n v="50245"/>
    <n v="20742.75"/>
    <x v="8"/>
    <n v="21733.216312500001"/>
    <n v="21733.216312500001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000"/>
    <n v="0"/>
    <n v="20000"/>
    <n v="0"/>
    <n v="21000"/>
    <x v="8"/>
    <n v="20955"/>
    <n v="20955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7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0"/>
    <s v="ห้ามขาด-ห้ามเกิน"/>
  </r>
  <r>
    <s v="ประมาณการ"/>
    <x v="1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290000"/>
    <n v="0"/>
    <n v="290000"/>
    <n v="0"/>
    <n v="304500"/>
    <x v="8"/>
    <n v="303847.5"/>
    <n v="7391"/>
    <n v="296456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8"/>
    <n v="546019.98206249997"/>
    <n v="249563.4820625"/>
    <n v="296456.5"/>
    <n v="0"/>
    <n v="0"/>
    <s v="ระบุในSD"/>
  </r>
  <r>
    <d v="2025-08-21T00:00:00"/>
    <x v="56"/>
    <x v="20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5"/>
    <n v="15000"/>
    <n v="0"/>
    <n v="15000"/>
    <n v="0"/>
    <n v="0"/>
    <x v="9"/>
    <n v="16554.45"/>
    <n v="16554.45"/>
    <n v="0"/>
    <n v="0"/>
    <n v="0"/>
    <n v="0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9"/>
    <n v="16554.45"/>
    <n v="16554.45"/>
    <n v="0"/>
    <n v="0"/>
    <n v="0"/>
    <s v="ระบุในSD"/>
  </r>
  <r>
    <d v="2025-07-29T00:00:00"/>
    <x v="57"/>
    <x v="21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5"/>
    <n v="5000"/>
    <n v="5288"/>
    <n v="0"/>
    <n v="5400"/>
    <n v="0"/>
    <x v="10"/>
    <n v="0"/>
    <n v="0"/>
    <n v="0"/>
    <n v="0"/>
    <n v="0"/>
    <n v="0"/>
  </r>
  <r>
    <d v="2025-08-07T00:00:00"/>
    <x v="58"/>
    <x v="22"/>
    <s v="กัสโซ่ฟีด101-1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20000"/>
    <n v="20006"/>
    <n v="0"/>
    <n v="21000"/>
    <n v="0"/>
    <x v="10"/>
    <n v="0"/>
    <n v="0"/>
    <n v="0"/>
    <n v="0"/>
    <n v="0"/>
    <n v="0"/>
  </r>
  <r>
    <d v="2025-08-07T00:00:00"/>
    <x v="59"/>
    <x v="22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10000"/>
    <n v="10000"/>
    <n v="0"/>
    <n v="10500"/>
    <n v="0"/>
    <x v="10"/>
    <n v="0"/>
    <n v="0"/>
    <n v="0"/>
    <n v="0"/>
    <n v="0"/>
    <n v="0"/>
  </r>
  <r>
    <d v="2025-08-19T00:00:00"/>
    <x v="60"/>
    <x v="20"/>
    <s v="ยูนิคอร์นฟิช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0"/>
    <n v="5378.4500000000007"/>
    <n v="5378.4500000000007"/>
    <n v="0"/>
    <n v="5378.4500000000007"/>
    <n v="0"/>
    <n v="0"/>
  </r>
  <r>
    <d v="2025-08-07T00:00:00"/>
    <x v="61"/>
    <x v="13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"/>
    <n v="3000"/>
    <n v="0"/>
    <n v="3000"/>
    <n v="0"/>
    <n v="3150"/>
    <x v="10"/>
    <n v="3478.5300000000007"/>
    <n v="3478.5300000000007"/>
    <n v="0"/>
    <n v="3478.5300000000007"/>
    <n v="0"/>
    <n v="0"/>
  </r>
  <r>
    <d v="2025-08-07T00:00:00"/>
    <x v="62"/>
    <x v="13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3310.89"/>
    <n v="0"/>
    <n v="3310.89"/>
    <n v="0"/>
    <n v="0"/>
  </r>
  <r>
    <d v="2025-08-07T00:00:00"/>
    <x v="63"/>
    <x v="13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1"/>
    <n v="5000"/>
    <n v="0"/>
    <n v="5000"/>
    <n v="0"/>
    <n v="5250"/>
    <x v="10"/>
    <n v="5797.55"/>
    <n v="5797.55"/>
    <n v="0"/>
    <n v="5797.55"/>
    <n v="0"/>
    <n v="0"/>
  </r>
  <r>
    <s v="ประมาณการ"/>
    <x v="1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10"/>
    <n v="107569.00000000001"/>
    <n v="107569.00000000001"/>
    <n v="0"/>
    <n v="107569.00000000001"/>
    <n v="0"/>
    <n v="0"/>
  </r>
  <r>
    <s v="ประมาณการ"/>
    <x v="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0000"/>
    <n v="0"/>
    <n v="10000"/>
    <n v="0"/>
    <n v="10500"/>
    <x v="10"/>
    <n v="10756.900000000001"/>
    <n v="10756.900000000001"/>
    <n v="0"/>
    <n v="10756.900000000001"/>
    <n v="0"/>
    <n v="0"/>
  </r>
  <r>
    <d v="2025-07-16T00:00:00"/>
    <x v="64"/>
    <x v="15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7-16T00:00:00"/>
    <x v="65"/>
    <x v="15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6-18T00:00:00"/>
    <x v="66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"/>
    <n v="8000"/>
    <n v="470"/>
    <n v="7530"/>
    <n v="0"/>
    <n v="7906.5"/>
    <x v="10"/>
    <n v="8310.3338999999996"/>
    <n v="0"/>
    <n v="8310.3338999999996"/>
    <n v="0"/>
    <n v="8310.3338999999996"/>
    <n v="0"/>
  </r>
  <r>
    <d v="2024-12-02T00:00:00"/>
    <x v="6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8000"/>
    <n v="0"/>
    <n v="8000"/>
    <n v="0"/>
    <n v="8400"/>
    <x v="10"/>
    <n v="8605.52"/>
    <n v="0"/>
    <n v="8605.52"/>
    <n v="0"/>
    <n v="8605.52"/>
    <n v="0"/>
  </r>
  <r>
    <d v="2024-12-05T00:00:00"/>
    <x v="6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4-12-05T00:00:00"/>
    <x v="69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3-05-20T00:00:00"/>
    <x v="70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"/>
    <n v="5000"/>
    <n v="0"/>
    <n v="5000"/>
    <n v="0"/>
    <n v="5250"/>
    <x v="10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0"/>
    <n v="199769.18390000003"/>
    <n v="136291.32"/>
    <n v="63477.863900000004"/>
    <n v="136291.32"/>
    <n v="63477.863900000004"/>
    <s v="ระบุในSD"/>
  </r>
  <r>
    <d v="2025-08-06T00:00:00"/>
    <x v="71"/>
    <x v="25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0"/>
    <n v="5000"/>
    <n v="5000"/>
    <n v="0"/>
    <x v="11"/>
    <n v="0"/>
    <n v="0"/>
    <n v="0"/>
    <n v="0"/>
    <n v="0"/>
    <n v="0"/>
  </r>
  <r>
    <d v="2025-08-06T00:00:00"/>
    <x v="71"/>
    <x v="25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5000"/>
    <n v="0"/>
    <n v="5100"/>
    <n v="0"/>
    <x v="11"/>
    <n v="0"/>
    <n v="0"/>
    <n v="0"/>
    <n v="0"/>
    <n v="0"/>
    <n v="0"/>
  </r>
  <r>
    <d v="2025-08-21T00:00:00"/>
    <x v="72"/>
    <x v="26"/>
    <s v="ถุงม่วง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1"/>
    <n v="4959.3500000000004"/>
    <n v="4959.3500000000004"/>
    <n v="0"/>
    <n v="0"/>
    <n v="0"/>
    <n v="0"/>
  </r>
  <r>
    <s v="ประมาณการ"/>
    <x v="1"/>
    <x v="27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1"/>
    <n v="29756.100000000002"/>
    <n v="29756.100000000002"/>
    <n v="0"/>
    <n v="0"/>
    <n v="0"/>
    <n v="0"/>
  </r>
  <r>
    <s v="ประมาณการ"/>
    <x v="1"/>
    <x v="28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"/>
    <n v="30000"/>
    <n v="0"/>
    <n v="30000"/>
    <n v="0"/>
    <n v="31500"/>
    <x v="11"/>
    <n v="29756.100000000002"/>
    <n v="4028"/>
    <n v="25728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1"/>
    <n v="64471.55"/>
    <n v="38743.450000000004"/>
    <n v="25728.100000000002"/>
    <n v="0"/>
    <n v="0"/>
    <s v="ระบุในSD"/>
  </r>
  <r>
    <d v="2025-08-21T00:00:00"/>
    <x v="73"/>
    <x v="26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น้ำตาล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2"/>
    <n v="14878.050000000001"/>
    <n v="0"/>
    <n v="14878.050000000001"/>
    <n v="0"/>
    <n v="0"/>
    <s v="ระบุในSD"/>
  </r>
  <r>
    <d v="2025-08-18T00:00:00"/>
    <x v="74"/>
    <x v="29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8"/>
    <n v="10000"/>
    <n v="8500"/>
    <n v="1500"/>
    <n v="8514"/>
    <n v="1560.3"/>
    <x v="13"/>
    <n v="1678.3991070000002"/>
    <n v="0"/>
    <n v="1678.3991070000002"/>
    <n v="0"/>
    <n v="0"/>
    <n v="0"/>
  </r>
  <r>
    <d v="2025-03-11T00:00:00"/>
    <x v="75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1"/>
    <n v="1000"/>
    <n v="0"/>
    <n v="1000"/>
    <n v="0"/>
    <n v="0"/>
    <x v="13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3"/>
    <n v="2837.9091070000004"/>
    <n v="1159.5100000000002"/>
    <n v="1678.3991070000002"/>
    <n v="1159.5100000000002"/>
    <n v="0"/>
    <s v="ระบุในSD"/>
  </r>
  <r>
    <d v="2025-08-13T00:00:00"/>
    <x v="76"/>
    <x v="30"/>
    <s v="ราชสีห์ข้าวหอมมะลิ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7"/>
    <n v="10000"/>
    <n v="10000"/>
    <n v="0"/>
    <n v="10980"/>
    <n v="0"/>
    <x v="14"/>
    <n v="0"/>
    <n v="0"/>
    <n v="0"/>
    <n v="0"/>
    <n v="0"/>
    <n v="0"/>
  </r>
  <r>
    <d v="1899-12-30T00:00:00"/>
    <x v="2"/>
    <x v="2"/>
    <n v="0"/>
    <n v="23"/>
    <n v="37"/>
    <n v="0"/>
    <n v="0"/>
    <n v="120"/>
    <s v="+"/>
    <n v="5"/>
    <n v="0"/>
    <n v="0"/>
    <n v="0"/>
    <n v="0"/>
    <n v="0"/>
    <n v="0"/>
    <n v="0"/>
    <n v="0"/>
    <x v="2"/>
    <n v="0"/>
    <n v="0"/>
    <n v="0"/>
    <n v="0"/>
    <n v="0"/>
    <x v="14"/>
    <n v="0"/>
    <n v="0"/>
    <n v="0"/>
    <n v="0"/>
    <n v="0"/>
    <s v="ระบุในSD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"/>
    <n v="100000"/>
    <n v="1500"/>
    <n v="98500"/>
    <n v="0"/>
    <n v="103425"/>
    <x v="15"/>
    <n v="105955.465"/>
    <n v="7595"/>
    <n v="98360.464999999997"/>
    <n v="0"/>
    <n v="0"/>
    <n v="0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5"/>
    <n v="469407.45082000003"/>
    <n v="7595"/>
    <n v="461812.45082000003"/>
    <n v="0"/>
    <n v="0"/>
    <s v="ระบุในSD"/>
  </r>
  <r>
    <s v="ประมาณการ"/>
    <x v="1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9"/>
    <n v="8000"/>
    <n v="0"/>
    <n v="8000"/>
    <n v="0"/>
    <n v="8400"/>
    <x v="16"/>
    <n v="9499.6"/>
    <n v="1765"/>
    <n v="7734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16"/>
    <n v="9499.6"/>
    <n v="1765"/>
    <n v="7734.6"/>
    <n v="0"/>
    <n v="0"/>
    <s v="ระบุในSD"/>
  </r>
  <r>
    <d v="2025-08-13T00:00:00"/>
    <x v="78"/>
    <x v="33"/>
    <s v="Soybean Meal"/>
    <n v="26"/>
    <n v="40"/>
    <s v="ขาว"/>
    <n v="0"/>
    <n v="108"/>
    <s v="±"/>
    <n v="5"/>
    <s v="ไม่"/>
    <n v="27"/>
    <n v="43"/>
    <n v="40"/>
    <n v="0"/>
    <n v="0"/>
    <n v="0"/>
    <s v="มัด100 ใช้สายรัด"/>
    <x v="3"/>
    <n v="10000"/>
    <n v="10000"/>
    <n v="0"/>
    <n v="10900"/>
    <n v="0"/>
    <x v="17"/>
    <n v="0"/>
    <n v="0"/>
    <n v="0"/>
    <n v="0"/>
    <n v="0"/>
    <s v="ห้ามขาด-ห้ามเกิน"/>
  </r>
  <r>
    <s v="ประมาณการ"/>
    <x v="1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17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17"/>
    <n v="12433.3"/>
    <n v="12433.3"/>
    <n v="0"/>
    <n v="0"/>
    <n v="0"/>
    <s v="ระบุในSD"/>
  </r>
  <r>
    <s v="ประมาณการ"/>
    <x v="1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18"/>
    <n v="37299.899999999994"/>
    <n v="37299.899999999994"/>
    <n v="0"/>
    <n v="0"/>
    <n v="37299.899999999994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18"/>
    <n v="37299.899999999994"/>
    <n v="37299.899999999994"/>
    <n v="0"/>
    <n v="0"/>
    <n v="37299.899999999994"/>
    <s v="ระบุในSD"/>
  </r>
  <r>
    <d v="2025-07-19T00:00:00"/>
    <x v="79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3000"/>
    <n v="3000"/>
    <n v="0"/>
    <n v="34283"/>
    <n v="0"/>
    <x v="19"/>
    <n v="0"/>
    <n v="0"/>
    <n v="0"/>
    <n v="0"/>
    <n v="0"/>
    <n v="0"/>
  </r>
  <r>
    <d v="1899-12-30T00:00:00"/>
    <x v="45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19"/>
    <n v="59372.5"/>
    <n v="59372.5"/>
    <n v="0"/>
    <n v="0"/>
    <n v="0"/>
    <n v="0"/>
  </r>
  <r>
    <s v="ประมาณการ"/>
    <x v="1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19"/>
    <n v="6775.4500000000007"/>
    <n v="3925"/>
    <n v="2850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19"/>
    <n v="66147.95"/>
    <n v="63297.5"/>
    <n v="2850.4500000000007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d v="2025-08-27T00:00:00"/>
    <x v="0"/>
    <x v="0"/>
    <s v="พระอาทิตย์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5800"/>
    <n v="0"/>
    <x v="0"/>
    <n v="0"/>
    <n v="0"/>
    <n v="0"/>
    <n v="0"/>
    <n v="0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8-28T00:00:00"/>
    <x v="2"/>
    <x v="2"/>
    <s v="โบว์น้ำเงิน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1"/>
    <n v="0"/>
    <n v="0"/>
    <n v="0"/>
    <n v="0"/>
    <n v="0"/>
    <n v="0"/>
  </r>
  <r>
    <d v="2025-08-28T00:00:00"/>
    <x v="2"/>
    <x v="2"/>
    <s v="โดนัทแฟนฉัน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1"/>
    <n v="0"/>
    <n v="0"/>
    <n v="0"/>
    <n v="0"/>
    <n v="0"/>
    <n v="0"/>
  </r>
  <r>
    <d v="2025-08-28T00:00:00"/>
    <x v="2"/>
    <x v="2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702.0499999999997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01T00:00:00"/>
    <x v="4"/>
    <x v="5"/>
    <s v="YUENYONG"/>
    <n v="18"/>
    <n v="26"/>
    <s v="ขาว"/>
    <s v="ใส"/>
    <n v="65"/>
    <s v="±"/>
    <n v="5"/>
    <s v="บิด"/>
    <n v="19"/>
    <n v="29"/>
    <n v="40"/>
    <n v="67.968380191999998"/>
    <n v="0"/>
    <n v="67.968380191999998"/>
    <s v="500กระสอบแบน"/>
    <x v="4"/>
    <n v="5000"/>
    <n v="0"/>
    <n v="5000"/>
    <n v="0"/>
    <n v="5250"/>
    <x v="3"/>
    <n v="3841.7500000000005"/>
    <n v="3841.7500000000005"/>
    <n v="0"/>
    <n v="3841.7500000000005"/>
    <n v="0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3841.7500000000005"/>
    <n v="3841.7500000000005"/>
    <n v="0"/>
    <n v="3841.7500000000005"/>
    <n v="0"/>
    <s v="ระบุในSD"/>
  </r>
  <r>
    <d v="2025-08-29T00:00:00"/>
    <x v="5"/>
    <x v="6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25000"/>
    <n v="15000"/>
    <n v="42806"/>
    <n v="0"/>
    <x v="4"/>
    <n v="0"/>
    <n v="0"/>
    <n v="0"/>
    <n v="0"/>
    <n v="0"/>
    <n v="0"/>
  </r>
  <r>
    <d v="2025-08-29T00:00:00"/>
    <x v="6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50000"/>
    <n v="0"/>
    <n v="50000"/>
    <n v="7185"/>
    <n v="44955.75"/>
    <x v="4"/>
    <n v="39566.005132500002"/>
    <n v="19189"/>
    <n v="20377.005132500002"/>
    <n v="0"/>
    <n v="0"/>
    <n v="0"/>
  </r>
  <r>
    <s v="ประมาณการ"/>
    <x v="3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2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2"/>
    <n v="20000"/>
    <n v="233"/>
    <n v="19767"/>
    <n v="0"/>
    <n v="20755.350000000002"/>
    <x v="4"/>
    <n v="18501.714330000003"/>
    <n v="0"/>
    <n v="18501.71433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93272.119462500006"/>
    <n v="19189"/>
    <n v="74083.119462500006"/>
    <n v="0"/>
    <n v="0"/>
    <s v="ระบุในSD"/>
  </r>
  <r>
    <d v="2025-08-27T00:00:00"/>
    <x v="7"/>
    <x v="2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n v="0"/>
  </r>
  <r>
    <d v="2025-08-27T00:00:00"/>
    <x v="7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250"/>
    <n v="0"/>
    <x v="5"/>
    <n v="0"/>
    <n v="0"/>
    <n v="0"/>
    <n v="0"/>
    <n v="0"/>
    <n v="0"/>
  </r>
  <r>
    <d v="2025-08-27T00:00:00"/>
    <x v="7"/>
    <x v="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250"/>
    <n v="0"/>
    <x v="5"/>
    <n v="0"/>
    <n v="0"/>
    <n v="0"/>
    <n v="0"/>
    <n v="0"/>
    <n v="0"/>
  </r>
  <r>
    <d v="2025-08-27T00:00:00"/>
    <x v="7"/>
    <x v="2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n v="0"/>
  </r>
  <r>
    <d v="2025-08-27T00:00:00"/>
    <x v="7"/>
    <x v="2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250"/>
    <n v="0"/>
    <x v="5"/>
    <n v="0"/>
    <n v="0"/>
    <n v="0"/>
    <n v="0"/>
    <n v="0"/>
    <n v="0"/>
  </r>
  <r>
    <d v="2025-08-29T00:00:00"/>
    <x v="8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n v="0"/>
  </r>
  <r>
    <d v="2025-08-29T00:00:00"/>
    <x v="8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250"/>
    <n v="0"/>
    <x v="5"/>
    <n v="0"/>
    <n v="0"/>
    <n v="0"/>
    <n v="0"/>
    <n v="0"/>
    <n v="0"/>
  </r>
  <r>
    <d v="2025-08-29T00:00:00"/>
    <x v="8"/>
    <x v="2"/>
    <s v="FW-Y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n v="0"/>
  </r>
  <r>
    <d v="2025-09-04T00:00:00"/>
    <x v="9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7"/>
    <n v="20000"/>
    <n v="0"/>
    <n v="20000"/>
    <n v="0"/>
    <n v="0"/>
    <x v="5"/>
    <n v="18719.800000000003"/>
    <n v="18719.800000000003"/>
    <n v="0"/>
    <n v="0"/>
    <n v="0"/>
    <n v="0"/>
  </r>
  <r>
    <d v="2025-09-04T00:00:00"/>
    <x v="10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7"/>
    <n v="20000"/>
    <n v="0"/>
    <n v="20000"/>
    <n v="0"/>
    <n v="0"/>
    <x v="5"/>
    <n v="18719.800000000003"/>
    <n v="18719.800000000003"/>
    <n v="0"/>
    <n v="0"/>
    <n v="0"/>
    <n v="0"/>
  </r>
  <r>
    <d v="2025-09-05T00:00:00"/>
    <x v="11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650"/>
    <n v="4567.5"/>
    <x v="5"/>
    <n v="4275.134325"/>
    <n v="4275.134325"/>
    <n v="0"/>
    <n v="0"/>
    <n v="0"/>
    <s v="PDR250295"/>
  </r>
  <r>
    <d v="2025-09-05T00:00:00"/>
    <x v="11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s v="PDR250295"/>
  </r>
  <r>
    <d v="2025-09-05T00:00:00"/>
    <x v="11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5"/>
    <n v="9359.9000000000015"/>
    <n v="7377"/>
    <n v="1982.9000000000015"/>
    <n v="0"/>
    <n v="0"/>
    <s v="PDR250295"/>
  </r>
  <r>
    <d v="2025-09-05T00:00:00"/>
    <x v="11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s v="PDR250295"/>
  </r>
  <r>
    <d v="2025-09-05T00:00:00"/>
    <x v="11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5"/>
    <n v="0"/>
    <n v="0"/>
    <n v="0"/>
    <n v="0"/>
    <n v="0"/>
    <s v="PDR250296"/>
  </r>
  <r>
    <d v="2025-09-05T00:00:00"/>
    <x v="11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95"/>
  </r>
  <r>
    <d v="2025-09-05T00:00:00"/>
    <x v="11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296"/>
  </r>
  <r>
    <d v="2025-09-05T00:00:00"/>
    <x v="11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96"/>
  </r>
  <r>
    <d v="2025-09-04T00:00:00"/>
    <x v="9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0"/>
    <n v="20000"/>
    <n v="0"/>
    <n v="20000"/>
    <n v="0"/>
    <n v="0"/>
    <x v="5"/>
    <n v="18719.800000000003"/>
    <n v="0"/>
    <n v="18719.800000000003"/>
    <n v="0"/>
    <n v="0"/>
    <n v="0"/>
  </r>
  <r>
    <d v="2025-09-04T00:00:00"/>
    <x v="10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0"/>
    <n v="20000"/>
    <n v="0"/>
    <n v="20000"/>
    <n v="0"/>
    <n v="0"/>
    <x v="5"/>
    <n v="18719.800000000003"/>
    <n v="0"/>
    <n v="18719.800000000003"/>
    <n v="0"/>
    <n v="0"/>
    <n v="0"/>
  </r>
  <r>
    <s v="ประมาณการ"/>
    <x v="3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40000"/>
    <n v="0"/>
    <n v="140000"/>
    <n v="0"/>
    <n v="147000"/>
    <x v="5"/>
    <n v="131038.6"/>
    <n v="0"/>
    <n v="131038.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238272.63432500002"/>
    <n v="49091.734325000005"/>
    <n v="189180.90000000002"/>
    <n v="0"/>
    <n v="0"/>
    <s v="ระบุในSD"/>
  </r>
  <r>
    <d v="2025-09-05T00:00:00"/>
    <x v="12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6"/>
    <n v="4999.0247999999992"/>
    <n v="4960"/>
    <n v="39.024799999999232"/>
    <n v="0"/>
    <n v="4999.0247999999992"/>
    <n v="0"/>
  </r>
  <r>
    <d v="2025-09-05T00:00:00"/>
    <x v="12"/>
    <x v="9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1174"/>
    <n v="3866"/>
    <n v="0"/>
    <n v="4059.3"/>
    <x v="6"/>
    <n v="3834.5694199999998"/>
    <n v="0"/>
    <n v="3834.5694199999998"/>
    <n v="0"/>
    <n v="3834.5694199999998"/>
    <n v="0"/>
  </r>
  <r>
    <d v="2025-05-19T00:00:00"/>
    <x v="13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8833.594219999999"/>
    <n v="4960"/>
    <n v="3873.594219999999"/>
    <n v="0"/>
    <n v="8833.594219999999"/>
    <s v="ระบุในSD"/>
  </r>
  <r>
    <d v="2025-05-05T00:00:00"/>
    <x v="14"/>
    <x v="10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4473"/>
    <n v="527"/>
    <n v="5200"/>
    <n v="0"/>
    <x v="7"/>
    <n v="0"/>
    <n v="0"/>
    <n v="0"/>
    <n v="0"/>
    <n v="0"/>
    <n v="0"/>
  </r>
  <r>
    <d v="2025-09-05T00:00:00"/>
    <x v="15"/>
    <x v="9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0"/>
    <n v="5292"/>
    <x v="7"/>
    <n v="5280.6600000000008"/>
    <n v="5280.6600000000008"/>
    <n v="0"/>
    <n v="0"/>
    <n v="5280.6600000000008"/>
    <n v="0"/>
  </r>
  <r>
    <d v="2025-09-05T00:00:00"/>
    <x v="15"/>
    <x v="9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10000"/>
    <n v="0"/>
    <n v="10000"/>
    <n v="0"/>
    <n v="10500"/>
    <x v="7"/>
    <n v="10477.5"/>
    <n v="10477.5"/>
    <n v="0"/>
    <n v="0"/>
    <n v="10477.5"/>
    <n v="0"/>
  </r>
  <r>
    <d v="2025-09-05T00:00:00"/>
    <x v="16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7"/>
    <n v="5280.6600000000008"/>
    <n v="5280.6600000000008"/>
    <n v="0"/>
    <n v="0"/>
    <n v="5280.6600000000008"/>
    <n v="0"/>
  </r>
  <r>
    <d v="2025-05-19T00:00:00"/>
    <x v="17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366"/>
    <n v="0"/>
    <n v="366"/>
    <n v="0"/>
    <n v="384.3"/>
    <x v="7"/>
    <n v="383.47650000000004"/>
    <n v="383.47650000000004"/>
    <n v="0"/>
    <n v="0"/>
    <n v="383.47650000000004"/>
    <n v="0"/>
  </r>
  <r>
    <d v="2025-09-05T00:00:00"/>
    <x v="16"/>
    <x v="9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7"/>
    <n v="5280.6600000000008"/>
    <n v="5280.6600000000008"/>
    <n v="0"/>
    <n v="0"/>
    <n v="5280.6600000000008"/>
    <n v="0"/>
  </r>
  <r>
    <d v="2025-08-04T00:00:00"/>
    <x v="18"/>
    <x v="11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4000"/>
    <n v="0"/>
    <n v="4130"/>
    <n v="0"/>
    <x v="7"/>
    <n v="0"/>
    <n v="0"/>
    <n v="0"/>
    <n v="0"/>
    <n v="0"/>
    <s v="ห้ามเกิน-ขาดได้5%"/>
  </r>
  <r>
    <d v="2025-08-27T00:00:00"/>
    <x v="19"/>
    <x v="10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8000"/>
    <n v="0"/>
    <n v="8000"/>
    <n v="0"/>
    <n v="8400"/>
    <x v="7"/>
    <n v="8829.0399999999991"/>
    <n v="8829.0399999999991"/>
    <n v="0"/>
    <n v="0"/>
    <n v="8829.0399999999991"/>
    <n v="0"/>
  </r>
  <r>
    <d v="2025-09-02T00:00:00"/>
    <x v="20"/>
    <x v="12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500"/>
    <n v="400"/>
    <n v="20100"/>
    <n v="0"/>
    <n v="21105"/>
    <x v="7"/>
    <n v="21621.369000000002"/>
    <n v="21621.369000000002"/>
    <n v="0"/>
    <n v="0"/>
    <n v="21621.369000000002"/>
    <n v="0"/>
  </r>
  <r>
    <d v="2025-09-02T00:00:00"/>
    <x v="21"/>
    <x v="12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8000"/>
    <n v="8000"/>
    <n v="0"/>
    <n v="20753"/>
    <n v="0"/>
    <x v="7"/>
    <n v="0"/>
    <n v="0"/>
    <n v="0"/>
    <n v="0"/>
    <n v="0"/>
    <n v="0"/>
  </r>
  <r>
    <d v="2025-09-02T00:00:00"/>
    <x v="20"/>
    <x v="12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20630"/>
    <n v="0"/>
    <x v="7"/>
    <n v="0"/>
    <n v="0"/>
    <n v="0"/>
    <n v="0"/>
    <n v="0"/>
    <n v="0"/>
  </r>
  <r>
    <d v="2025-09-02T00:00:00"/>
    <x v="20"/>
    <x v="12"/>
    <s v="VC108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7"/>
    <n v="10756.900000000001"/>
    <n v="10756.900000000001"/>
    <n v="0"/>
    <n v="0"/>
    <n v="10756.900000000001"/>
    <n v="0"/>
  </r>
  <r>
    <d v="2025-09-02T00:00:00"/>
    <x v="21"/>
    <x v="12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7"/>
    <n v="10756.900000000001"/>
    <n v="10756.900000000001"/>
    <n v="0"/>
    <n v="0"/>
    <n v="10756.900000000001"/>
    <n v="0"/>
  </r>
  <r>
    <d v="2025-09-02T00:00:00"/>
    <x v="22"/>
    <x v="12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7"/>
    <n v="10756.900000000001"/>
    <n v="10756.900000000001"/>
    <n v="0"/>
    <n v="0"/>
    <n v="10756.900000000001"/>
    <n v="0"/>
  </r>
  <r>
    <d v="2025-09-02T00:00:00"/>
    <x v="22"/>
    <x v="12"/>
    <s v="ไลด์ฟีด 4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7"/>
    <n v="5378.4500000000007"/>
    <n v="5378.4500000000007"/>
    <n v="0"/>
    <n v="0"/>
    <n v="5378.4500000000007"/>
    <n v="0"/>
  </r>
  <r>
    <d v="2025-09-02T00:00:00"/>
    <x v="22"/>
    <x v="12"/>
    <s v="SPEED PLUS 405ENG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7"/>
    <n v="5378.4500000000007"/>
    <n v="4679"/>
    <n v="699.45000000000073"/>
    <n v="0"/>
    <n v="5378.4500000000007"/>
    <n v="0"/>
  </r>
  <r>
    <d v="2025-08-23T00:00:00"/>
    <x v="23"/>
    <x v="10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7"/>
    <n v="3227.07"/>
    <n v="3227.07"/>
    <n v="0"/>
    <n v="3227.07"/>
    <n v="0"/>
    <n v="0"/>
  </r>
  <r>
    <d v="2025-08-22T00:00:00"/>
    <x v="24"/>
    <x v="10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9000"/>
    <n v="0"/>
    <n v="9000"/>
    <n v="0"/>
    <n v="9450"/>
    <x v="7"/>
    <n v="9932.67"/>
    <n v="0"/>
    <n v="9932.67"/>
    <n v="0"/>
    <n v="9932.67"/>
    <n v="0"/>
  </r>
  <r>
    <d v="2025-08-22T00:00:00"/>
    <x v="25"/>
    <x v="10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7"/>
    <n v="4414.5199999999995"/>
    <n v="0"/>
    <n v="4414.5199999999995"/>
    <n v="0"/>
    <n v="4414.5199999999995"/>
    <n v="0"/>
  </r>
  <r>
    <d v="2025-08-22T00:00:00"/>
    <x v="26"/>
    <x v="10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9000"/>
    <n v="0"/>
    <n v="9000"/>
    <n v="0"/>
    <n v="9450"/>
    <x v="7"/>
    <n v="9932.67"/>
    <n v="0"/>
    <n v="9932.67"/>
    <n v="0"/>
    <n v="9932.67"/>
    <n v="0"/>
  </r>
  <r>
    <s v="ประมาณการ"/>
    <x v="3"/>
    <x v="9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0000"/>
    <n v="0"/>
    <n v="100000"/>
    <n v="0"/>
    <n v="105000"/>
    <x v="7"/>
    <n v="104775.00000000001"/>
    <n v="0"/>
    <n v="104775.00000000001"/>
    <n v="0"/>
    <n v="104775.00000000001"/>
    <n v="0"/>
  </r>
  <r>
    <s v="ประมาณการ"/>
    <x v="3"/>
    <x v="10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7"/>
    <n v="22072.6"/>
    <n v="0"/>
    <n v="22072.6"/>
    <n v="0"/>
    <n v="22072.6"/>
    <n v="0"/>
  </r>
  <r>
    <s v="ประมาณการ"/>
    <x v="3"/>
    <x v="13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1"/>
    <n v="20000"/>
    <n v="0"/>
    <n v="20000"/>
    <n v="0"/>
    <n v="21000"/>
    <x v="7"/>
    <n v="21513.800000000003"/>
    <n v="0"/>
    <n v="21513.800000000003"/>
    <n v="0"/>
    <n v="21513.800000000003"/>
    <n v="0"/>
  </r>
  <r>
    <d v="2025-08-23T00:00:00"/>
    <x v="27"/>
    <x v="9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40"/>
    <n v="0"/>
    <n v="640"/>
    <n v="6000"/>
    <n v="0"/>
    <x v="7"/>
    <n v="0"/>
    <n v="0"/>
    <n v="0"/>
    <n v="0"/>
    <n v="0"/>
    <n v="0"/>
  </r>
  <r>
    <d v="2025-08-23T00:00:00"/>
    <x v="28"/>
    <x v="9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840"/>
    <n v="80"/>
    <n v="1760"/>
    <n v="10650"/>
    <n v="0"/>
    <x v="7"/>
    <n v="0"/>
    <n v="0"/>
    <n v="0"/>
    <n v="0"/>
    <n v="0"/>
    <n v="0"/>
  </r>
  <r>
    <d v="2025-08-18T00:00:00"/>
    <x v="29"/>
    <x v="9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4"/>
    <n v="0"/>
    <n v="104"/>
    <n v="11230"/>
    <n v="0"/>
    <x v="7"/>
    <n v="0"/>
    <n v="0"/>
    <n v="0"/>
    <n v="0"/>
    <n v="0"/>
    <n v="0"/>
  </r>
  <r>
    <d v="2025-08-27T00:00:00"/>
    <x v="30"/>
    <x v="10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0"/>
    <n v="3310.89"/>
    <n v="0"/>
    <n v="3310.89"/>
    <n v="0"/>
  </r>
  <r>
    <d v="2025-08-23T00:00:00"/>
    <x v="31"/>
    <x v="10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6000"/>
    <n v="0"/>
    <n v="6000"/>
    <n v="0"/>
    <n v="6300"/>
    <x v="7"/>
    <n v="6621.78"/>
    <n v="0"/>
    <n v="6621.78"/>
    <n v="0"/>
    <n v="6621.78"/>
    <n v="0"/>
  </r>
  <r>
    <d v="2025-05-19T00:00:00"/>
    <x v="32"/>
    <x v="9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0"/>
    <n v="0"/>
    <n v="240"/>
    <n v="0"/>
    <n v="252"/>
    <x v="7"/>
    <n v="251.46"/>
    <n v="0"/>
    <n v="251.46"/>
    <n v="0"/>
    <n v="251.46"/>
    <n v="0"/>
  </r>
  <r>
    <d v="2025-08-07T00:00:00"/>
    <x v="33"/>
    <x v="11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7"/>
    <n v="0"/>
    <n v="0"/>
    <n v="0"/>
    <n v="0"/>
    <n v="0"/>
    <n v="0"/>
  </r>
  <r>
    <d v="2025-08-08T00:00:00"/>
    <x v="34"/>
    <x v="10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7000"/>
    <n v="0"/>
    <n v="7000"/>
    <n v="0"/>
    <n v="7350"/>
    <x v="7"/>
    <n v="7725.41"/>
    <n v="0"/>
    <n v="7725.41"/>
    <n v="0"/>
    <n v="7725.41"/>
    <n v="0"/>
  </r>
  <r>
    <s v="ประมาณการ"/>
    <x v="3"/>
    <x v="14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7"/>
    <n v="110363"/>
    <n v="0"/>
    <n v="110363"/>
    <n v="0"/>
    <n v="110363"/>
    <n v="0"/>
  </r>
  <r>
    <d v="2025-06-17T00:00:00"/>
    <x v="35"/>
    <x v="9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7"/>
    <n v="0"/>
    <n v="0"/>
    <n v="0"/>
    <n v="0"/>
    <n v="0"/>
    <n v="0"/>
  </r>
  <r>
    <d v="2025-05-19T00:00:00"/>
    <x v="36"/>
    <x v="9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7"/>
    <n v="0"/>
    <n v="0"/>
    <n v="0"/>
    <n v="0"/>
    <n v="0"/>
    <n v="0"/>
  </r>
  <r>
    <d v="2025-05-05T00:00:00"/>
    <x v="14"/>
    <x v="10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7"/>
    <n v="5518.15"/>
    <n v="0"/>
    <n v="5518.15"/>
    <n v="0"/>
    <n v="5518.15"/>
    <n v="0"/>
  </r>
  <r>
    <d v="2025-05-21T00:00:00"/>
    <x v="37"/>
    <x v="11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7"/>
    <n v="5518.15"/>
    <n v="0"/>
    <n v="5518.15"/>
    <n v="0"/>
    <n v="5518.15"/>
    <n v="0"/>
  </r>
  <r>
    <d v="2025-01-17T00:00:00"/>
    <x v="38"/>
    <x v="9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7"/>
    <n v="0"/>
    <n v="0"/>
    <n v="0"/>
    <n v="0"/>
    <n v="0"/>
    <n v="5987"/>
  </r>
  <r>
    <d v="2024-11-15T00:00:00"/>
    <x v="39"/>
    <x v="9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7"/>
    <n v="0"/>
    <n v="0"/>
    <n v="0"/>
    <n v="0"/>
    <n v="0"/>
    <n v="0"/>
  </r>
  <r>
    <d v="2024-08-19T00:00:00"/>
    <x v="40"/>
    <x v="9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7"/>
    <n v="0"/>
    <n v="0"/>
    <n v="0"/>
    <n v="0"/>
    <n v="0"/>
    <n v="0"/>
  </r>
  <r>
    <d v="2024-08-19T00:00:00"/>
    <x v="40"/>
    <x v="9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7"/>
    <n v="0"/>
    <n v="0"/>
    <n v="0"/>
    <n v="0"/>
    <n v="0"/>
    <n v="0"/>
  </r>
  <r>
    <d v="2025-05-22T00:00:00"/>
    <x v="41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6"/>
    <n v="4000"/>
    <n v="2840"/>
    <n v="1160"/>
    <n v="8450"/>
    <n v="0"/>
    <x v="7"/>
    <n v="0"/>
    <n v="0"/>
    <n v="0"/>
    <n v="0"/>
    <n v="0"/>
    <s v="ห้ามขาด-ห้ามเกิน"/>
  </r>
  <r>
    <d v="2025-05-22T00:00:00"/>
    <x v="41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6"/>
    <n v="4000"/>
    <n v="2654"/>
    <n v="1346"/>
    <n v="4000"/>
    <n v="0"/>
    <x v="7"/>
    <n v="0"/>
    <n v="0"/>
    <n v="0"/>
    <n v="0"/>
    <n v="0"/>
    <s v="ห้ามขาด-ห้ามเกิน"/>
  </r>
  <r>
    <d v="2025-03-25T00:00:00"/>
    <x v="42"/>
    <x v="11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867"/>
    <n v="133"/>
    <n v="4200"/>
    <n v="0"/>
    <x v="7"/>
    <n v="0"/>
    <n v="0"/>
    <n v="0"/>
    <n v="0"/>
    <n v="0"/>
    <n v="0"/>
  </r>
  <r>
    <d v="2025-03-04T00:00:00"/>
    <x v="43"/>
    <x v="11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7"/>
    <n v="0"/>
    <n v="0"/>
    <n v="0"/>
    <n v="0"/>
    <n v="0"/>
    <n v="0"/>
  </r>
  <r>
    <d v="2025-03-04T00:00:00"/>
    <x v="43"/>
    <x v="11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7"/>
    <n v="0"/>
    <n v="0"/>
    <n v="0"/>
    <n v="0"/>
    <n v="0"/>
    <n v="0"/>
  </r>
  <r>
    <d v="2024-09-06T00:00:00"/>
    <x v="44"/>
    <x v="11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45"/>
    <x v="11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7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7"/>
    <n v="415358.13550000009"/>
    <n v="102708.5855"/>
    <n v="312649.55000000005"/>
    <n v="3227.07"/>
    <n v="412131.06550000008"/>
    <s v="ระบุในSD"/>
  </r>
  <r>
    <s v="ประมาณการ"/>
    <x v="3"/>
    <x v="14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8"/>
    <n v="113157.00000000001"/>
    <n v="93788"/>
    <n v="19369.000000000015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8"/>
    <n v="113157.00000000001"/>
    <n v="93788"/>
    <n v="19369.000000000015"/>
    <n v="0"/>
    <n v="0"/>
    <s v="ระบุในSD"/>
  </r>
  <r>
    <d v="2025-08-23T00:00:00"/>
    <x v="46"/>
    <x v="9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10000"/>
    <n v="10000"/>
    <n v="0"/>
    <n v="10696"/>
    <n v="0"/>
    <x v="9"/>
    <n v="0"/>
    <n v="0"/>
    <n v="0"/>
    <n v="0"/>
    <n v="0"/>
    <s v="ห้ามขาด-ห้ามเกิน"/>
  </r>
  <r>
    <d v="2025-08-18T00:00:00"/>
    <x v="47"/>
    <x v="9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9153"/>
    <n v="0"/>
    <n v="9153"/>
    <n v="18825"/>
    <n v="0"/>
    <x v="9"/>
    <n v="0"/>
    <n v="0"/>
    <n v="0"/>
    <n v="0"/>
    <n v="0"/>
    <s v="ห้ามขาด-ห้ามเกิน"/>
  </r>
  <r>
    <d v="2025-08-18T00:00:00"/>
    <x v="48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17360"/>
    <n v="10080"/>
    <n v="7280"/>
    <n v="40982"/>
    <n v="0"/>
    <x v="9"/>
    <n v="0"/>
    <n v="0"/>
    <n v="0"/>
    <n v="0"/>
    <n v="0"/>
    <s v="ห้ามขาด-ห้ามเกิน"/>
  </r>
  <r>
    <d v="2025-08-18T00:00:00"/>
    <x v="48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31000"/>
    <n v="0"/>
    <x v="9"/>
    <n v="0"/>
    <n v="0"/>
    <n v="0"/>
    <n v="0"/>
    <n v="0"/>
    <s v="ห้ามขาด-ห้ามเกิน"/>
  </r>
  <r>
    <d v="2025-08-18T00:00:00"/>
    <x v="48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20000"/>
    <n v="0"/>
    <n v="20000"/>
    <n v="20056"/>
    <n v="0"/>
    <x v="9"/>
    <n v="0"/>
    <n v="0"/>
    <n v="0"/>
    <n v="0"/>
    <n v="0"/>
    <s v="ห้ามขาด-ห้ามเกิน"/>
  </r>
  <r>
    <d v="2025-09-05T00:00:00"/>
    <x v="49"/>
    <x v="16"/>
    <s v="ใบมัน"/>
    <n v="20"/>
    <n v="34"/>
    <s v="ขาว"/>
    <n v="0"/>
    <n v="70"/>
    <s v="±"/>
    <n v="5"/>
    <s v="ไม่"/>
    <n v="21"/>
    <n v="37"/>
    <n v="40"/>
    <n v="95.846517983999988"/>
    <n v="0"/>
    <n v="95.846517983999988"/>
    <s v="500กระสอบแบน"/>
    <x v="4"/>
    <n v="5000"/>
    <n v="0"/>
    <n v="5000"/>
    <n v="0"/>
    <n v="5250"/>
    <x v="9"/>
    <n v="4959.3500000000004"/>
    <n v="4959.3500000000004"/>
    <n v="0"/>
    <n v="0"/>
    <n v="0"/>
    <s v="ห้ามขาด-เกินได้ 100"/>
  </r>
  <r>
    <d v="2025-09-05T00:00:00"/>
    <x v="50"/>
    <x v="9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4996"/>
    <n v="26254.2"/>
    <x v="9"/>
    <n v="27507.838050000006"/>
    <n v="27507.838050000006"/>
    <n v="0"/>
    <n v="0"/>
    <n v="0"/>
    <s v="ห้ามขาด-ห้ามเกิน"/>
  </r>
  <r>
    <s v="ประมาณการ"/>
    <x v="3"/>
    <x v="9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9"/>
    <n v="303847.5"/>
    <n v="65301"/>
    <n v="238546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336314.68805"/>
    <n v="97768.188049999997"/>
    <n v="238546.5"/>
    <n v="0"/>
    <n v="0"/>
    <s v="ระบุในSD"/>
  </r>
  <r>
    <d v="2025-09-04T00:00:00"/>
    <x v="51"/>
    <x v="17"/>
    <s v="เอ็มเค 914"/>
    <n v="21"/>
    <n v="40"/>
    <s v="ขาว"/>
    <s v="ใส"/>
    <n v="108"/>
    <s v="±"/>
    <n v="5"/>
    <s v="ไม่"/>
    <s v="ไม่สวมถุงใน"/>
    <n v="0"/>
    <n v="0"/>
    <n v="0"/>
    <n v="0"/>
    <n v="0"/>
    <s v="500กระสอบ"/>
    <x v="5"/>
    <n v="4000"/>
    <n v="0"/>
    <n v="4000"/>
    <n v="0"/>
    <n v="4200"/>
    <x v="10"/>
    <n v="4638.0400000000009"/>
    <n v="4638.0400000000009"/>
    <n v="0"/>
    <n v="4638.0400000000009"/>
    <n v="0"/>
    <n v="0"/>
  </r>
  <r>
    <d v="2025-08-07T00:00:00"/>
    <x v="52"/>
    <x v="11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5"/>
    <n v="3000"/>
    <n v="0"/>
    <n v="3000"/>
    <n v="0"/>
    <n v="3150"/>
    <x v="10"/>
    <n v="3310.89"/>
    <n v="3310.89"/>
    <n v="0"/>
    <n v="3310.89"/>
    <n v="0"/>
    <n v="0"/>
  </r>
  <r>
    <s v="ประมาณการ"/>
    <x v="3"/>
    <x v="18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1"/>
    <n v="100000"/>
    <n v="0"/>
    <n v="100000"/>
    <n v="0"/>
    <n v="105000"/>
    <x v="10"/>
    <n v="107569.00000000001"/>
    <n v="107569.00000000001"/>
    <n v="0"/>
    <n v="107569.00000000001"/>
    <n v="0"/>
    <n v="0"/>
  </r>
  <r>
    <d v="2024-12-05T00:00:00"/>
    <x v="53"/>
    <x v="19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0"/>
    <n v="17211.04"/>
    <n v="17211.04"/>
    <n v="0"/>
    <n v="0"/>
    <n v="17211.04"/>
    <n v="0"/>
  </r>
  <r>
    <d v="2024-12-05T00:00:00"/>
    <x v="54"/>
    <x v="19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0"/>
    <n v="9681.2100000000009"/>
    <n v="9681.2100000000009"/>
    <n v="0"/>
    <n v="0"/>
    <n v="9681.2100000000009"/>
    <n v="0"/>
  </r>
  <r>
    <d v="2025-08-27T00:00:00"/>
    <x v="55"/>
    <x v="11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0"/>
    <n v="3310.89"/>
    <n v="0"/>
  </r>
  <r>
    <d v="2025-08-27T00:00:00"/>
    <x v="56"/>
    <x v="11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0"/>
    <n v="5518.15"/>
    <n v="5518.15"/>
    <n v="0"/>
    <n v="0"/>
    <n v="5518.15"/>
    <n v="0"/>
  </r>
  <r>
    <d v="2025-08-27T00:00:00"/>
    <x v="57"/>
    <x v="11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0"/>
    <n v="3310.89"/>
    <n v="0"/>
  </r>
  <r>
    <d v="2025-08-07T00:00:00"/>
    <x v="58"/>
    <x v="11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3"/>
    <n v="3000"/>
    <n v="0"/>
    <n v="3000"/>
    <n v="0"/>
    <n v="3150"/>
    <x v="10"/>
    <n v="3478.5300000000007"/>
    <n v="3478.5300000000007"/>
    <n v="0"/>
    <n v="0"/>
    <n v="3478.5300000000007"/>
    <n v="0"/>
  </r>
  <r>
    <d v="2025-08-07T00:00:00"/>
    <x v="59"/>
    <x v="11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0"/>
    <n v="5797.55"/>
    <n v="5797.55"/>
    <n v="0"/>
    <n v="0"/>
    <n v="5797.55"/>
    <n v="0"/>
  </r>
  <r>
    <s v="ประมาณการ"/>
    <x v="3"/>
    <x v="19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0"/>
    <n v="10756.900000000001"/>
    <n v="10756.900000000001"/>
    <n v="0"/>
    <n v="0"/>
    <n v="10756.900000000001"/>
    <n v="0"/>
  </r>
  <r>
    <d v="2025-07-16T00:00:00"/>
    <x v="60"/>
    <x v="10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0"/>
    <n v="3310.89"/>
    <n v="0"/>
  </r>
  <r>
    <d v="2025-07-16T00:00:00"/>
    <x v="61"/>
    <x v="10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0"/>
    <n v="3310.89"/>
    <n v="0"/>
  </r>
  <r>
    <d v="2025-06-18T00:00:00"/>
    <x v="62"/>
    <x v="11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0"/>
    <n v="8310.3338999999996"/>
    <n v="8310.3338999999996"/>
    <n v="0"/>
    <n v="0"/>
    <n v="8310.3338999999996"/>
    <n v="0"/>
  </r>
  <r>
    <d v="2023-05-20T00:00:00"/>
    <x v="63"/>
    <x v="10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0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0"/>
    <n v="195033.35390000005"/>
    <n v="195033.35390000005"/>
    <n v="0"/>
    <n v="115517.93000000002"/>
    <n v="79515.423899999994"/>
    <s v="ระบุในSD"/>
  </r>
  <r>
    <s v="ประมาณการ"/>
    <x v="3"/>
    <x v="20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1"/>
    <n v="30000"/>
    <n v="0"/>
    <n v="30000"/>
    <n v="0"/>
    <n v="31500"/>
    <x v="11"/>
    <n v="29756.100000000002"/>
    <n v="29756.100000000002"/>
    <n v="0"/>
    <n v="0"/>
    <n v="0"/>
    <n v="0"/>
  </r>
  <r>
    <s v="ประมาณการ"/>
    <x v="3"/>
    <x v="21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1"/>
    <n v="30000"/>
    <n v="0"/>
    <n v="30000"/>
    <n v="0"/>
    <n v="31500"/>
    <x v="11"/>
    <n v="29756.100000000002"/>
    <n v="13028"/>
    <n v="16728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1"/>
    <n v="59512.200000000004"/>
    <n v="42784.100000000006"/>
    <n v="16728.100000000002"/>
    <n v="0"/>
    <n v="0"/>
    <s v="ระบุในSD"/>
  </r>
  <r>
    <d v="2025-03-11T00:00:00"/>
    <x v="64"/>
    <x v="18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2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2"/>
    <n v="1159.5100000000002"/>
    <n v="1159.5100000000002"/>
    <n v="0"/>
    <n v="1159.5100000000002"/>
    <n v="0"/>
    <s v="ระบุในSD"/>
  </r>
  <r>
    <d v="2024-11-05T00:00:00"/>
    <x v="65"/>
    <x v="22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3"/>
    <n v="105955.465"/>
    <n v="14846"/>
    <n v="91109.464999999997"/>
    <n v="0"/>
    <n v="0"/>
    <n v="0"/>
  </r>
  <r>
    <d v="2024-11-05T00:00:00"/>
    <x v="65"/>
    <x v="22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3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3"/>
    <n v="469407.45082000003"/>
    <n v="14846"/>
    <n v="454561.45082000003"/>
    <n v="0"/>
    <n v="0"/>
    <s v="ระบุในSD"/>
  </r>
  <r>
    <d v="2025-08-25T00:00:00"/>
    <x v="66"/>
    <x v="2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7"/>
    <n v="5000"/>
    <n v="5000"/>
    <n v="0"/>
    <n v="0"/>
    <n v="0"/>
    <x v="14"/>
    <n v="0"/>
    <n v="0"/>
    <n v="0"/>
    <n v="0"/>
    <n v="0"/>
    <n v="0"/>
  </r>
  <r>
    <d v="2025-09-06T00:00:00"/>
    <x v="67"/>
    <x v="24"/>
    <s v="หลอดไฟ 20กก.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3"/>
    <n v="4000"/>
    <n v="0"/>
    <n v="4000"/>
    <n v="0"/>
    <n v="4200"/>
    <x v="14"/>
    <n v="4749.8"/>
    <n v="0"/>
    <n v="4749.8"/>
    <n v="0"/>
    <n v="0"/>
    <n v="0"/>
  </r>
  <r>
    <d v="2025-09-06T00:00:00"/>
    <x v="67"/>
    <x v="24"/>
    <s v="ไก่เหยียบศรกบินทร์ 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3"/>
    <n v="4000"/>
    <n v="0"/>
    <n v="4000"/>
    <n v="0"/>
    <n v="4200"/>
    <x v="14"/>
    <n v="4749.8"/>
    <n v="0"/>
    <n v="4749.8"/>
    <n v="0"/>
    <n v="0"/>
    <n v="0"/>
  </r>
  <r>
    <d v="2025-09-06T00:00:00"/>
    <x v="43"/>
    <x v="24"/>
    <s v="ไก่เหยียบศรีวรรณ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3"/>
    <n v="4000"/>
    <n v="0"/>
    <n v="4000"/>
    <n v="0"/>
    <n v="4200"/>
    <x v="14"/>
    <n v="4749.8"/>
    <n v="0"/>
    <n v="4749.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4"/>
    <n v="14249.400000000001"/>
    <n v="0"/>
    <n v="14249.400000000001"/>
    <n v="0"/>
    <n v="0"/>
    <s v="ระบุในSD"/>
  </r>
  <r>
    <d v="2025-09-04T00:00:00"/>
    <x v="68"/>
    <x v="25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4"/>
    <n v="10000"/>
    <n v="0"/>
    <n v="10000"/>
    <n v="0"/>
    <n v="10500"/>
    <x v="15"/>
    <n v="12433.3"/>
    <n v="7225"/>
    <n v="5208.2999999999993"/>
    <n v="0"/>
    <n v="12433.3"/>
    <s v="ห้ามใช้เชือกฟาง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5"/>
    <n v="12433.3"/>
    <n v="7225"/>
    <n v="5208.2999999999993"/>
    <n v="0"/>
    <n v="12433.3"/>
    <s v="ระบุในSD"/>
  </r>
  <r>
    <s v="ประมาณการ"/>
    <x v="3"/>
    <x v="19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0"/>
    <x v="16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6"/>
    <n v="12433.3"/>
    <n v="12433.3"/>
    <n v="0"/>
    <n v="0"/>
    <n v="0"/>
    <s v="ระบุในSD"/>
  </r>
  <r>
    <d v="2025-09-01T00:00:00"/>
    <x v="69"/>
    <x v="19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0"/>
    <n v="30000"/>
    <n v="30000"/>
    <n v="0"/>
    <n v="32730"/>
    <n v="0"/>
    <x v="17"/>
    <n v="0"/>
    <n v="0"/>
    <n v="0"/>
    <n v="0"/>
    <n v="0"/>
    <n v="0"/>
  </r>
  <r>
    <d v="2025-08-29T00:00:00"/>
    <x v="70"/>
    <x v="19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0"/>
    <n v="15000"/>
    <n v="15000"/>
    <n v="0"/>
    <n v="0"/>
    <n v="0"/>
    <x v="17"/>
    <n v="0"/>
    <n v="0"/>
    <n v="0"/>
    <n v="0"/>
    <n v="0"/>
    <n v="0"/>
  </r>
  <r>
    <d v="2025-08-29T00:00:00"/>
    <x v="71"/>
    <x v="19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17"/>
    <n v="18649.949999999997"/>
    <n v="0"/>
    <n v="18649.949999999997"/>
    <n v="0"/>
    <n v="18649.949999999997"/>
    <n v="0"/>
  </r>
  <r>
    <d v="2025-09-01T00:00:00"/>
    <x v="72"/>
    <x v="19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5000"/>
    <n v="25000"/>
    <n v="9475"/>
    <n v="21551.25"/>
    <x v="17"/>
    <n v="26795.315662500001"/>
    <n v="0"/>
    <n v="26795.315662500001"/>
    <n v="0"/>
    <n v="26795.315662500001"/>
    <n v="0"/>
  </r>
  <r>
    <d v="2025-09-01T00:00:00"/>
    <x v="73"/>
    <x v="19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7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7"/>
    <n v="57878.565662499997"/>
    <n v="0"/>
    <n v="57878.565662499997"/>
    <n v="0"/>
    <n v="57878.565662499997"/>
    <s v="ระบุในSD"/>
  </r>
  <r>
    <d v="2025-08-26T00:00:00"/>
    <x v="74"/>
    <x v="2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13000"/>
    <n v="13000"/>
    <n v="0"/>
    <n v="53544"/>
    <n v="0"/>
    <x v="18"/>
    <n v="0"/>
    <n v="0"/>
    <n v="0"/>
    <n v="0"/>
    <n v="0"/>
    <n v="0"/>
  </r>
  <r>
    <s v="ประมาณการ"/>
    <x v="3"/>
    <x v="2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2"/>
    <n v="50000"/>
    <n v="0"/>
    <n v="50000"/>
    <n v="0"/>
    <n v="52500"/>
    <x v="18"/>
    <n v="59372.5"/>
    <n v="15130"/>
    <n v="44242.5"/>
    <n v="0"/>
    <n v="0"/>
    <n v="0"/>
  </r>
  <r>
    <s v="ประมาณการ"/>
    <x v="3"/>
    <x v="19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0"/>
    <x v="18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8"/>
    <n v="66147.95"/>
    <n v="15130"/>
    <n v="51017.9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F1080-4641-4518-8B0D-CFA6211BE8F1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6">
        <item h="1" x="1"/>
        <item x="63"/>
        <item x="3"/>
        <item x="40"/>
        <item x="44"/>
        <item x="45"/>
        <item x="43"/>
        <item x="65"/>
        <item x="39"/>
        <item x="54"/>
        <item x="53"/>
        <item x="38"/>
        <item x="42"/>
        <item x="64"/>
        <item x="13"/>
        <item x="35"/>
        <item x="17"/>
        <item x="14"/>
        <item x="41"/>
        <item x="32"/>
        <item x="36"/>
        <item x="37"/>
        <item x="62"/>
        <item x="33"/>
        <item x="34"/>
        <item x="18"/>
        <item x="58"/>
        <item x="52"/>
        <item x="59"/>
        <item x="60"/>
        <item x="61"/>
        <item x="29"/>
        <item x="47"/>
        <item x="48"/>
        <item x="0"/>
        <item x="2"/>
        <item x="6"/>
        <item x="5"/>
        <item x="7"/>
        <item x="8"/>
        <item x="27"/>
        <item x="28"/>
        <item x="23"/>
        <item x="24"/>
        <item x="25"/>
        <item x="26"/>
        <item x="30"/>
        <item x="19"/>
        <item x="31"/>
        <item x="46"/>
        <item x="55"/>
        <item x="56"/>
        <item x="57"/>
        <item x="66"/>
        <item x="74"/>
        <item x="70"/>
        <item x="71"/>
        <item x="4"/>
        <item x="69"/>
        <item x="72"/>
        <item x="73"/>
        <item x="9"/>
        <item x="10"/>
        <item x="11"/>
        <item x="12"/>
        <item x="15"/>
        <item x="16"/>
        <item x="20"/>
        <item x="21"/>
        <item x="22"/>
        <item x="49"/>
        <item x="50"/>
        <item x="51"/>
        <item x="67"/>
        <item x="68"/>
        <item t="default"/>
      </items>
    </pivotField>
    <pivotField axis="axisPage" compact="0" outline="0" subtotalTop="0" showAll="0">
      <items count="28">
        <item x="1"/>
        <item x="2"/>
        <item x="19"/>
        <item x="13"/>
        <item x="22"/>
        <item x="6"/>
        <item x="9"/>
        <item x="11"/>
        <item x="10"/>
        <item x="18"/>
        <item x="24"/>
        <item x="26"/>
        <item x="20"/>
        <item x="0"/>
        <item x="21"/>
        <item x="3"/>
        <item x="4"/>
        <item x="8"/>
        <item x="7"/>
        <item x="14"/>
        <item x="15"/>
        <item x="23"/>
        <item x="5"/>
        <item x="12"/>
        <item x="16"/>
        <item x="17"/>
        <item x="2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3"/>
        <item h="1" x="16"/>
        <item x="0"/>
        <item x="17"/>
        <item x="5"/>
        <item x="4"/>
        <item x="7"/>
        <item x="8"/>
        <item x="6"/>
        <item x="9"/>
        <item x="13"/>
        <item x="12"/>
        <item x="14"/>
        <item x="10"/>
        <item x="2"/>
        <item x="15"/>
        <item x="11"/>
        <item h="1" x="1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h="1" x="1"/>
        <item x="0"/>
        <item x="2"/>
        <item h="1" x="3"/>
        <item x="5"/>
        <item x="6"/>
        <item x="4"/>
        <item x="9"/>
        <item x="7"/>
        <item h="1" x="8"/>
        <item x="10"/>
        <item x="13"/>
        <item x="12"/>
        <item x="11"/>
        <item x="14"/>
        <item h="1" x="15"/>
        <item x="16"/>
        <item x="17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3">
    <i>
      <x v="1"/>
    </i>
    <i>
      <x v="4"/>
    </i>
    <i>
      <x v="5"/>
    </i>
    <i>
      <x v="6"/>
    </i>
    <i>
      <x v="7"/>
    </i>
    <i>
      <x v="8"/>
    </i>
    <i>
      <x v="10"/>
    </i>
    <i>
      <x v="13"/>
    </i>
    <i>
      <x v="14"/>
    </i>
    <i>
      <x v="16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4">
      <pivotArea outline="0" collapsedLevelsAreSubtotals="1" fieldPosition="0"/>
    </format>
    <format dxfId="73">
      <pivotArea dataOnly="0" labelOnly="1" outline="0" axis="axisValues" fieldPosition="0"/>
    </format>
    <format dxfId="72">
      <pivotArea dataOnly="0" outline="0" fieldPosition="0">
        <references count="1">
          <reference field="25" count="0" defaultSubtotal="1"/>
        </references>
      </pivotArea>
    </format>
    <format dxfId="71">
      <pivotArea dataOnly="0" outline="0" fieldPosition="0">
        <references count="1">
          <reference field="25" count="0" defaultSubtotal="1"/>
        </references>
      </pivotArea>
    </format>
    <format dxfId="70">
      <pivotArea dataOnly="0" outline="0" fieldPosition="0">
        <references count="1">
          <reference field="25" count="0" defaultSubtotal="1"/>
        </references>
      </pivotArea>
    </format>
    <format dxfId="69">
      <pivotArea outline="0" fieldPosition="0">
        <references count="1">
          <reference field="4294967294" count="1" selected="0">
            <x v="3"/>
          </reference>
        </references>
      </pivotArea>
    </format>
    <format dxfId="68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7"/>
            <x v="8"/>
            <x v="10"/>
            <x v="13"/>
            <x v="14"/>
          </reference>
        </references>
      </pivotArea>
    </format>
    <format dxfId="67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7"/>
            <x v="8"/>
            <x v="10"/>
            <x v="13"/>
            <x v="14"/>
          </reference>
        </references>
      </pivotArea>
    </format>
    <format dxfId="66">
      <pivotArea outline="0" fieldPosition="0">
        <references count="2">
          <reference field="4294967294" count="1" selected="0">
            <x v="5"/>
          </reference>
          <reference field="25" count="8" selected="0">
            <x v="4"/>
            <x v="6"/>
            <x v="7"/>
            <x v="8"/>
            <x v="10"/>
            <x v="13"/>
            <x v="14"/>
            <x v="17"/>
          </reference>
        </references>
      </pivotArea>
    </format>
    <format dxfId="65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64">
      <pivotArea outline="0" fieldPosition="0">
        <references count="2">
          <reference field="4294967294" count="1" selected="0">
            <x v="5"/>
          </reference>
          <reference field="25" count="4" selected="0">
            <x v="7"/>
            <x v="8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EE051-58DE-4959-A6FB-89E2ED23207D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0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6">
        <item h="1" x="1"/>
        <item x="63"/>
        <item h="1" x="3"/>
        <item x="40"/>
        <item x="44"/>
        <item x="45"/>
        <item x="43"/>
        <item x="65"/>
        <item x="39"/>
        <item x="54"/>
        <item x="53"/>
        <item x="38"/>
        <item x="42"/>
        <item x="64"/>
        <item x="13"/>
        <item x="17"/>
        <item x="32"/>
        <item x="41"/>
        <item x="35"/>
        <item x="14"/>
        <item x="36"/>
        <item x="37"/>
        <item x="62"/>
        <item x="60"/>
        <item x="61"/>
        <item x="18"/>
        <item x="34"/>
        <item x="33"/>
        <item x="58"/>
        <item x="52"/>
        <item x="59"/>
        <item x="29"/>
        <item x="47"/>
        <item x="48"/>
        <item x="27"/>
        <item x="28"/>
        <item x="23"/>
        <item x="31"/>
        <item x="46"/>
        <item x="66"/>
        <item x="74"/>
        <item x="0"/>
        <item x="2"/>
        <item x="6"/>
        <item x="5"/>
        <item x="7"/>
        <item x="8"/>
        <item x="24"/>
        <item x="25"/>
        <item x="26"/>
        <item x="30"/>
        <item x="19"/>
        <item x="55"/>
        <item x="56"/>
        <item x="57"/>
        <item x="70"/>
        <item x="71"/>
        <item x="4"/>
        <item x="69"/>
        <item x="72"/>
        <item x="73"/>
        <item x="9"/>
        <item x="10"/>
        <item x="11"/>
        <item x="12"/>
        <item x="15"/>
        <item x="16"/>
        <item x="20"/>
        <item x="21"/>
        <item x="22"/>
        <item x="49"/>
        <item x="50"/>
        <item x="51"/>
        <item x="67"/>
        <item x="68"/>
        <item t="default"/>
      </items>
    </pivotField>
    <pivotField axis="axisPage" compact="0" outline="0" subtotalTop="0" showAll="0">
      <items count="28">
        <item x="1"/>
        <item x="2"/>
        <item x="19"/>
        <item x="13"/>
        <item x="22"/>
        <item x="6"/>
        <item x="9"/>
        <item x="11"/>
        <item x="10"/>
        <item x="18"/>
        <item x="24"/>
        <item x="26"/>
        <item x="20"/>
        <item x="0"/>
        <item x="21"/>
        <item x="3"/>
        <item x="4"/>
        <item x="8"/>
        <item x="7"/>
        <item x="15"/>
        <item x="14"/>
        <item x="23"/>
        <item x="5"/>
        <item x="12"/>
        <item x="16"/>
        <item x="17"/>
        <item x="2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3"/>
        <item h="1" x="16"/>
        <item x="0"/>
        <item x="17"/>
        <item x="5"/>
        <item x="4"/>
        <item x="7"/>
        <item x="8"/>
        <item x="6"/>
        <item x="9"/>
        <item x="13"/>
        <item x="12"/>
        <item x="14"/>
        <item x="10"/>
        <item x="2"/>
        <item x="15"/>
        <item x="11"/>
        <item h="1" x="1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1"/>
        <item x="0"/>
        <item x="2"/>
        <item x="3"/>
        <item x="5"/>
        <item x="6"/>
        <item x="4"/>
        <item x="9"/>
        <item x="7"/>
        <item x="8"/>
        <item x="10"/>
        <item x="13"/>
        <item x="12"/>
        <item x="11"/>
        <item x="14"/>
        <item x="15"/>
        <item x="16"/>
        <item x="17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4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0"/>
    </i>
    <i>
      <x v="14"/>
    </i>
    <i>
      <x v="15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dataOnly="0" outline="0" fieldPosition="0">
        <references count="1">
          <reference field="25" count="0" defaultSubtotal="1"/>
        </references>
      </pivotArea>
    </format>
    <format dxfId="60">
      <pivotArea dataOnly="0" outline="0" fieldPosition="0">
        <references count="1">
          <reference field="25" count="0" defaultSubtotal="1"/>
        </references>
      </pivotArea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outline="0" fieldPosition="0">
        <references count="2">
          <reference field="4294967294" count="1" selected="0">
            <x v="3"/>
          </reference>
          <reference field="25" count="1" selected="0">
            <x v="14"/>
          </reference>
        </references>
      </pivotArea>
    </format>
    <format dxfId="57">
      <pivotArea outline="0" fieldPosition="0">
        <references count="2">
          <reference field="4294967294" count="1" selected="0">
            <x v="2"/>
          </reference>
          <reference field="25" count="1" selected="0">
            <x v="17"/>
          </reference>
        </references>
      </pivotArea>
    </format>
    <format dxfId="56">
      <pivotArea outline="0" fieldPosition="0">
        <references count="2">
          <reference field="4294967294" count="1" selected="0">
            <x v="2"/>
          </reference>
          <reference field="25" count="1" selected="0">
            <x v="12"/>
          </reference>
        </references>
      </pivotArea>
    </format>
    <format dxfId="55">
      <pivotArea outline="0" fieldPosition="0">
        <references count="2">
          <reference field="4294967294" count="1" selected="0">
            <x v="2"/>
          </reference>
          <reference field="25" count="6" selected="0">
            <x v="6"/>
            <x v="7"/>
            <x v="8"/>
            <x v="10"/>
            <x v="11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5BBAC-D254-4F3B-BB00-67B5F8680F4F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6">
        <item h="1" x="1"/>
        <item x="63"/>
        <item h="1" x="3"/>
        <item x="40"/>
        <item x="44"/>
        <item x="45"/>
        <item x="43"/>
        <item x="65"/>
        <item x="39"/>
        <item x="54"/>
        <item x="53"/>
        <item x="38"/>
        <item x="42"/>
        <item x="64"/>
        <item x="13"/>
        <item x="17"/>
        <item x="32"/>
        <item x="41"/>
        <item x="35"/>
        <item x="14"/>
        <item x="36"/>
        <item x="37"/>
        <item x="62"/>
        <item x="60"/>
        <item x="61"/>
        <item x="33"/>
        <item x="34"/>
        <item x="18"/>
        <item x="58"/>
        <item x="52"/>
        <item x="59"/>
        <item h="1" x="29"/>
        <item h="1" x="47"/>
        <item h="1" x="48"/>
        <item h="1" x="0"/>
        <item h="1" x="2"/>
        <item h="1" x="6"/>
        <item h="1" x="5"/>
        <item h="1" x="7"/>
        <item h="1" x="8"/>
        <item h="1" x="27"/>
        <item h="1" x="28"/>
        <item h="1" x="23"/>
        <item h="1" x="24"/>
        <item h="1" x="25"/>
        <item h="1" x="26"/>
        <item h="1" x="30"/>
        <item h="1" x="19"/>
        <item h="1" x="31"/>
        <item h="1" x="46"/>
        <item h="1" x="55"/>
        <item h="1" x="56"/>
        <item h="1" x="57"/>
        <item h="1" x="66"/>
        <item h="1" x="70"/>
        <item h="1" x="71"/>
        <item h="1" x="74"/>
        <item h="1" x="4"/>
        <item h="1" x="69"/>
        <item h="1" x="72"/>
        <item h="1" x="73"/>
        <item h="1" x="9"/>
        <item h="1" x="10"/>
        <item h="1" x="11"/>
        <item h="1" x="12"/>
        <item h="1" x="15"/>
        <item h="1" x="16"/>
        <item h="1" x="20"/>
        <item h="1" x="21"/>
        <item h="1" x="22"/>
        <item h="1" x="49"/>
        <item h="1" x="50"/>
        <item h="1" x="51"/>
        <item h="1" x="67"/>
        <item h="1" x="68"/>
        <item t="default"/>
      </items>
    </pivotField>
    <pivotField axis="axisRow" compact="0" outline="0" subtotalTop="0" showAll="0">
      <items count="28">
        <item x="1"/>
        <item x="2"/>
        <item x="19"/>
        <item x="13"/>
        <item x="22"/>
        <item x="6"/>
        <item x="9"/>
        <item x="11"/>
        <item x="10"/>
        <item x="18"/>
        <item x="24"/>
        <item x="26"/>
        <item x="20"/>
        <item x="0"/>
        <item x="21"/>
        <item x="3"/>
        <item x="4"/>
        <item x="8"/>
        <item x="7"/>
        <item x="15"/>
        <item x="14"/>
        <item x="23"/>
        <item x="5"/>
        <item x="12"/>
        <item x="16"/>
        <item x="17"/>
        <item x="2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3"/>
        <item h="1" x="16"/>
        <item x="0"/>
        <item h="1" x="17"/>
        <item h="1" x="5"/>
        <item h="1" x="4"/>
        <item x="7"/>
        <item h="1" x="8"/>
        <item h="1" x="6"/>
        <item h="1" x="9"/>
        <item x="13"/>
        <item h="1" x="12"/>
        <item x="14"/>
        <item h="1" x="10"/>
        <item x="2"/>
        <item x="15"/>
        <item h="1" x="11"/>
        <item h="1" x="1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1"/>
        <item x="0"/>
        <item x="2"/>
        <item x="3"/>
        <item x="5"/>
        <item x="6"/>
        <item x="4"/>
        <item x="9"/>
        <item x="7"/>
        <item x="8"/>
        <item x="10"/>
        <item x="13"/>
        <item x="12"/>
        <item x="11"/>
        <item x="14"/>
        <item x="15"/>
        <item x="16"/>
        <item x="17"/>
        <item x="18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8">
    <i>
      <x v="8"/>
      <x v="7"/>
    </i>
    <i r="1">
      <x v="8"/>
    </i>
    <i t="default">
      <x v="8"/>
    </i>
    <i>
      <x v="10"/>
      <x v="7"/>
    </i>
    <i t="default">
      <x v="10"/>
    </i>
    <i>
      <x v="14"/>
      <x v="10"/>
    </i>
    <i t="default">
      <x v="1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54">
      <pivotArea outline="0" collapsedLevelsAreSubtotals="1" fieldPosition="0"/>
    </format>
    <format dxfId="53">
      <pivotArea dataOnly="0" labelOnly="1" outline="0" axis="axisValues" fieldPosition="0"/>
    </format>
    <format dxfId="52">
      <pivotArea dataOnly="0" outline="0" fieldPosition="0">
        <references count="1">
          <reference field="25" count="0" defaultSubtotal="1"/>
        </references>
      </pivotArea>
    </format>
    <format dxfId="51">
      <pivotArea dataOnly="0" outline="0" fieldPosition="0">
        <references count="1">
          <reference field="25" count="0" defaultSubtotal="1"/>
        </references>
      </pivotArea>
    </format>
    <format dxfId="5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A1759-80EE-4959-B98C-FB632158E40E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6">
        <item h="1" x="1"/>
        <item h="1" x="63"/>
        <item x="3"/>
        <item h="1" x="40"/>
        <item h="1" x="44"/>
        <item h="1" x="45"/>
        <item h="1" x="43"/>
        <item h="1" x="65"/>
        <item h="1" x="39"/>
        <item h="1" x="54"/>
        <item h="1" x="53"/>
        <item h="1" x="38"/>
        <item h="1" x="42"/>
        <item h="1" x="64"/>
        <item h="1" x="13"/>
        <item h="1" x="17"/>
        <item h="1" x="32"/>
        <item h="1" x="41"/>
        <item h="1" x="35"/>
        <item h="1" x="14"/>
        <item h="1" x="36"/>
        <item h="1" x="37"/>
        <item h="1" x="62"/>
        <item h="1" x="33"/>
        <item h="1" x="34"/>
        <item h="1" x="18"/>
        <item h="1" x="58"/>
        <item h="1" x="52"/>
        <item h="1" x="59"/>
        <item h="1" x="60"/>
        <item h="1" x="61"/>
        <item h="1" x="29"/>
        <item h="1" x="47"/>
        <item h="1" x="48"/>
        <item h="1" x="0"/>
        <item h="1" x="2"/>
        <item h="1" x="6"/>
        <item h="1" x="5"/>
        <item h="1" x="7"/>
        <item h="1" x="8"/>
        <item h="1" x="27"/>
        <item h="1" x="28"/>
        <item h="1" x="23"/>
        <item h="1" x="24"/>
        <item h="1" x="25"/>
        <item h="1" x="26"/>
        <item h="1" x="30"/>
        <item h="1" x="19"/>
        <item h="1" x="31"/>
        <item h="1" x="46"/>
        <item h="1" x="55"/>
        <item h="1" x="56"/>
        <item h="1" x="57"/>
        <item h="1" x="66"/>
        <item h="1" x="74"/>
        <item h="1" x="70"/>
        <item h="1" x="71"/>
        <item h="1" x="4"/>
        <item h="1" x="69"/>
        <item h="1" x="72"/>
        <item h="1" x="73"/>
        <item h="1" x="9"/>
        <item h="1" x="10"/>
        <item h="1" x="11"/>
        <item h="1" x="12"/>
        <item h="1" x="15"/>
        <item h="1" x="16"/>
        <item h="1" x="20"/>
        <item h="1" x="21"/>
        <item h="1" x="22"/>
        <item h="1" x="49"/>
        <item h="1" x="50"/>
        <item h="1" x="51"/>
        <item h="1" x="67"/>
        <item h="1" x="68"/>
        <item t="default"/>
      </items>
    </pivotField>
    <pivotField axis="axisRow" compact="0" outline="0" subtotalTop="0" showAll="0">
      <items count="28">
        <item x="1"/>
        <item x="2"/>
        <item x="19"/>
        <item x="13"/>
        <item x="22"/>
        <item x="6"/>
        <item x="9"/>
        <item x="11"/>
        <item x="10"/>
        <item x="18"/>
        <item x="24"/>
        <item x="26"/>
        <item x="20"/>
        <item x="0"/>
        <item x="21"/>
        <item x="3"/>
        <item x="4"/>
        <item x="8"/>
        <item x="7"/>
        <item x="15"/>
        <item x="14"/>
        <item x="23"/>
        <item x="5"/>
        <item x="12"/>
        <item x="16"/>
        <item x="17"/>
        <item x="2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3"/>
        <item h="1" x="16"/>
        <item x="0"/>
        <item x="17"/>
        <item h="1" x="5"/>
        <item h="1" x="4"/>
        <item x="7"/>
        <item h="1" x="8"/>
        <item x="6"/>
        <item h="1" x="9"/>
        <item x="13"/>
        <item h="1" x="12"/>
        <item x="14"/>
        <item h="1" x="10"/>
        <item x="2"/>
        <item x="15"/>
        <item x="11"/>
        <item h="1" x="1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1"/>
        <item x="0"/>
        <item x="2"/>
        <item x="3"/>
        <item x="5"/>
        <item x="6"/>
        <item x="4"/>
        <item x="9"/>
        <item x="7"/>
        <item x="8"/>
        <item x="10"/>
        <item x="13"/>
        <item x="12"/>
        <item x="11"/>
        <item x="14"/>
        <item x="15"/>
        <item x="16"/>
        <item x="17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9">
    <i>
      <x v="4"/>
      <x v="1"/>
    </i>
    <i t="default">
      <x v="4"/>
    </i>
    <i>
      <x v="6"/>
      <x v="17"/>
    </i>
    <i r="1">
      <x v="18"/>
    </i>
    <i t="default">
      <x v="6"/>
    </i>
    <i>
      <x v="8"/>
      <x v="3"/>
    </i>
    <i r="1">
      <x v="6"/>
    </i>
    <i r="1">
      <x v="8"/>
    </i>
    <i t="default">
      <x v="8"/>
    </i>
    <i>
      <x v="10"/>
      <x v="9"/>
    </i>
    <i t="default">
      <x v="10"/>
    </i>
    <i>
      <x v="13"/>
      <x v="12"/>
    </i>
    <i r="1">
      <x v="14"/>
    </i>
    <i t="default">
      <x v="13"/>
    </i>
    <i>
      <x v="16"/>
      <x v="2"/>
    </i>
    <i t="default">
      <x v="16"/>
    </i>
    <i>
      <x v="18"/>
      <x v="2"/>
    </i>
    <i t="default"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dataOnly="0" outline="0" fieldPosition="0">
        <references count="1">
          <reference field="25" count="0" defaultSubtotal="1"/>
        </references>
      </pivotArea>
    </format>
    <format dxfId="46">
      <pivotArea dataOnly="0" outline="0" fieldPosition="0">
        <references count="1">
          <reference field="25" count="0" defaultSubtotal="1"/>
        </references>
      </pivotArea>
    </format>
    <format dxfId="45">
      <pivotArea dataOnly="0" outline="0" fieldPosition="0">
        <references count="1">
          <reference field="25" count="0" defaultSubtotal="1"/>
        </references>
      </pivotArea>
    </format>
    <format dxfId="44">
      <pivotArea dataOnly="0" outline="0" fieldPosition="0">
        <references count="1">
          <reference field="2" count="1">
            <x v="12"/>
          </reference>
        </references>
      </pivotArea>
    </format>
    <format dxfId="43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7"/>
          </reference>
        </references>
      </pivotArea>
    </format>
    <format dxfId="42">
      <pivotArea dataOnly="0" labelOnly="1" outline="0" fieldPosition="0">
        <references count="1">
          <reference field="25" count="1">
            <x v="17"/>
          </reference>
        </references>
      </pivotArea>
    </format>
    <format dxfId="41">
      <pivotArea dataOnly="0" labelOnly="1" outline="0" fieldPosition="0">
        <references count="2">
          <reference field="2" count="1">
            <x v="2"/>
          </reference>
          <reference field="25" count="1" selected="0">
            <x v="17"/>
          </reference>
        </references>
      </pivotArea>
    </format>
    <format dxfId="40">
      <pivotArea dataOnly="0" labelOnly="1" outline="0" fieldPosition="0">
        <references count="1">
          <reference field="25" count="1">
            <x v="14"/>
          </reference>
        </references>
      </pivotArea>
    </format>
    <format dxfId="39">
      <pivotArea outline="0" fieldPosition="0">
        <references count="2">
          <reference field="2" count="1" selected="0">
            <x v="12"/>
          </reference>
          <reference field="25" count="1" selected="0">
            <x v="13"/>
          </reference>
        </references>
      </pivotArea>
    </format>
    <format dxfId="38">
      <pivotArea dataOnly="0" labelOnly="1" outline="0" fieldPosition="0">
        <references count="1">
          <reference field="25" count="1">
            <x v="13"/>
          </reference>
        </references>
      </pivotArea>
    </format>
    <format dxfId="37">
      <pivotArea dataOnly="0" labelOnly="1" outline="0" fieldPosition="0">
        <references count="2">
          <reference field="2" count="1">
            <x v="12"/>
          </reference>
          <reference field="25" count="1" selected="0">
            <x v="13"/>
          </reference>
        </references>
      </pivotArea>
    </format>
    <format dxfId="36">
      <pivotArea dataOnly="0" labelOnly="1" outline="0" fieldPosition="0">
        <references count="1">
          <reference field="25" count="1">
            <x v="10"/>
          </reference>
        </references>
      </pivotArea>
    </format>
    <format dxfId="35">
      <pivotArea dataOnly="0" labelOnly="1" outline="0" fieldPosition="0">
        <references count="1">
          <reference field="25" count="1">
            <x v="8"/>
          </reference>
        </references>
      </pivotArea>
    </format>
    <format dxfId="34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8"/>
          </reference>
        </references>
      </pivotArea>
    </format>
    <format dxfId="33">
      <pivotArea dataOnly="0" labelOnly="1" outline="0" fieldPosition="0">
        <references count="1">
          <reference field="25" count="1">
            <x v="6"/>
          </reference>
        </references>
      </pivotArea>
    </format>
    <format dxfId="32">
      <pivotArea dataOnly="0" labelOnly="1" outline="0" fieldPosition="0">
        <references count="1">
          <reference field="25" count="1">
            <x v="4"/>
          </reference>
        </references>
      </pivotArea>
    </format>
    <format dxfId="31">
      <pivotArea dataOnly="0" labelOnly="1" outline="0" fieldPosition="0">
        <references count="2">
          <reference field="2" count="1">
            <x v="1"/>
          </reference>
          <reference field="25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D38DC-CB6C-4B31-B617-4F8324F30F5E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36"/>
        <item x="29"/>
        <item x="18"/>
        <item x="43"/>
        <item x="38"/>
        <item x="39"/>
        <item x="34"/>
        <item x="24"/>
        <item x="66"/>
        <item x="0"/>
        <item x="3"/>
        <item x="8"/>
        <item x="9"/>
        <item x="4"/>
        <item x="7"/>
        <item x="13"/>
        <item x="14"/>
        <item x="22"/>
        <item x="27"/>
        <item x="33"/>
        <item x="37"/>
        <item x="48"/>
        <item x="50"/>
        <item x="49"/>
        <item x="51"/>
        <item x="52"/>
        <item x="57"/>
        <item x="64"/>
        <item x="65"/>
        <item x="71"/>
        <item x="79"/>
        <item x="32"/>
        <item x="78"/>
        <item x="58"/>
        <item x="59"/>
        <item x="76"/>
        <item x="5"/>
        <item x="6"/>
        <item x="15"/>
        <item x="16"/>
        <item x="20"/>
        <item x="21"/>
        <item x="61"/>
        <item x="62"/>
        <item x="63"/>
        <item x="74"/>
        <item x="10"/>
        <item x="17"/>
        <item x="23"/>
        <item x="25"/>
        <item x="26"/>
        <item x="28"/>
        <item x="30"/>
        <item x="31"/>
        <item x="53"/>
        <item x="54"/>
        <item x="55"/>
        <item x="60"/>
        <item x="12"/>
        <item x="19"/>
        <item x="56"/>
        <item x="72"/>
        <item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0"/>
        <item x="5"/>
        <item x="7"/>
        <item x="12"/>
        <item x="17"/>
        <item x="25"/>
        <item x="21"/>
        <item x="22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9">
    <i>
      <x v="2"/>
      <x v="1"/>
    </i>
    <i t="default">
      <x v="2"/>
    </i>
    <i>
      <x v="3"/>
      <x v="7"/>
    </i>
    <i t="default">
      <x v="3"/>
    </i>
    <i>
      <x v="4"/>
      <x v="21"/>
    </i>
    <i t="default">
      <x v="4"/>
    </i>
    <i>
      <x v="5"/>
      <x v="31"/>
    </i>
    <i t="default">
      <x v="5"/>
    </i>
    <i>
      <x v="6"/>
      <x v="5"/>
    </i>
    <i r="1">
      <x v="7"/>
    </i>
    <i t="default">
      <x v="6"/>
    </i>
    <i>
      <x v="7"/>
      <x v="7"/>
    </i>
    <i r="1">
      <x v="8"/>
    </i>
    <i r="1">
      <x v="23"/>
    </i>
    <i r="1">
      <x v="33"/>
    </i>
    <i t="default">
      <x v="7"/>
    </i>
    <i>
      <x v="9"/>
      <x v="26"/>
    </i>
    <i r="1">
      <x v="27"/>
    </i>
    <i r="1">
      <x v="32"/>
    </i>
    <i t="default">
      <x v="9"/>
    </i>
    <i>
      <x v="10"/>
      <x v="32"/>
    </i>
    <i t="default">
      <x v="10"/>
    </i>
    <i>
      <x v="11"/>
      <x v="28"/>
    </i>
    <i t="default">
      <x v="11"/>
    </i>
    <i>
      <x v="13"/>
      <x v="30"/>
    </i>
    <i t="default">
      <x v="13"/>
    </i>
    <i>
      <x v="14"/>
      <x v="13"/>
    </i>
    <i r="1">
      <x v="25"/>
    </i>
    <i r="1">
      <x v="34"/>
    </i>
    <i t="default">
      <x v="14"/>
    </i>
    <i>
      <x v="15"/>
      <x v="11"/>
    </i>
    <i t="default">
      <x v="15"/>
    </i>
    <i>
      <x v="16"/>
      <x v="29"/>
    </i>
    <i t="default">
      <x v="16"/>
    </i>
    <i>
      <x v="18"/>
      <x v="12"/>
    </i>
    <i t="default">
      <x v="18"/>
    </i>
    <i>
      <x v="19"/>
      <x v="34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dataOnly="0" outline="0" fieldPosition="0">
        <references count="1">
          <reference field="25" count="0" defaultSubtotal="1"/>
        </references>
      </pivotArea>
    </format>
    <format dxfId="27">
      <pivotArea dataOnly="0" outline="0" fieldPosition="0">
        <references count="1">
          <reference field="25" count="0" defaultSubtotal="1"/>
        </references>
      </pivotArea>
    </format>
    <format dxfId="2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1C95D-9887-436B-BD65-A8C2EAEA46BA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6">
        <item h="1" x="1"/>
        <item x="63"/>
        <item h="1" x="3"/>
        <item x="40"/>
        <item x="44"/>
        <item x="45"/>
        <item x="43"/>
        <item x="65"/>
        <item x="39"/>
        <item x="54"/>
        <item x="53"/>
        <item x="38"/>
        <item x="42"/>
        <item x="64"/>
        <item x="13"/>
        <item x="17"/>
        <item x="36"/>
        <item x="32"/>
        <item x="41"/>
        <item x="14"/>
        <item x="37"/>
        <item x="35"/>
        <item x="62"/>
        <item x="60"/>
        <item x="61"/>
        <item x="18"/>
        <item x="34"/>
        <item x="33"/>
        <item x="58"/>
        <item x="52"/>
        <item x="59"/>
        <item x="29"/>
        <item x="47"/>
        <item x="48"/>
        <item x="27"/>
        <item x="28"/>
        <item x="23"/>
        <item x="31"/>
        <item x="46"/>
        <item h="1" x="0"/>
        <item h="1" x="2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5"/>
        <item h="1" x="16"/>
        <item h="1" x="19"/>
        <item h="1" x="20"/>
        <item h="1" x="21"/>
        <item h="1" x="22"/>
        <item h="1" x="24"/>
        <item h="1" x="25"/>
        <item h="1" x="26"/>
        <item h="1" x="30"/>
        <item h="1" x="49"/>
        <item h="1" x="50"/>
        <item h="1" x="51"/>
        <item h="1" x="55"/>
        <item h="1" x="56"/>
        <item h="1" x="57"/>
        <item h="1" x="66"/>
        <item h="1" x="67"/>
        <item h="1" x="68"/>
        <item h="1" x="69"/>
        <item h="1" x="70"/>
        <item h="1" x="71"/>
        <item h="1" x="72"/>
        <item h="1" x="73"/>
        <item h="1" x="74"/>
        <item t="default"/>
      </items>
    </pivotField>
    <pivotField axis="axisPage" compact="0" outline="0" subtotalTop="0" showAll="0">
      <items count="28">
        <item x="1"/>
        <item x="2"/>
        <item x="19"/>
        <item x="13"/>
        <item x="22"/>
        <item x="6"/>
        <item x="9"/>
        <item x="11"/>
        <item x="10"/>
        <item x="18"/>
        <item x="24"/>
        <item x="26"/>
        <item x="20"/>
        <item x="0"/>
        <item x="21"/>
        <item x="3"/>
        <item x="4"/>
        <item x="8"/>
        <item x="15"/>
        <item x="7"/>
        <item x="12"/>
        <item x="14"/>
        <item x="23"/>
        <item x="5"/>
        <item x="16"/>
        <item x="17"/>
        <item x="2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x="3"/>
        <item h="1" x="16"/>
        <item h="1" x="0"/>
        <item h="1" x="17"/>
        <item h="1" x="5"/>
        <item h="1" x="4"/>
        <item h="1" x="7"/>
        <item h="1" x="8"/>
        <item h="1" x="6"/>
        <item h="1" x="9"/>
        <item h="1" x="13"/>
        <item h="1" x="12"/>
        <item h="1" x="14"/>
        <item h="1" x="10"/>
        <item h="1" x="2"/>
        <item h="1" x="15"/>
        <item h="1" x="11"/>
        <item h="1" x="1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1"/>
        <item x="0"/>
        <item x="2"/>
        <item x="3"/>
        <item x="5"/>
        <item x="6"/>
        <item x="4"/>
        <item x="9"/>
        <item x="7"/>
        <item x="8"/>
        <item x="10"/>
        <item x="13"/>
        <item x="12"/>
        <item x="11"/>
        <item x="14"/>
        <item x="15"/>
        <item x="16"/>
        <item x="17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6">
    <i>
      <x v="5"/>
    </i>
    <i>
      <x v="8"/>
    </i>
    <i>
      <x v="10"/>
    </i>
    <i>
      <x v="11"/>
    </i>
    <i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dataOnly="0" outline="0" fieldPosition="0">
        <references count="1">
          <reference field="25" count="0" defaultSubtotal="1"/>
        </references>
      </pivotArea>
    </format>
    <format dxfId="22">
      <pivotArea dataOnly="0" outline="0" fieldPosition="0">
        <references count="1">
          <reference field="25" count="0" defaultSubtotal="1"/>
        </references>
      </pivotArea>
    </format>
    <format dxfId="21">
      <pivotArea dataOnly="0" outline="0" fieldPosition="0">
        <references count="1">
          <reference field="25" count="0" defaultSubtotal="1"/>
        </references>
      </pivotArea>
    </format>
    <format dxfId="20">
      <pivotArea outline="0" fieldPosition="0">
        <references count="2">
          <reference field="4294967294" count="1" selected="0">
            <x v="3"/>
          </reference>
          <reference field="25" count="1" selected="0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E246A-2352-4BE2-9CF2-F44D523B89F8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h="1"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36"/>
        <item x="29"/>
        <item x="18"/>
        <item x="43"/>
        <item x="38"/>
        <item x="39"/>
        <item x="24"/>
        <item x="34"/>
        <item x="66"/>
        <item x="0"/>
        <item x="3"/>
        <item x="4"/>
        <item x="7"/>
        <item x="8"/>
        <item x="9"/>
        <item x="5"/>
        <item x="6"/>
        <item x="13"/>
        <item x="14"/>
        <item x="15"/>
        <item x="16"/>
        <item x="20"/>
        <item x="21"/>
        <item x="22"/>
        <item x="32"/>
        <item x="27"/>
        <item x="33"/>
        <item x="37"/>
        <item x="48"/>
        <item x="50"/>
        <item x="49"/>
        <item x="51"/>
        <item x="52"/>
        <item x="57"/>
        <item x="58"/>
        <item x="59"/>
        <item x="61"/>
        <item x="62"/>
        <item x="63"/>
        <item x="64"/>
        <item x="65"/>
        <item x="71"/>
        <item x="76"/>
        <item x="78"/>
        <item x="79"/>
        <item h="1" x="74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7"/>
        <item x="12"/>
        <item x="0"/>
        <item x="5"/>
        <item x="17"/>
        <item x="21"/>
        <item x="22"/>
        <item x="25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h="1"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3">
    <i>
      <x v="2"/>
      <x v="1"/>
    </i>
    <i t="default">
      <x v="2"/>
    </i>
    <i>
      <x v="4"/>
      <x v="23"/>
    </i>
    <i t="default">
      <x v="4"/>
    </i>
    <i>
      <x v="6"/>
      <x v="5"/>
    </i>
    <i r="1">
      <x v="7"/>
    </i>
    <i t="default">
      <x v="6"/>
    </i>
    <i>
      <x v="7"/>
      <x v="7"/>
    </i>
    <i r="1">
      <x v="8"/>
    </i>
    <i r="1">
      <x v="21"/>
    </i>
    <i t="default">
      <x v="7"/>
    </i>
    <i>
      <x v="9"/>
      <x v="25"/>
    </i>
    <i r="1">
      <x v="26"/>
    </i>
    <i t="default">
      <x v="9"/>
    </i>
    <i>
      <x v="11"/>
      <x v="28"/>
    </i>
    <i t="default">
      <x v="11"/>
    </i>
    <i>
      <x v="14"/>
      <x v="27"/>
    </i>
    <i t="default">
      <x v="14"/>
    </i>
    <i>
      <x v="16"/>
      <x v="29"/>
    </i>
    <i t="default">
      <x v="16"/>
    </i>
    <i>
      <x v="18"/>
      <x v="12"/>
    </i>
    <i t="default">
      <x v="1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dataOnly="0" outline="0" fieldPosition="0">
        <references count="1">
          <reference field="25" count="0" defaultSubtotal="1"/>
        </references>
      </pivotArea>
    </format>
    <format dxfId="16">
      <pivotArea dataOnly="0" outline="0" fieldPosition="0">
        <references count="1">
          <reference field="25" count="0" defaultSubtotal="1"/>
        </references>
      </pivotArea>
    </format>
    <format dxfId="1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4745-7FD2-49D7-8C1D-DF9084A35546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h="1" x="70"/>
        <item x="1"/>
        <item h="1" x="42"/>
        <item h="1" x="46"/>
        <item h="1" x="47"/>
        <item h="1" x="45"/>
        <item h="1" x="77"/>
        <item h="1" x="41"/>
        <item h="1" x="67"/>
        <item h="1" x="68"/>
        <item h="1" x="69"/>
        <item h="1" x="40"/>
        <item h="1" x="44"/>
        <item h="1" x="75"/>
        <item h="1" x="11"/>
        <item h="1" x="35"/>
        <item h="1" x="36"/>
        <item h="1" x="29"/>
        <item h="1" x="18"/>
        <item h="1" x="43"/>
        <item h="1" x="38"/>
        <item h="1" x="39"/>
        <item h="1" x="24"/>
        <item h="1" x="34"/>
        <item h="1" x="66"/>
        <item h="1" x="0"/>
        <item h="1" x="27"/>
        <item h="1" x="14"/>
        <item h="1" x="37"/>
        <item h="1" x="22"/>
        <item h="1" x="50"/>
        <item h="1" x="49"/>
        <item h="1" x="51"/>
        <item h="1" x="57"/>
        <item h="1" x="64"/>
        <item h="1" x="65"/>
        <item h="1" x="79"/>
        <item h="1" x="3"/>
        <item h="1" x="4"/>
        <item h="1" x="7"/>
        <item h="1" x="8"/>
        <item h="1" x="9"/>
        <item h="1" x="13"/>
        <item h="1" x="32"/>
        <item h="1" x="33"/>
        <item h="1" x="48"/>
        <item h="1" x="52"/>
        <item h="1" x="58"/>
        <item h="1" x="59"/>
        <item h="1" x="71"/>
        <item h="1" x="76"/>
        <item h="1" x="78"/>
        <item h="1" x="5"/>
        <item h="1" x="6"/>
        <item h="1" x="15"/>
        <item h="1" x="16"/>
        <item h="1" x="20"/>
        <item h="1" x="21"/>
        <item h="1" x="61"/>
        <item h="1" x="62"/>
        <item h="1" x="63"/>
        <item h="1" x="74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7"/>
        <item x="12"/>
        <item x="0"/>
        <item x="17"/>
        <item x="25"/>
        <item x="22"/>
        <item x="21"/>
        <item x="5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h="1"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">
    <i>
      <x v="14"/>
      <x v="13"/>
    </i>
    <i t="default">
      <x v="14"/>
    </i>
    <i>
      <x v="15"/>
      <x v="11"/>
    </i>
    <i t="default"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outline="0" fieldPosition="0">
        <references count="1">
          <reference field="25" count="0" defaultSubtotal="1"/>
        </references>
      </pivotArea>
    </format>
    <format dxfId="11">
      <pivotArea dataOnly="0" outline="0" fieldPosition="0">
        <references count="1">
          <reference field="25" count="0" defaultSubtotal="1"/>
        </references>
      </pivotArea>
    </format>
    <format dxfId="1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357" zoomScale="80" zoomScaleNormal="80" workbookViewId="0">
      <selection activeCell="A6" sqref="A6:XFD37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45909</v>
      </c>
      <c r="E3" s="80" t="s">
        <v>52</v>
      </c>
      <c r="F3" s="80"/>
      <c r="G3" s="81">
        <v>9.48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8" t="s">
        <v>46</v>
      </c>
      <c r="AA4" s="79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ยังไม่ได้พิมพ์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45896</v>
      </c>
      <c r="B8" s="14" t="str">
        <f>[2]หน้าผ้า!B17</f>
        <v>MK68-001041</v>
      </c>
      <c r="C8" s="9" t="str">
        <f>[2]หน้าผ้า!E17</f>
        <v>บจก.ซัน ซีเมนต์ โพรเซส</v>
      </c>
      <c r="D8" s="13" t="str">
        <f>[2]หน้าผ้า!F17</f>
        <v>พระอาทิตย์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50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บิด</v>
      </c>
      <c r="M8" s="10">
        <f>[2]หน้าผ้า!T17</f>
        <v>19</v>
      </c>
      <c r="N8" s="9">
        <f>[2]หน้าผ้า!U17</f>
        <v>28</v>
      </c>
      <c r="O8" s="9">
        <f>[2]หน้าผ้า!V17</f>
        <v>40</v>
      </c>
      <c r="P8" s="10">
        <f>[2]หน้าผ้า!AB17</f>
        <v>5.7749685790719987</v>
      </c>
      <c r="Q8" s="10">
        <f>[2]หน้าผ้า!AC17</f>
        <v>0</v>
      </c>
      <c r="R8" s="10">
        <f>[2]หน้าผ้า!AD17</f>
        <v>5.7749685790719987</v>
      </c>
      <c r="S8" s="9" t="str">
        <f>[2]หน้าผ้า!Z17</f>
        <v>500กระสอบ</v>
      </c>
      <c r="T8" s="12">
        <f>[2]หน้าผ้า!X17</f>
        <v>45909</v>
      </c>
      <c r="U8" s="11">
        <f>[2]หน้าผ้า!AA17</f>
        <v>5000</v>
      </c>
      <c r="V8" s="10">
        <f>[2]หน้าผ้า!AJ17</f>
        <v>4560</v>
      </c>
      <c r="W8" s="10">
        <f>[2]หน้าผ้า!AL17</f>
        <v>440</v>
      </c>
      <c r="X8" s="10">
        <f>[2]หน้าผ้า!AM17</f>
        <v>5800</v>
      </c>
      <c r="Y8" s="10">
        <f>[2]หน้าผ้า!AN17</f>
        <v>0</v>
      </c>
      <c r="Z8" s="9" t="str">
        <f>[2]หน้าผ้า!AO17</f>
        <v>WSWT1625800SM</v>
      </c>
      <c r="AA8" s="8">
        <f>[2]หน้าผ้า!AQ17</f>
        <v>0</v>
      </c>
      <c r="AB8" s="8">
        <f>[2]หน้าผ้า!AR17</f>
        <v>0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>
        <f>[2]หน้าผ้า!AI17</f>
        <v>0</v>
      </c>
      <c r="AG8" s="1" t="str">
        <f>[3]หน้าผ้า!DC20</f>
        <v>พร้อมส่ง</v>
      </c>
      <c r="AH8" s="1" t="str">
        <f>[2]หน้าผ้า!DL17</f>
        <v>P8</v>
      </c>
      <c r="AI8" s="1">
        <f>[2]หน้าผ้า!DM17</f>
        <v>4</v>
      </c>
      <c r="AJ8" s="3">
        <f>[2]หน้าผ้า!DN17</f>
        <v>45909</v>
      </c>
      <c r="AK8" s="3">
        <f>[2]หน้าผ้า!DQ17</f>
        <v>45905</v>
      </c>
      <c r="AL8" s="3">
        <f>[2]หน้าผ้า!DR17</f>
        <v>45899</v>
      </c>
      <c r="AM8" s="3">
        <f>[2]หน้าผ้า!DS17</f>
        <v>45906</v>
      </c>
      <c r="AN8" s="3">
        <f>[2]หน้าผ้า!DT17</f>
        <v>45907</v>
      </c>
      <c r="AO8" s="3">
        <f>[2]หน้าผ้า!DU17</f>
        <v>45907</v>
      </c>
      <c r="AP8" s="3">
        <f>[2]หน้าผ้า!DP17</f>
        <v>45904</v>
      </c>
      <c r="AQ8" s="3">
        <f>[2]หน้าผ้า!DW17</f>
        <v>45908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 xml:space="preserve"> /</v>
      </c>
      <c r="AY8" s="2" t="str">
        <f>[2]หน้าผ้า!AG17</f>
        <v>รอลูกค้า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 t="str">
        <f>[2]หน้าผ้า!F18</f>
        <v xml:space="preserve"> 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WSWT1625800SM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45897</v>
      </c>
      <c r="B10" s="14" t="str">
        <f>[2]หน้าผ้า!B19</f>
        <v>MK68-001045</v>
      </c>
      <c r="C10" s="9" t="str">
        <f>[2]หน้าผ้า!E19</f>
        <v>บจก.เคอรี่ฟลาวมิลล์</v>
      </c>
      <c r="D10" s="13" t="str">
        <f>[2]หน้าผ้า!F19</f>
        <v>น้องเอินโดนัท 10กก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 t="str">
        <f>[2]หน้าผ้า!T19</f>
        <v>ไม่สวมถุงใน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 t="str">
        <f>[2]หน้าผ้า!Z19</f>
        <v>ห่ออัดเบลแบน500</v>
      </c>
      <c r="T10" s="12">
        <f>[2]หน้าผ้า!X19</f>
        <v>45925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0</v>
      </c>
      <c r="Y10" s="10">
        <f>[2]หน้าผ้า!AN19</f>
        <v>5250</v>
      </c>
      <c r="Z10" s="9" t="str">
        <f>[2]หน้าผ้า!AO19</f>
        <v>WSWT1625800</v>
      </c>
      <c r="AA10" s="8">
        <f>[2]หน้าผ้า!AQ19</f>
        <v>3702.0499999999997</v>
      </c>
      <c r="AB10" s="8">
        <f>[2]หน้าผ้า!AR19</f>
        <v>3702.0499999999997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P7</v>
      </c>
      <c r="AI10" s="1">
        <f>[2]หน้าผ้า!DM19</f>
        <v>2</v>
      </c>
      <c r="AJ10" s="3">
        <f>[2]หน้าผ้า!DN19</f>
        <v>45925</v>
      </c>
      <c r="AK10" s="3">
        <f>[2]หน้าผ้า!DQ19</f>
        <v>0</v>
      </c>
      <c r="AL10" s="3">
        <f>[2]หน้าผ้า!DR19</f>
        <v>45916</v>
      </c>
      <c r="AM10" s="3">
        <f>[2]หน้าผ้า!DS19</f>
        <v>45923</v>
      </c>
      <c r="AN10" s="3">
        <f>[2]หน้าผ้า!DT19</f>
        <v>45924</v>
      </c>
      <c r="AO10" s="3">
        <f>[2]หน้าผ้า!DU19</f>
        <v>45924</v>
      </c>
      <c r="AP10" s="3">
        <f>[2]หน้าผ้า!DP19</f>
        <v>45920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งานพิมพ์</v>
      </c>
      <c r="AX10" s="2" t="str">
        <f>[2]หน้าผ้า!ED19</f>
        <v>รอART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</v>
      </c>
      <c r="AA11" s="8">
        <f>[2]หน้าผ้า!AQ20</f>
        <v>3702.0499999999997</v>
      </c>
      <c r="AB11" s="8">
        <f>[2]หน้าผ้า!AR20</f>
        <v>3702.0499999999997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ระบุในSD</v>
      </c>
      <c r="AG11" s="1" t="str">
        <f>[3]หน้าผ้า!DC23</f>
        <v>ยังไม่ได้พิมพ์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พร้อมส่ง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17</v>
      </c>
      <c r="F13" s="9">
        <f>[2]หน้าผ้า!H22</f>
        <v>26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WSWT1725800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WRWT170800/WRWT25800</v>
      </c>
      <c r="BD13" s="56">
        <f>[2]หน้าผ้า!CA22</f>
        <v>0</v>
      </c>
    </row>
    <row r="14" spans="1:56" ht="27.75" customHeight="1" x14ac:dyDescent="0.45">
      <c r="A14" s="3" t="str">
        <f>[2]หน้าผ้า!C23</f>
        <v>ประมาณการ</v>
      </c>
      <c r="B14" s="14" t="str">
        <f>[2]หน้าผ้า!B23</f>
        <v>ประมาณการ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รถไฟ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232.02998755199997</v>
      </c>
      <c r="Q14" s="10">
        <f>[2]หน้าผ้า!AC23</f>
        <v>0</v>
      </c>
      <c r="R14" s="10">
        <f>[2]หน้าผ้า!AD23</f>
        <v>232.02998755199997</v>
      </c>
      <c r="S14" s="9" t="str">
        <f>[2]หน้าผ้า!Z23</f>
        <v>500กระสอบ</v>
      </c>
      <c r="T14" s="12" t="str">
        <f>[2]หน้าผ้า!X23</f>
        <v>รอแจ้ง</v>
      </c>
      <c r="U14" s="11">
        <f>[2]หน้าผ้า!AA23</f>
        <v>15000</v>
      </c>
      <c r="V14" s="10">
        <f>[2]หน้าผ้า!AJ23</f>
        <v>0</v>
      </c>
      <c r="W14" s="10">
        <f>[2]หน้าผ้า!AL23</f>
        <v>15000</v>
      </c>
      <c r="X14" s="10">
        <f>[2]หน้าผ้า!AM23</f>
        <v>0</v>
      </c>
      <c r="Y14" s="10">
        <f>[2]หน้าผ้า!AN23</f>
        <v>15750</v>
      </c>
      <c r="Z14" s="9" t="str">
        <f>[2]หน้าผ้า!AO23</f>
        <v>WSWT1825800</v>
      </c>
      <c r="AA14" s="8">
        <f>[2]หน้าผ้า!AQ23</f>
        <v>13201.65</v>
      </c>
      <c r="AB14" s="8">
        <f>[2]หน้าผ้า!AR23</f>
        <v>2599</v>
      </c>
      <c r="AC14" s="8">
        <f>[2]หน้าผ้า!AS23</f>
        <v>10602.65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พร้อมส่ง</v>
      </c>
      <c r="AH14" s="1" t="str">
        <f>[2]หน้าผ้า!DL23</f>
        <v>P9</v>
      </c>
      <c r="AI14" s="1">
        <f>[2]หน้าผ้า!DM23</f>
        <v>3</v>
      </c>
      <c r="AJ14" s="3" t="str">
        <f>[2]หน้าผ้า!DN23</f>
        <v>รอแจ้ง</v>
      </c>
      <c r="AK14" s="3">
        <f>[2]หน้าผ้า!DQ23</f>
        <v>0</v>
      </c>
      <c r="AL14" s="3" t="e">
        <f>[2]หน้าผ้า!DR23</f>
        <v>#VALUE!</v>
      </c>
      <c r="AM14" s="3" t="e">
        <f>[2]หน้าผ้า!DS23</f>
        <v>#VALUE!</v>
      </c>
      <c r="AN14" s="3" t="e">
        <f>[2]หน้าผ้า!DT23</f>
        <v>#VALUE!</v>
      </c>
      <c r="AO14" s="3" t="e">
        <f>[2]หน้าผ้า!DU23</f>
        <v>#VALUE!</v>
      </c>
      <c r="AP14" s="3" t="e">
        <f>[2]หน้าผ้า!DP23</f>
        <v>#VALUE!</v>
      </c>
      <c r="AQ14" s="3" t="e">
        <f>[2]หน้าผ้า!DW23</f>
        <v>#VALUE!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>รอART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729.46232000000009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 t="str">
        <f>[2]หน้าผ้า!E24</f>
        <v xml:space="preserve">  </v>
      </c>
      <c r="D15" s="13" t="str">
        <f>[2]หน้าผ้า!F24</f>
        <v xml:space="preserve"> 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2599</v>
      </c>
      <c r="AC15" s="8">
        <f>[2]หน้าผ้า!AS24</f>
        <v>10602.65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รอตัด</v>
      </c>
      <c r="AH15" s="1">
        <f>[2]หน้าผ้า!DL24</f>
        <v>0</v>
      </c>
      <c r="AI15" s="1" t="str">
        <f>[2]หน้าผ้า!DM24</f>
        <v>Lead time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45901</v>
      </c>
      <c r="B16" s="14" t="str">
        <f>[2]หน้าผ้า!B25</f>
        <v>MK68-001068</v>
      </c>
      <c r="C16" s="9" t="str">
        <f>[2]หน้าผ้า!E25</f>
        <v>บจก.ยืนยงยิปซั่มปลาสเตอร์</v>
      </c>
      <c r="D16" s="13" t="str">
        <f>[2]หน้าผ้า!F25</f>
        <v>YUENYONG</v>
      </c>
      <c r="E16" s="9">
        <f>[2]หน้าผ้า!G25</f>
        <v>18</v>
      </c>
      <c r="F16" s="9">
        <f>[2]หน้าผ้า!H25</f>
        <v>26</v>
      </c>
      <c r="G16" s="9" t="str">
        <f>[2]หน้าผ้า!I25</f>
        <v>ขาว</v>
      </c>
      <c r="H16" s="9" t="str">
        <f>[2]หน้าผ้า!J25</f>
        <v>ใส</v>
      </c>
      <c r="I16" s="9">
        <f>[2]หน้าผ้า!L25</f>
        <v>65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บิด</v>
      </c>
      <c r="M16" s="10">
        <f>[2]หน้าผ้า!T25</f>
        <v>19</v>
      </c>
      <c r="N16" s="9">
        <f>[2]หน้าผ้า!U25</f>
        <v>29</v>
      </c>
      <c r="O16" s="9">
        <f>[2]หน้าผ้า!V25</f>
        <v>40</v>
      </c>
      <c r="P16" s="10">
        <f>[2]หน้าผ้า!AB25</f>
        <v>67.968380191999998</v>
      </c>
      <c r="Q16" s="10">
        <f>[2]หน้าผ้า!AC25</f>
        <v>0</v>
      </c>
      <c r="R16" s="10">
        <f>[2]หน้าผ้า!AD25</f>
        <v>67.968380191999998</v>
      </c>
      <c r="S16" s="9" t="str">
        <f>[2]หน้าผ้า!Z25</f>
        <v>500กระสอบแบน</v>
      </c>
      <c r="T16" s="12">
        <f>[2]หน้าผ้า!X25</f>
        <v>45912</v>
      </c>
      <c r="U16" s="11">
        <f>[2]หน้าผ้า!AA25</f>
        <v>5000</v>
      </c>
      <c r="V16" s="10">
        <f>[2]หน้าผ้า!AJ25</f>
        <v>0</v>
      </c>
      <c r="W16" s="10">
        <f>[2]หน้าผ้า!AL25</f>
        <v>5000</v>
      </c>
      <c r="X16" s="10">
        <f>[2]หน้าผ้า!AM25</f>
        <v>0</v>
      </c>
      <c r="Y16" s="10">
        <f>[2]หน้าผ้า!AN25</f>
        <v>5250</v>
      </c>
      <c r="Z16" s="9" t="str">
        <f>[2]หน้าผ้า!AO25</f>
        <v>WSWT1825800SM</v>
      </c>
      <c r="AA16" s="8">
        <f>[2]หน้าผ้า!AQ25</f>
        <v>3841.7500000000005</v>
      </c>
      <c r="AB16" s="8">
        <f>[2]หน้าผ้า!AR25</f>
        <v>3841.7500000000005</v>
      </c>
      <c r="AC16" s="8">
        <f>[2]หน้าผ้า!AS25</f>
        <v>0</v>
      </c>
      <c r="AD16" s="8">
        <f>[2]หน้าผ้า!AT25</f>
        <v>3841.7500000000005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พิมพ์ไม่ครบ</v>
      </c>
      <c r="AH16" s="1" t="str">
        <f>[2]หน้าผ้า!DL25</f>
        <v>P8</v>
      </c>
      <c r="AI16" s="1">
        <f>[2]หน้าผ้า!DM25</f>
        <v>4</v>
      </c>
      <c r="AJ16" s="3">
        <f>[2]หน้าผ้า!DN25</f>
        <v>45912</v>
      </c>
      <c r="AK16" s="3">
        <f>[2]หน้าผ้า!DQ25</f>
        <v>45908</v>
      </c>
      <c r="AL16" s="3">
        <f>[2]หน้าผ้า!DR25</f>
        <v>45902</v>
      </c>
      <c r="AM16" s="3">
        <f>[2]หน้าผ้า!DS25</f>
        <v>45909</v>
      </c>
      <c r="AN16" s="3">
        <f>[2]หน้าผ้า!DT25</f>
        <v>45910</v>
      </c>
      <c r="AO16" s="3">
        <f>[2]หน้าผ้า!DU25</f>
        <v>45910</v>
      </c>
      <c r="AP16" s="3">
        <f>[2]หน้าผ้า!DP25</f>
        <v>45907</v>
      </c>
      <c r="AQ16" s="3">
        <f>[2]หน้าผ้า!DW25</f>
        <v>45911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งานเคลือบ+พิมพ์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0</v>
      </c>
      <c r="B17" s="14">
        <f>[2]หน้าผ้า!B26</f>
        <v>0</v>
      </c>
      <c r="C17" s="9">
        <f>[2]หน้าผ้า!E26</f>
        <v>0</v>
      </c>
      <c r="D17" s="13" t="str">
        <f>[2]หน้าผ้า!F26</f>
        <v xml:space="preserve"> </v>
      </c>
      <c r="E17" s="9">
        <f>[2]หน้าผ้า!G26</f>
        <v>18</v>
      </c>
      <c r="F17" s="9">
        <f>[2]หน้าผ้า!H26</f>
        <v>25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>
        <f>[2]หน้าผ้า!R26</f>
        <v>0</v>
      </c>
      <c r="M17" s="10">
        <f>[2]หน้าผ้า!T26</f>
        <v>0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>
        <f>[2]หน้าผ้า!Z26</f>
        <v>0</v>
      </c>
      <c r="T17" s="12">
        <f>[2]หน้าผ้า!X26</f>
        <v>0</v>
      </c>
      <c r="U17" s="11">
        <f>[2]หน้าผ้า!AA26</f>
        <v>0</v>
      </c>
      <c r="V17" s="10">
        <f>[2]หน้าผ้า!AJ26</f>
        <v>0</v>
      </c>
      <c r="W17" s="10">
        <f>[2]หน้าผ้า!AL26</f>
        <v>0</v>
      </c>
      <c r="X17" s="10">
        <f>[2]หน้าผ้า!AM26</f>
        <v>0</v>
      </c>
      <c r="Y17" s="10">
        <f>[2]หน้าผ้า!AN26</f>
        <v>0</v>
      </c>
      <c r="Z17" s="9" t="str">
        <f>[2]หน้าผ้า!AO26</f>
        <v>WSWT1825800SM</v>
      </c>
      <c r="AA17" s="8">
        <f>[2]หน้าผ้า!AQ26</f>
        <v>3841.7500000000005</v>
      </c>
      <c r="AB17" s="8">
        <f>[2]หน้าผ้า!AR26</f>
        <v>3841.7500000000005</v>
      </c>
      <c r="AC17" s="8">
        <f>[2]หน้าผ้า!AS26</f>
        <v>0</v>
      </c>
      <c r="AD17" s="8">
        <f>[2]หน้าผ้า!AT26</f>
        <v>3841.7500000000005</v>
      </c>
      <c r="AE17" s="8">
        <f>[2]หน้าผ้า!AU26</f>
        <v>0</v>
      </c>
      <c r="AF17" s="8" t="str">
        <f>[2]หน้าผ้า!AI26</f>
        <v>ระบุในSD</v>
      </c>
      <c r="AG17" s="1" t="str">
        <f>[3]หน้าผ้า!DC29</f>
        <v>รอแบบ</v>
      </c>
      <c r="AH17" s="1">
        <f>[2]หน้าผ้า!DL26</f>
        <v>0</v>
      </c>
      <c r="AI17" s="1" t="str">
        <f>[2]หน้าผ้า!DM26</f>
        <v>Lead time</v>
      </c>
      <c r="AJ17" s="3">
        <f>[2]หน้าผ้า!DN26</f>
        <v>0</v>
      </c>
      <c r="AK17" s="3">
        <f>[2]หน้าผ้า!DQ26</f>
        <v>0</v>
      </c>
      <c r="AL17" s="3">
        <f>[2]หน้าผ้า!DR26</f>
        <v>0</v>
      </c>
      <c r="AM17" s="3">
        <f>[2]หน้าผ้า!DS26</f>
        <v>0</v>
      </c>
      <c r="AN17" s="3">
        <f>[2]หน้าผ้า!DT26</f>
        <v>0</v>
      </c>
      <c r="AO17" s="3">
        <f>[2]หน้าผ้า!DU26</f>
        <v>0</v>
      </c>
      <c r="AP17" s="3">
        <f>[2]หน้าผ้า!DP26</f>
        <v>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>
        <f>[2]หน้าผ้า!EC26</f>
        <v>0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WRWT180800/WRWT25800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45898</v>
      </c>
      <c r="B18" s="14" t="str">
        <f>[2]หน้าผ้า!B27</f>
        <v>MK68-001048</v>
      </c>
      <c r="C18" s="9" t="str">
        <f>[2]หน้าผ้า!E27</f>
        <v>บจก.เพรซิเดนท์ฟลาวมิลล์</v>
      </c>
      <c r="D18" s="13" t="str">
        <f>[2]หน้าผ้า!F27</f>
        <v>ผึ้งชมพู</v>
      </c>
      <c r="E18" s="9">
        <f>[2]หน้าผ้า!G27</f>
        <v>19</v>
      </c>
      <c r="F18" s="9">
        <f>[2]หน้าผ้า!H27</f>
        <v>30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60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บิด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</v>
      </c>
      <c r="T18" s="12">
        <f>[2]หน้าผ้า!X27</f>
        <v>45911</v>
      </c>
      <c r="U18" s="11">
        <f>[2]หน้าผ้า!AA27</f>
        <v>40000</v>
      </c>
      <c r="V18" s="10">
        <f>[2]หน้าผ้า!AJ27</f>
        <v>37000</v>
      </c>
      <c r="W18" s="10">
        <f>[2]หน้าผ้า!AL27</f>
        <v>3000</v>
      </c>
      <c r="X18" s="10">
        <f>[2]หน้าผ้า!AM27</f>
        <v>42806</v>
      </c>
      <c r="Y18" s="10">
        <f>[2]หน้าผ้า!AN27</f>
        <v>0</v>
      </c>
      <c r="Z18" s="9" t="str">
        <f>[2]หน้าผ้า!AO27</f>
        <v>WSWT1925800</v>
      </c>
      <c r="AA18" s="8">
        <f>[2]หน้าผ้า!AQ27</f>
        <v>0</v>
      </c>
      <c r="AB18" s="8">
        <f>[2]หน้าผ้า!AR27</f>
        <v>0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ยังไม่ได้พิมพ์</v>
      </c>
      <c r="AH18" s="1" t="str">
        <f>[2]หน้าผ้า!DL27</f>
        <v>P7</v>
      </c>
      <c r="AI18" s="1">
        <f>[2]หน้าผ้า!DM27</f>
        <v>2</v>
      </c>
      <c r="AJ18" s="3">
        <f>[2]หน้าผ้า!DN27</f>
        <v>45911</v>
      </c>
      <c r="AK18" s="3">
        <f>[2]หน้าผ้า!DQ27</f>
        <v>0</v>
      </c>
      <c r="AL18" s="3">
        <f>[2]หน้าผ้า!DR27</f>
        <v>45902</v>
      </c>
      <c r="AM18" s="3">
        <f>[2]หน้าผ้า!DS27</f>
        <v>45909</v>
      </c>
      <c r="AN18" s="3">
        <f>[2]หน้าผ้า!DT27</f>
        <v>45910</v>
      </c>
      <c r="AO18" s="3">
        <f>[2]หน้าผ้า!DU27</f>
        <v>45910</v>
      </c>
      <c r="AP18" s="3">
        <f>[2]หน้าผ้า!DP27</f>
        <v>45906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45898</v>
      </c>
      <c r="B19" s="14" t="str">
        <f>[2]หน้าผ้า!B28</f>
        <v>MK68-001049</v>
      </c>
      <c r="C19" s="9" t="str">
        <f>[2]หน้าผ้า!E28</f>
        <v>บจก.เพรซิเดนท์ฟลาวมิลล์</v>
      </c>
      <c r="D19" s="13" t="str">
        <f>[2]หน้าผ้า!F28</f>
        <v>ผึ้งเหลือง</v>
      </c>
      <c r="E19" s="9">
        <f>[2]หน้าผ้า!G28</f>
        <v>19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</v>
      </c>
      <c r="T19" s="12">
        <f>[2]หน้าผ้า!X28</f>
        <v>45917</v>
      </c>
      <c r="U19" s="11">
        <f>[2]หน้าผ้า!AA28</f>
        <v>50000</v>
      </c>
      <c r="V19" s="10">
        <f>[2]หน้าผ้า!AJ28</f>
        <v>2344</v>
      </c>
      <c r="W19" s="10">
        <f>[2]หน้าผ้า!AL28</f>
        <v>47656</v>
      </c>
      <c r="X19" s="10">
        <f>[2]หน้าผ้า!AM28</f>
        <v>28455</v>
      </c>
      <c r="Y19" s="10">
        <f>[2]หน้าผ้า!AN28</f>
        <v>22622.25</v>
      </c>
      <c r="Z19" s="9" t="str">
        <f>[2]หน้าผ้า!AO28</f>
        <v>WSWT1925800</v>
      </c>
      <c r="AA19" s="8">
        <f>[2]หน้าผ้า!AQ28</f>
        <v>19910.068447499998</v>
      </c>
      <c r="AB19" s="8">
        <f>[2]หน้าผ้า!AR28</f>
        <v>19910.068447499998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พร้อมส่ง</v>
      </c>
      <c r="AH19" s="1" t="str">
        <f>[2]หน้าผ้า!DL28</f>
        <v>P7</v>
      </c>
      <c r="AI19" s="1">
        <f>[2]หน้าผ้า!DM28</f>
        <v>2</v>
      </c>
      <c r="AJ19" s="3">
        <f>[2]หน้าผ้า!DN28</f>
        <v>45917</v>
      </c>
      <c r="AK19" s="3">
        <f>[2]หน้าผ้า!DQ28</f>
        <v>0</v>
      </c>
      <c r="AL19" s="3">
        <f>[2]หน้าผ้า!DR28</f>
        <v>45908</v>
      </c>
      <c r="AM19" s="3">
        <f>[2]หน้าผ้า!DS28</f>
        <v>45915</v>
      </c>
      <c r="AN19" s="3">
        <f>[2]หน้าผ้า!DT28</f>
        <v>45916</v>
      </c>
      <c r="AO19" s="3">
        <f>[2]หน้าผ้า!DU28</f>
        <v>45916</v>
      </c>
      <c r="AP19" s="3">
        <f>[2]หน้าผ้า!DP28</f>
        <v>45912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 t="str">
        <f>[2]หน้าผ้า!C29</f>
        <v>ประมาณการ</v>
      </c>
      <c r="B20" s="14" t="str">
        <f>[2]หน้าผ้า!B29</f>
        <v>ประมาณการ</v>
      </c>
      <c r="C20" s="9" t="str">
        <f>[2]หน้าผ้า!E29</f>
        <v>บจก.เอ็กเซลเล้นท์</v>
      </c>
      <c r="D20" s="13" t="str">
        <f>[2]หน้าผ้า!F29</f>
        <v>รอแบบ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>
        <f>[2]หน้าผ้า!X29</f>
        <v>45925</v>
      </c>
      <c r="U20" s="11">
        <f>[2]หน้าผ้า!AA29</f>
        <v>40000</v>
      </c>
      <c r="V20" s="10">
        <f>[2]หน้าผ้า!AJ29</f>
        <v>0</v>
      </c>
      <c r="W20" s="10">
        <f>[2]หน้าผ้า!AL29</f>
        <v>40000</v>
      </c>
      <c r="X20" s="10">
        <f>[2]หน้าผ้า!AM29</f>
        <v>0</v>
      </c>
      <c r="Y20" s="10">
        <f>[2]หน้าผ้า!AN29</f>
        <v>42000</v>
      </c>
      <c r="Z20" s="9" t="str">
        <f>[2]หน้าผ้า!AO29</f>
        <v>WSWT1925800</v>
      </c>
      <c r="AA20" s="8">
        <f>[2]หน้าผ้า!AQ29</f>
        <v>35204.400000000001</v>
      </c>
      <c r="AB20" s="8">
        <f>[2]หน้าผ้า!AR29</f>
        <v>4291</v>
      </c>
      <c r="AC20" s="8">
        <f>[2]หน้าผ้า!AS29</f>
        <v>30913.4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ผ้าขาว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45925</v>
      </c>
      <c r="AK20" s="3">
        <f>[2]หน้าผ้า!DQ29</f>
        <v>0</v>
      </c>
      <c r="AL20" s="3">
        <f>[2]หน้าผ้า!DR29</f>
        <v>45916</v>
      </c>
      <c r="AM20" s="3">
        <f>[2]หน้าผ้า!DS29</f>
        <v>45923</v>
      </c>
      <c r="AN20" s="3">
        <f>[2]หน้าผ้า!DT29</f>
        <v>45924</v>
      </c>
      <c r="AO20" s="3">
        <f>[2]หน้าผ้า!DU29</f>
        <v>45924</v>
      </c>
      <c r="AP20" s="3">
        <f>[2]หน้าผ้า!DP29</f>
        <v>45920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2244.9998044444446</v>
      </c>
    </row>
    <row r="21" spans="1:56" ht="27.7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บจก.ไลม์มาสเตอร์</v>
      </c>
      <c r="D21" s="13" t="str">
        <f>[2]หน้าผ้า!F30</f>
        <v>LMC 25 kg</v>
      </c>
      <c r="E21" s="9">
        <f>[2]หน้าผ้า!G30</f>
        <v>19</v>
      </c>
      <c r="F21" s="9">
        <f>[2]หน้าผ้า!H30</f>
        <v>32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64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>
        <f>[2]หน้าผ้า!T30</f>
        <v>20</v>
      </c>
      <c r="N21" s="9">
        <f>[2]หน้าผ้า!U30</f>
        <v>35</v>
      </c>
      <c r="O21" s="9">
        <f>[2]หน้าผ้า!V30</f>
        <v>40</v>
      </c>
      <c r="P21" s="10">
        <f>[2]หน้าผ้า!AB30</f>
        <v>341.36903080895991</v>
      </c>
      <c r="Q21" s="10">
        <f>[2]หน้าผ้า!AC30</f>
        <v>0</v>
      </c>
      <c r="R21" s="10">
        <f>[2]หน้าผ้า!AD30</f>
        <v>341.36903080895991</v>
      </c>
      <c r="S21" s="9" t="str">
        <f>[2]หน้าผ้า!Z30</f>
        <v>500กระสอบแบน</v>
      </c>
      <c r="T21" s="12">
        <f>[2]หน้าผ้า!X30</f>
        <v>45925</v>
      </c>
      <c r="U21" s="11">
        <f>[2]หน้าผ้า!AA30</f>
        <v>20000</v>
      </c>
      <c r="V21" s="10">
        <f>[2]หน้าผ้า!AJ30</f>
        <v>233</v>
      </c>
      <c r="W21" s="10">
        <f>[2]หน้าผ้า!AL30</f>
        <v>19767</v>
      </c>
      <c r="X21" s="10">
        <f>[2]หน้าผ้า!AM30</f>
        <v>0</v>
      </c>
      <c r="Y21" s="10">
        <f>[2]หน้าผ้า!AN30</f>
        <v>20755.350000000002</v>
      </c>
      <c r="Z21" s="9" t="str">
        <f>[2]หน้าผ้า!AO30</f>
        <v>WSWT1925800</v>
      </c>
      <c r="AA21" s="8">
        <f>[2]หน้าผ้า!AQ30</f>
        <v>18501.714330000003</v>
      </c>
      <c r="AB21" s="8">
        <f>[2]หน้าผ้า!AR30</f>
        <v>0</v>
      </c>
      <c r="AC21" s="8">
        <f>[2]หน้าผ้า!AS30</f>
        <v>18501.714330000003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ผ้าขาว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45925</v>
      </c>
      <c r="AK21" s="3">
        <f>[2]หน้าผ้า!DQ30</f>
        <v>0</v>
      </c>
      <c r="AL21" s="3">
        <f>[2]หน้าผ้า!DR30</f>
        <v>45915</v>
      </c>
      <c r="AM21" s="3">
        <f>[2]หน้าผ้า!DS30</f>
        <v>45922</v>
      </c>
      <c r="AN21" s="3">
        <f>[2]หน้าผ้า!DT30</f>
        <v>45923</v>
      </c>
      <c r="AO21" s="3">
        <f>[2]หน้าผ้า!DU30</f>
        <v>45923</v>
      </c>
      <c r="AP21" s="3">
        <f>[2]หน้าผ้า!DP30</f>
        <v>45920</v>
      </c>
      <c r="AQ21" s="3">
        <f>[2]หน้าผ้า!DW30</f>
        <v>45924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1343.6356095653334</v>
      </c>
    </row>
    <row r="22" spans="1:56" ht="27.75" customHeight="1" x14ac:dyDescent="0.45">
      <c r="A22" s="3">
        <f>[2]หน้าผ้า!C31</f>
        <v>0</v>
      </c>
      <c r="B22" s="14">
        <f>[2]หน้าผ้า!B31</f>
        <v>0</v>
      </c>
      <c r="C22" s="9">
        <f>[2]หน้าผ้า!E31</f>
        <v>0</v>
      </c>
      <c r="D22" s="13">
        <f>[2]หน้าผ้า!F31</f>
        <v>0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>
        <f>[2]หน้าผ้า!R31</f>
        <v>0</v>
      </c>
      <c r="M22" s="10">
        <f>[2]หน้าผ้า!T31</f>
        <v>0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>
        <f>[2]หน้าผ้า!Z31</f>
        <v>0</v>
      </c>
      <c r="T22" s="12">
        <f>[2]หน้าผ้า!X31</f>
        <v>0</v>
      </c>
      <c r="U22" s="11">
        <f>[2]หน้าผ้า!AA31</f>
        <v>0</v>
      </c>
      <c r="V22" s="10">
        <f>[2]หน้าผ้า!AJ31</f>
        <v>0</v>
      </c>
      <c r="W22" s="10">
        <f>[2]หน้าผ้า!AL31</f>
        <v>0</v>
      </c>
      <c r="X22" s="10">
        <f>[2]หน้าผ้า!AM31</f>
        <v>0</v>
      </c>
      <c r="Y22" s="10">
        <f>[2]หน้าผ้า!AN31</f>
        <v>0</v>
      </c>
      <c r="Z22" s="9" t="str">
        <f>[2]หน้าผ้า!AO31</f>
        <v>WSWT1925800</v>
      </c>
      <c r="AA22" s="8">
        <f>[2]หน้าผ้า!AQ31</f>
        <v>73616.182777499998</v>
      </c>
      <c r="AB22" s="8">
        <f>[2]หน้าผ้า!AR31</f>
        <v>24201.068447499998</v>
      </c>
      <c r="AC22" s="8">
        <f>[2]หน้าผ้า!AS31</f>
        <v>49415.114330000004</v>
      </c>
      <c r="AD22" s="8">
        <f>[2]หน้าผ้า!AT31</f>
        <v>0</v>
      </c>
      <c r="AE22" s="8">
        <f>[2]หน้าผ้า!AU31</f>
        <v>0</v>
      </c>
      <c r="AF22" s="8" t="str">
        <f>[2]หน้าผ้า!AI31</f>
        <v>ระบุในSD</v>
      </c>
      <c r="AG22" s="1" t="str">
        <f>[3]หน้าผ้า!DC34</f>
        <v>รอตัด</v>
      </c>
      <c r="AH22" s="1">
        <f>[2]หน้าผ้า!DL31</f>
        <v>0</v>
      </c>
      <c r="AI22" s="1" t="str">
        <f>[2]หน้าผ้า!DM31</f>
        <v>Lead time</v>
      </c>
      <c r="AJ22" s="3">
        <f>[2]หน้าผ้า!DN31</f>
        <v>0</v>
      </c>
      <c r="AK22" s="3">
        <f>[2]หน้าผ้า!DQ31</f>
        <v>0</v>
      </c>
      <c r="AL22" s="3">
        <f>[2]หน้าผ้า!DR31</f>
        <v>0</v>
      </c>
      <c r="AM22" s="3">
        <f>[2]หน้าผ้า!DS31</f>
        <v>0</v>
      </c>
      <c r="AN22" s="3">
        <f>[2]หน้าผ้า!DT31</f>
        <v>0</v>
      </c>
      <c r="AO22" s="3">
        <f>[2]หน้าผ้า!DU31</f>
        <v>0</v>
      </c>
      <c r="AP22" s="3">
        <f>[2]หน้าผ้า!DP31</f>
        <v>0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>
        <f>[2]หน้าผ้า!EC31</f>
        <v>0</v>
      </c>
      <c r="AX22" s="2">
        <f>[2]หน้าผ้า!ED31</f>
        <v>0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7.75" customHeight="1" x14ac:dyDescent="0.45">
      <c r="A23" s="3">
        <f>[2]หน้าผ้า!C32</f>
        <v>45904</v>
      </c>
      <c r="B23" s="14" t="str">
        <f>[2]หน้าผ้า!B32</f>
        <v>MK68-001075</v>
      </c>
      <c r="C23" s="9" t="str">
        <f>[2]หน้าผ้า!E32</f>
        <v>บจก.เคอรี่ฟลาวมิลล์</v>
      </c>
      <c r="D23" s="13" t="str">
        <f>[2]หน้าผ้า!F32</f>
        <v>ไม่พิมพ์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67</v>
      </c>
      <c r="J23" s="9" t="str">
        <f>[2]หน้าผ้า!M32</f>
        <v>+</v>
      </c>
      <c r="K23" s="9">
        <f>[2]หน้าผ้า!N32</f>
        <v>5</v>
      </c>
      <c r="L23" s="9" t="str">
        <f>[2]หน้าผ้า!R32</f>
        <v>ไม่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ห่ออัดเบลแบน501</v>
      </c>
      <c r="T23" s="12">
        <f>[2]หน้าผ้า!X32</f>
        <v>45915</v>
      </c>
      <c r="U23" s="11">
        <f>[2]หน้าผ้า!AA32</f>
        <v>20000</v>
      </c>
      <c r="V23" s="10">
        <f>[2]หน้าผ้า!AJ32</f>
        <v>5000</v>
      </c>
      <c r="W23" s="10">
        <f>[2]หน้าผ้า!AL32</f>
        <v>15000</v>
      </c>
      <c r="X23" s="10">
        <f>[2]หน้าผ้า!AM32</f>
        <v>0</v>
      </c>
      <c r="Y23" s="10">
        <f>[2]หน้าผ้า!AN32</f>
        <v>0</v>
      </c>
      <c r="Z23" s="9" t="str">
        <f>[2]หน้าผ้า!AO32</f>
        <v>WSWT1921720</v>
      </c>
      <c r="AA23" s="8">
        <f>[2]หน้าผ้า!AQ32</f>
        <v>14039.85</v>
      </c>
      <c r="AB23" s="8">
        <f>[2]หน้าผ้า!AR32</f>
        <v>14039.85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รอตัด</v>
      </c>
      <c r="AH23" s="1" t="str">
        <f>[2]หน้าผ้า!DL32</f>
        <v>P3</v>
      </c>
      <c r="AI23" s="1">
        <f>[2]หน้าผ้า!DM32</f>
        <v>1</v>
      </c>
      <c r="AJ23" s="3">
        <f>[2]หน้าผ้า!DN32</f>
        <v>45915</v>
      </c>
      <c r="AK23" s="3">
        <f>[2]หน้าผ้า!DQ32</f>
        <v>0</v>
      </c>
      <c r="AL23" s="3">
        <f>[2]หน้าผ้า!DR32</f>
        <v>0</v>
      </c>
      <c r="AM23" s="3">
        <f>[2]หน้าผ้า!DS32</f>
        <v>0</v>
      </c>
      <c r="AN23" s="3">
        <f>[2]หน้าผ้า!DT32</f>
        <v>0</v>
      </c>
      <c r="AO23" s="3">
        <f>[2]หน้าผ้า!DU32</f>
        <v>45914</v>
      </c>
      <c r="AP23" s="3">
        <f>[2]หน้าผ้า!DP32</f>
        <v>45910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ตัด</v>
      </c>
      <c r="AX23" s="2">
        <f>[2]หน้าผ้า!ED32</f>
        <v>0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WRWT21720/WRWT25800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45904</v>
      </c>
      <c r="B24" s="14" t="str">
        <f>[2]หน้าผ้า!B33</f>
        <v>MK68-001076</v>
      </c>
      <c r="C24" s="9" t="str">
        <f>[2]หน้าผ้า!E33</f>
        <v>บจก.เคอรี่ฟลาวมิลล์</v>
      </c>
      <c r="D24" s="13" t="str">
        <f>[2]หน้าผ้า!F33</f>
        <v>ไม่พิมพ์</v>
      </c>
      <c r="E24" s="9">
        <f>[2]หน้าผ้า!G33</f>
        <v>19</v>
      </c>
      <c r="F24" s="9">
        <f>[2]หน้าผ้า!H33</f>
        <v>32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67</v>
      </c>
      <c r="J24" s="9" t="str">
        <f>[2]หน้าผ้า!M33</f>
        <v>+</v>
      </c>
      <c r="K24" s="9">
        <f>[2]หน้าผ้า!N33</f>
        <v>5</v>
      </c>
      <c r="L24" s="9" t="str">
        <f>[2]หน้าผ้า!R33</f>
        <v>ไม่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ห่ออัดเบลแบน501</v>
      </c>
      <c r="T24" s="12">
        <f>[2]หน้าผ้า!X33</f>
        <v>45915</v>
      </c>
      <c r="U24" s="11">
        <f>[2]หน้าผ้า!AA33</f>
        <v>20000</v>
      </c>
      <c r="V24" s="10">
        <f>[2]หน้าผ้า!AJ33</f>
        <v>0</v>
      </c>
      <c r="W24" s="10">
        <f>[2]หน้าผ้า!AL33</f>
        <v>20000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WSWT1921720</v>
      </c>
      <c r="AA24" s="8">
        <f>[2]หน้าผ้า!AQ33</f>
        <v>18719.800000000003</v>
      </c>
      <c r="AB24" s="8">
        <f>[2]หน้าผ้า!AR33</f>
        <v>18719.800000000003</v>
      </c>
      <c r="AC24" s="8">
        <f>[2]หน้าผ้า!AS33</f>
        <v>0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รอตัด</v>
      </c>
      <c r="AH24" s="1" t="str">
        <f>[2]หน้าผ้า!DL33</f>
        <v>P3</v>
      </c>
      <c r="AI24" s="1">
        <f>[2]หน้าผ้า!DM33</f>
        <v>1</v>
      </c>
      <c r="AJ24" s="3">
        <f>[2]หน้าผ้า!DN33</f>
        <v>45915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45914</v>
      </c>
      <c r="AP24" s="3">
        <f>[2]หน้าผ้า!DP33</f>
        <v>45910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ตัด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WRWT21720/WRWT25800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45905</v>
      </c>
      <c r="B25" s="14" t="str">
        <f>[2]หน้าผ้า!B34</f>
        <v>MK68-001077</v>
      </c>
      <c r="C25" s="9" t="str">
        <f>[2]หน้าผ้า!E34</f>
        <v>บจก.เคอรี่ฟลาวมิลล์</v>
      </c>
      <c r="D25" s="13" t="str">
        <f>[2]หน้าผ้า!F34</f>
        <v>ปลาโลมาเทา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67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45916</v>
      </c>
      <c r="U25" s="11">
        <f>[2]หน้าผ้า!AA34</f>
        <v>5000</v>
      </c>
      <c r="V25" s="10">
        <f>[2]หน้าผ้า!AJ34</f>
        <v>0</v>
      </c>
      <c r="W25" s="10">
        <f>[2]หน้าผ้า!AL34</f>
        <v>5000</v>
      </c>
      <c r="X25" s="10">
        <f>[2]หน้าผ้า!AM34</f>
        <v>5400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PDR250295</v>
      </c>
      <c r="AG25" s="1" t="str">
        <f>[3]หน้าผ้า!DC37</f>
        <v>รอตัด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45916</v>
      </c>
      <c r="AK25" s="3">
        <f>[2]หน้าผ้า!DQ34</f>
        <v>0</v>
      </c>
      <c r="AL25" s="3">
        <f>[2]หน้าผ้า!DR34</f>
        <v>45907</v>
      </c>
      <c r="AM25" s="3">
        <f>[2]หน้าผ้า!DS34</f>
        <v>45914</v>
      </c>
      <c r="AN25" s="3">
        <f>[2]หน้าผ้า!DT34</f>
        <v>45915</v>
      </c>
      <c r="AO25" s="3">
        <f>[2]หน้าผ้า!DU34</f>
        <v>45915</v>
      </c>
      <c r="AP25" s="3">
        <f>[2]หน้าผ้า!DP34</f>
        <v>45911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45905</v>
      </c>
      <c r="B26" s="14" t="str">
        <f>[2]หน้าผ้า!B35</f>
        <v>MK68-001077</v>
      </c>
      <c r="C26" s="9" t="str">
        <f>[2]หน้าผ้า!E35</f>
        <v>บจก.เคอรี่ฟลาวมิลล์</v>
      </c>
      <c r="D26" s="13" t="str">
        <f>[2]หน้าผ้า!F35</f>
        <v>ถุงเงิน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45916</v>
      </c>
      <c r="U26" s="11">
        <f>[2]หน้าผ้า!AA35</f>
        <v>5000</v>
      </c>
      <c r="V26" s="10">
        <f>[2]หน้าผ้า!AJ35</f>
        <v>0</v>
      </c>
      <c r="W26" s="10">
        <f>[2]หน้าผ้า!AL35</f>
        <v>5000</v>
      </c>
      <c r="X26" s="10">
        <f>[2]หน้าผ้า!AM35</f>
        <v>5400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PDR250295</v>
      </c>
      <c r="AG26" s="1" t="str">
        <f>[3]หน้าผ้า!DC38</f>
        <v>รอตัด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45916</v>
      </c>
      <c r="AK26" s="3">
        <f>[2]หน้าผ้า!DQ35</f>
        <v>0</v>
      </c>
      <c r="AL26" s="3">
        <f>[2]หน้าผ้า!DR35</f>
        <v>45907</v>
      </c>
      <c r="AM26" s="3">
        <f>[2]หน้าผ้า!DS35</f>
        <v>45914</v>
      </c>
      <c r="AN26" s="3">
        <f>[2]หน้าผ้า!DT35</f>
        <v>45915</v>
      </c>
      <c r="AO26" s="3">
        <f>[2]หน้าผ้า!DU35</f>
        <v>45915</v>
      </c>
      <c r="AP26" s="3">
        <f>[2]หน้าผ้า!DP35</f>
        <v>45911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45905</v>
      </c>
      <c r="B27" s="14" t="str">
        <f>[2]หน้าผ้า!B36</f>
        <v>MK68-001077</v>
      </c>
      <c r="C27" s="9" t="str">
        <f>[2]หน้าผ้า!E36</f>
        <v>บจก.เคอรี่ฟลาวมิลล์</v>
      </c>
      <c r="D27" s="13" t="str">
        <f>[2]หน้าผ้า!F36</f>
        <v>กุ้งแดง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45916</v>
      </c>
      <c r="U27" s="11">
        <f>[2]หน้าผ้า!AA36</f>
        <v>10000</v>
      </c>
      <c r="V27" s="10">
        <f>[2]หน้าผ้า!AJ36</f>
        <v>0</v>
      </c>
      <c r="W27" s="10">
        <f>[2]หน้าผ้า!AL36</f>
        <v>10000</v>
      </c>
      <c r="X27" s="10">
        <f>[2]หน้าผ้า!AM36</f>
        <v>10500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PDR250295</v>
      </c>
      <c r="AG27" s="1" t="str">
        <f>[3]หน้าผ้า!DC39</f>
        <v>รอตัด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45916</v>
      </c>
      <c r="AK27" s="3">
        <f>[2]หน้าผ้า!DQ36</f>
        <v>0</v>
      </c>
      <c r="AL27" s="3">
        <f>[2]หน้าผ้า!DR36</f>
        <v>45907</v>
      </c>
      <c r="AM27" s="3">
        <f>[2]หน้าผ้า!DS36</f>
        <v>45914</v>
      </c>
      <c r="AN27" s="3">
        <f>[2]หน้าผ้า!DT36</f>
        <v>45915</v>
      </c>
      <c r="AO27" s="3">
        <f>[2]หน้าผ้า!DU36</f>
        <v>45915</v>
      </c>
      <c r="AP27" s="3">
        <f>[2]หน้าผ้า!DP36</f>
        <v>45911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45905</v>
      </c>
      <c r="B28" s="14" t="str">
        <f>[2]หน้าผ้า!B37</f>
        <v>MK68-001077</v>
      </c>
      <c r="C28" s="9" t="str">
        <f>[2]หน้าผ้า!E37</f>
        <v>บจก.เคอรี่ฟลาวมิลล์</v>
      </c>
      <c r="D28" s="13" t="str">
        <f>[2]หน้าผ้า!F37</f>
        <v>PBKF2-01-03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45916</v>
      </c>
      <c r="U28" s="11">
        <f>[2]หน้าผ้า!AA37</f>
        <v>5000</v>
      </c>
      <c r="V28" s="10">
        <f>[2]หน้าผ้า!AJ37</f>
        <v>0</v>
      </c>
      <c r="W28" s="10">
        <f>[2]หน้าผ้า!AL37</f>
        <v>5000</v>
      </c>
      <c r="X28" s="10">
        <f>[2]หน้าผ้า!AM37</f>
        <v>5400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PDR250295</v>
      </c>
      <c r="AG28" s="1" t="str">
        <f>[3]หน้าผ้า!DC40</f>
        <v>รอตัด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45916</v>
      </c>
      <c r="AK28" s="3">
        <f>[2]หน้าผ้า!DQ37</f>
        <v>0</v>
      </c>
      <c r="AL28" s="3">
        <f>[2]หน้าผ้า!DR37</f>
        <v>45907</v>
      </c>
      <c r="AM28" s="3">
        <f>[2]หน้าผ้า!DS37</f>
        <v>45914</v>
      </c>
      <c r="AN28" s="3">
        <f>[2]หน้าผ้า!DT37</f>
        <v>45915</v>
      </c>
      <c r="AO28" s="3">
        <f>[2]หน้าผ้า!DU37</f>
        <v>45915</v>
      </c>
      <c r="AP28" s="3">
        <f>[2]หน้าผ้า!DP37</f>
        <v>45911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45905</v>
      </c>
      <c r="B29" s="14" t="str">
        <f>[2]หน้าผ้า!B38</f>
        <v>MK68-001077</v>
      </c>
      <c r="C29" s="9" t="str">
        <f>[2]หน้าผ้า!E38</f>
        <v>บจก.เคอรี่ฟลาวมิลล์</v>
      </c>
      <c r="D29" s="13" t="str">
        <f>[2]หน้าผ้า!F38</f>
        <v>บะหมี่เตี๊ยว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45918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5250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PDR250296</v>
      </c>
      <c r="AG29" s="1" t="str">
        <f>[3]หน้าผ้า!DC41</f>
        <v>ยังไม่ได้พิมพ์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45918</v>
      </c>
      <c r="AK29" s="3">
        <f>[2]หน้าผ้า!DQ38</f>
        <v>0</v>
      </c>
      <c r="AL29" s="3">
        <f>[2]หน้าผ้า!DR38</f>
        <v>45909</v>
      </c>
      <c r="AM29" s="3">
        <f>[2]หน้าผ้า!DS38</f>
        <v>45916</v>
      </c>
      <c r="AN29" s="3">
        <f>[2]หน้าผ้า!DT38</f>
        <v>45917</v>
      </c>
      <c r="AO29" s="3">
        <f>[2]หน้าผ้า!DU38</f>
        <v>45917</v>
      </c>
      <c r="AP29" s="3">
        <f>[2]หน้าผ้า!DP38</f>
        <v>45913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45905</v>
      </c>
      <c r="B30" s="14" t="str">
        <f>[2]หน้าผ้า!B39</f>
        <v>MK68-001077</v>
      </c>
      <c r="C30" s="9" t="str">
        <f>[2]หน้าผ้า!E39</f>
        <v>บจก.เคอรี่ฟลาวมิลล์</v>
      </c>
      <c r="D30" s="13" t="str">
        <f>[2]หน้าผ้า!F39</f>
        <v>แต้มแดง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45918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5400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PDR250295</v>
      </c>
      <c r="AG30" s="1" t="str">
        <f>[3]หน้าผ้า!DC42</f>
        <v>ผ้าขาว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45918</v>
      </c>
      <c r="AK30" s="3">
        <f>[2]หน้าผ้า!DQ39</f>
        <v>0</v>
      </c>
      <c r="AL30" s="3">
        <f>[2]หน้าผ้า!DR39</f>
        <v>45909</v>
      </c>
      <c r="AM30" s="3">
        <f>[2]หน้าผ้า!DS39</f>
        <v>45916</v>
      </c>
      <c r="AN30" s="3">
        <f>[2]หน้าผ้า!DT39</f>
        <v>45917</v>
      </c>
      <c r="AO30" s="3">
        <f>[2]หน้าผ้า!DU39</f>
        <v>45917</v>
      </c>
      <c r="AP30" s="3">
        <f>[2]หน้าผ้า!DP39</f>
        <v>45913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45905</v>
      </c>
      <c r="B31" s="14" t="str">
        <f>[2]หน้าผ้า!B40</f>
        <v>MK68-001077</v>
      </c>
      <c r="C31" s="9" t="str">
        <f>[2]หน้าผ้า!E40</f>
        <v>บจก.เคอรี่ฟลาวมิลล์</v>
      </c>
      <c r="D31" s="13" t="str">
        <f>[2]หน้าผ้า!F40</f>
        <v>ถุงเขียว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45918</v>
      </c>
      <c r="U31" s="11">
        <f>[2]หน้าผ้า!AA40</f>
        <v>10000</v>
      </c>
      <c r="V31" s="10">
        <f>[2]หน้าผ้า!AJ40</f>
        <v>0</v>
      </c>
      <c r="W31" s="10">
        <f>[2]หน้าผ้า!AL40</f>
        <v>10000</v>
      </c>
      <c r="X31" s="10">
        <f>[2]หน้าผ้า!AM40</f>
        <v>10400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PDR250296</v>
      </c>
      <c r="AG31" s="1" t="str">
        <f>[3]หน้าผ้า!DC43</f>
        <v>ผ้าขาว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45918</v>
      </c>
      <c r="AK31" s="3">
        <f>[2]หน้าผ้า!DQ40</f>
        <v>0</v>
      </c>
      <c r="AL31" s="3">
        <f>[2]หน้าผ้า!DR40</f>
        <v>45909</v>
      </c>
      <c r="AM31" s="3">
        <f>[2]หน้าผ้า!DS40</f>
        <v>45916</v>
      </c>
      <c r="AN31" s="3">
        <f>[2]หน้าผ้า!DT40</f>
        <v>45917</v>
      </c>
      <c r="AO31" s="3">
        <f>[2]หน้าผ้า!DU40</f>
        <v>45917</v>
      </c>
      <c r="AP31" s="3">
        <f>[2]หน้าผ้า!DP40</f>
        <v>45913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45905</v>
      </c>
      <c r="B32" s="14" t="str">
        <f>[2]หน้าผ้า!B41</f>
        <v>MK68-001077</v>
      </c>
      <c r="C32" s="9" t="str">
        <f>[2]หน้าผ้า!E41</f>
        <v>บจก.เคอรี่ฟลาวมิลล์</v>
      </c>
      <c r="D32" s="13" t="str">
        <f>[2]หน้าผ้า!F41</f>
        <v>ดอกไม้เขียว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45918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0</v>
      </c>
      <c r="Y32" s="10">
        <f>[2]หน้าผ้า!AN41</f>
        <v>5250</v>
      </c>
      <c r="Z32" s="9" t="str">
        <f>[2]หน้าผ้า!AO41</f>
        <v>WSWT1921720</v>
      </c>
      <c r="AA32" s="8">
        <f>[2]หน้าผ้า!AQ41</f>
        <v>4679.9500000000007</v>
      </c>
      <c r="AB32" s="8">
        <f>[2]หน้าผ้า!AR41</f>
        <v>0</v>
      </c>
      <c r="AC32" s="8">
        <f>[2]หน้าผ้า!AS41</f>
        <v>4679.9500000000007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PDR250296</v>
      </c>
      <c r="AG32" s="1" t="str">
        <f>[3]หน้าผ้า!DC44</f>
        <v>รอแบบ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45918</v>
      </c>
      <c r="AK32" s="3">
        <f>[2]หน้าผ้า!DQ41</f>
        <v>0</v>
      </c>
      <c r="AL32" s="3">
        <f>[2]หน้าผ้า!DR41</f>
        <v>45909</v>
      </c>
      <c r="AM32" s="3">
        <f>[2]หน้าผ้า!DS41</f>
        <v>45916</v>
      </c>
      <c r="AN32" s="3">
        <f>[2]หน้าผ้า!DT41</f>
        <v>45917</v>
      </c>
      <c r="AO32" s="3">
        <f>[2]หน้าผ้า!DU41</f>
        <v>45917</v>
      </c>
      <c r="AP32" s="3">
        <f>[2]หน้าผ้า!DP41</f>
        <v>45913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352.51463377777782</v>
      </c>
    </row>
    <row r="33" spans="1:56" ht="27.75" customHeight="1" x14ac:dyDescent="0.45">
      <c r="A33" s="3">
        <f>[2]หน้าผ้า!C42</f>
        <v>45904</v>
      </c>
      <c r="B33" s="14" t="str">
        <f>[2]หน้าผ้า!B42</f>
        <v>MK68-001075</v>
      </c>
      <c r="C33" s="9" t="str">
        <f>[2]หน้าผ้า!E42</f>
        <v>บจก.เคอรี่ฟลาวมิลล์</v>
      </c>
      <c r="D33" s="13" t="str">
        <f>[2]หน้าผ้า!F42</f>
        <v>ไม่พิมพ์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ห่ออัดเบลแบน501</v>
      </c>
      <c r="T33" s="12">
        <f>[2]หน้าผ้า!X42</f>
        <v>45924</v>
      </c>
      <c r="U33" s="11">
        <f>[2]หน้าผ้า!AA42</f>
        <v>20000</v>
      </c>
      <c r="V33" s="10">
        <f>[2]หน้าผ้า!AJ42</f>
        <v>0</v>
      </c>
      <c r="W33" s="10">
        <f>[2]หน้าผ้า!AL42</f>
        <v>20000</v>
      </c>
      <c r="X33" s="10">
        <f>[2]หน้าผ้า!AM42</f>
        <v>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18719.800000000003</v>
      </c>
      <c r="AB33" s="8">
        <f>[2]หน้าผ้า!AR42</f>
        <v>0</v>
      </c>
      <c r="AC33" s="8">
        <f>[2]หน้าผ้า!AS42</f>
        <v>18719.800000000003</v>
      </c>
      <c r="AD33" s="8">
        <f>[2]หน้าผ้า!AT42</f>
        <v>0</v>
      </c>
      <c r="AE33" s="8">
        <f>[2]หน้าผ้า!AU42</f>
        <v>0</v>
      </c>
      <c r="AF33" s="8">
        <f>[2]หน้าผ้า!AI42</f>
        <v>0</v>
      </c>
      <c r="AG33" s="1" t="str">
        <f>[3]หน้าผ้า!DC45</f>
        <v>พร้อมส่ง</v>
      </c>
      <c r="AH33" s="1" t="str">
        <f>[2]หน้าผ้า!DL42</f>
        <v>P3</v>
      </c>
      <c r="AI33" s="1">
        <f>[2]หน้าผ้า!DM42</f>
        <v>1</v>
      </c>
      <c r="AJ33" s="3">
        <f>[2]หน้าผ้า!DN42</f>
        <v>45924</v>
      </c>
      <c r="AK33" s="3">
        <f>[2]หน้าผ้า!DQ42</f>
        <v>0</v>
      </c>
      <c r="AL33" s="3">
        <f>[2]หน้าผ้า!DR42</f>
        <v>0</v>
      </c>
      <c r="AM33" s="3">
        <f>[2]หน้าผ้า!DS42</f>
        <v>0</v>
      </c>
      <c r="AN33" s="3">
        <f>[2]หน้าผ้า!DT42</f>
        <v>0</v>
      </c>
      <c r="AO33" s="3">
        <f>[2]หน้าผ้า!DU42</f>
        <v>45923</v>
      </c>
      <c r="AP33" s="3">
        <f>[2]หน้าผ้า!DP42</f>
        <v>45919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ตัด</v>
      </c>
      <c r="AX33" s="2">
        <f>[2]หน้าผ้า!ED42</f>
        <v>0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1410.0585351111113</v>
      </c>
    </row>
    <row r="34" spans="1:56" ht="27.75" customHeight="1" x14ac:dyDescent="0.45">
      <c r="A34" s="3">
        <f>[2]หน้าผ้า!C43</f>
        <v>45904</v>
      </c>
      <c r="B34" s="14" t="str">
        <f>[2]หน้าผ้า!B43</f>
        <v>MK68-001076</v>
      </c>
      <c r="C34" s="9" t="str">
        <f>[2]หน้าผ้า!E43</f>
        <v>บจก.เคอรี่ฟลาวมิลล์</v>
      </c>
      <c r="D34" s="13" t="str">
        <f>[2]หน้าผ้า!F43</f>
        <v>ไม่พิมพ์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ไม่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ห่ออัดเบลแบน501</v>
      </c>
      <c r="T34" s="12">
        <f>[2]หน้าผ้า!X43</f>
        <v>45924</v>
      </c>
      <c r="U34" s="11">
        <f>[2]หน้าผ้า!AA43</f>
        <v>20000</v>
      </c>
      <c r="V34" s="10">
        <f>[2]หน้าผ้า!AJ43</f>
        <v>0</v>
      </c>
      <c r="W34" s="10">
        <f>[2]หน้าผ้า!AL43</f>
        <v>20000</v>
      </c>
      <c r="X34" s="10">
        <f>[2]หน้าผ้า!AM43</f>
        <v>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18719.800000000003</v>
      </c>
      <c r="AB34" s="8">
        <f>[2]หน้าผ้า!AR43</f>
        <v>0</v>
      </c>
      <c r="AC34" s="8">
        <f>[2]หน้าผ้า!AS43</f>
        <v>18719.800000000003</v>
      </c>
      <c r="AD34" s="8">
        <f>[2]หน้าผ้า!AT43</f>
        <v>0</v>
      </c>
      <c r="AE34" s="8">
        <f>[2]หน้าผ้า!AU43</f>
        <v>0</v>
      </c>
      <c r="AF34" s="8">
        <f>[2]หน้าผ้า!AI43</f>
        <v>0</v>
      </c>
      <c r="AG34" s="1" t="str">
        <f>[3]หน้าผ้า!DC46</f>
        <v>พร้อมส่ง</v>
      </c>
      <c r="AH34" s="1" t="str">
        <f>[2]หน้าผ้า!DL43</f>
        <v>P3</v>
      </c>
      <c r="AI34" s="1">
        <f>[2]หน้าผ้า!DM43</f>
        <v>1</v>
      </c>
      <c r="AJ34" s="3">
        <f>[2]หน้าผ้า!DN43</f>
        <v>45924</v>
      </c>
      <c r="AK34" s="3">
        <f>[2]หน้าผ้า!DQ43</f>
        <v>0</v>
      </c>
      <c r="AL34" s="3">
        <f>[2]หน้าผ้า!DR43</f>
        <v>0</v>
      </c>
      <c r="AM34" s="3">
        <f>[2]หน้าผ้า!DS43</f>
        <v>0</v>
      </c>
      <c r="AN34" s="3">
        <f>[2]หน้าผ้า!DT43</f>
        <v>0</v>
      </c>
      <c r="AO34" s="3">
        <f>[2]หน้าผ้า!DU43</f>
        <v>45923</v>
      </c>
      <c r="AP34" s="3">
        <f>[2]หน้าผ้า!DP43</f>
        <v>45919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ตัด</v>
      </c>
      <c r="AX34" s="2">
        <f>[2]หน้าผ้า!ED43</f>
        <v>0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1410.0585351111113</v>
      </c>
    </row>
    <row r="35" spans="1:56" ht="27.75" customHeight="1" x14ac:dyDescent="0.45">
      <c r="A35" s="3" t="str">
        <f>[2]หน้าผ้า!C44</f>
        <v>ประมาณการ</v>
      </c>
      <c r="B35" s="14" t="str">
        <f>[2]หน้าผ้า!B44</f>
        <v>ประมาณการ</v>
      </c>
      <c r="C35" s="9" t="str">
        <f>[2]หน้าผ้า!E44</f>
        <v>บจก.เคอรี่ฟลาวมิลล์</v>
      </c>
      <c r="D35" s="13" t="str">
        <f>[2]หน้าผ้า!F44</f>
        <v>รอแบบ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45930</v>
      </c>
      <c r="U35" s="11">
        <f>[2]หน้าผ้า!AA44</f>
        <v>140000</v>
      </c>
      <c r="V35" s="10">
        <f>[2]หน้าผ้า!AJ44</f>
        <v>0</v>
      </c>
      <c r="W35" s="10">
        <f>[2]หน้าผ้า!AL44</f>
        <v>140000</v>
      </c>
      <c r="X35" s="10">
        <f>[2]หน้าผ้า!AM44</f>
        <v>0</v>
      </c>
      <c r="Y35" s="10">
        <f>[2]หน้าผ้า!AN44</f>
        <v>147000</v>
      </c>
      <c r="Z35" s="9" t="str">
        <f>[2]หน้าผ้า!AO44</f>
        <v>WSWT1921720</v>
      </c>
      <c r="AA35" s="8">
        <f>[2]หน้าผ้า!AQ44</f>
        <v>131038.6</v>
      </c>
      <c r="AB35" s="8">
        <f>[2]หน้าผ้า!AR44</f>
        <v>0</v>
      </c>
      <c r="AC35" s="8">
        <f>[2]หน้าผ้า!AS44</f>
        <v>131038.6</v>
      </c>
      <c r="AD35" s="8">
        <f>[2]หน้าผ้า!AT44</f>
        <v>0</v>
      </c>
      <c r="AE35" s="8">
        <f>[2]หน้าผ้า!AU44</f>
        <v>0</v>
      </c>
      <c r="AF35" s="8">
        <f>[2]หน้าผ้า!AI44</f>
        <v>0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45930</v>
      </c>
      <c r="AK35" s="3">
        <f>[2]หน้าผ้า!DQ44</f>
        <v>0</v>
      </c>
      <c r="AL35" s="3">
        <f>[2]หน้าผ้า!DR44</f>
        <v>45921</v>
      </c>
      <c r="AM35" s="3">
        <f>[2]หน้าผ้า!DS44</f>
        <v>45928</v>
      </c>
      <c r="AN35" s="3">
        <f>[2]หน้าผ้า!DT44</f>
        <v>45929</v>
      </c>
      <c r="AO35" s="3">
        <f>[2]หน้าผ้า!DU44</f>
        <v>45929</v>
      </c>
      <c r="AP35" s="3">
        <f>[2]หน้าผ้า!DP44</f>
        <v>45925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>รอART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9870.4097457777771</v>
      </c>
    </row>
    <row r="36" spans="1:56" ht="27.75" customHeight="1" x14ac:dyDescent="0.45">
      <c r="A36" s="3">
        <f>[2]หน้าผ้า!C45</f>
        <v>0</v>
      </c>
      <c r="B36" s="14">
        <f>[2]หน้าผ้า!B45</f>
        <v>0</v>
      </c>
      <c r="C36" s="9">
        <f>[2]หน้าผ้า!E45</f>
        <v>0</v>
      </c>
      <c r="D36" s="13">
        <f>[2]หน้าผ้า!F45</f>
        <v>0</v>
      </c>
      <c r="E36" s="9">
        <f>[2]หน้าผ้า!G45</f>
        <v>19</v>
      </c>
      <c r="F36" s="9">
        <f>[2]หน้าผ้า!H45</f>
        <v>30</v>
      </c>
      <c r="G36" s="9">
        <f>[2]หน้าผ้า!I45</f>
        <v>0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>
        <f>[2]หน้าผ้า!R45</f>
        <v>0</v>
      </c>
      <c r="M36" s="10">
        <f>[2]หน้าผ้า!T45</f>
        <v>0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>
        <f>[2]หน้าผ้า!Z45</f>
        <v>0</v>
      </c>
      <c r="T36" s="12">
        <f>[2]หน้าผ้า!X45</f>
        <v>0</v>
      </c>
      <c r="U36" s="11">
        <f>[2]หน้าผ้า!AA45</f>
        <v>0</v>
      </c>
      <c r="V36" s="10">
        <f>[2]หน้าผ้า!AJ45</f>
        <v>0</v>
      </c>
      <c r="W36" s="10">
        <f>[2]หน้าผ้า!AL45</f>
        <v>0</v>
      </c>
      <c r="X36" s="10">
        <f>[2]หน้าผ้า!AM45</f>
        <v>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205917.80000000002</v>
      </c>
      <c r="AB36" s="8">
        <f>[2]หน้าผ้า!AR45</f>
        <v>32759.65</v>
      </c>
      <c r="AC36" s="8">
        <f>[2]หน้าผ้า!AS45</f>
        <v>173158.15000000002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ระบุในSD</v>
      </c>
      <c r="AG36" s="1" t="str">
        <f>[3]หน้าผ้า!DC48</f>
        <v>ยังไม่ได้พิมพ์</v>
      </c>
      <c r="AH36" s="1">
        <f>[2]หน้าผ้า!DL45</f>
        <v>0</v>
      </c>
      <c r="AI36" s="1" t="str">
        <f>[2]หน้าผ้า!DM45</f>
        <v>Lead time</v>
      </c>
      <c r="AJ36" s="3">
        <f>[2]หน้าผ้า!DN45</f>
        <v>0</v>
      </c>
      <c r="AK36" s="3">
        <f>[2]หน้าผ้า!DQ45</f>
        <v>0</v>
      </c>
      <c r="AL36" s="3">
        <f>[2]หน้าผ้า!DR45</f>
        <v>0</v>
      </c>
      <c r="AM36" s="3">
        <f>[2]หน้าผ้า!DS45</f>
        <v>0</v>
      </c>
      <c r="AN36" s="3">
        <f>[2]หน้าผ้า!DT45</f>
        <v>0</v>
      </c>
      <c r="AO36" s="3">
        <f>[2]หน้าผ้า!DU45</f>
        <v>0</v>
      </c>
      <c r="AP36" s="3">
        <f>[2]หน้าผ้า!DP45</f>
        <v>0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>
        <f>[2]หน้าผ้า!EC45</f>
        <v>0</v>
      </c>
      <c r="AX36" s="2">
        <f>[2]หน้าผ้า!ED45</f>
        <v>0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WRWT190720/WRWT25800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0</v>
      </c>
      <c r="B37" s="14">
        <f>[2]หน้าผ้า!B46</f>
        <v>0</v>
      </c>
      <c r="C37" s="9">
        <f>[2]หน้าผ้า!E46</f>
        <v>0</v>
      </c>
      <c r="D37" s="13">
        <f>[2]หน้าผ้า!F46</f>
        <v>0</v>
      </c>
      <c r="E37" s="9">
        <f>[2]หน้าผ้า!G46</f>
        <v>19</v>
      </c>
      <c r="F37" s="9">
        <f>[2]หน้าผ้า!H46</f>
        <v>30</v>
      </c>
      <c r="G37" s="9">
        <f>[2]หน้าผ้า!I46</f>
        <v>0</v>
      </c>
      <c r="H37" s="9">
        <f>[2]หน้าผ้า!J46</f>
        <v>0</v>
      </c>
      <c r="I37" s="9">
        <f>[2]หน้าผ้า!L46</f>
        <v>56</v>
      </c>
      <c r="J37" s="9" t="str">
        <f>[2]หน้าผ้า!M46</f>
        <v>±</v>
      </c>
      <c r="K37" s="9">
        <f>[2]หน้าผ้า!N46</f>
        <v>5</v>
      </c>
      <c r="L37" s="9">
        <f>[2]หน้าผ้า!R46</f>
        <v>0</v>
      </c>
      <c r="M37" s="10">
        <f>[2]หน้าผ้า!T46</f>
        <v>0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>
        <f>[2]หน้าผ้า!Z46</f>
        <v>0</v>
      </c>
      <c r="T37" s="12">
        <f>[2]หน้าผ้า!X46</f>
        <v>0</v>
      </c>
      <c r="U37" s="11">
        <f>[2]หน้าผ้า!AA46</f>
        <v>0</v>
      </c>
      <c r="V37" s="10" t="str">
        <f>[2]หน้าผ้า!AJ46</f>
        <v xml:space="preserve"> </v>
      </c>
      <c r="W37" s="10">
        <f>[2]หน้าผ้า!AL46</f>
        <v>0</v>
      </c>
      <c r="X37" s="10">
        <f>[2]หน้าผ้า!AM46</f>
        <v>0</v>
      </c>
      <c r="Y37" s="10">
        <f>[2]หน้าผ้า!AN46</f>
        <v>0</v>
      </c>
      <c r="Z37" s="9" t="str">
        <f>[2]หน้าผ้า!AO46</f>
        <v>WSWT1925800SM</v>
      </c>
      <c r="AA37" s="8" t="e">
        <f>[2]หน้าผ้า!AQ46</f>
        <v>#REF!</v>
      </c>
      <c r="AB37" s="8" t="e">
        <f>[2]หน้าผ้า!AR46</f>
        <v>#REF!</v>
      </c>
      <c r="AC37" s="8" t="e">
        <f>[2]หน้าผ้า!AS46</f>
        <v>#REF!</v>
      </c>
      <c r="AD37" s="8" t="e">
        <f>[2]หน้าผ้า!AT46</f>
        <v>#REF!</v>
      </c>
      <c r="AE37" s="8" t="e">
        <f>[2]หน้าผ้า!AU46</f>
        <v>#REF!</v>
      </c>
      <c r="AF37" s="8" t="str">
        <f>[2]หน้าผ้า!AI46</f>
        <v>ระบุในSD</v>
      </c>
      <c r="AG37" s="1" t="str">
        <f>[3]หน้าผ้า!DC49</f>
        <v>พร้อมส่ง</v>
      </c>
      <c r="AH37" s="1">
        <f>[2]หน้าผ้า!DL46</f>
        <v>0</v>
      </c>
      <c r="AI37" s="1" t="str">
        <f>[2]หน้าผ้า!DM46</f>
        <v>Lead time</v>
      </c>
      <c r="AJ37" s="3">
        <f>[2]หน้าผ้า!DN46</f>
        <v>0</v>
      </c>
      <c r="AK37" s="3">
        <f>[2]หน้าผ้า!DQ46</f>
        <v>0</v>
      </c>
      <c r="AL37" s="3">
        <f>[2]หน้าผ้า!DR46</f>
        <v>0</v>
      </c>
      <c r="AM37" s="3">
        <f>[2]หน้าผ้า!DS46</f>
        <v>0</v>
      </c>
      <c r="AN37" s="3">
        <f>[2]หน้าผ้า!DT46</f>
        <v>0</v>
      </c>
      <c r="AO37" s="3">
        <f>[2]หน้าผ้า!DU46</f>
        <v>0</v>
      </c>
      <c r="AP37" s="3">
        <f>[2]หน้าผ้า!DP46</f>
        <v>0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>
        <f>[2]หน้าผ้า!EC46</f>
        <v>0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WRWT190800/WRWT25800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45905</v>
      </c>
      <c r="B38" s="14" t="str">
        <f>[2]หน้าผ้า!B47</f>
        <v>MK68-001080</v>
      </c>
      <c r="C38" s="9" t="str">
        <f>[2]หน้าผ้า!E47</f>
        <v>บจก.อินเทคค์ โกลบอล</v>
      </c>
      <c r="D38" s="13" t="str">
        <f>[2]หน้าผ้า!F47</f>
        <v>เพอเฟคค์103P โกลด์</v>
      </c>
      <c r="E38" s="9">
        <f>[2]หน้าผ้า!G47</f>
        <v>19</v>
      </c>
      <c r="F38" s="9">
        <f>[2]หน้าผ้า!H47</f>
        <v>34</v>
      </c>
      <c r="G38" s="9" t="str">
        <f>[2]หน้าผ้า!I47</f>
        <v>ขาว</v>
      </c>
      <c r="H38" s="9" t="str">
        <f>[2]หน้าผ้า!J47</f>
        <v>ด้าน</v>
      </c>
      <c r="I38" s="9">
        <f>[2]หน้าผ้า!L47</f>
        <v>100</v>
      </c>
      <c r="J38" s="9" t="str">
        <f>[2]หน้าผ้า!M47</f>
        <v>±</v>
      </c>
      <c r="K38" s="9">
        <f>[2]หน้าผ้า!N47</f>
        <v>5</v>
      </c>
      <c r="L38" s="9" t="str">
        <f>[2]หน้าผ้า!R47</f>
        <v>จับจีบ4"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มัด80 ใช้สายรัด</v>
      </c>
      <c r="T38" s="12">
        <f>[2]หน้าผ้า!X47</f>
        <v>45920</v>
      </c>
      <c r="U38" s="11">
        <f>[2]หน้าผ้า!AA47</f>
        <v>5040</v>
      </c>
      <c r="V38" s="10">
        <f>[2]หน้าผ้า!AJ47</f>
        <v>0</v>
      </c>
      <c r="W38" s="10">
        <f>[2]หน้าผ้า!AL47</f>
        <v>5040</v>
      </c>
      <c r="X38" s="10">
        <f>[2]หน้าผ้า!AM47</f>
        <v>0</v>
      </c>
      <c r="Y38" s="10">
        <f>[2]หน้าผ้า!AN47</f>
        <v>5292</v>
      </c>
      <c r="Z38" s="9" t="str">
        <f>[2]หน้าผ้า!AO47</f>
        <v>WSWT19251000SM</v>
      </c>
      <c r="AA38" s="8">
        <f>[2]หน้าผ้า!AQ47</f>
        <v>4999.0247999999992</v>
      </c>
      <c r="AB38" s="8">
        <f>[2]หน้าผ้า!AR47</f>
        <v>4999.0247999999992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4999.0247999999992</v>
      </c>
      <c r="AF38" s="8">
        <f>[2]หน้าผ้า!AI47</f>
        <v>0</v>
      </c>
      <c r="AG38" s="1" t="str">
        <f>[3]หน้าผ้า!DC50</f>
        <v>พร้อมส่ง</v>
      </c>
      <c r="AH38" s="1" t="str">
        <f>[2]หน้าผ้า!DL47</f>
        <v>P6</v>
      </c>
      <c r="AI38" s="1">
        <f>[2]หน้าผ้า!DM47</f>
        <v>4</v>
      </c>
      <c r="AJ38" s="3">
        <f>[2]หน้าผ้า!DN47</f>
        <v>45920</v>
      </c>
      <c r="AK38" s="3">
        <f>[2]หน้าผ้า!DQ47</f>
        <v>45916</v>
      </c>
      <c r="AL38" s="3">
        <f>[2]หน้าผ้า!DR47</f>
        <v>45909</v>
      </c>
      <c r="AM38" s="3">
        <f>[2]หน้าผ้า!DS47</f>
        <v>45917</v>
      </c>
      <c r="AN38" s="3">
        <f>[2]หน้าผ้า!DT47</f>
        <v>45918</v>
      </c>
      <c r="AO38" s="3">
        <f>[2]หน้าผ้า!DU47</f>
        <v>45919</v>
      </c>
      <c r="AP38" s="3">
        <f>[2]หน้าผ้า!DP47</f>
        <v>45915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งานเคลือบ+พิมพ์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WRWT251000/WRWT251000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45905</v>
      </c>
      <c r="B39" s="14" t="str">
        <f>[2]หน้าผ้า!B48</f>
        <v>MK68-001080</v>
      </c>
      <c r="C39" s="9" t="str">
        <f>[2]หน้าผ้า!E48</f>
        <v>บจก.อินเทคค์ โกลบอล</v>
      </c>
      <c r="D39" s="13" t="str">
        <f>[2]หน้าผ้า!F48</f>
        <v>เพอเฟคค์104 โกลด์</v>
      </c>
      <c r="E39" s="9">
        <f>[2]หน้าผ้า!G48</f>
        <v>19</v>
      </c>
      <c r="F39" s="9">
        <f>[2]หน้าผ้า!H48</f>
        <v>34</v>
      </c>
      <c r="G39" s="9" t="str">
        <f>[2]หน้าผ้า!I48</f>
        <v>ขาว</v>
      </c>
      <c r="H39" s="9" t="str">
        <f>[2]หน้าผ้า!J48</f>
        <v>ด้าน</v>
      </c>
      <c r="I39" s="9">
        <f>[2]หน้าผ้า!L48</f>
        <v>100</v>
      </c>
      <c r="J39" s="9" t="str">
        <f>[2]หน้าผ้า!M48</f>
        <v>±</v>
      </c>
      <c r="K39" s="9">
        <f>[2]หน้าผ้า!N48</f>
        <v>5</v>
      </c>
      <c r="L39" s="9" t="str">
        <f>[2]หน้าผ้า!R48</f>
        <v>จับจีบ4"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มัด80 ใช้สายรัด</v>
      </c>
      <c r="T39" s="12">
        <f>[2]หน้าผ้า!X48</f>
        <v>45920</v>
      </c>
      <c r="U39" s="11">
        <f>[2]หน้าผ้า!AA48</f>
        <v>5040</v>
      </c>
      <c r="V39" s="10">
        <f>[2]หน้าผ้า!AJ48</f>
        <v>1174</v>
      </c>
      <c r="W39" s="10">
        <f>[2]หน้าผ้า!AL48</f>
        <v>3866</v>
      </c>
      <c r="X39" s="10">
        <f>[2]หน้าผ้า!AM48</f>
        <v>0</v>
      </c>
      <c r="Y39" s="10">
        <f>[2]หน้าผ้า!AN48</f>
        <v>4059.3</v>
      </c>
      <c r="Z39" s="9" t="str">
        <f>[2]หน้าผ้า!AO48</f>
        <v>WSWT19251000SM</v>
      </c>
      <c r="AA39" s="8">
        <f>[2]หน้าผ้า!AQ48</f>
        <v>3834.5694199999998</v>
      </c>
      <c r="AB39" s="8">
        <f>[2]หน้าผ้า!AR48</f>
        <v>1956</v>
      </c>
      <c r="AC39" s="8">
        <f>[2]หน้าผ้า!AS48</f>
        <v>1878.5694199999998</v>
      </c>
      <c r="AD39" s="8">
        <f>[2]หน้าผ้า!AT48</f>
        <v>0</v>
      </c>
      <c r="AE39" s="8">
        <f>[2]หน้าผ้า!AU48</f>
        <v>3834.5694199999998</v>
      </c>
      <c r="AF39" s="8">
        <f>[2]หน้าผ้า!AI48</f>
        <v>0</v>
      </c>
      <c r="AG39" s="1" t="str">
        <f>[3]หน้าผ้า!DC51</f>
        <v>พร้อมส่ง</v>
      </c>
      <c r="AH39" s="1" t="str">
        <f>[2]หน้าผ้า!DL48</f>
        <v>P6</v>
      </c>
      <c r="AI39" s="1">
        <f>[2]หน้าผ้า!DM48</f>
        <v>4</v>
      </c>
      <c r="AJ39" s="3">
        <f>[2]หน้าผ้า!DN48</f>
        <v>45920</v>
      </c>
      <c r="AK39" s="3">
        <f>[2]หน้าผ้า!DQ48</f>
        <v>45916</v>
      </c>
      <c r="AL39" s="3">
        <f>[2]หน้าผ้า!DR48</f>
        <v>45909</v>
      </c>
      <c r="AM39" s="3">
        <f>[2]หน้าผ้า!DS48</f>
        <v>45917</v>
      </c>
      <c r="AN39" s="3">
        <f>[2]หน้าผ้า!DT48</f>
        <v>45918</v>
      </c>
      <c r="AO39" s="3">
        <f>[2]หน้าผ้า!DU48</f>
        <v>45919</v>
      </c>
      <c r="AP39" s="3">
        <f>[2]หน้าผ้า!DP48</f>
        <v>45915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งานเคลือบ+พิมพ์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WRWT251000/WRWT251000</v>
      </c>
      <c r="BD39" s="56">
        <f>[2]หน้าผ้า!CA48</f>
        <v>158.63475102222222</v>
      </c>
    </row>
    <row r="40" spans="1:56" ht="27.75" customHeight="1" x14ac:dyDescent="0.45">
      <c r="A40" s="3">
        <f>[2]หน้าผ้า!C49</f>
        <v>45796</v>
      </c>
      <c r="B40" s="14" t="str">
        <f>[2]หน้าผ้า!B49</f>
        <v>MK68-000680</v>
      </c>
      <c r="C40" s="9" t="str">
        <f>[2]หน้าผ้า!E49</f>
        <v>บจก.อินเทคค์ โกลบอล</v>
      </c>
      <c r="D40" s="13" t="str">
        <f>[2]หน้าผ้า!F49</f>
        <v>เพอเฟคค์103P โกลด์</v>
      </c>
      <c r="E40" s="9">
        <f>[2]หน้าผ้า!G49</f>
        <v>19</v>
      </c>
      <c r="F40" s="9">
        <f>[2]หน้าผ้า!H49</f>
        <v>34</v>
      </c>
      <c r="G40" s="9" t="str">
        <f>[2]หน้าผ้า!I49</f>
        <v>ขาว</v>
      </c>
      <c r="H40" s="9" t="str">
        <f>[2]หน้าผ้า!J49</f>
        <v>ด้าน</v>
      </c>
      <c r="I40" s="9">
        <f>[2]หน้าผ้า!L49</f>
        <v>100</v>
      </c>
      <c r="J40" s="9" t="str">
        <f>[2]หน้าผ้า!M49</f>
        <v>±</v>
      </c>
      <c r="K40" s="9">
        <f>[2]หน้าผ้า!N49</f>
        <v>5</v>
      </c>
      <c r="L40" s="9" t="str">
        <f>[2]หน้าผ้า!R49</f>
        <v>จับจีบ4"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มัด80 ใช้สายรัด</v>
      </c>
      <c r="T40" s="12" t="str">
        <f>[2]หน้าผ้า!X49</f>
        <v>รอแจ้ง</v>
      </c>
      <c r="U40" s="11">
        <f>[2]หน้าผ้า!AA49</f>
        <v>503</v>
      </c>
      <c r="V40" s="10">
        <f>[2]หน้าผ้า!AJ49</f>
        <v>0</v>
      </c>
      <c r="W40" s="10">
        <f>[2]หน้าผ้า!AL49</f>
        <v>503</v>
      </c>
      <c r="X40" s="10">
        <f>[2]หน้าผ้า!AM49</f>
        <v>5250</v>
      </c>
      <c r="Y40" s="10">
        <f>[2]หน้าผ้า!AN49</f>
        <v>0</v>
      </c>
      <c r="Z40" s="9" t="str">
        <f>[2]หน้าผ้า!AO49</f>
        <v>WSWT19251000SM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>
        <f>[2]หน้าผ้า!AI49</f>
        <v>0</v>
      </c>
      <c r="AG40" s="1" t="str">
        <f>[3]หน้าผ้า!DC52</f>
        <v>พร้อมส่ง</v>
      </c>
      <c r="AH40" s="1" t="str">
        <f>[2]หน้าผ้า!DL49</f>
        <v>P6</v>
      </c>
      <c r="AI40" s="1">
        <f>[2]หน้าผ้า!DM49</f>
        <v>4</v>
      </c>
      <c r="AJ40" s="3" t="str">
        <f>[2]หน้าผ้า!DN49</f>
        <v>รอแจ้ง</v>
      </c>
      <c r="AK40" s="3" t="e">
        <f>[2]หน้าผ้า!DQ49</f>
        <v>#VALUE!</v>
      </c>
      <c r="AL40" s="3" t="e">
        <f>[2]หน้าผ้า!DR49</f>
        <v>#VALUE!</v>
      </c>
      <c r="AM40" s="3" t="e">
        <f>[2]หน้าผ้า!DS49</f>
        <v>#VALUE!</v>
      </c>
      <c r="AN40" s="3" t="e">
        <f>[2]หน้าผ้า!DT49</f>
        <v>#VALUE!</v>
      </c>
      <c r="AO40" s="3" t="e">
        <f>[2]หน้าผ้า!DU49</f>
        <v>#VALUE!</v>
      </c>
      <c r="AP40" s="3" t="e">
        <f>[2]หน้าผ้า!DP49</f>
        <v>#VALUE!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งานเคลือบ+พิมพ์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WRWT251000/WRWT251000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0</v>
      </c>
      <c r="B41" s="14">
        <f>[2]หน้าผ้า!B50</f>
        <v>0</v>
      </c>
      <c r="C41" s="9">
        <f>[2]หน้าผ้า!E50</f>
        <v>0</v>
      </c>
      <c r="D41" s="13">
        <f>[2]หน้าผ้า!F50</f>
        <v>0</v>
      </c>
      <c r="E41" s="9">
        <f>[2]หน้าผ้า!G50</f>
        <v>19</v>
      </c>
      <c r="F41" s="9">
        <f>[2]หน้าผ้า!H50</f>
        <v>34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80</v>
      </c>
      <c r="J41" s="9" t="str">
        <f>[2]หน้าผ้า!M50</f>
        <v>±</v>
      </c>
      <c r="K41" s="9">
        <f>[2]หน้าผ้า!N50</f>
        <v>5</v>
      </c>
      <c r="L41" s="9">
        <f>[2]หน้าผ้า!R50</f>
        <v>0</v>
      </c>
      <c r="M41" s="10">
        <f>[2]หน้าผ้า!T50</f>
        <v>0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>
        <f>[2]หน้าผ้า!Z50</f>
        <v>0</v>
      </c>
      <c r="T41" s="12">
        <f>[2]หน้าผ้า!X50</f>
        <v>0</v>
      </c>
      <c r="U41" s="11">
        <f>[2]หน้าผ้า!AA50</f>
        <v>0</v>
      </c>
      <c r="V41" s="10">
        <f>[2]หน้าผ้า!AJ50</f>
        <v>0</v>
      </c>
      <c r="W41" s="10">
        <f>[2]หน้าผ้า!AL50</f>
        <v>0</v>
      </c>
      <c r="X41" s="10">
        <f>[2]หน้าผ้า!AM50</f>
        <v>0</v>
      </c>
      <c r="Y41" s="10">
        <f>[2]หน้าผ้า!AN50</f>
        <v>0</v>
      </c>
      <c r="Z41" s="9" t="str">
        <f>[2]หน้าผ้า!AO50</f>
        <v>WSWT19251000SM</v>
      </c>
      <c r="AA41" s="8">
        <f>[2]หน้าผ้า!AQ50</f>
        <v>8833.594219999999</v>
      </c>
      <c r="AB41" s="8">
        <f>[2]หน้าผ้า!AR50</f>
        <v>6955.0247999999992</v>
      </c>
      <c r="AC41" s="8">
        <f>[2]หน้าผ้า!AS50</f>
        <v>1878.5694199999998</v>
      </c>
      <c r="AD41" s="8">
        <f>[2]หน้าผ้า!AT50</f>
        <v>0</v>
      </c>
      <c r="AE41" s="8">
        <f>[2]หน้าผ้า!AU50</f>
        <v>8833.594219999999</v>
      </c>
      <c r="AF41" s="8" t="str">
        <f>[2]หน้าผ้า!AI50</f>
        <v>ระบุในSD</v>
      </c>
      <c r="AG41" s="1" t="str">
        <f>[3]หน้าผ้า!DC53</f>
        <v>พร้อมส่ง</v>
      </c>
      <c r="AH41" s="1">
        <f>[2]หน้าผ้า!DL50</f>
        <v>0</v>
      </c>
      <c r="AI41" s="1" t="str">
        <f>[2]หน้าผ้า!DM50</f>
        <v>Lead time</v>
      </c>
      <c r="AJ41" s="3">
        <f>[2]หน้าผ้า!DN50</f>
        <v>0</v>
      </c>
      <c r="AK41" s="3">
        <f>[2]หน้าผ้า!DQ50</f>
        <v>0</v>
      </c>
      <c r="AL41" s="3">
        <f>[2]หน้าผ้า!DR50</f>
        <v>0</v>
      </c>
      <c r="AM41" s="3">
        <f>[2]หน้าผ้า!DS50</f>
        <v>0</v>
      </c>
      <c r="AN41" s="3">
        <f>[2]หน้าผ้า!DT50</f>
        <v>0</v>
      </c>
      <c r="AO41" s="3">
        <f>[2]หน้าผ้า!DU50</f>
        <v>0</v>
      </c>
      <c r="AP41" s="3">
        <f>[2]หน้าผ้า!DP50</f>
        <v>0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>
        <f>[2]หน้าผ้า!EC50</f>
        <v>0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WRWT251000/WRYL251000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0</v>
      </c>
      <c r="B42" s="14">
        <f>[2]หน้าผ้า!B51</f>
        <v>0</v>
      </c>
      <c r="C42" s="9">
        <f>[2]หน้าผ้า!E51</f>
        <v>0</v>
      </c>
      <c r="D42" s="13">
        <f>[2]หน้าผ้า!F51</f>
        <v>0</v>
      </c>
      <c r="E42" s="9">
        <f>[2]หน้าผ้า!G51</f>
        <v>20</v>
      </c>
      <c r="F42" s="9">
        <f>[2]หน้าผ้า!H51</f>
        <v>37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65</v>
      </c>
      <c r="J42" s="9" t="str">
        <f>[2]หน้าผ้า!M51</f>
        <v>±</v>
      </c>
      <c r="K42" s="9">
        <f>[2]หน้าผ้า!N51</f>
        <v>5</v>
      </c>
      <c r="L42" s="9">
        <f>[2]หน้าผ้า!R51</f>
        <v>0</v>
      </c>
      <c r="M42" s="10">
        <f>[2]หน้าผ้า!T51</f>
        <v>0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>
        <f>[2]หน้าผ้า!Z51</f>
        <v>0</v>
      </c>
      <c r="T42" s="12">
        <f>[2]หน้าผ้า!X51</f>
        <v>0</v>
      </c>
      <c r="U42" s="11">
        <f>[2]หน้าผ้า!AA51</f>
        <v>0</v>
      </c>
      <c r="V42" s="10">
        <f>[2]หน้าผ้า!AJ51</f>
        <v>0</v>
      </c>
      <c r="W42" s="10">
        <f>[2]หน้าผ้า!AL51</f>
        <v>0</v>
      </c>
      <c r="X42" s="10">
        <f>[2]หน้าผ้า!AM51</f>
        <v>0</v>
      </c>
      <c r="Y42" s="10">
        <f>[2]หน้าผ้า!AN51</f>
        <v>0</v>
      </c>
      <c r="Z42" s="9" t="str">
        <f>[2]หน้าผ้า!AO51</f>
        <v>WSWT2025650</v>
      </c>
      <c r="AA42" s="8" t="e">
        <f>[2]หน้าผ้า!AQ51</f>
        <v>#REF!</v>
      </c>
      <c r="AB42" s="8" t="e">
        <f>[2]หน้าผ้า!AR51</f>
        <v>#REF!</v>
      </c>
      <c r="AC42" s="8" t="e">
        <f>[2]หน้าผ้า!AS51</f>
        <v>#REF!</v>
      </c>
      <c r="AD42" s="8" t="e">
        <f>[2]หน้าผ้า!AT51</f>
        <v>#REF!</v>
      </c>
      <c r="AE42" s="8" t="e">
        <f>[2]หน้าผ้า!AU51</f>
        <v>#REF!</v>
      </c>
      <c r="AF42" s="8" t="str">
        <f>[2]หน้าผ้า!AI51</f>
        <v>ระบุในSD</v>
      </c>
      <c r="AG42" s="1" t="str">
        <f>[3]หน้าผ้า!DC54</f>
        <v>พร้อมส่ง</v>
      </c>
      <c r="AH42" s="1">
        <f>[2]หน้าผ้า!DL51</f>
        <v>0</v>
      </c>
      <c r="AI42" s="1" t="str">
        <f>[2]หน้าผ้า!DM51</f>
        <v>Lead time</v>
      </c>
      <c r="AJ42" s="3">
        <f>[2]หน้าผ้า!DN51</f>
        <v>0</v>
      </c>
      <c r="AK42" s="3">
        <f>[2]หน้าผ้า!DQ51</f>
        <v>0</v>
      </c>
      <c r="AL42" s="3">
        <f>[2]หน้าผ้า!DR51</f>
        <v>0</v>
      </c>
      <c r="AM42" s="3">
        <f>[2]หน้าผ้า!DS51</f>
        <v>0</v>
      </c>
      <c r="AN42" s="3">
        <f>[2]หน้าผ้า!DT51</f>
        <v>0</v>
      </c>
      <c r="AO42" s="3">
        <f>[2]หน้าผ้า!DU51</f>
        <v>0</v>
      </c>
      <c r="AP42" s="3">
        <f>[2]หน้าผ้า!DP51</f>
        <v>0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>
        <f>[2]หน้าผ้า!EC51</f>
        <v>0</v>
      </c>
      <c r="AX42" s="2">
        <f>[2]หน้าผ้า!ED51</f>
        <v>0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WRWT25650/WRWT25650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0</v>
      </c>
      <c r="B43" s="14">
        <f>[2]หน้าผ้า!B52</f>
        <v>0</v>
      </c>
      <c r="C43" s="9">
        <f>[2]หน้าผ้า!E52</f>
        <v>0</v>
      </c>
      <c r="D43" s="13">
        <f>[2]หน้าผ้า!F52</f>
        <v>0</v>
      </c>
      <c r="E43" s="9">
        <f>[2]หน้าผ้า!G52</f>
        <v>20</v>
      </c>
      <c r="F43" s="9">
        <f>[2]หน้าผ้า!H52</f>
        <v>37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70</v>
      </c>
      <c r="J43" s="9" t="str">
        <f>[2]หน้าผ้า!M52</f>
        <v>±</v>
      </c>
      <c r="K43" s="9">
        <f>[2]หน้าผ้า!N52</f>
        <v>5</v>
      </c>
      <c r="L43" s="9">
        <f>[2]หน้าผ้า!R52</f>
        <v>0</v>
      </c>
      <c r="M43" s="10">
        <f>[2]หน้าผ้า!T52</f>
        <v>0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>
        <f>[2]หน้าผ้า!Z52</f>
        <v>0</v>
      </c>
      <c r="T43" s="12">
        <f>[2]หน้าผ้า!X52</f>
        <v>0</v>
      </c>
      <c r="U43" s="11">
        <f>[2]หน้าผ้า!AA52</f>
        <v>0</v>
      </c>
      <c r="V43" s="10">
        <f>[2]หน้าผ้า!AJ52</f>
        <v>0</v>
      </c>
      <c r="W43" s="10">
        <f>[2]หน้าผ้า!AL52</f>
        <v>0</v>
      </c>
      <c r="X43" s="10">
        <f>[2]หน้าผ้า!AM52</f>
        <v>0</v>
      </c>
      <c r="Y43" s="10">
        <f>[2]หน้าผ้า!AN52</f>
        <v>0</v>
      </c>
      <c r="Z43" s="9" t="str">
        <f>[2]หน้าผ้า!AO52</f>
        <v>WSWT2025700</v>
      </c>
      <c r="AA43" s="8" t="e">
        <f>[2]หน้าผ้า!AQ52</f>
        <v>#REF!</v>
      </c>
      <c r="AB43" s="8" t="e">
        <f>[2]หน้าผ้า!AR52</f>
        <v>#REF!</v>
      </c>
      <c r="AC43" s="8" t="e">
        <f>[2]หน้าผ้า!AS52</f>
        <v>#REF!</v>
      </c>
      <c r="AD43" s="8" t="e">
        <f>[2]หน้าผ้า!AT52</f>
        <v>#REF!</v>
      </c>
      <c r="AE43" s="8" t="e">
        <f>[2]หน้าผ้า!AU52</f>
        <v>#REF!</v>
      </c>
      <c r="AF43" s="8" t="str">
        <f>[2]หน้าผ้า!AI52</f>
        <v>ระบุในSD</v>
      </c>
      <c r="AG43" s="1" t="str">
        <f>[3]หน้าผ้า!DC55</f>
        <v>ยังไม่ได้พิมพ์</v>
      </c>
      <c r="AH43" s="1">
        <f>[2]หน้าผ้า!DL52</f>
        <v>0</v>
      </c>
      <c r="AI43" s="1" t="str">
        <f>[2]หน้าผ้า!DM52</f>
        <v>Lead time</v>
      </c>
      <c r="AJ43" s="3">
        <f>[2]หน้าผ้า!DN52</f>
        <v>0</v>
      </c>
      <c r="AK43" s="3">
        <f>[2]หน้าผ้า!DQ52</f>
        <v>0</v>
      </c>
      <c r="AL43" s="3">
        <f>[2]หน้าผ้า!DR52</f>
        <v>0</v>
      </c>
      <c r="AM43" s="3">
        <f>[2]หน้าผ้า!DS52</f>
        <v>0</v>
      </c>
      <c r="AN43" s="3">
        <f>[2]หน้าผ้า!DT52</f>
        <v>0</v>
      </c>
      <c r="AO43" s="3">
        <f>[2]หน้าผ้า!DU52</f>
        <v>0</v>
      </c>
      <c r="AP43" s="3">
        <f>[2]หน้าผ้า!DP52</f>
        <v>0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>
        <f>[2]หน้าผ้า!EC52</f>
        <v>0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WRWT25800/WRWT25650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45782</v>
      </c>
      <c r="B44" s="14" t="str">
        <f>[2]หน้าผ้า!B53</f>
        <v>MK68-000609</v>
      </c>
      <c r="C44" s="9" t="str">
        <f>[2]หน้าผ้า!E53</f>
        <v>บจก.เอสพีเอ็ม อาหารสัตว์</v>
      </c>
      <c r="D44" s="13" t="str">
        <f>[2]หน้าผ้า!F53</f>
        <v xml:space="preserve">SW 441 </v>
      </c>
      <c r="E44" s="9">
        <f>[2]หน้าผ้า!G53</f>
        <v>20</v>
      </c>
      <c r="F44" s="9">
        <f>[2]หน้าผ้า!H53</f>
        <v>38</v>
      </c>
      <c r="G44" s="9" t="str">
        <f>[2]หน้าผ้า!I53</f>
        <v>ขาว</v>
      </c>
      <c r="H44" s="9" t="str">
        <f>[2]หน้าผ้า!J53</f>
        <v>ใส</v>
      </c>
      <c r="I44" s="9">
        <f>[2]หน้าผ้า!L53</f>
        <v>100</v>
      </c>
      <c r="J44" s="9" t="str">
        <f>[2]หน้าผ้า!M53</f>
        <v>±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500กระสอบแบน</v>
      </c>
      <c r="T44" s="12">
        <f>[2]หน้าผ้า!X53</f>
        <v>45909</v>
      </c>
      <c r="U44" s="11">
        <f>[2]หน้าผ้า!AA53</f>
        <v>5000</v>
      </c>
      <c r="V44" s="10">
        <f>[2]หน้าผ้า!AJ53</f>
        <v>4473</v>
      </c>
      <c r="W44" s="10">
        <f>[2]หน้าผ้า!AL53</f>
        <v>527</v>
      </c>
      <c r="X44" s="10">
        <f>[2]หน้าผ้า!AM53</f>
        <v>5200</v>
      </c>
      <c r="Y44" s="10">
        <f>[2]หน้าผ้า!AN53</f>
        <v>0</v>
      </c>
      <c r="Z44" s="9" t="str">
        <f>[2]หน้าผ้า!AO53</f>
        <v>WSWT2025800SM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>
        <f>[2]หน้าผ้า!AI53</f>
        <v>0</v>
      </c>
      <c r="AG44" s="1" t="str">
        <f>[3]หน้าผ้า!DC56</f>
        <v>ยังไม่ได้พิมพ์</v>
      </c>
      <c r="AH44" s="1" t="str">
        <f>[2]หน้าผ้า!DL53</f>
        <v>P6</v>
      </c>
      <c r="AI44" s="1">
        <f>[2]หน้าผ้า!DM53</f>
        <v>4</v>
      </c>
      <c r="AJ44" s="3">
        <f>[2]หน้าผ้า!DN53</f>
        <v>45909</v>
      </c>
      <c r="AK44" s="3">
        <f>[2]หน้าผ้า!DQ53</f>
        <v>45905</v>
      </c>
      <c r="AL44" s="3">
        <f>[2]หน้าผ้า!DR53</f>
        <v>45898</v>
      </c>
      <c r="AM44" s="3">
        <f>[2]หน้าผ้า!DS53</f>
        <v>45906</v>
      </c>
      <c r="AN44" s="3">
        <f>[2]หน้าผ้า!DT53</f>
        <v>45907</v>
      </c>
      <c r="AO44" s="3">
        <f>[2]หน้าผ้า!DU53</f>
        <v>45908</v>
      </c>
      <c r="AP44" s="3">
        <f>[2]หน้าผ้า!DP53</f>
        <v>45904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งานเคลือบ+พิมพ์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WRWT25850/WRWT25850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45902</v>
      </c>
      <c r="B45" s="14" t="str">
        <f>[2]หน้าผ้า!B54</f>
        <v>MK68-001069</v>
      </c>
      <c r="C45" s="9" t="str">
        <f>[2]หน้าผ้า!E54</f>
        <v>บจก.วีซีเอฟ</v>
      </c>
      <c r="D45" s="13" t="str">
        <f>[2]หน้าผ้า!F54</f>
        <v>VC120</v>
      </c>
      <c r="E45" s="9">
        <f>[2]หน้าผ้า!G54</f>
        <v>20</v>
      </c>
      <c r="F45" s="9">
        <f>[2]หน้าผ้า!H54</f>
        <v>37</v>
      </c>
      <c r="G45" s="9" t="str">
        <f>[2]หน้าผ้า!I54</f>
        <v>ขาว</v>
      </c>
      <c r="H45" s="9" t="str">
        <f>[2]หน้าผ้า!J54</f>
        <v>ใส</v>
      </c>
      <c r="I45" s="9">
        <f>[2]หน้าผ้า!L54</f>
        <v>100</v>
      </c>
      <c r="J45" s="9" t="str">
        <f>[2]หน้าผ้า!M54</f>
        <v>±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500กระสอบแบน</v>
      </c>
      <c r="T45" s="12">
        <f>[2]หน้าผ้า!X54</f>
        <v>45910</v>
      </c>
      <c r="U45" s="11">
        <f>[2]หน้าผ้า!AA54</f>
        <v>8000</v>
      </c>
      <c r="V45" s="10">
        <f>[2]หน้าผ้า!AJ54</f>
        <v>8000</v>
      </c>
      <c r="W45" s="10">
        <f>[2]หน้าผ้า!AL54</f>
        <v>0</v>
      </c>
      <c r="X45" s="10">
        <f>[2]หน้าผ้า!AM54</f>
        <v>20753</v>
      </c>
      <c r="Y45" s="10">
        <f>[2]หน้าผ้า!AN54</f>
        <v>0</v>
      </c>
      <c r="Z45" s="9" t="str">
        <f>[2]หน้าผ้า!AO54</f>
        <v>WSWT2025800SM</v>
      </c>
      <c r="AA45" s="8">
        <f>[2]หน้าผ้า!AQ54</f>
        <v>0</v>
      </c>
      <c r="AB45" s="8">
        <f>[2]หน้าผ้า!AR54</f>
        <v>0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>
        <f>[2]หน้าผ้า!AI54</f>
        <v>0</v>
      </c>
      <c r="AG45" s="1" t="str">
        <f>[3]หน้าผ้า!DC57</f>
        <v>ยังไม่ได้พิมพ์</v>
      </c>
      <c r="AH45" s="1" t="str">
        <f>[2]หน้าผ้า!DL54</f>
        <v>P6</v>
      </c>
      <c r="AI45" s="1">
        <f>[2]หน้าผ้า!DM54</f>
        <v>4</v>
      </c>
      <c r="AJ45" s="3">
        <f>[2]หน้าผ้า!DN54</f>
        <v>45910</v>
      </c>
      <c r="AK45" s="3">
        <f>[2]หน้าผ้า!DQ54</f>
        <v>45906</v>
      </c>
      <c r="AL45" s="3">
        <f>[2]หน้าผ้า!DR54</f>
        <v>45899</v>
      </c>
      <c r="AM45" s="3">
        <f>[2]หน้าผ้า!DS54</f>
        <v>45907</v>
      </c>
      <c r="AN45" s="3">
        <f>[2]หน้าผ้า!DT54</f>
        <v>45908</v>
      </c>
      <c r="AO45" s="3">
        <f>[2]หน้าผ้า!DU54</f>
        <v>45909</v>
      </c>
      <c r="AP45" s="3">
        <f>[2]หน้าผ้า!DP54</f>
        <v>45905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งานเคลือบ+พิมพ์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WRWT25850/WRWT25850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45902</v>
      </c>
      <c r="B46" s="14" t="str">
        <f>[2]หน้าผ้า!B55</f>
        <v>MK68-001071</v>
      </c>
      <c r="C46" s="9" t="str">
        <f>[2]หน้าผ้า!E55</f>
        <v>บจก.วีซีเอฟ</v>
      </c>
      <c r="D46" s="13" t="str">
        <f>[2]หน้าผ้า!F55</f>
        <v>VC108</v>
      </c>
      <c r="E46" s="9">
        <f>[2]หน้าผ้า!G55</f>
        <v>20</v>
      </c>
      <c r="F46" s="9">
        <f>[2]หน้าผ้า!H55</f>
        <v>37</v>
      </c>
      <c r="G46" s="9" t="str">
        <f>[2]หน้าผ้า!I55</f>
        <v>ขาว</v>
      </c>
      <c r="H46" s="9" t="str">
        <f>[2]หน้าผ้า!J55</f>
        <v>ใส</v>
      </c>
      <c r="I46" s="9">
        <f>[2]หน้าผ้า!L55</f>
        <v>100</v>
      </c>
      <c r="J46" s="9" t="str">
        <f>[2]หน้าผ้า!M55</f>
        <v>±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500กระสอบแบน</v>
      </c>
      <c r="T46" s="12">
        <f>[2]หน้าผ้า!X55</f>
        <v>45910</v>
      </c>
      <c r="U46" s="11">
        <f>[2]หน้าผ้า!AA55</f>
        <v>10000</v>
      </c>
      <c r="V46" s="10">
        <f>[2]หน้าผ้า!AJ55</f>
        <v>0</v>
      </c>
      <c r="W46" s="10">
        <f>[2]หน้าผ้า!AL55</f>
        <v>10000</v>
      </c>
      <c r="X46" s="10">
        <f>[2]หน้าผ้า!AM55</f>
        <v>0</v>
      </c>
      <c r="Y46" s="10">
        <f>[2]หน้าผ้า!AN55</f>
        <v>10500</v>
      </c>
      <c r="Z46" s="9" t="str">
        <f>[2]หน้าผ้า!AO55</f>
        <v>WSWT2025800SM</v>
      </c>
      <c r="AA46" s="8">
        <f>[2]หน้าผ้า!AQ55</f>
        <v>10756.900000000001</v>
      </c>
      <c r="AB46" s="8">
        <f>[2]หน้าผ้า!AR55</f>
        <v>10756.900000000001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10756.900000000001</v>
      </c>
      <c r="AF46" s="8">
        <f>[2]หน้าผ้า!AI55</f>
        <v>0</v>
      </c>
      <c r="AG46" s="1" t="str">
        <f>[3]หน้าผ้า!DC58</f>
        <v>ยังไม่ได้พิมพ์</v>
      </c>
      <c r="AH46" s="1" t="str">
        <f>[2]หน้าผ้า!DL55</f>
        <v>P6</v>
      </c>
      <c r="AI46" s="1">
        <f>[2]หน้าผ้า!DM55</f>
        <v>4</v>
      </c>
      <c r="AJ46" s="3">
        <f>[2]หน้าผ้า!DN55</f>
        <v>45910</v>
      </c>
      <c r="AK46" s="3">
        <f>[2]หน้าผ้า!DQ55</f>
        <v>45906</v>
      </c>
      <c r="AL46" s="3">
        <f>[2]หน้าผ้า!DR55</f>
        <v>45899</v>
      </c>
      <c r="AM46" s="3">
        <f>[2]หน้าผ้า!DS55</f>
        <v>45907</v>
      </c>
      <c r="AN46" s="3">
        <f>[2]หน้าผ้า!DT55</f>
        <v>45908</v>
      </c>
      <c r="AO46" s="3">
        <f>[2]หน้าผ้า!DU55</f>
        <v>45909</v>
      </c>
      <c r="AP46" s="3">
        <f>[2]หน้าผ้า!DP55</f>
        <v>45905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งานเคลือบ+พิมพ์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WRWT25850/WRWT25850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45902</v>
      </c>
      <c r="B47" s="14" t="str">
        <f>[2]หน้าผ้า!B56</f>
        <v>MK68-001070</v>
      </c>
      <c r="C47" s="9" t="str">
        <f>[2]หน้าผ้า!E56</f>
        <v>บจก.วีซีเอฟ</v>
      </c>
      <c r="D47" s="13" t="str">
        <f>[2]หน้าผ้า!F56</f>
        <v>JET555</v>
      </c>
      <c r="E47" s="9">
        <f>[2]หน้าผ้า!G56</f>
        <v>20</v>
      </c>
      <c r="F47" s="9">
        <f>[2]หน้าผ้า!H56</f>
        <v>37</v>
      </c>
      <c r="G47" s="9" t="str">
        <f>[2]หน้าผ้า!I56</f>
        <v>ขาว</v>
      </c>
      <c r="H47" s="9" t="str">
        <f>[2]หน้าผ้า!J56</f>
        <v>ใส</v>
      </c>
      <c r="I47" s="9">
        <f>[2]หน้าผ้า!L56</f>
        <v>100</v>
      </c>
      <c r="J47" s="9" t="str">
        <f>[2]หน้าผ้า!M56</f>
        <v>±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500กระสอบแบน</v>
      </c>
      <c r="T47" s="12">
        <f>[2]หน้าผ้า!X56</f>
        <v>45910</v>
      </c>
      <c r="U47" s="11">
        <f>[2]หน้าผ้า!AA56</f>
        <v>10000</v>
      </c>
      <c r="V47" s="10">
        <f>[2]หน้าผ้า!AJ56</f>
        <v>0</v>
      </c>
      <c r="W47" s="10">
        <f>[2]หน้าผ้า!AL56</f>
        <v>10000</v>
      </c>
      <c r="X47" s="10">
        <f>[2]หน้าผ้า!AM56</f>
        <v>0</v>
      </c>
      <c r="Y47" s="10">
        <f>[2]หน้าผ้า!AN56</f>
        <v>10500</v>
      </c>
      <c r="Z47" s="9" t="str">
        <f>[2]หน้าผ้า!AO56</f>
        <v>WSWT2025800SM</v>
      </c>
      <c r="AA47" s="8">
        <f>[2]หน้าผ้า!AQ56</f>
        <v>10756.900000000001</v>
      </c>
      <c r="AB47" s="8">
        <f>[2]หน้าผ้า!AR56</f>
        <v>10756.900000000001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10756.900000000001</v>
      </c>
      <c r="AF47" s="8">
        <f>[2]หน้าผ้า!AI56</f>
        <v>0</v>
      </c>
      <c r="AG47" s="1" t="str">
        <f>[3]หน้าผ้า!DC59</f>
        <v>ยังไม่ได้พิมพ์</v>
      </c>
      <c r="AH47" s="1" t="str">
        <f>[2]หน้าผ้า!DL56</f>
        <v>P6</v>
      </c>
      <c r="AI47" s="1">
        <f>[2]หน้าผ้า!DM56</f>
        <v>4</v>
      </c>
      <c r="AJ47" s="3">
        <f>[2]หน้าผ้า!DN56</f>
        <v>45910</v>
      </c>
      <c r="AK47" s="3">
        <f>[2]หน้าผ้า!DQ56</f>
        <v>45906</v>
      </c>
      <c r="AL47" s="3">
        <f>[2]หน้าผ้า!DR56</f>
        <v>45899</v>
      </c>
      <c r="AM47" s="3">
        <f>[2]หน้าผ้า!DS56</f>
        <v>45907</v>
      </c>
      <c r="AN47" s="3">
        <f>[2]หน้าผ้า!DT56</f>
        <v>45908</v>
      </c>
      <c r="AO47" s="3">
        <f>[2]หน้าผ้า!DU56</f>
        <v>45909</v>
      </c>
      <c r="AP47" s="3">
        <f>[2]หน้าผ้า!DP56</f>
        <v>45905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งานเคลือบ+พิมพ์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WRWT25850/WRWT25850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45902</v>
      </c>
      <c r="B48" s="14" t="str">
        <f>[2]หน้าผ้า!B57</f>
        <v>MK68-001071</v>
      </c>
      <c r="C48" s="9" t="str">
        <f>[2]หน้าผ้า!E57</f>
        <v>บจก.วีซีเอฟ</v>
      </c>
      <c r="D48" s="13" t="str">
        <f>[2]หน้าผ้า!F57</f>
        <v>VC100</v>
      </c>
      <c r="E48" s="9">
        <f>[2]หน้าผ้า!G57</f>
        <v>20</v>
      </c>
      <c r="F48" s="9">
        <f>[2]หน้าผ้า!H57</f>
        <v>37</v>
      </c>
      <c r="G48" s="9" t="str">
        <f>[2]หน้าผ้า!I57</f>
        <v>ขาว</v>
      </c>
      <c r="H48" s="9" t="str">
        <f>[2]หน้าผ้า!J57</f>
        <v>ใส</v>
      </c>
      <c r="I48" s="9">
        <f>[2]หน้าผ้า!L57</f>
        <v>100</v>
      </c>
      <c r="J48" s="9" t="str">
        <f>[2]หน้าผ้า!M57</f>
        <v>±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500กระสอบแบน</v>
      </c>
      <c r="T48" s="12">
        <f>[2]หน้าผ้า!X57</f>
        <v>45912</v>
      </c>
      <c r="U48" s="11">
        <f>[2]หน้าผ้า!AA57</f>
        <v>20500</v>
      </c>
      <c r="V48" s="10">
        <f>[2]หน้าผ้า!AJ57</f>
        <v>400</v>
      </c>
      <c r="W48" s="10">
        <f>[2]หน้าผ้า!AL57</f>
        <v>20100</v>
      </c>
      <c r="X48" s="10">
        <f>[2]หน้าผ้า!AM57</f>
        <v>0</v>
      </c>
      <c r="Y48" s="10">
        <f>[2]หน้าผ้า!AN57</f>
        <v>21105</v>
      </c>
      <c r="Z48" s="9" t="str">
        <f>[2]หน้าผ้า!AO57</f>
        <v>WSWT2025800SM</v>
      </c>
      <c r="AA48" s="8">
        <f>[2]หน้าผ้า!AQ57</f>
        <v>21621.369000000002</v>
      </c>
      <c r="AB48" s="8">
        <f>[2]หน้าผ้า!AR57</f>
        <v>21621.369000000002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21621.369000000002</v>
      </c>
      <c r="AF48" s="8">
        <f>[2]หน้าผ้า!AI57</f>
        <v>0</v>
      </c>
      <c r="AG48" s="1" t="str">
        <f>[3]หน้าผ้า!DC60</f>
        <v>ยังไม่ได้พิมพ์</v>
      </c>
      <c r="AH48" s="1" t="str">
        <f>[2]หน้าผ้า!DL57</f>
        <v>P6</v>
      </c>
      <c r="AI48" s="1">
        <f>[2]หน้าผ้า!DM57</f>
        <v>4</v>
      </c>
      <c r="AJ48" s="3">
        <f>[2]หน้าผ้า!DN57</f>
        <v>45912</v>
      </c>
      <c r="AK48" s="3">
        <f>[2]หน้าผ้า!DQ57</f>
        <v>45908</v>
      </c>
      <c r="AL48" s="3">
        <f>[2]หน้าผ้า!DR57</f>
        <v>45901</v>
      </c>
      <c r="AM48" s="3">
        <f>[2]หน้าผ้า!DS57</f>
        <v>45909</v>
      </c>
      <c r="AN48" s="3">
        <f>[2]หน้าผ้า!DT57</f>
        <v>45910</v>
      </c>
      <c r="AO48" s="3">
        <f>[2]หน้าผ้า!DU57</f>
        <v>45911</v>
      </c>
      <c r="AP48" s="3">
        <f>[2]หน้าผ้า!DP57</f>
        <v>45907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งานเคลือบ+พิมพ์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WRWT25850/WRWT25850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45902</v>
      </c>
      <c r="B49" s="14" t="str">
        <f>[2]หน้าผ้า!B58</f>
        <v>MK68-001070</v>
      </c>
      <c r="C49" s="9" t="str">
        <f>[2]หน้าผ้า!E58</f>
        <v>บจก.วีซีเอฟ</v>
      </c>
      <c r="D49" s="13" t="str">
        <f>[2]หน้าผ้า!F58</f>
        <v>ไลด์ฟีด 405</v>
      </c>
      <c r="E49" s="9">
        <f>[2]หน้าผ้า!G58</f>
        <v>20</v>
      </c>
      <c r="F49" s="9">
        <f>[2]หน้าผ้า!H58</f>
        <v>37</v>
      </c>
      <c r="G49" s="9" t="str">
        <f>[2]หน้าผ้า!I58</f>
        <v>ขาว</v>
      </c>
      <c r="H49" s="9" t="str">
        <f>[2]หน้าผ้า!J58</f>
        <v>ใส</v>
      </c>
      <c r="I49" s="9">
        <f>[2]หน้าผ้า!L58</f>
        <v>100</v>
      </c>
      <c r="J49" s="9" t="str">
        <f>[2]หน้าผ้า!M58</f>
        <v>±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500กระสอบแบน</v>
      </c>
      <c r="T49" s="12">
        <f>[2]หน้าผ้า!X58</f>
        <v>45912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WSWT2025800SM</v>
      </c>
      <c r="AA49" s="8">
        <f>[2]หน้าผ้า!AQ58</f>
        <v>5378.4500000000007</v>
      </c>
      <c r="AB49" s="8">
        <f>[2]หน้าผ้า!AR58</f>
        <v>5378.4500000000007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5378.4500000000007</v>
      </c>
      <c r="AF49" s="8">
        <f>[2]หน้าผ้า!AI58</f>
        <v>0</v>
      </c>
      <c r="AG49" s="1" t="str">
        <f>[3]หน้าผ้า!DC61</f>
        <v>ยังไม่ได้พิมพ์</v>
      </c>
      <c r="AH49" s="1" t="str">
        <f>[2]หน้าผ้า!DL58</f>
        <v>P6</v>
      </c>
      <c r="AI49" s="1">
        <f>[2]หน้าผ้า!DM58</f>
        <v>4</v>
      </c>
      <c r="AJ49" s="3">
        <f>[2]หน้าผ้า!DN58</f>
        <v>45912</v>
      </c>
      <c r="AK49" s="3">
        <f>[2]หน้าผ้า!DQ58</f>
        <v>45908</v>
      </c>
      <c r="AL49" s="3">
        <f>[2]หน้าผ้า!DR58</f>
        <v>45901</v>
      </c>
      <c r="AM49" s="3">
        <f>[2]หน้าผ้า!DS58</f>
        <v>45909</v>
      </c>
      <c r="AN49" s="3">
        <f>[2]หน้าผ้า!DT58</f>
        <v>45910</v>
      </c>
      <c r="AO49" s="3">
        <f>[2]หน้าผ้า!DU58</f>
        <v>45911</v>
      </c>
      <c r="AP49" s="3">
        <f>[2]หน้าผ้า!DP58</f>
        <v>45907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งานเคลือบ+พิมพ์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WRWT25850/WRWT25850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45902</v>
      </c>
      <c r="B50" s="14" t="str">
        <f>[2]หน้าผ้า!B59</f>
        <v>MK68-001070</v>
      </c>
      <c r="C50" s="9" t="str">
        <f>[2]หน้าผ้า!E59</f>
        <v>บจก.วีซีเอฟ</v>
      </c>
      <c r="D50" s="13" t="str">
        <f>[2]หน้าผ้า!F59</f>
        <v>SPEED PLUS 405ENG</v>
      </c>
      <c r="E50" s="9">
        <f>[2]หน้าผ้า!G59</f>
        <v>20</v>
      </c>
      <c r="F50" s="9">
        <f>[2]หน้าผ้า!H59</f>
        <v>37</v>
      </c>
      <c r="G50" s="9" t="str">
        <f>[2]หน้าผ้า!I59</f>
        <v>ขาว</v>
      </c>
      <c r="H50" s="9" t="str">
        <f>[2]หน้าผ้า!J59</f>
        <v>ใส</v>
      </c>
      <c r="I50" s="9">
        <f>[2]หน้าผ้า!L59</f>
        <v>100</v>
      </c>
      <c r="J50" s="9" t="str">
        <f>[2]หน้าผ้า!M59</f>
        <v>±</v>
      </c>
      <c r="K50" s="9">
        <f>[2]หน้าผ้า!N59</f>
        <v>5</v>
      </c>
      <c r="L50" s="9" t="str">
        <f>[2]หน้าผ้า!R59</f>
        <v>ไม่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500กระสอบแบน</v>
      </c>
      <c r="T50" s="12">
        <f>[2]หน้าผ้า!X59</f>
        <v>45912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WSWT2025800SM</v>
      </c>
      <c r="AA50" s="8">
        <f>[2]หน้าผ้า!AQ59</f>
        <v>5378.4500000000007</v>
      </c>
      <c r="AB50" s="8">
        <f>[2]หน้าผ้า!AR59</f>
        <v>5378.4500000000007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5378.4500000000007</v>
      </c>
      <c r="AF50" s="8">
        <f>[2]หน้าผ้า!AI59</f>
        <v>0</v>
      </c>
      <c r="AG50" s="1" t="str">
        <f>[3]หน้าผ้า!DC62</f>
        <v>ยังไม่ได้พิมพ์</v>
      </c>
      <c r="AH50" s="1" t="str">
        <f>[2]หน้าผ้า!DL59</f>
        <v>P6</v>
      </c>
      <c r="AI50" s="1">
        <f>[2]หน้าผ้า!DM59</f>
        <v>4</v>
      </c>
      <c r="AJ50" s="3">
        <f>[2]หน้าผ้า!DN59</f>
        <v>45912</v>
      </c>
      <c r="AK50" s="3">
        <f>[2]หน้าผ้า!DQ59</f>
        <v>45908</v>
      </c>
      <c r="AL50" s="3">
        <f>[2]หน้าผ้า!DR59</f>
        <v>45901</v>
      </c>
      <c r="AM50" s="3">
        <f>[2]หน้าผ้า!DS59</f>
        <v>45909</v>
      </c>
      <c r="AN50" s="3">
        <f>[2]หน้าผ้า!DT59</f>
        <v>45910</v>
      </c>
      <c r="AO50" s="3">
        <f>[2]หน้าผ้า!DU59</f>
        <v>45911</v>
      </c>
      <c r="AP50" s="3">
        <f>[2]หน้าผ้า!DP59</f>
        <v>45907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งานเคลือบ+พิมพ์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WRWT25850/WRWT25850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45905</v>
      </c>
      <c r="B51" s="14" t="str">
        <f>[2]หน้าผ้า!B60</f>
        <v>MK68-001078</v>
      </c>
      <c r="C51" s="9" t="str">
        <f>[2]หน้าผ้า!E60</f>
        <v>บจก.อินเทคค์ โกลบอล</v>
      </c>
      <c r="D51" s="13" t="str">
        <f>[2]หน้าผ้า!F60</f>
        <v>เฟิร์สช้อย 914</v>
      </c>
      <c r="E51" s="9">
        <f>[2]หน้าผ้า!G60</f>
        <v>20</v>
      </c>
      <c r="F51" s="9">
        <f>[2]หน้าผ้า!H60</f>
        <v>36</v>
      </c>
      <c r="G51" s="9" t="str">
        <f>[2]หน้าผ้า!I60</f>
        <v>ขาว</v>
      </c>
      <c r="H51" s="9" t="str">
        <f>[2]หน้าผ้า!J60</f>
        <v>ด้าน</v>
      </c>
      <c r="I51" s="9">
        <f>[2]หน้าผ้า!L60</f>
        <v>100</v>
      </c>
      <c r="J51" s="9" t="str">
        <f>[2]หน้าผ้า!M60</f>
        <v>±</v>
      </c>
      <c r="K51" s="9">
        <f>[2]หน้าผ้า!N60</f>
        <v>5</v>
      </c>
      <c r="L51" s="9" t="str">
        <f>[2]หน้าผ้า!R60</f>
        <v>จับจีบ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มัด80 ใช้สายรัด</v>
      </c>
      <c r="T51" s="12">
        <f>[2]หน้าผ้า!X60</f>
        <v>45919</v>
      </c>
      <c r="U51" s="11">
        <f>[2]หน้าผ้า!AA60</f>
        <v>5040</v>
      </c>
      <c r="V51" s="10">
        <f>[2]หน้าผ้า!AJ60</f>
        <v>0</v>
      </c>
      <c r="W51" s="10">
        <f>[2]หน้าผ้า!AL60</f>
        <v>5040</v>
      </c>
      <c r="X51" s="10">
        <f>[2]หน้าผ้า!AM60</f>
        <v>0</v>
      </c>
      <c r="Y51" s="10">
        <f>[2]หน้าผ้า!AN60</f>
        <v>5292</v>
      </c>
      <c r="Z51" s="9" t="str">
        <f>[2]หน้าผ้า!AO60</f>
        <v>WSWT2025800SM</v>
      </c>
      <c r="AA51" s="8">
        <f>[2]หน้าผ้า!AQ60</f>
        <v>5280.6600000000008</v>
      </c>
      <c r="AB51" s="8">
        <f>[2]หน้าผ้า!AR60</f>
        <v>5280.6600000000008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5280.6600000000008</v>
      </c>
      <c r="AF51" s="8">
        <f>[2]หน้าผ้า!AI60</f>
        <v>0</v>
      </c>
      <c r="AG51" s="1" t="str">
        <f>[3]หน้าผ้า!DC63</f>
        <v>พร้อมส่ง</v>
      </c>
      <c r="AH51" s="1" t="str">
        <f>[2]หน้าผ้า!DL60</f>
        <v>P6</v>
      </c>
      <c r="AI51" s="1">
        <f>[2]หน้าผ้า!DM60</f>
        <v>4</v>
      </c>
      <c r="AJ51" s="3">
        <f>[2]หน้าผ้า!DN60</f>
        <v>45919</v>
      </c>
      <c r="AK51" s="3">
        <f>[2]หน้าผ้า!DQ60</f>
        <v>45915</v>
      </c>
      <c r="AL51" s="3">
        <f>[2]หน้าผ้า!DR60</f>
        <v>45908</v>
      </c>
      <c r="AM51" s="3">
        <f>[2]หน้าผ้า!DS60</f>
        <v>45916</v>
      </c>
      <c r="AN51" s="3">
        <f>[2]หน้าผ้า!DT60</f>
        <v>45917</v>
      </c>
      <c r="AO51" s="3">
        <f>[2]หน้าผ้า!DU60</f>
        <v>45918</v>
      </c>
      <c r="AP51" s="3">
        <f>[2]หน้าผ้า!DP60</f>
        <v>45914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งานเคลือบ+พิมพ์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WRWT25850/WRWT25850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45905</v>
      </c>
      <c r="B52" s="14" t="str">
        <f>[2]หน้าผ้า!B61</f>
        <v>MK68-001078</v>
      </c>
      <c r="C52" s="9" t="str">
        <f>[2]หน้าผ้า!E61</f>
        <v>บจก.อินเทคค์ โกลบอล</v>
      </c>
      <c r="D52" s="13" t="str">
        <f>[2]หน้าผ้า!F61</f>
        <v>เพอเฟคค์ 912</v>
      </c>
      <c r="E52" s="9">
        <f>[2]หน้าผ้า!G61</f>
        <v>20</v>
      </c>
      <c r="F52" s="9">
        <f>[2]หน้าผ้า!H61</f>
        <v>36</v>
      </c>
      <c r="G52" s="9" t="str">
        <f>[2]หน้าผ้า!I61</f>
        <v>ขาว</v>
      </c>
      <c r="H52" s="9" t="str">
        <f>[2]หน้าผ้า!J61</f>
        <v>ด้าน</v>
      </c>
      <c r="I52" s="9">
        <f>[2]หน้าผ้า!L61</f>
        <v>100</v>
      </c>
      <c r="J52" s="9" t="str">
        <f>[2]หน้าผ้า!M61</f>
        <v>±</v>
      </c>
      <c r="K52" s="9">
        <f>[2]หน้าผ้า!N61</f>
        <v>5</v>
      </c>
      <c r="L52" s="9" t="str">
        <f>[2]หน้าผ้า!R61</f>
        <v>จับจีบ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มัด80 ใช้สายรัด</v>
      </c>
      <c r="T52" s="12">
        <f>[2]หน้าผ้า!X61</f>
        <v>45919</v>
      </c>
      <c r="U52" s="11">
        <f>[2]หน้าผ้า!AA61</f>
        <v>10000</v>
      </c>
      <c r="V52" s="10">
        <f>[2]หน้าผ้า!AJ61</f>
        <v>0</v>
      </c>
      <c r="W52" s="10">
        <f>[2]หน้าผ้า!AL61</f>
        <v>10000</v>
      </c>
      <c r="X52" s="10">
        <f>[2]หน้าผ้า!AM61</f>
        <v>0</v>
      </c>
      <c r="Y52" s="10">
        <f>[2]หน้าผ้า!AN61</f>
        <v>10500</v>
      </c>
      <c r="Z52" s="9" t="str">
        <f>[2]หน้าผ้า!AO61</f>
        <v>WSWT2025800SM</v>
      </c>
      <c r="AA52" s="8">
        <f>[2]หน้าผ้า!AQ61</f>
        <v>10477.5</v>
      </c>
      <c r="AB52" s="8">
        <f>[2]หน้าผ้า!AR61</f>
        <v>10477.5</v>
      </c>
      <c r="AC52" s="8">
        <f>[2]หน้าผ้า!AS61</f>
        <v>0</v>
      </c>
      <c r="AD52" s="8">
        <f>[2]หน้าผ้า!AT61</f>
        <v>10477.5</v>
      </c>
      <c r="AE52" s="8">
        <f>[2]หน้าผ้า!AU61</f>
        <v>0</v>
      </c>
      <c r="AF52" s="8">
        <f>[2]หน้าผ้า!AI61</f>
        <v>0</v>
      </c>
      <c r="AG52" s="1" t="str">
        <f>[3]หน้าผ้า!DC64</f>
        <v>ยังไม่ได้พิมพ์</v>
      </c>
      <c r="AH52" s="1" t="str">
        <f>[2]หน้าผ้า!DL61</f>
        <v>P6</v>
      </c>
      <c r="AI52" s="1">
        <f>[2]หน้าผ้า!DM61</f>
        <v>4</v>
      </c>
      <c r="AJ52" s="3">
        <f>[2]หน้าผ้า!DN61</f>
        <v>45919</v>
      </c>
      <c r="AK52" s="3">
        <f>[2]หน้าผ้า!DQ61</f>
        <v>45915</v>
      </c>
      <c r="AL52" s="3">
        <f>[2]หน้าผ้า!DR61</f>
        <v>45908</v>
      </c>
      <c r="AM52" s="3">
        <f>[2]หน้าผ้า!DS61</f>
        <v>45916</v>
      </c>
      <c r="AN52" s="3">
        <f>[2]หน้าผ้า!DT61</f>
        <v>45917</v>
      </c>
      <c r="AO52" s="3">
        <f>[2]หน้าผ้า!DU61</f>
        <v>45918</v>
      </c>
      <c r="AP52" s="3">
        <f>[2]หน้าผ้า!DP61</f>
        <v>45914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งานเคลือบ+พิมพ์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WRWT25850/WRWT25850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45905</v>
      </c>
      <c r="B53" s="14" t="str">
        <f>[2]หน้าผ้า!B62</f>
        <v>MK68-001079</v>
      </c>
      <c r="C53" s="9" t="str">
        <f>[2]หน้าผ้า!E62</f>
        <v>บจก.อินเทคค์ โกลบอล</v>
      </c>
      <c r="D53" s="13" t="str">
        <f>[2]หน้าผ้า!F62</f>
        <v>เฟิร์สช้อย 902</v>
      </c>
      <c r="E53" s="9">
        <f>[2]หน้าผ้า!G62</f>
        <v>20</v>
      </c>
      <c r="F53" s="9">
        <f>[2]หน้าผ้า!H62</f>
        <v>36</v>
      </c>
      <c r="G53" s="9" t="str">
        <f>[2]หน้าผ้า!I62</f>
        <v>ขาว</v>
      </c>
      <c r="H53" s="9" t="str">
        <f>[2]หน้าผ้า!J62</f>
        <v>ด้าน</v>
      </c>
      <c r="I53" s="9">
        <f>[2]หน้าผ้า!L62</f>
        <v>100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จับจีบ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มัด80 ใช้สายรัด</v>
      </c>
      <c r="T53" s="12">
        <f>[2]หน้าผ้า!X62</f>
        <v>45920</v>
      </c>
      <c r="U53" s="11">
        <f>[2]หน้าผ้า!AA62</f>
        <v>5040</v>
      </c>
      <c r="V53" s="10">
        <f>[2]หน้าผ้า!AJ62</f>
        <v>0</v>
      </c>
      <c r="W53" s="10">
        <f>[2]หน้าผ้า!AL62</f>
        <v>5040</v>
      </c>
      <c r="X53" s="10">
        <f>[2]หน้าผ้า!AM62</f>
        <v>0</v>
      </c>
      <c r="Y53" s="10">
        <f>[2]หน้าผ้า!AN62</f>
        <v>5292</v>
      </c>
      <c r="Z53" s="9" t="str">
        <f>[2]หน้าผ้า!AO62</f>
        <v>WSWT2025800SM</v>
      </c>
      <c r="AA53" s="8">
        <f>[2]หน้าผ้า!AQ62</f>
        <v>5280.6600000000008</v>
      </c>
      <c r="AB53" s="8">
        <f>[2]หน้าผ้า!AR62</f>
        <v>5280.6600000000008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5280.6600000000008</v>
      </c>
      <c r="AF53" s="8">
        <f>[2]หน้าผ้า!AI62</f>
        <v>0</v>
      </c>
      <c r="AG53" s="1" t="str">
        <f>[3]หน้าผ้า!DC65</f>
        <v>รอตัด</v>
      </c>
      <c r="AH53" s="1" t="str">
        <f>[2]หน้าผ้า!DL62</f>
        <v>P6</v>
      </c>
      <c r="AI53" s="1">
        <f>[2]หน้าผ้า!DM62</f>
        <v>4</v>
      </c>
      <c r="AJ53" s="3">
        <f>[2]หน้าผ้า!DN62</f>
        <v>45920</v>
      </c>
      <c r="AK53" s="3">
        <f>[2]หน้าผ้า!DQ62</f>
        <v>45916</v>
      </c>
      <c r="AL53" s="3">
        <f>[2]หน้าผ้า!DR62</f>
        <v>45909</v>
      </c>
      <c r="AM53" s="3">
        <f>[2]หน้าผ้า!DS62</f>
        <v>45917</v>
      </c>
      <c r="AN53" s="3">
        <f>[2]หน้าผ้า!DT62</f>
        <v>45918</v>
      </c>
      <c r="AO53" s="3">
        <f>[2]หน้าผ้า!DU62</f>
        <v>45919</v>
      </c>
      <c r="AP53" s="3">
        <f>[2]หน้าผ้า!DP62</f>
        <v>45915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งานเคลือบ+พิมพ์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WRWT25850/WRWT25850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45796</v>
      </c>
      <c r="B54" s="14" t="str">
        <f>[2]หน้าผ้า!B63</f>
        <v>MK68-000671</v>
      </c>
      <c r="C54" s="9" t="str">
        <f>[2]หน้าผ้า!E63</f>
        <v>บจก.อินเทคค์ โกลบอล</v>
      </c>
      <c r="D54" s="13" t="str">
        <f>[2]หน้าผ้า!F63</f>
        <v>เฟิร์สช้อย 902</v>
      </c>
      <c r="E54" s="9">
        <f>[2]หน้าผ้า!G63</f>
        <v>20</v>
      </c>
      <c r="F54" s="9">
        <f>[2]หน้าผ้า!H63</f>
        <v>36</v>
      </c>
      <c r="G54" s="9" t="str">
        <f>[2]หน้าผ้า!I63</f>
        <v>ขาว</v>
      </c>
      <c r="H54" s="9" t="str">
        <f>[2]หน้าผ้า!J63</f>
        <v>ด้าน</v>
      </c>
      <c r="I54" s="9">
        <f>[2]หน้าผ้า!L63</f>
        <v>100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จับจีบ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มัด80 ใช้สายรัด</v>
      </c>
      <c r="T54" s="12">
        <f>[2]หน้าผ้า!X63</f>
        <v>45920</v>
      </c>
      <c r="U54" s="11">
        <f>[2]หน้าผ้า!AA63</f>
        <v>366</v>
      </c>
      <c r="V54" s="10">
        <f>[2]หน้าผ้า!AJ63</f>
        <v>0</v>
      </c>
      <c r="W54" s="10">
        <f>[2]หน้าผ้า!AL63</f>
        <v>366</v>
      </c>
      <c r="X54" s="10">
        <f>[2]หน้าผ้า!AM63</f>
        <v>0</v>
      </c>
      <c r="Y54" s="10">
        <f>[2]หน้าผ้า!AN63</f>
        <v>384.3</v>
      </c>
      <c r="Z54" s="9" t="str">
        <f>[2]หน้าผ้า!AO63</f>
        <v>WSWT2025800SM</v>
      </c>
      <c r="AA54" s="8">
        <f>[2]หน้าผ้า!AQ63</f>
        <v>383.47650000000004</v>
      </c>
      <c r="AB54" s="8">
        <f>[2]หน้าผ้า!AR63</f>
        <v>383.47650000000004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383.47650000000004</v>
      </c>
      <c r="AF54" s="8">
        <f>[2]หน้าผ้า!AI63</f>
        <v>0</v>
      </c>
      <c r="AG54" s="1" t="str">
        <f>[3]หน้าผ้า!DC66</f>
        <v>พร้อมส่ง</v>
      </c>
      <c r="AH54" s="1" t="str">
        <f>[2]หน้าผ้า!DL63</f>
        <v>P6</v>
      </c>
      <c r="AI54" s="1">
        <f>[2]หน้าผ้า!DM63</f>
        <v>4</v>
      </c>
      <c r="AJ54" s="3">
        <f>[2]หน้าผ้า!DN63</f>
        <v>45920</v>
      </c>
      <c r="AK54" s="3">
        <f>[2]หน้าผ้า!DQ63</f>
        <v>45916</v>
      </c>
      <c r="AL54" s="3">
        <f>[2]หน้าผ้า!DR63</f>
        <v>45909</v>
      </c>
      <c r="AM54" s="3">
        <f>[2]หน้าผ้า!DS63</f>
        <v>45917</v>
      </c>
      <c r="AN54" s="3">
        <f>[2]หน้าผ้า!DT63</f>
        <v>45918</v>
      </c>
      <c r="AO54" s="3">
        <f>[2]หน้าผ้า!DU63</f>
        <v>45919</v>
      </c>
      <c r="AP54" s="3">
        <f>[2]หน้าผ้า!DP63</f>
        <v>45915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WRWT25850/WRWT25850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45905</v>
      </c>
      <c r="B55" s="14" t="str">
        <f>[2]หน้าผ้า!B64</f>
        <v>MK68-001079</v>
      </c>
      <c r="C55" s="9" t="str">
        <f>[2]หน้าผ้า!E64</f>
        <v>บจก.อินเทคค์ โกลบอล</v>
      </c>
      <c r="D55" s="13" t="str">
        <f>[2]หน้าผ้า!F64</f>
        <v>เฟิร์สช้อย 912</v>
      </c>
      <c r="E55" s="9">
        <f>[2]หน้าผ้า!G64</f>
        <v>20</v>
      </c>
      <c r="F55" s="9">
        <f>[2]หน้าผ้า!H64</f>
        <v>36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100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จับจีบ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มัด80 ใช้สายรัด</v>
      </c>
      <c r="T55" s="12">
        <f>[2]หน้าผ้า!X64</f>
        <v>45920</v>
      </c>
      <c r="U55" s="11">
        <f>[2]หน้าผ้า!AA64</f>
        <v>5040</v>
      </c>
      <c r="V55" s="10">
        <f>[2]หน้าผ้า!AJ64</f>
        <v>0</v>
      </c>
      <c r="W55" s="10">
        <f>[2]หน้าผ้า!AL64</f>
        <v>5040</v>
      </c>
      <c r="X55" s="10">
        <f>[2]หน้าผ้า!AM64</f>
        <v>0</v>
      </c>
      <c r="Y55" s="10">
        <f>[2]หน้าผ้า!AN64</f>
        <v>5292</v>
      </c>
      <c r="Z55" s="9" t="str">
        <f>[2]หน้าผ้า!AO64</f>
        <v>WSWT2025800SM</v>
      </c>
      <c r="AA55" s="8">
        <f>[2]หน้าผ้า!AQ64</f>
        <v>5280.6600000000008</v>
      </c>
      <c r="AB55" s="8">
        <f>[2]หน้าผ้า!AR64</f>
        <v>5280.6600000000008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5280.6600000000008</v>
      </c>
      <c r="AF55" s="8">
        <f>[2]หน้าผ้า!AI64</f>
        <v>0</v>
      </c>
      <c r="AG55" s="1" t="str">
        <f>[3]หน้าผ้า!DC67</f>
        <v>ยังไม่ได้พิมพ์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45920</v>
      </c>
      <c r="AK55" s="3">
        <f>[2]หน้าผ้า!DQ64</f>
        <v>45916</v>
      </c>
      <c r="AL55" s="3">
        <f>[2]หน้าผ้า!DR64</f>
        <v>45909</v>
      </c>
      <c r="AM55" s="3">
        <f>[2]หน้าผ้า!DS64</f>
        <v>45917</v>
      </c>
      <c r="AN55" s="3">
        <f>[2]หน้าผ้า!DT64</f>
        <v>45918</v>
      </c>
      <c r="AO55" s="3">
        <f>[2]หน้าผ้า!DU64</f>
        <v>45919</v>
      </c>
      <c r="AP55" s="3">
        <f>[2]หน้าผ้า!DP64</f>
        <v>45915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WRWT25850/WRWT25850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45902</v>
      </c>
      <c r="B56" s="14" t="str">
        <f>[2]หน้าผ้า!B65</f>
        <v>MK68-001071</v>
      </c>
      <c r="C56" s="9" t="str">
        <f>[2]หน้าผ้า!E65</f>
        <v>บจก.วีซีเอฟ</v>
      </c>
      <c r="D56" s="13" t="str">
        <f>[2]หน้าผ้า!F65</f>
        <v>VC181</v>
      </c>
      <c r="E56" s="9">
        <f>[2]หน้าผ้า!G65</f>
        <v>20</v>
      </c>
      <c r="F56" s="9">
        <f>[2]หน้าผ้า!H65</f>
        <v>37</v>
      </c>
      <c r="G56" s="9" t="str">
        <f>[2]หน้าผ้า!I65</f>
        <v>ขาว</v>
      </c>
      <c r="H56" s="9" t="str">
        <f>[2]หน้าผ้า!J65</f>
        <v>ใส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500กระสอบแบน</v>
      </c>
      <c r="T56" s="12">
        <f>[2]หน้าผ้า!X65</f>
        <v>45920</v>
      </c>
      <c r="U56" s="11">
        <f>[2]หน้าผ้า!AA65</f>
        <v>20000</v>
      </c>
      <c r="V56" s="10">
        <f>[2]หน้าผ้า!AJ65</f>
        <v>0</v>
      </c>
      <c r="W56" s="10">
        <f>[2]หน้าผ้า!AL65</f>
        <v>20000</v>
      </c>
      <c r="X56" s="10">
        <f>[2]หน้าผ้า!AM65</f>
        <v>20630</v>
      </c>
      <c r="Y56" s="10">
        <f>[2]หน้าผ้า!AN65</f>
        <v>0</v>
      </c>
      <c r="Z56" s="9" t="str">
        <f>[2]หน้าผ้า!AO65</f>
        <v>WSWT2025800SM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ยังไม่ได้พิมพ์</v>
      </c>
      <c r="AH56" s="1" t="str">
        <f>[2]หน้าผ้า!DL65</f>
        <v>P6</v>
      </c>
      <c r="AI56" s="1">
        <f>[2]หน้าผ้า!DM65</f>
        <v>4</v>
      </c>
      <c r="AJ56" s="3">
        <f>[2]หน้าผ้า!DN65</f>
        <v>45920</v>
      </c>
      <c r="AK56" s="3">
        <f>[2]หน้าผ้า!DQ65</f>
        <v>45916</v>
      </c>
      <c r="AL56" s="3">
        <f>[2]หน้าผ้า!DR65</f>
        <v>45909</v>
      </c>
      <c r="AM56" s="3">
        <f>[2]หน้าผ้า!DS65</f>
        <v>45917</v>
      </c>
      <c r="AN56" s="3">
        <f>[2]หน้าผ้า!DT65</f>
        <v>45918</v>
      </c>
      <c r="AO56" s="3">
        <f>[2]หน้าผ้า!DU65</f>
        <v>45919</v>
      </c>
      <c r="AP56" s="3">
        <f>[2]หน้าผ้า!DP65</f>
        <v>45915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WRWT25850/WRWT25850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45873</v>
      </c>
      <c r="B57" s="14" t="str">
        <f>[2]หน้าผ้า!B66</f>
        <v>MK68-000961</v>
      </c>
      <c r="C57" s="9" t="str">
        <f>[2]หน้าผ้า!E66</f>
        <v>บจก.เอพีเอ็ม อะโกร</v>
      </c>
      <c r="D57" s="13" t="str">
        <f>[2]หน้าผ้า!F66</f>
        <v>U-FEED U2(เอส)</v>
      </c>
      <c r="E57" s="9">
        <f>[2]หน้าผ้า!G66</f>
        <v>20</v>
      </c>
      <c r="F57" s="9">
        <f>[2]หน้าผ้า!H66</f>
        <v>38</v>
      </c>
      <c r="G57" s="9" t="str">
        <f>[2]หน้าผ้า!I66</f>
        <v>ขาว</v>
      </c>
      <c r="H57" s="9" t="str">
        <f>[2]หน้าผ้า!J66</f>
        <v>ใส</v>
      </c>
      <c r="I57" s="9">
        <f>[2]หน้าผ้า!L66</f>
        <v>100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500กระสอบแบน</v>
      </c>
      <c r="T57" s="12">
        <f>[2]หน้าผ้า!X66</f>
        <v>45922</v>
      </c>
      <c r="U57" s="11">
        <f>[2]หน้าผ้า!AA66</f>
        <v>4000</v>
      </c>
      <c r="V57" s="10">
        <f>[2]หน้าผ้า!AJ66</f>
        <v>4000</v>
      </c>
      <c r="W57" s="10">
        <f>[2]หน้าผ้า!AL66</f>
        <v>0</v>
      </c>
      <c r="X57" s="10">
        <f>[2]หน้าผ้า!AM66</f>
        <v>4130</v>
      </c>
      <c r="Y57" s="10">
        <f>[2]หน้าผ้า!AN66</f>
        <v>0</v>
      </c>
      <c r="Z57" s="9" t="str">
        <f>[2]หน้าผ้า!AO66</f>
        <v>WSWT2025800SM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ห้ามเกิน-ขาดได้5%</v>
      </c>
      <c r="AG57" s="1" t="str">
        <f>[3]หน้าผ้า!DC69</f>
        <v>ยังไม่ได้พิมพ์</v>
      </c>
      <c r="AH57" s="1" t="str">
        <f>[2]หน้าผ้า!DL66</f>
        <v>P6</v>
      </c>
      <c r="AI57" s="1">
        <f>[2]หน้าผ้า!DM66</f>
        <v>4</v>
      </c>
      <c r="AJ57" s="3">
        <f>[2]หน้าผ้า!DN66</f>
        <v>45922</v>
      </c>
      <c r="AK57" s="3">
        <f>[2]หน้าผ้า!DQ66</f>
        <v>45918</v>
      </c>
      <c r="AL57" s="3">
        <f>[2]หน้าผ้า!DR66</f>
        <v>45911</v>
      </c>
      <c r="AM57" s="3">
        <f>[2]หน้าผ้า!DS66</f>
        <v>45919</v>
      </c>
      <c r="AN57" s="3">
        <f>[2]หน้าผ้า!DT66</f>
        <v>45920</v>
      </c>
      <c r="AO57" s="3">
        <f>[2]หน้าผ้า!DU66</f>
        <v>45921</v>
      </c>
      <c r="AP57" s="3">
        <f>[2]หน้าผ้า!DP66</f>
        <v>45917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 xml:space="preserve"> /</v>
      </c>
      <c r="AY57" s="2" t="str">
        <f>[2]หน้าผ้า!AG66</f>
        <v xml:space="preserve">ลบสี   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WRWT25850/WRWT25850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45908</v>
      </c>
      <c r="B58" s="14" t="str">
        <f>[2]หน้าผ้า!B67</f>
        <v>ใบรับคำสั่งซื้อ</v>
      </c>
      <c r="C58" s="9" t="str">
        <f>[2]หน้าผ้า!E67</f>
        <v>บจก.เอ.เจ.ฟาร์ม่าแล็บ</v>
      </c>
      <c r="D58" s="13" t="str">
        <f>[2]หน้าผ้า!F67</f>
        <v>เบส-มิน</v>
      </c>
      <c r="E58" s="9">
        <f>[2]หน้าผ้า!G67</f>
        <v>20</v>
      </c>
      <c r="F58" s="9">
        <f>[2]หน้าผ้า!H67</f>
        <v>34</v>
      </c>
      <c r="G58" s="9" t="str">
        <f>[2]หน้าผ้า!I67</f>
        <v>ขาว</v>
      </c>
      <c r="H58" s="9" t="str">
        <f>[2]หน้าผ้า!J67</f>
        <v>ใส</v>
      </c>
      <c r="I58" s="9">
        <f>[2]หน้าผ้า!L67</f>
        <v>95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500กระสอบ</v>
      </c>
      <c r="T58" s="12">
        <f>[2]หน้าผ้า!X67</f>
        <v>45922</v>
      </c>
      <c r="U58" s="11">
        <f>[2]หน้าผ้า!AA67</f>
        <v>8000</v>
      </c>
      <c r="V58" s="10">
        <f>[2]หน้าผ้า!AJ67</f>
        <v>0</v>
      </c>
      <c r="W58" s="10">
        <f>[2]หน้าผ้า!AL67</f>
        <v>8000</v>
      </c>
      <c r="X58" s="10">
        <f>[2]หน้าผ้า!AM67</f>
        <v>0</v>
      </c>
      <c r="Y58" s="10">
        <f>[2]หน้าผ้า!AN67</f>
        <v>8400</v>
      </c>
      <c r="Z58" s="9" t="str">
        <f>[2]หน้าผ้า!AO67</f>
        <v>WSWT2025800SM</v>
      </c>
      <c r="AA58" s="8">
        <f>[2]หน้าผ้า!AQ67</f>
        <v>7934.96</v>
      </c>
      <c r="AB58" s="8">
        <f>[2]หน้าผ้า!AR67</f>
        <v>7934.96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7934.96</v>
      </c>
      <c r="AF58" s="8">
        <f>[2]หน้าผ้า!AI67</f>
        <v>0</v>
      </c>
      <c r="AG58" s="1" t="str">
        <f>[3]หน้าผ้า!DC70</f>
        <v>ยังไม่ได้พิมพ์</v>
      </c>
      <c r="AH58" s="1">
        <f>[2]หน้าผ้า!DL67</f>
        <v>0</v>
      </c>
      <c r="AI58" s="1">
        <f>[2]หน้าผ้า!DM67</f>
        <v>0</v>
      </c>
      <c r="AJ58" s="3">
        <f>[2]หน้าผ้า!DN67</f>
        <v>0</v>
      </c>
      <c r="AK58" s="3">
        <f>[2]หน้าผ้า!DQ67</f>
        <v>0</v>
      </c>
      <c r="AL58" s="3">
        <f>[2]หน้าผ้า!DR67</f>
        <v>0</v>
      </c>
      <c r="AM58" s="3">
        <f>[2]หน้าผ้า!DS67</f>
        <v>0</v>
      </c>
      <c r="AN58" s="3">
        <f>[2]หน้าผ้า!DT67</f>
        <v>0</v>
      </c>
      <c r="AO58" s="3">
        <f>[2]หน้าผ้า!DU67</f>
        <v>0</v>
      </c>
      <c r="AP58" s="3">
        <f>[2]หน้าผ้า!DP67</f>
        <v>0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>
        <f>[2]หน้าผ้า!EC67</f>
        <v>0</v>
      </c>
      <c r="AX58" s="2">
        <f>[2]หน้าผ้า!ED67</f>
        <v>0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45908</v>
      </c>
      <c r="B59" s="14" t="str">
        <f>[2]หน้าผ้า!B68</f>
        <v>ใบรับคำสั่งซื้อ</v>
      </c>
      <c r="C59" s="9" t="str">
        <f>[2]หน้าผ้า!E68</f>
        <v>บจก.เอ.เจ.ฟาร์ม่าแล็บ</v>
      </c>
      <c r="D59" s="13" t="str">
        <f>[2]หน้าผ้า!F68</f>
        <v>เวท-มิน</v>
      </c>
      <c r="E59" s="9">
        <f>[2]หน้าผ้า!G68</f>
        <v>20</v>
      </c>
      <c r="F59" s="9">
        <f>[2]หน้าผ้า!H68</f>
        <v>34</v>
      </c>
      <c r="G59" s="9" t="str">
        <f>[2]หน้าผ้า!I68</f>
        <v>ขาว</v>
      </c>
      <c r="H59" s="9" t="str">
        <f>[2]หน้าผ้า!J68</f>
        <v>ใส</v>
      </c>
      <c r="I59" s="9">
        <f>[2]หน้าผ้า!L68</f>
        <v>95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จับจีบ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500กระสอบ</v>
      </c>
      <c r="T59" s="12">
        <f>[2]หน้าผ้า!X68</f>
        <v>45922</v>
      </c>
      <c r="U59" s="11">
        <f>[2]หน้าผ้า!AA68</f>
        <v>8000</v>
      </c>
      <c r="V59" s="10">
        <f>[2]หน้าผ้า!AJ68</f>
        <v>0</v>
      </c>
      <c r="W59" s="10">
        <f>[2]หน้าผ้า!AL68</f>
        <v>8000</v>
      </c>
      <c r="X59" s="10">
        <f>[2]หน้าผ้า!AM68</f>
        <v>0</v>
      </c>
      <c r="Y59" s="10">
        <f>[2]หน้าผ้า!AN68</f>
        <v>8400</v>
      </c>
      <c r="Z59" s="9" t="str">
        <f>[2]หน้าผ้า!AO68</f>
        <v>WSWT2025800SM</v>
      </c>
      <c r="AA59" s="8">
        <f>[2]หน้าผ้า!AQ68</f>
        <v>7934.96</v>
      </c>
      <c r="AB59" s="8">
        <f>[2]หน้าผ้า!AR68</f>
        <v>7000</v>
      </c>
      <c r="AC59" s="8">
        <f>[2]หน้าผ้า!AS68</f>
        <v>934.96</v>
      </c>
      <c r="AD59" s="8">
        <f>[2]หน้าผ้า!AT68</f>
        <v>0</v>
      </c>
      <c r="AE59" s="8">
        <f>[2]หน้าผ้า!AU68</f>
        <v>7934.96</v>
      </c>
      <c r="AF59" s="8">
        <f>[2]หน้าผ้า!AI68</f>
        <v>0</v>
      </c>
      <c r="AG59" s="1" t="str">
        <f>[3]หน้าผ้า!DC71</f>
        <v>ยังไม่ได้พิมพ์</v>
      </c>
      <c r="AH59" s="1">
        <f>[2]หน้าผ้า!DL68</f>
        <v>0</v>
      </c>
      <c r="AI59" s="1">
        <f>[2]หน้าผ้า!DM68</f>
        <v>0</v>
      </c>
      <c r="AJ59" s="3">
        <f>[2]หน้าผ้า!DN68</f>
        <v>0</v>
      </c>
      <c r="AK59" s="3">
        <f>[2]หน้าผ้า!DQ68</f>
        <v>0</v>
      </c>
      <c r="AL59" s="3">
        <f>[2]หน้าผ้า!DR68</f>
        <v>0</v>
      </c>
      <c r="AM59" s="3">
        <f>[2]หน้าผ้า!DS68</f>
        <v>0</v>
      </c>
      <c r="AN59" s="3">
        <f>[2]หน้าผ้า!DT68</f>
        <v>0</v>
      </c>
      <c r="AO59" s="3">
        <f>[2]หน้าผ้า!DU68</f>
        <v>0</v>
      </c>
      <c r="AP59" s="3">
        <f>[2]หน้าผ้า!DP68</f>
        <v>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>
        <f>[2]หน้าผ้า!EC68</f>
        <v>0</v>
      </c>
      <c r="AX59" s="2">
        <f>[2]หน้าผ้า!ED68</f>
        <v>0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70.641422222222232</v>
      </c>
    </row>
    <row r="60" spans="1:56" ht="27.75" customHeight="1" x14ac:dyDescent="0.45">
      <c r="A60" s="3">
        <f>[2]หน้าผ้า!C69</f>
        <v>45902</v>
      </c>
      <c r="B60" s="14" t="str">
        <f>[2]หน้าผ้า!B69</f>
        <v>MK68-001069</v>
      </c>
      <c r="C60" s="9" t="str">
        <f>[2]หน้าผ้า!E69</f>
        <v>บจก.วีซีเอฟ</v>
      </c>
      <c r="D60" s="13" t="str">
        <f>[2]หน้าผ้า!F69</f>
        <v>VC193</v>
      </c>
      <c r="E60" s="9">
        <f>[2]หน้าผ้า!G69</f>
        <v>20</v>
      </c>
      <c r="F60" s="9">
        <f>[2]หน้าผ้า!H69</f>
        <v>37</v>
      </c>
      <c r="G60" s="9" t="str">
        <f>[2]หน้าผ้า!I69</f>
        <v>ขาว</v>
      </c>
      <c r="H60" s="9" t="str">
        <f>[2]หน้าผ้า!J69</f>
        <v>ใส</v>
      </c>
      <c r="I60" s="9">
        <f>[2]หน้าผ้า!L69</f>
        <v>100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500กระสอบแบน</v>
      </c>
      <c r="T60" s="12">
        <f>[2]หน้าผ้า!X69</f>
        <v>45923</v>
      </c>
      <c r="U60" s="11">
        <f>[2]หน้าผ้า!AA69</f>
        <v>10000</v>
      </c>
      <c r="V60" s="10">
        <f>[2]หน้าผ้า!AJ69</f>
        <v>0</v>
      </c>
      <c r="W60" s="10">
        <f>[2]หน้าผ้า!AL69</f>
        <v>10000</v>
      </c>
      <c r="X60" s="10">
        <f>[2]หน้าผ้า!AM69</f>
        <v>0</v>
      </c>
      <c r="Y60" s="10">
        <f>[2]หน้าผ้า!AN69</f>
        <v>10500</v>
      </c>
      <c r="Z60" s="9" t="str">
        <f>[2]หน้าผ้า!AO69</f>
        <v>WSWT2025800SM</v>
      </c>
      <c r="AA60" s="8">
        <f>[2]หน้าผ้า!AQ69</f>
        <v>10756.900000000001</v>
      </c>
      <c r="AB60" s="8">
        <f>[2]หน้าผ้า!AR69</f>
        <v>10756.900000000001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10756.900000000001</v>
      </c>
      <c r="AF60" s="8">
        <f>[2]หน้าผ้า!AI69</f>
        <v>0</v>
      </c>
      <c r="AG60" s="1" t="str">
        <f>[3]หน้าผ้า!DC72</f>
        <v>ยังไม่ได้พิมพ์</v>
      </c>
      <c r="AH60" s="1" t="str">
        <f>[2]หน้าผ้า!DL69</f>
        <v>P6</v>
      </c>
      <c r="AI60" s="1">
        <f>[2]หน้าผ้า!DM69</f>
        <v>4</v>
      </c>
      <c r="AJ60" s="3">
        <f>[2]หน้าผ้า!DN69</f>
        <v>45923</v>
      </c>
      <c r="AK60" s="3">
        <f>[2]หน้าผ้า!DQ69</f>
        <v>45919</v>
      </c>
      <c r="AL60" s="3">
        <f>[2]หน้าผ้า!DR69</f>
        <v>45912</v>
      </c>
      <c r="AM60" s="3">
        <f>[2]หน้าผ้า!DS69</f>
        <v>45920</v>
      </c>
      <c r="AN60" s="3">
        <f>[2]หน้าผ้า!DT69</f>
        <v>45921</v>
      </c>
      <c r="AO60" s="3">
        <f>[2]หน้าผ้า!DU69</f>
        <v>45922</v>
      </c>
      <c r="AP60" s="3">
        <f>[2]หน้าผ้า!DP69</f>
        <v>45918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45896</v>
      </c>
      <c r="B61" s="14" t="str">
        <f>[2]หน้าผ้า!B70</f>
        <v>MK68-001040</v>
      </c>
      <c r="C61" s="9" t="str">
        <f>[2]หน้าผ้า!E70</f>
        <v>บจก.เอสพีเอ็ม อาหารสัตว์</v>
      </c>
      <c r="D61" s="13" t="str">
        <f>[2]หน้าผ้า!F70</f>
        <v>ฟิล กู๊ด พี4</v>
      </c>
      <c r="E61" s="9">
        <f>[2]หน้าผ้า!G70</f>
        <v>20</v>
      </c>
      <c r="F61" s="9">
        <f>[2]หน้าผ้า!H70</f>
        <v>38</v>
      </c>
      <c r="G61" s="9" t="str">
        <f>[2]หน้าผ้า!I70</f>
        <v>ขาว</v>
      </c>
      <c r="H61" s="9" t="str">
        <f>[2]หน้าผ้า!J70</f>
        <v>ใส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500กระสอบแบน</v>
      </c>
      <c r="T61" s="12">
        <f>[2]หน้าผ้า!X70</f>
        <v>45926</v>
      </c>
      <c r="U61" s="11">
        <f>[2]หน้าผ้า!AA70</f>
        <v>8000</v>
      </c>
      <c r="V61" s="10">
        <f>[2]หน้าผ้า!AJ70</f>
        <v>0</v>
      </c>
      <c r="W61" s="10">
        <f>[2]หน้าผ้า!AL70</f>
        <v>8000</v>
      </c>
      <c r="X61" s="10">
        <f>[2]หน้าผ้า!AM70</f>
        <v>0</v>
      </c>
      <c r="Y61" s="10">
        <f>[2]หน้าผ้า!AN70</f>
        <v>8400</v>
      </c>
      <c r="Z61" s="9" t="str">
        <f>[2]หน้าผ้า!AO70</f>
        <v>WSWT2025800SM</v>
      </c>
      <c r="AA61" s="8">
        <f>[2]หน้าผ้า!AQ70</f>
        <v>8829.0399999999991</v>
      </c>
      <c r="AB61" s="8">
        <f>[2]หน้าผ้า!AR70</f>
        <v>8829.0399999999991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8829.0399999999991</v>
      </c>
      <c r="AF61" s="8">
        <f>[2]หน้าผ้า!AI70</f>
        <v>0</v>
      </c>
      <c r="AG61" s="1" t="str">
        <f>[3]หน้าผ้า!DC73</f>
        <v>รอตัด</v>
      </c>
      <c r="AH61" s="1" t="str">
        <f>[2]หน้าผ้า!DL70</f>
        <v>P6</v>
      </c>
      <c r="AI61" s="1">
        <f>[2]หน้าผ้า!DM70</f>
        <v>5</v>
      </c>
      <c r="AJ61" s="3">
        <f>[2]หน้าผ้า!DN70</f>
        <v>45926</v>
      </c>
      <c r="AK61" s="3">
        <f>[2]หน้าผ้า!DQ70</f>
        <v>45921</v>
      </c>
      <c r="AL61" s="3">
        <f>[2]หน้าผ้า!DR70</f>
        <v>45914</v>
      </c>
      <c r="AM61" s="3">
        <f>[2]หน้าผ้า!DS70</f>
        <v>45922</v>
      </c>
      <c r="AN61" s="3">
        <f>[2]หน้าผ้า!DT70</f>
        <v>45923</v>
      </c>
      <c r="AO61" s="3">
        <f>[2]หน้าผ้า!DU70</f>
        <v>45924</v>
      </c>
      <c r="AP61" s="3">
        <f>[2]หน้าผ้า!DP70</f>
        <v>45921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45892</v>
      </c>
      <c r="B62" s="14" t="str">
        <f>[2]หน้าผ้า!B71</f>
        <v>MK68-001029</v>
      </c>
      <c r="C62" s="9" t="str">
        <f>[2]หน้าผ้า!E71</f>
        <v>บจก.เอสพีเอ็ม อาหารสัตว์</v>
      </c>
      <c r="D62" s="13" t="str">
        <f>[2]หน้าผ้า!F71</f>
        <v>SPM 312</v>
      </c>
      <c r="E62" s="9">
        <f>[2]หน้าผ้า!G71</f>
        <v>20</v>
      </c>
      <c r="F62" s="9">
        <f>[2]หน้าผ้า!H71</f>
        <v>37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97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500กระสอบแบน</v>
      </c>
      <c r="T62" s="12">
        <f>[2]หน้าผ้า!X71</f>
        <v>45930</v>
      </c>
      <c r="U62" s="11">
        <f>[2]หน้าผ้า!AA71</f>
        <v>3000</v>
      </c>
      <c r="V62" s="10">
        <f>[2]หน้าผ้า!AJ71</f>
        <v>0</v>
      </c>
      <c r="W62" s="10">
        <f>[2]หน้าผ้า!AL71</f>
        <v>3000</v>
      </c>
      <c r="X62" s="10">
        <f>[2]หน้าผ้า!AM71</f>
        <v>0</v>
      </c>
      <c r="Y62" s="10">
        <f>[2]หน้าผ้า!AN71</f>
        <v>3150</v>
      </c>
      <c r="Z62" s="9" t="str">
        <f>[2]หน้าผ้า!AO71</f>
        <v>WSWT2025800SM</v>
      </c>
      <c r="AA62" s="8">
        <f>[2]หน้าผ้า!AQ71</f>
        <v>3227.07</v>
      </c>
      <c r="AB62" s="8">
        <f>[2]หน้าผ้า!AR71</f>
        <v>3227.07</v>
      </c>
      <c r="AC62" s="8">
        <f>[2]หน้าผ้า!AS71</f>
        <v>0</v>
      </c>
      <c r="AD62" s="8">
        <f>[2]หน้าผ้า!AT71</f>
        <v>3227.07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ยังไม่ได้พิมพ์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45930</v>
      </c>
      <c r="AK62" s="3">
        <f>[2]หน้าผ้า!DQ71</f>
        <v>45926</v>
      </c>
      <c r="AL62" s="3">
        <f>[2]หน้าผ้า!DR71</f>
        <v>45919</v>
      </c>
      <c r="AM62" s="3">
        <f>[2]หน้าผ้า!DS71</f>
        <v>45927</v>
      </c>
      <c r="AN62" s="3">
        <f>[2]หน้าผ้า!DT71</f>
        <v>45928</v>
      </c>
      <c r="AO62" s="3">
        <f>[2]หน้าผ้า!DU71</f>
        <v>45929</v>
      </c>
      <c r="AP62" s="3">
        <f>[2]หน้าผ้า!DP71</f>
        <v>45925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45891</v>
      </c>
      <c r="B63" s="14" t="str">
        <f>[2]หน้าผ้า!B72</f>
        <v>MK68-001033</v>
      </c>
      <c r="C63" s="9" t="str">
        <f>[2]หน้าผ้า!E72</f>
        <v>บจก.เอสพีเอ็ม อาหารสัตว์</v>
      </c>
      <c r="D63" s="13" t="str">
        <f>[2]หน้าผ้า!F72</f>
        <v>นาโน 03</v>
      </c>
      <c r="E63" s="9">
        <f>[2]หน้าผ้า!G72</f>
        <v>20</v>
      </c>
      <c r="F63" s="9">
        <f>[2]หน้าผ้า!H72</f>
        <v>38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500กระสอบแบน</v>
      </c>
      <c r="T63" s="12">
        <f>[2]หน้าผ้า!X72</f>
        <v>45930</v>
      </c>
      <c r="U63" s="11">
        <f>[2]หน้าผ้า!AA72</f>
        <v>9000</v>
      </c>
      <c r="V63" s="10">
        <f>[2]หน้าผ้า!AJ72</f>
        <v>0</v>
      </c>
      <c r="W63" s="10">
        <f>[2]หน้าผ้า!AL72</f>
        <v>9000</v>
      </c>
      <c r="X63" s="10">
        <f>[2]หน้าผ้า!AM72</f>
        <v>0</v>
      </c>
      <c r="Y63" s="10">
        <f>[2]หน้าผ้า!AN72</f>
        <v>9450</v>
      </c>
      <c r="Z63" s="9" t="str">
        <f>[2]หน้าผ้า!AO72</f>
        <v>WSWT2025800SM</v>
      </c>
      <c r="AA63" s="8">
        <f>[2]หน้าผ้า!AQ72</f>
        <v>9932.67</v>
      </c>
      <c r="AB63" s="8">
        <f>[2]หน้าผ้า!AR72</f>
        <v>9932.67</v>
      </c>
      <c r="AC63" s="8">
        <f>[2]หน้าผ้า!AS72</f>
        <v>0</v>
      </c>
      <c r="AD63" s="8">
        <f>[2]หน้าผ้า!AT72</f>
        <v>9932.67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รอแบบ</v>
      </c>
      <c r="AH63" s="1" t="str">
        <f>[2]หน้าผ้า!DL72</f>
        <v>P6</v>
      </c>
      <c r="AI63" s="1">
        <f>[2]หน้าผ้า!DM72</f>
        <v>5</v>
      </c>
      <c r="AJ63" s="3">
        <f>[2]หน้าผ้า!DN72</f>
        <v>45930</v>
      </c>
      <c r="AK63" s="3">
        <f>[2]หน้าผ้า!DQ72</f>
        <v>45925</v>
      </c>
      <c r="AL63" s="3">
        <f>[2]หน้าผ้า!DR72</f>
        <v>45918</v>
      </c>
      <c r="AM63" s="3">
        <f>[2]หน้าผ้า!DS72</f>
        <v>45926</v>
      </c>
      <c r="AN63" s="3">
        <f>[2]หน้าผ้า!DT72</f>
        <v>45927</v>
      </c>
      <c r="AO63" s="3">
        <f>[2]หน้าผ้า!DU72</f>
        <v>45928</v>
      </c>
      <c r="AP63" s="3">
        <f>[2]หน้าผ้า!DP72</f>
        <v>45925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45891</v>
      </c>
      <c r="B64" s="14" t="str">
        <f>[2]หน้าผ้า!B73</f>
        <v>MK68-001034</v>
      </c>
      <c r="C64" s="9" t="str">
        <f>[2]หน้าผ้า!E73</f>
        <v>บจก.เอสพีเอ็ม อาหารสัตว์</v>
      </c>
      <c r="D64" s="13" t="str">
        <f>[2]หน้าผ้า!F73</f>
        <v>นาโน 01</v>
      </c>
      <c r="E64" s="9">
        <f>[2]หน้าผ้า!G73</f>
        <v>20</v>
      </c>
      <c r="F64" s="9">
        <f>[2]หน้าผ้า!H73</f>
        <v>38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500กระสอบแบน</v>
      </c>
      <c r="T64" s="12">
        <f>[2]หน้าผ้า!X73</f>
        <v>45930</v>
      </c>
      <c r="U64" s="11">
        <f>[2]หน้าผ้า!AA73</f>
        <v>4000</v>
      </c>
      <c r="V64" s="10">
        <f>[2]หน้าผ้า!AJ73</f>
        <v>0</v>
      </c>
      <c r="W64" s="10">
        <f>[2]หน้าผ้า!AL73</f>
        <v>4000</v>
      </c>
      <c r="X64" s="10">
        <f>[2]หน้าผ้า!AM73</f>
        <v>4100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รอแบบ</v>
      </c>
      <c r="AH64" s="1" t="str">
        <f>[2]หน้าผ้า!DL73</f>
        <v>P6</v>
      </c>
      <c r="AI64" s="1">
        <f>[2]หน้าผ้า!DM73</f>
        <v>5</v>
      </c>
      <c r="AJ64" s="3">
        <f>[2]หน้าผ้า!DN73</f>
        <v>45930</v>
      </c>
      <c r="AK64" s="3">
        <f>[2]หน้าผ้า!DQ73</f>
        <v>45925</v>
      </c>
      <c r="AL64" s="3">
        <f>[2]หน้าผ้า!DR73</f>
        <v>45918</v>
      </c>
      <c r="AM64" s="3">
        <f>[2]หน้าผ้า!DS73</f>
        <v>45926</v>
      </c>
      <c r="AN64" s="3">
        <f>[2]หน้าผ้า!DT73</f>
        <v>45927</v>
      </c>
      <c r="AO64" s="3">
        <f>[2]หน้าผ้า!DU73</f>
        <v>45928</v>
      </c>
      <c r="AP64" s="3">
        <f>[2]หน้าผ้า!DP73</f>
        <v>45925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45891</v>
      </c>
      <c r="B65" s="14" t="str">
        <f>[2]หน้าผ้า!B74</f>
        <v>MK68-001035</v>
      </c>
      <c r="C65" s="9" t="str">
        <f>[2]หน้าผ้า!E74</f>
        <v>บจก.เอสพีเอ็ม อาหารสัตว์</v>
      </c>
      <c r="D65" s="13" t="str">
        <f>[2]หน้าผ้า!F74</f>
        <v>นาโน 02</v>
      </c>
      <c r="E65" s="9">
        <f>[2]หน้าผ้า!G74</f>
        <v>20</v>
      </c>
      <c r="F65" s="9">
        <f>[2]หน้าผ้า!H74</f>
        <v>38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500กระสอบแบน</v>
      </c>
      <c r="T65" s="12">
        <f>[2]หน้าผ้า!X74</f>
        <v>45930</v>
      </c>
      <c r="U65" s="11">
        <f>[2]หน้าผ้า!AA74</f>
        <v>9000</v>
      </c>
      <c r="V65" s="10">
        <f>[2]หน้าผ้า!AJ74</f>
        <v>0</v>
      </c>
      <c r="W65" s="10">
        <f>[2]หน้าผ้า!AL74</f>
        <v>9000</v>
      </c>
      <c r="X65" s="10">
        <f>[2]หน้าผ้า!AM74</f>
        <v>0</v>
      </c>
      <c r="Y65" s="10">
        <f>[2]หน้าผ้า!AN74</f>
        <v>9450</v>
      </c>
      <c r="Z65" s="9" t="str">
        <f>[2]หน้าผ้า!AO74</f>
        <v>WSWT2025800SM</v>
      </c>
      <c r="AA65" s="8">
        <f>[2]หน้าผ้า!AQ74</f>
        <v>9932.67</v>
      </c>
      <c r="AB65" s="8">
        <f>[2]หน้าผ้า!AR74</f>
        <v>9932.67</v>
      </c>
      <c r="AC65" s="8">
        <f>[2]หน้าผ้า!AS74</f>
        <v>0</v>
      </c>
      <c r="AD65" s="8">
        <f>[2]หน้าผ้า!AT74</f>
        <v>9932.67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รอแบบ</v>
      </c>
      <c r="AH65" s="1" t="str">
        <f>[2]หน้าผ้า!DL74</f>
        <v>P6</v>
      </c>
      <c r="AI65" s="1">
        <f>[2]หน้าผ้า!DM74</f>
        <v>5</v>
      </c>
      <c r="AJ65" s="3">
        <f>[2]หน้าผ้า!DN74</f>
        <v>45930</v>
      </c>
      <c r="AK65" s="3">
        <f>[2]หน้าผ้า!DQ74</f>
        <v>45925</v>
      </c>
      <c r="AL65" s="3">
        <f>[2]หน้าผ้า!DR74</f>
        <v>45918</v>
      </c>
      <c r="AM65" s="3">
        <f>[2]หน้าผ้า!DS74</f>
        <v>45926</v>
      </c>
      <c r="AN65" s="3">
        <f>[2]หน้าผ้า!DT74</f>
        <v>45927</v>
      </c>
      <c r="AO65" s="3">
        <f>[2]หน้าผ้า!DU74</f>
        <v>45928</v>
      </c>
      <c r="AP65" s="3">
        <f>[2]หน้าผ้า!DP74</f>
        <v>45925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 t="str">
        <f>[2]หน้าผ้า!C75</f>
        <v>ประมาณการ</v>
      </c>
      <c r="B66" s="14" t="str">
        <f>[2]หน้าผ้า!B75</f>
        <v>ประมาณการ</v>
      </c>
      <c r="C66" s="9" t="str">
        <f>[2]หน้าผ้า!E75</f>
        <v>บจก.อินเทคค์ โกลบอล</v>
      </c>
      <c r="D66" s="13" t="str">
        <f>[2]หน้าผ้า!F75</f>
        <v>รอแบบ</v>
      </c>
      <c r="E66" s="9">
        <f>[2]หน้าผ้า!G75</f>
        <v>20</v>
      </c>
      <c r="F66" s="9">
        <f>[2]หน้าผ้า!H75</f>
        <v>36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มัด80 ใช้สายรัด</v>
      </c>
      <c r="T66" s="12">
        <f>[2]หน้าผ้า!X75</f>
        <v>45930</v>
      </c>
      <c r="U66" s="11">
        <f>[2]หน้าผ้า!AA75</f>
        <v>100000</v>
      </c>
      <c r="V66" s="10">
        <f>[2]หน้าผ้า!AJ75</f>
        <v>0</v>
      </c>
      <c r="W66" s="10">
        <f>[2]หน้าผ้า!AL75</f>
        <v>100000</v>
      </c>
      <c r="X66" s="10">
        <f>[2]หน้าผ้า!AM75</f>
        <v>0</v>
      </c>
      <c r="Y66" s="10">
        <f>[2]หน้าผ้า!AN75</f>
        <v>105000</v>
      </c>
      <c r="Z66" s="9" t="str">
        <f>[2]หน้าผ้า!AO75</f>
        <v>WSWT2025800SM</v>
      </c>
      <c r="AA66" s="8">
        <f>[2]หน้าผ้า!AQ75</f>
        <v>104775.00000000001</v>
      </c>
      <c r="AB66" s="8">
        <f>[2]หน้าผ้า!AR75</f>
        <v>0</v>
      </c>
      <c r="AC66" s="8">
        <f>[2]หน้าผ้า!AS75</f>
        <v>104775.00000000001</v>
      </c>
      <c r="AD66" s="8">
        <f>[2]หน้าผ้า!AT75</f>
        <v>0</v>
      </c>
      <c r="AE66" s="8">
        <f>[2]หน้าผ้า!AU75</f>
        <v>104775.00000000001</v>
      </c>
      <c r="AF66" s="8">
        <f>[2]หน้าผ้า!AI75</f>
        <v>0</v>
      </c>
      <c r="AG66" s="1" t="str">
        <f>[3]หน้าผ้า!DC78</f>
        <v>พร้อมส่ง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45930</v>
      </c>
      <c r="AK66" s="3">
        <f>[2]หน้าผ้า!DQ75</f>
        <v>45926</v>
      </c>
      <c r="AL66" s="3">
        <f>[2]หน้าผ้า!DR75</f>
        <v>45919</v>
      </c>
      <c r="AM66" s="3">
        <f>[2]หน้าผ้า!DS75</f>
        <v>45927</v>
      </c>
      <c r="AN66" s="3">
        <f>[2]หน้าผ้า!DT75</f>
        <v>45928</v>
      </c>
      <c r="AO66" s="3">
        <f>[2]หน้าผ้า!DU75</f>
        <v>45929</v>
      </c>
      <c r="AP66" s="3">
        <f>[2]หน้าผ้า!DP75</f>
        <v>45925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>รอART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7916.333333333333</v>
      </c>
    </row>
    <row r="67" spans="1:56" ht="27.75" customHeight="1" x14ac:dyDescent="0.45">
      <c r="A67" s="3" t="str">
        <f>[2]หน้าผ้า!C76</f>
        <v>ประมาณการ</v>
      </c>
      <c r="B67" s="14" t="str">
        <f>[2]หน้าผ้า!B76</f>
        <v>ประมาณการ</v>
      </c>
      <c r="C67" s="9" t="str">
        <f>[2]หน้าผ้า!E76</f>
        <v>บจก.เอสพีเอ็ม อาหารสัตว์</v>
      </c>
      <c r="D67" s="13" t="str">
        <f>[2]หน้าผ้า!F76</f>
        <v>รอแบบ</v>
      </c>
      <c r="E67" s="9">
        <f>[2]หน้าผ้า!G76</f>
        <v>20</v>
      </c>
      <c r="F67" s="9">
        <f>[2]หน้าผ้า!H76</f>
        <v>38</v>
      </c>
      <c r="G67" s="9" t="str">
        <f>[2]หน้าผ้า!I76</f>
        <v>ขาว</v>
      </c>
      <c r="H67" s="9" t="str">
        <f>[2]หน้าผ้า!J76</f>
        <v>ใส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500กระสอบแบน</v>
      </c>
      <c r="T67" s="12">
        <f>[2]หน้าผ้า!X76</f>
        <v>45930</v>
      </c>
      <c r="U67" s="11">
        <f>[2]หน้าผ้า!AA76</f>
        <v>20000</v>
      </c>
      <c r="V67" s="10">
        <f>[2]หน้าผ้า!AJ76</f>
        <v>0</v>
      </c>
      <c r="W67" s="10">
        <f>[2]หน้าผ้า!AL76</f>
        <v>20000</v>
      </c>
      <c r="X67" s="10">
        <f>[2]หน้าผ้า!AM76</f>
        <v>0</v>
      </c>
      <c r="Y67" s="10">
        <f>[2]หน้าผ้า!AN76</f>
        <v>21000</v>
      </c>
      <c r="Z67" s="9" t="str">
        <f>[2]หน้าผ้า!AO76</f>
        <v>WSWT2025800SM</v>
      </c>
      <c r="AA67" s="8">
        <f>[2]หน้าผ้า!AQ76</f>
        <v>22072.6</v>
      </c>
      <c r="AB67" s="8">
        <f>[2]หน้าผ้า!AR76</f>
        <v>0</v>
      </c>
      <c r="AC67" s="8">
        <f>[2]หน้าผ้า!AS76</f>
        <v>22072.6</v>
      </c>
      <c r="AD67" s="8">
        <f>[2]หน้าผ้า!AT76</f>
        <v>0</v>
      </c>
      <c r="AE67" s="8">
        <f>[2]หน้าผ้า!AU76</f>
        <v>22072.6</v>
      </c>
      <c r="AF67" s="8">
        <f>[2]หน้าผ้า!AI76</f>
        <v>0</v>
      </c>
      <c r="AG67" s="1" t="str">
        <f>[3]หน้าผ้า!DC79</f>
        <v>รอตัด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45930</v>
      </c>
      <c r="AK67" s="3">
        <f>[2]หน้าผ้า!DQ76</f>
        <v>45926</v>
      </c>
      <c r="AL67" s="3">
        <f>[2]หน้าผ้า!DR76</f>
        <v>45919</v>
      </c>
      <c r="AM67" s="3">
        <f>[2]หน้าผ้า!DS76</f>
        <v>45927</v>
      </c>
      <c r="AN67" s="3">
        <f>[2]หน้าผ้า!DT76</f>
        <v>45928</v>
      </c>
      <c r="AO67" s="3">
        <f>[2]หน้าผ้า!DU76</f>
        <v>45929</v>
      </c>
      <c r="AP67" s="3">
        <f>[2]หน้าผ้า!DP76</f>
        <v>45925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>รอART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1667.7075555555555</v>
      </c>
    </row>
    <row r="68" spans="1:56" ht="27.75" customHeight="1" x14ac:dyDescent="0.45">
      <c r="A68" s="3" t="str">
        <f>[2]หน้าผ้า!C77</f>
        <v>ประมาณการ</v>
      </c>
      <c r="B68" s="14" t="str">
        <f>[2]หน้าผ้า!B77</f>
        <v>ประมาณการ</v>
      </c>
      <c r="C68" s="9" t="str">
        <f>[2]หน้าผ้า!E77</f>
        <v>บจก.ไทยธรรมดี</v>
      </c>
      <c r="D68" s="13" t="str">
        <f>[2]หน้าผ้า!F77</f>
        <v>รอแบบ</v>
      </c>
      <c r="E68" s="9">
        <f>[2]หน้าผ้า!G77</f>
        <v>20</v>
      </c>
      <c r="F68" s="9">
        <f>[2]หน้าผ้า!H77</f>
        <v>37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97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</v>
      </c>
      <c r="T68" s="12">
        <f>[2]หน้าผ้า!X77</f>
        <v>45930</v>
      </c>
      <c r="U68" s="11">
        <f>[2]หน้าผ้า!AA77</f>
        <v>20000</v>
      </c>
      <c r="V68" s="10">
        <f>[2]หน้าผ้า!AJ77</f>
        <v>0</v>
      </c>
      <c r="W68" s="10">
        <f>[2]หน้าผ้า!AL77</f>
        <v>20000</v>
      </c>
      <c r="X68" s="10">
        <f>[2]หน้าผ้า!AM77</f>
        <v>0</v>
      </c>
      <c r="Y68" s="10">
        <f>[2]หน้าผ้า!AN77</f>
        <v>21000</v>
      </c>
      <c r="Z68" s="9" t="str">
        <f>[2]หน้าผ้า!AO77</f>
        <v>WSWT2025800SM</v>
      </c>
      <c r="AA68" s="8">
        <f>[2]หน้าผ้า!AQ77</f>
        <v>21513.800000000003</v>
      </c>
      <c r="AB68" s="8">
        <f>[2]หน้าผ้า!AR77</f>
        <v>0</v>
      </c>
      <c r="AC68" s="8">
        <f>[2]หน้าผ้า!AS77</f>
        <v>21513.800000000003</v>
      </c>
      <c r="AD68" s="8">
        <f>[2]หน้าผ้า!AT77</f>
        <v>0</v>
      </c>
      <c r="AE68" s="8">
        <f>[2]หน้าผ้า!AU77</f>
        <v>21513.800000000003</v>
      </c>
      <c r="AF68" s="8">
        <f>[2]หน้าผ้า!AI77</f>
        <v>0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45930</v>
      </c>
      <c r="AK68" s="3">
        <f>[2]หน้าผ้า!DQ77</f>
        <v>45926</v>
      </c>
      <c r="AL68" s="3">
        <f>[2]หน้าผ้า!DR77</f>
        <v>45919</v>
      </c>
      <c r="AM68" s="3">
        <f>[2]หน้าผ้า!DS77</f>
        <v>45927</v>
      </c>
      <c r="AN68" s="3">
        <f>[2]หน้าผ้า!DT77</f>
        <v>45928</v>
      </c>
      <c r="AO68" s="3">
        <f>[2]หน้าผ้า!DU77</f>
        <v>45929</v>
      </c>
      <c r="AP68" s="3">
        <f>[2]หน้าผ้า!DP77</f>
        <v>45925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>รอART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1625.4871111111113</v>
      </c>
    </row>
    <row r="69" spans="1:56" ht="27.75" customHeight="1" x14ac:dyDescent="0.45">
      <c r="A69" s="3">
        <f>[2]หน้าผ้า!C78</f>
        <v>45892</v>
      </c>
      <c r="B69" s="14" t="str">
        <f>[2]หน้าผ้า!B78</f>
        <v>MK68-001024</v>
      </c>
      <c r="C69" s="9" t="str">
        <f>[2]หน้าผ้า!E78</f>
        <v>บจก.อินเทคค์ โกลบอล</v>
      </c>
      <c r="D69" s="13" t="str">
        <f>[2]หน้าผ้า!F78</f>
        <v>เฟิร์สช้อย 913</v>
      </c>
      <c r="E69" s="9">
        <f>[2]หน้าผ้า!G78</f>
        <v>20</v>
      </c>
      <c r="F69" s="9">
        <f>[2]หน้าผ้า!H78</f>
        <v>36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มัด80 ใช้สายรัด</v>
      </c>
      <c r="T69" s="12" t="str">
        <f>[2]หน้าผ้า!X78</f>
        <v>รอแจ้ง</v>
      </c>
      <c r="U69" s="11">
        <f>[2]หน้าผ้า!AA78</f>
        <v>640</v>
      </c>
      <c r="V69" s="10">
        <f>[2]หน้าผ้า!AJ78</f>
        <v>0</v>
      </c>
      <c r="W69" s="10">
        <f>[2]หน้าผ้า!AL78</f>
        <v>640</v>
      </c>
      <c r="X69" s="10">
        <f>[2]หน้าผ้า!AM78</f>
        <v>6000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 t="str">
        <f>[2]หน้าผ้า!DN78</f>
        <v>รอแจ้ง</v>
      </c>
      <c r="AK69" s="3" t="e">
        <f>[2]หน้าผ้า!DQ78</f>
        <v>#VALUE!</v>
      </c>
      <c r="AL69" s="3" t="e">
        <f>[2]หน้าผ้า!DR78</f>
        <v>#VALUE!</v>
      </c>
      <c r="AM69" s="3" t="e">
        <f>[2]หน้าผ้า!DS78</f>
        <v>#VALUE!</v>
      </c>
      <c r="AN69" s="3" t="e">
        <f>[2]หน้าผ้า!DT78</f>
        <v>#VALUE!</v>
      </c>
      <c r="AO69" s="3" t="e">
        <f>[2]หน้าผ้า!DU78</f>
        <v>#VALUE!</v>
      </c>
      <c r="AP69" s="3" t="e">
        <f>[2]หน้าผ้า!DP78</f>
        <v>#VALUE!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 t="str">
        <f>[2]หน้าผ้า!AG78</f>
        <v>สีผิดเบอร์280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45892</v>
      </c>
      <c r="B70" s="14" t="str">
        <f>[2]หน้าผ้า!B79</f>
        <v>MK68-001026</v>
      </c>
      <c r="C70" s="9" t="str">
        <f>[2]หน้าผ้า!E79</f>
        <v>บจก.อินเทคค์ โกลบอล</v>
      </c>
      <c r="D70" s="13" t="str">
        <f>[2]หน้าผ้า!F79</f>
        <v>เพอเฟคค์ 913</v>
      </c>
      <c r="E70" s="9">
        <f>[2]หน้าผ้า!G79</f>
        <v>20</v>
      </c>
      <c r="F70" s="9">
        <f>[2]หน้าผ้า!H79</f>
        <v>36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มัด80 ใช้สายรัด</v>
      </c>
      <c r="T70" s="12" t="str">
        <f>[2]หน้าผ้า!X79</f>
        <v>รอแจ้ง</v>
      </c>
      <c r="U70" s="11">
        <f>[2]หน้าผ้า!AA79</f>
        <v>1840</v>
      </c>
      <c r="V70" s="10">
        <f>[2]หน้าผ้า!AJ79</f>
        <v>80</v>
      </c>
      <c r="W70" s="10">
        <f>[2]หน้าผ้า!AL79</f>
        <v>1760</v>
      </c>
      <c r="X70" s="10">
        <f>[2]หน้าผ้า!AM79</f>
        <v>10650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 t="str">
        <f>[2]หน้าผ้า!DN79</f>
        <v>รอแจ้ง</v>
      </c>
      <c r="AK70" s="3" t="e">
        <f>[2]หน้าผ้า!DQ79</f>
        <v>#VALUE!</v>
      </c>
      <c r="AL70" s="3" t="e">
        <f>[2]หน้าผ้า!DR79</f>
        <v>#VALUE!</v>
      </c>
      <c r="AM70" s="3" t="e">
        <f>[2]หน้าผ้า!DS79</f>
        <v>#VALUE!</v>
      </c>
      <c r="AN70" s="3" t="e">
        <f>[2]หน้าผ้า!DT79</f>
        <v>#VALUE!</v>
      </c>
      <c r="AO70" s="3" t="e">
        <f>[2]หน้าผ้า!DU79</f>
        <v>#VALUE!</v>
      </c>
      <c r="AP70" s="3" t="e">
        <f>[2]หน้าผ้า!DP79</f>
        <v>#VALUE!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45887</v>
      </c>
      <c r="B71" s="14" t="str">
        <f>[2]หน้าผ้า!B80</f>
        <v>MK68-001007</v>
      </c>
      <c r="C71" s="9" t="str">
        <f>[2]หน้าผ้า!E80</f>
        <v>บจก.อินเทคค์ โกลบอล</v>
      </c>
      <c r="D71" s="13" t="str">
        <f>[2]หน้าผ้า!F80</f>
        <v>เพอเฟคค์ 916</v>
      </c>
      <c r="E71" s="9">
        <f>[2]หน้าผ้า!G80</f>
        <v>20</v>
      </c>
      <c r="F71" s="9">
        <f>[2]หน้าผ้า!H80</f>
        <v>36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จับจีบ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มัด80 ใช้สายรัด</v>
      </c>
      <c r="T71" s="12" t="str">
        <f>[2]หน้าผ้า!X80</f>
        <v>รอแจ้ง</v>
      </c>
      <c r="U71" s="11">
        <f>[2]หน้าผ้า!AA80</f>
        <v>104</v>
      </c>
      <c r="V71" s="10">
        <f>[2]หน้าผ้า!AJ80</f>
        <v>0</v>
      </c>
      <c r="W71" s="10">
        <f>[2]หน้าผ้า!AL80</f>
        <v>104</v>
      </c>
      <c r="X71" s="10">
        <f>[2]หน้าผ้า!AM80</f>
        <v>11230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P6</v>
      </c>
      <c r="AI71" s="1">
        <f>[2]หน้าผ้า!DM80</f>
        <v>4</v>
      </c>
      <c r="AJ71" s="3" t="str">
        <f>[2]หน้าผ้า!DN80</f>
        <v>รอแจ้ง</v>
      </c>
      <c r="AK71" s="3" t="e">
        <f>[2]หน้าผ้า!DQ80</f>
        <v>#VALUE!</v>
      </c>
      <c r="AL71" s="3" t="e">
        <f>[2]หน้าผ้า!DR80</f>
        <v>#VALUE!</v>
      </c>
      <c r="AM71" s="3" t="e">
        <f>[2]หน้าผ้า!DS80</f>
        <v>#VALUE!</v>
      </c>
      <c r="AN71" s="3" t="e">
        <f>[2]หน้าผ้า!DT80</f>
        <v>#VALUE!</v>
      </c>
      <c r="AO71" s="3" t="e">
        <f>[2]หน้าผ้า!DU80</f>
        <v>#VALUE!</v>
      </c>
      <c r="AP71" s="3" t="e">
        <f>[2]หน้าผ้า!DP80</f>
        <v>#VALUE!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 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45896</v>
      </c>
      <c r="B72" s="14" t="str">
        <f>[2]หน้าผ้า!B81</f>
        <v>MK68-001039</v>
      </c>
      <c r="C72" s="9" t="str">
        <f>[2]หน้าผ้า!E81</f>
        <v>บจก.เอสพีเอ็ม อาหารสัตว์</v>
      </c>
      <c r="D72" s="13" t="str">
        <f>[2]หน้าผ้า!F81</f>
        <v>U-GOAT14</v>
      </c>
      <c r="E72" s="9">
        <f>[2]หน้าผ้า!G81</f>
        <v>20</v>
      </c>
      <c r="F72" s="9">
        <f>[2]หน้าผ้า!H81</f>
        <v>38</v>
      </c>
      <c r="G72" s="9" t="str">
        <f>[2]หน้าผ้า!I81</f>
        <v>ขาว</v>
      </c>
      <c r="H72" s="9" t="str">
        <f>[2]หน้าผ้า!J81</f>
        <v>ใส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500กระสอบแบน</v>
      </c>
      <c r="T72" s="12" t="str">
        <f>[2]หน้าผ้า!X81</f>
        <v>รอแจ้ง</v>
      </c>
      <c r="U72" s="11">
        <f>[2]หน้าผ้า!AA81</f>
        <v>3000</v>
      </c>
      <c r="V72" s="10">
        <f>[2]หน้าผ้า!AJ81</f>
        <v>0</v>
      </c>
      <c r="W72" s="10">
        <f>[2]หน้าผ้า!AL81</f>
        <v>3000</v>
      </c>
      <c r="X72" s="10">
        <f>[2]หน้าผ้า!AM81</f>
        <v>0</v>
      </c>
      <c r="Y72" s="10">
        <f>[2]หน้าผ้า!AN81</f>
        <v>3150</v>
      </c>
      <c r="Z72" s="9" t="str">
        <f>[2]หน้าผ้า!AO81</f>
        <v>WSWT2025800SM</v>
      </c>
      <c r="AA72" s="8">
        <f>[2]หน้าผ้า!AQ81</f>
        <v>3310.89</v>
      </c>
      <c r="AB72" s="8">
        <f>[2]หน้าผ้า!AR81</f>
        <v>0</v>
      </c>
      <c r="AC72" s="8">
        <f>[2]หน้าผ้า!AS81</f>
        <v>3310.89</v>
      </c>
      <c r="AD72" s="8">
        <f>[2]หน้าผ้า!AT81</f>
        <v>0</v>
      </c>
      <c r="AE72" s="8">
        <f>[2]หน้าผ้า!AU81</f>
        <v>3310.89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P6</v>
      </c>
      <c r="AI72" s="1">
        <f>[2]หน้าผ้า!DM81</f>
        <v>5</v>
      </c>
      <c r="AJ72" s="3" t="str">
        <f>[2]หน้าผ้า!DN81</f>
        <v>รอแจ้ง</v>
      </c>
      <c r="AK72" s="3" t="e">
        <f>[2]หน้าผ้า!DQ81</f>
        <v>#VALUE!</v>
      </c>
      <c r="AL72" s="3" t="e">
        <f>[2]หน้าผ้า!DR81</f>
        <v>#VALUE!</v>
      </c>
      <c r="AM72" s="3" t="e">
        <f>[2]หน้าผ้า!DS81</f>
        <v>#VALUE!</v>
      </c>
      <c r="AN72" s="3" t="e">
        <f>[2]หน้าผ้า!DT81</f>
        <v>#VALUE!</v>
      </c>
      <c r="AO72" s="3" t="e">
        <f>[2]หน้าผ้า!DU81</f>
        <v>#VALUE!</v>
      </c>
      <c r="AP72" s="3" t="e">
        <f>[2]หน้าผ้า!DP81</f>
        <v>#VALUE!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 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250.15613333333337</v>
      </c>
    </row>
    <row r="73" spans="1:56" ht="27.75" customHeight="1" x14ac:dyDescent="0.45">
      <c r="A73" s="3">
        <f>[2]หน้าผ้า!C82</f>
        <v>45892</v>
      </c>
      <c r="B73" s="14" t="str">
        <f>[2]หน้าผ้า!B82</f>
        <v>MK68-001027</v>
      </c>
      <c r="C73" s="9" t="str">
        <f>[2]หน้าผ้า!E82</f>
        <v>บจก.เอสพีเอ็ม อาหารสัตว์</v>
      </c>
      <c r="D73" s="13" t="str">
        <f>[2]หน้าผ้า!F82</f>
        <v>นีโอ 05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ไม่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 t="str">
        <f>[2]หน้าผ้า!X82</f>
        <v>รอแจ้ง</v>
      </c>
      <c r="U73" s="11">
        <f>[2]หน้าผ้า!AA82</f>
        <v>6000</v>
      </c>
      <c r="V73" s="10">
        <f>[2]หน้าผ้า!AJ82</f>
        <v>0</v>
      </c>
      <c r="W73" s="10">
        <f>[2]หน้าผ้า!AL82</f>
        <v>6000</v>
      </c>
      <c r="X73" s="10">
        <f>[2]หน้าผ้า!AM82</f>
        <v>0</v>
      </c>
      <c r="Y73" s="10">
        <f>[2]หน้าผ้า!AN82</f>
        <v>6300</v>
      </c>
      <c r="Z73" s="9" t="str">
        <f>[2]หน้าผ้า!AO82</f>
        <v>WSWT2025800SM</v>
      </c>
      <c r="AA73" s="8">
        <f>[2]หน้าผ้า!AQ82</f>
        <v>6621.78</v>
      </c>
      <c r="AB73" s="8">
        <f>[2]หน้าผ้า!AR82</f>
        <v>0</v>
      </c>
      <c r="AC73" s="8">
        <f>[2]หน้าผ้า!AS82</f>
        <v>6621.78</v>
      </c>
      <c r="AD73" s="8">
        <f>[2]หน้าผ้า!AT82</f>
        <v>0</v>
      </c>
      <c r="AE73" s="8">
        <f>[2]หน้าผ้า!AU82</f>
        <v>6621.78</v>
      </c>
      <c r="AF73" s="8">
        <f>[2]หน้าผ้า!AI82</f>
        <v>0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 t="str">
        <f>[2]หน้าผ้า!DN82</f>
        <v>รอแจ้ง</v>
      </c>
      <c r="AK73" s="3" t="e">
        <f>[2]หน้าผ้า!DQ82</f>
        <v>#VALUE!</v>
      </c>
      <c r="AL73" s="3" t="e">
        <f>[2]หน้าผ้า!DR82</f>
        <v>#VALUE!</v>
      </c>
      <c r="AM73" s="3" t="e">
        <f>[2]หน้าผ้า!DS82</f>
        <v>#VALUE!</v>
      </c>
      <c r="AN73" s="3" t="e">
        <f>[2]หน้าผ้า!DT82</f>
        <v>#VALUE!</v>
      </c>
      <c r="AO73" s="3" t="e">
        <f>[2]หน้าผ้า!DU82</f>
        <v>#VALUE!</v>
      </c>
      <c r="AP73" s="3" t="e">
        <f>[2]หน้าผ้า!DP82</f>
        <v>#VALUE!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500.31226666666674</v>
      </c>
    </row>
    <row r="74" spans="1:56" ht="27.75" customHeight="1" x14ac:dyDescent="0.45">
      <c r="A74" s="3">
        <f>[2]หน้าผ้า!C83</f>
        <v>45796</v>
      </c>
      <c r="B74" s="14" t="str">
        <f>[2]หน้าผ้า!B83</f>
        <v>MK68-000675</v>
      </c>
      <c r="C74" s="9" t="str">
        <f>[2]หน้าผ้า!E83</f>
        <v>บจก.อินเทคค์ โกลบอล</v>
      </c>
      <c r="D74" s="13" t="str">
        <f>[2]หน้าผ้า!F83</f>
        <v>เพอเฟคค์ 914</v>
      </c>
      <c r="E74" s="9">
        <f>[2]หน้าผ้า!G83</f>
        <v>20</v>
      </c>
      <c r="F74" s="9">
        <f>[2]หน้าผ้า!H83</f>
        <v>36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มัด80 ใช้สายรัด</v>
      </c>
      <c r="T74" s="12" t="str">
        <f>[2]หน้าผ้า!X83</f>
        <v>รอแจ้ง</v>
      </c>
      <c r="U74" s="11">
        <f>[2]หน้าผ้า!AA83</f>
        <v>240</v>
      </c>
      <c r="V74" s="10">
        <f>[2]หน้าผ้า!AJ83</f>
        <v>0</v>
      </c>
      <c r="W74" s="10">
        <f>[2]หน้าผ้า!AL83</f>
        <v>240</v>
      </c>
      <c r="X74" s="10">
        <f>[2]หน้าผ้า!AM83</f>
        <v>0</v>
      </c>
      <c r="Y74" s="10">
        <f>[2]หน้าผ้า!AN83</f>
        <v>252</v>
      </c>
      <c r="Z74" s="9" t="str">
        <f>[2]หน้าผ้า!AO83</f>
        <v>WSWT2025800SM</v>
      </c>
      <c r="AA74" s="8">
        <f>[2]หน้าผ้า!AQ83</f>
        <v>251.46</v>
      </c>
      <c r="AB74" s="8">
        <f>[2]หน้าผ้า!AR83</f>
        <v>0</v>
      </c>
      <c r="AC74" s="8">
        <f>[2]หน้าผ้า!AS83</f>
        <v>251.46</v>
      </c>
      <c r="AD74" s="8">
        <f>[2]หน้าผ้า!AT83</f>
        <v>0</v>
      </c>
      <c r="AE74" s="8">
        <f>[2]หน้าผ้า!AU83</f>
        <v>251.46</v>
      </c>
      <c r="AF74" s="8">
        <f>[2]หน้าผ้า!AI83</f>
        <v>0</v>
      </c>
      <c r="AG74" s="1" t="str">
        <f>[3]หน้าผ้า!DC86</f>
        <v>รอแบบ</v>
      </c>
      <c r="AH74" s="1" t="str">
        <f>[2]หน้าผ้า!DL83</f>
        <v>P6</v>
      </c>
      <c r="AI74" s="1">
        <f>[2]หน้าผ้า!DM83</f>
        <v>4</v>
      </c>
      <c r="AJ74" s="3" t="str">
        <f>[2]หน้าผ้า!DN83</f>
        <v>รอแจ้ง</v>
      </c>
      <c r="AK74" s="3" t="e">
        <f>[2]หน้าผ้า!DQ83</f>
        <v>#VALUE!</v>
      </c>
      <c r="AL74" s="3" t="e">
        <f>[2]หน้าผ้า!DR83</f>
        <v>#VALUE!</v>
      </c>
      <c r="AM74" s="3" t="e">
        <f>[2]หน้าผ้า!DS83</f>
        <v>#VALUE!</v>
      </c>
      <c r="AN74" s="3" t="e">
        <f>[2]หน้าผ้า!DT83</f>
        <v>#VALUE!</v>
      </c>
      <c r="AO74" s="3" t="e">
        <f>[2]หน้าผ้า!DU83</f>
        <v>#VALUE!</v>
      </c>
      <c r="AP74" s="3" t="e">
        <f>[2]หน้าผ้า!DP83</f>
        <v>#VALUE!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 t="str">
        <f>[2]หน้าผ้า!AG83</f>
        <v>2/6---6/6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18.999199999999998</v>
      </c>
    </row>
    <row r="75" spans="1:56" ht="27.75" customHeight="1" x14ac:dyDescent="0.45">
      <c r="A75" s="3">
        <f>[2]หน้าผ้า!C84</f>
        <v>45876</v>
      </c>
      <c r="B75" s="14" t="str">
        <f>[2]หน้าผ้า!B84</f>
        <v>MK68-000983</v>
      </c>
      <c r="C75" s="9" t="str">
        <f>[2]หน้าผ้า!E84</f>
        <v>บจก.เอพีเอ็ม อะโกร</v>
      </c>
      <c r="D75" s="13" t="str">
        <f>[2]หน้าผ้า!F84</f>
        <v>ยูฟีด บี2</v>
      </c>
      <c r="E75" s="9">
        <f>[2]หน้าผ้า!G84</f>
        <v>20</v>
      </c>
      <c r="F75" s="9">
        <f>[2]หน้าผ้า!H84</f>
        <v>40</v>
      </c>
      <c r="G75" s="9" t="str">
        <f>[2]หน้าผ้า!I84</f>
        <v>ขาว</v>
      </c>
      <c r="H75" s="9" t="str">
        <f>[2]หน้าผ้า!J84</f>
        <v>ใส</v>
      </c>
      <c r="I75" s="9">
        <f>[2]หน้าผ้า!L84</f>
        <v>108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 t="str">
        <f>[2]หน้าผ้า!X84</f>
        <v>รอแจ้ง</v>
      </c>
      <c r="U75" s="11">
        <f>[2]หน้าผ้า!AA84</f>
        <v>3000</v>
      </c>
      <c r="V75" s="10">
        <f>[2]หน้าผ้า!AJ84</f>
        <v>3075</v>
      </c>
      <c r="W75" s="10">
        <f>[2]หน้าผ้า!AL84</f>
        <v>0</v>
      </c>
      <c r="X75" s="10">
        <f>[2]หน้าผ้า!AM84</f>
        <v>0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P6</v>
      </c>
      <c r="AI75" s="1">
        <f>[2]หน้าผ้า!DM84</f>
        <v>4</v>
      </c>
      <c r="AJ75" s="3" t="str">
        <f>[2]หน้าผ้า!DN84</f>
        <v>รอแจ้ง</v>
      </c>
      <c r="AK75" s="3" t="e">
        <f>[2]หน้าผ้า!DQ84</f>
        <v>#VALUE!</v>
      </c>
      <c r="AL75" s="3" t="e">
        <f>[2]หน้าผ้า!DR84</f>
        <v>#VALUE!</v>
      </c>
      <c r="AM75" s="3" t="e">
        <f>[2]หน้าผ้า!DS84</f>
        <v>#VALUE!</v>
      </c>
      <c r="AN75" s="3" t="e">
        <f>[2]หน้าผ้า!DT84</f>
        <v>#VALUE!</v>
      </c>
      <c r="AO75" s="3" t="e">
        <f>[2]หน้าผ้า!DU84</f>
        <v>#VALUE!</v>
      </c>
      <c r="AP75" s="3" t="e">
        <f>[2]หน้าผ้า!DP84</f>
        <v>#VALUE!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45877</v>
      </c>
      <c r="B76" s="14" t="str">
        <f>[2]หน้าผ้า!B85</f>
        <v>MK68-000990</v>
      </c>
      <c r="C76" s="9" t="str">
        <f>[2]หน้าผ้า!E85</f>
        <v>บจก.เอสพีเอ็ม อาหารสัตว์</v>
      </c>
      <c r="D76" s="13" t="str">
        <f>[2]หน้าผ้า!F85</f>
        <v>SW 441 PLUS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 t="str">
        <f>[2]หน้าผ้า!X85</f>
        <v>รอแจ้ง</v>
      </c>
      <c r="U76" s="11">
        <f>[2]หน้าผ้า!AA85</f>
        <v>7000</v>
      </c>
      <c r="V76" s="10">
        <f>[2]หน้าผ้า!AJ85</f>
        <v>0</v>
      </c>
      <c r="W76" s="10">
        <f>[2]หน้าผ้า!AL85</f>
        <v>7000</v>
      </c>
      <c r="X76" s="10">
        <f>[2]หน้าผ้า!AM85</f>
        <v>0</v>
      </c>
      <c r="Y76" s="10">
        <f>[2]หน้าผ้า!AN85</f>
        <v>7350</v>
      </c>
      <c r="Z76" s="9" t="str">
        <f>[2]หน้าผ้า!AO85</f>
        <v>WSWT2025800SM</v>
      </c>
      <c r="AA76" s="8">
        <f>[2]หน้าผ้า!AQ85</f>
        <v>7725.41</v>
      </c>
      <c r="AB76" s="8">
        <f>[2]หน้าผ้า!AR85</f>
        <v>0</v>
      </c>
      <c r="AC76" s="8">
        <f>[2]หน้าผ้า!AS85</f>
        <v>7725.41</v>
      </c>
      <c r="AD76" s="8">
        <f>[2]หน้าผ้า!AT85</f>
        <v>0</v>
      </c>
      <c r="AE76" s="8">
        <f>[2]หน้าผ้า!AU85</f>
        <v>7725.41</v>
      </c>
      <c r="AF76" s="8">
        <f>[2]หน้าผ้า!AI85</f>
        <v>0</v>
      </c>
      <c r="AG76" s="1" t="str">
        <f>[3]หน้าผ้า!DC88</f>
        <v>พร้อมส่ง</v>
      </c>
      <c r="AH76" s="1" t="str">
        <f>[2]หน้าผ้า!DL85</f>
        <v>P6</v>
      </c>
      <c r="AI76" s="1">
        <f>[2]หน้าผ้า!DM85</f>
        <v>4</v>
      </c>
      <c r="AJ76" s="3" t="str">
        <f>[2]หน้าผ้า!DN85</f>
        <v>รอแจ้ง</v>
      </c>
      <c r="AK76" s="3" t="e">
        <f>[2]หน้าผ้า!DQ85</f>
        <v>#VALUE!</v>
      </c>
      <c r="AL76" s="3" t="e">
        <f>[2]หน้าผ้า!DR85</f>
        <v>#VALUE!</v>
      </c>
      <c r="AM76" s="3" t="e">
        <f>[2]หน้าผ้า!DS85</f>
        <v>#VALUE!</v>
      </c>
      <c r="AN76" s="3" t="e">
        <f>[2]หน้าผ้า!DT85</f>
        <v>#VALUE!</v>
      </c>
      <c r="AO76" s="3" t="e">
        <f>[2]หน้าผ้า!DU85</f>
        <v>#VALUE!</v>
      </c>
      <c r="AP76" s="3" t="e">
        <f>[2]หน้าผ้า!DP85</f>
        <v>#VALUE!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583.69764444444445</v>
      </c>
    </row>
    <row r="77" spans="1:56" ht="27.75" customHeight="1" x14ac:dyDescent="0.45">
      <c r="A77" s="3" t="str">
        <f>[2]หน้าผ้า!C86</f>
        <v>ประมาณการ</v>
      </c>
      <c r="B77" s="14" t="str">
        <f>[2]หน้าผ้า!B86</f>
        <v>ประมาณการ</v>
      </c>
      <c r="C77" s="9" t="str">
        <f>[2]หน้าผ้า!E86</f>
        <v>บจก.ซันฟีด</v>
      </c>
      <c r="D77" s="13" t="str">
        <f>[2]หน้าผ้า!F86</f>
        <v>รอแบบ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+</v>
      </c>
      <c r="K77" s="9">
        <f>[2]หน้าผ้า!N86</f>
        <v>0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 xml:space="preserve">300กระสอบแบนเต็มใบ </v>
      </c>
      <c r="T77" s="12" t="str">
        <f>[2]หน้าผ้า!X86</f>
        <v>รอแจ้ง</v>
      </c>
      <c r="U77" s="11">
        <f>[2]หน้าผ้า!AA86</f>
        <v>100000</v>
      </c>
      <c r="V77" s="10">
        <f>[2]หน้าผ้า!AJ86</f>
        <v>0</v>
      </c>
      <c r="W77" s="10">
        <f>[2]หน้าผ้า!AL86</f>
        <v>100000</v>
      </c>
      <c r="X77" s="10">
        <f>[2]หน้าผ้า!AM86</f>
        <v>0</v>
      </c>
      <c r="Y77" s="10">
        <f>[2]หน้าผ้า!AN86</f>
        <v>105000</v>
      </c>
      <c r="Z77" s="9" t="str">
        <f>[2]หน้าผ้า!AO86</f>
        <v>WSWT2025800SM</v>
      </c>
      <c r="AA77" s="8">
        <f>[2]หน้าผ้า!AQ86</f>
        <v>110363</v>
      </c>
      <c r="AB77" s="8">
        <f>[2]หน้าผ้า!AR86</f>
        <v>0</v>
      </c>
      <c r="AC77" s="8">
        <f>[2]หน้าผ้า!AS86</f>
        <v>110363</v>
      </c>
      <c r="AD77" s="8">
        <f>[2]หน้าผ้า!AT86</f>
        <v>0</v>
      </c>
      <c r="AE77" s="8">
        <f>[2]หน้าผ้า!AU86</f>
        <v>110363</v>
      </c>
      <c r="AF77" s="8">
        <f>[2]หน้าผ้า!AI86</f>
        <v>0</v>
      </c>
      <c r="AG77" s="1" t="str">
        <f>[3]หน้าผ้า!DC89</f>
        <v>ยังไม่ได้พิมพ์</v>
      </c>
      <c r="AH77" s="1" t="str">
        <f>[2]หน้าผ้า!DL86</f>
        <v>P6</v>
      </c>
      <c r="AI77" s="1">
        <f>[2]หน้าผ้า!DM86</f>
        <v>4</v>
      </c>
      <c r="AJ77" s="3" t="str">
        <f>[2]หน้าผ้า!DN86</f>
        <v>รอแจ้ง</v>
      </c>
      <c r="AK77" s="3" t="e">
        <f>[2]หน้าผ้า!DQ86</f>
        <v>#VALUE!</v>
      </c>
      <c r="AL77" s="3" t="e">
        <f>[2]หน้าผ้า!DR86</f>
        <v>#VALUE!</v>
      </c>
      <c r="AM77" s="3" t="e">
        <f>[2]หน้าผ้า!DS86</f>
        <v>#VALUE!</v>
      </c>
      <c r="AN77" s="3" t="e">
        <f>[2]หน้าผ้า!DT86</f>
        <v>#VALUE!</v>
      </c>
      <c r="AO77" s="3" t="e">
        <f>[2]หน้าผ้า!DU86</f>
        <v>#VALUE!</v>
      </c>
      <c r="AP77" s="3" t="e">
        <f>[2]หน้าผ้า!DP86</f>
        <v>#VALUE!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>รอART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8338.5377777777776</v>
      </c>
    </row>
    <row r="78" spans="1:56" ht="27.75" customHeight="1" x14ac:dyDescent="0.45">
      <c r="A78" s="3">
        <f>[2]หน้าผ้า!C87</f>
        <v>45825</v>
      </c>
      <c r="B78" s="14" t="str">
        <f>[2]หน้าผ้า!B87</f>
        <v>MK68-000801</v>
      </c>
      <c r="C78" s="9" t="str">
        <f>[2]หน้าผ้า!E87</f>
        <v>บจก.อินเทคค์ โกลบอล</v>
      </c>
      <c r="D78" s="13" t="str">
        <f>[2]หน้าผ้า!F87</f>
        <v>สุบรรณ 111</v>
      </c>
      <c r="E78" s="9">
        <f>[2]หน้าผ้า!G87</f>
        <v>20</v>
      </c>
      <c r="F78" s="9">
        <f>[2]หน้าผ้า!H87</f>
        <v>36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จับจีบ3.5"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มัด80 ใช้สายรัด</v>
      </c>
      <c r="T78" s="12" t="str">
        <f>[2]หน้าผ้า!X87</f>
        <v>รอแจ้ง</v>
      </c>
      <c r="U78" s="11">
        <f>[2]หน้าผ้า!AA87</f>
        <v>894</v>
      </c>
      <c r="V78" s="10">
        <f>[2]หน้าผ้า!AJ87</f>
        <v>525</v>
      </c>
      <c r="W78" s="10">
        <f>[2]หน้าผ้า!AL87</f>
        <v>369</v>
      </c>
      <c r="X78" s="10">
        <f>[2]หน้าผ้า!AM87</f>
        <v>6000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 t="str">
        <f>[2]หน้าผ้า!DN87</f>
        <v>รอแจ้ง</v>
      </c>
      <c r="AK78" s="3" t="e">
        <f>[2]หน้าผ้า!DQ87</f>
        <v>#VALUE!</v>
      </c>
      <c r="AL78" s="3" t="e">
        <f>[2]หน้าผ้า!DR87</f>
        <v>#VALUE!</v>
      </c>
      <c r="AM78" s="3" t="e">
        <f>[2]หน้าผ้า!DS87</f>
        <v>#VALUE!</v>
      </c>
      <c r="AN78" s="3" t="e">
        <f>[2]หน้าผ้า!DT87</f>
        <v>#VALUE!</v>
      </c>
      <c r="AO78" s="3" t="e">
        <f>[2]หน้าผ้า!DU87</f>
        <v>#VALUE!</v>
      </c>
      <c r="AP78" s="3" t="e">
        <f>[2]หน้าผ้า!DP87</f>
        <v>#VALUE!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 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45796</v>
      </c>
      <c r="B79" s="14" t="str">
        <f>[2]หน้าผ้า!B88</f>
        <v>MK68-000673</v>
      </c>
      <c r="C79" s="9" t="str">
        <f>[2]หน้าผ้า!E88</f>
        <v>บจก.อินเทคค์ โกลบอล</v>
      </c>
      <c r="D79" s="13" t="str">
        <f>[2]หน้าผ้า!F88</f>
        <v>เพอเฟคค์ 902</v>
      </c>
      <c r="E79" s="9">
        <f>[2]หน้าผ้า!G88</f>
        <v>20</v>
      </c>
      <c r="F79" s="9">
        <f>[2]หน้าผ้า!H88</f>
        <v>36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จับจีบ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มัด80 ใช้สายรัด</v>
      </c>
      <c r="T79" s="12" t="str">
        <f>[2]หน้าผ้า!X88</f>
        <v>รอแจ้ง</v>
      </c>
      <c r="U79" s="11">
        <f>[2]หน้าผ้า!AA88</f>
        <v>302</v>
      </c>
      <c r="V79" s="10">
        <f>[2]หน้าผ้า!AJ88</f>
        <v>0</v>
      </c>
      <c r="W79" s="10">
        <f>[2]หน้าผ้า!AL88</f>
        <v>302</v>
      </c>
      <c r="X79" s="10">
        <f>[2]หน้าผ้า!AM88</f>
        <v>5300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พร้อมส่ง</v>
      </c>
      <c r="AH79" s="1" t="str">
        <f>[2]หน้าผ้า!DL88</f>
        <v>P6</v>
      </c>
      <c r="AI79" s="1">
        <f>[2]หน้าผ้า!DM88</f>
        <v>4</v>
      </c>
      <c r="AJ79" s="3" t="str">
        <f>[2]หน้าผ้า!DN88</f>
        <v>รอแจ้ง</v>
      </c>
      <c r="AK79" s="3" t="e">
        <f>[2]หน้าผ้า!DQ88</f>
        <v>#VALUE!</v>
      </c>
      <c r="AL79" s="3" t="e">
        <f>[2]หน้าผ้า!DR88</f>
        <v>#VALUE!</v>
      </c>
      <c r="AM79" s="3" t="e">
        <f>[2]หน้าผ้า!DS88</f>
        <v>#VALUE!</v>
      </c>
      <c r="AN79" s="3" t="e">
        <f>[2]หน้าผ้า!DT88</f>
        <v>#VALUE!</v>
      </c>
      <c r="AO79" s="3" t="e">
        <f>[2]หน้าผ้า!DU88</f>
        <v>#VALUE!</v>
      </c>
      <c r="AP79" s="3" t="e">
        <f>[2]หน้าผ้า!DP88</f>
        <v>#VALUE!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45782</v>
      </c>
      <c r="B80" s="14" t="str">
        <f>[2]หน้าผ้า!B89</f>
        <v>MK68-000609</v>
      </c>
      <c r="C80" s="9" t="str">
        <f>[2]หน้าผ้า!E89</f>
        <v>บจก.เอสพีเอ็ม อาหารสัตว์</v>
      </c>
      <c r="D80" s="13" t="str">
        <f>[2]หน้าผ้า!F89</f>
        <v xml:space="preserve">SW 441 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ใส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 t="str">
        <f>[2]หน้าผ้า!X89</f>
        <v>รอแจ้ง</v>
      </c>
      <c r="U80" s="11">
        <f>[2]หน้าผ้า!AA89</f>
        <v>5000</v>
      </c>
      <c r="V80" s="10">
        <f>[2]หน้าผ้า!AJ89</f>
        <v>0</v>
      </c>
      <c r="W80" s="10">
        <f>[2]หน้าผ้า!AL89</f>
        <v>5000</v>
      </c>
      <c r="X80" s="10">
        <f>[2]หน้าผ้า!AM89</f>
        <v>0</v>
      </c>
      <c r="Y80" s="10">
        <f>[2]หน้าผ้า!AN89</f>
        <v>5250</v>
      </c>
      <c r="Z80" s="9" t="str">
        <f>[2]หน้าผ้า!AO89</f>
        <v>WSWT2025800SM</v>
      </c>
      <c r="AA80" s="8">
        <f>[2]หน้าผ้า!AQ89</f>
        <v>5518.15</v>
      </c>
      <c r="AB80" s="8">
        <f>[2]หน้าผ้า!AR89</f>
        <v>0</v>
      </c>
      <c r="AC80" s="8">
        <f>[2]หน้าผ้า!AS89</f>
        <v>5518.15</v>
      </c>
      <c r="AD80" s="8">
        <f>[2]หน้าผ้า!AT89</f>
        <v>0</v>
      </c>
      <c r="AE80" s="8">
        <f>[2]หน้าผ้า!AU89</f>
        <v>5518.15</v>
      </c>
      <c r="AF80" s="8">
        <f>[2]หน้าผ้า!AI89</f>
        <v>0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 t="str">
        <f>[2]หน้าผ้า!DN89</f>
        <v>รอแจ้ง</v>
      </c>
      <c r="AK80" s="3" t="e">
        <f>[2]หน้าผ้า!DQ89</f>
        <v>#VALUE!</v>
      </c>
      <c r="AL80" s="3" t="e">
        <f>[2]หน้าผ้า!DR89</f>
        <v>#VALUE!</v>
      </c>
      <c r="AM80" s="3" t="e">
        <f>[2]หน้าผ้า!DS89</f>
        <v>#VALUE!</v>
      </c>
      <c r="AN80" s="3" t="e">
        <f>[2]หน้าผ้า!DT89</f>
        <v>#VALUE!</v>
      </c>
      <c r="AO80" s="3" t="e">
        <f>[2]หน้าผ้า!DU89</f>
        <v>#VALUE!</v>
      </c>
      <c r="AP80" s="3" t="e">
        <f>[2]หน้าผ้า!DP89</f>
        <v>#VALUE!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 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416.92688888888887</v>
      </c>
    </row>
    <row r="81" spans="1:56" ht="27.75" customHeight="1" x14ac:dyDescent="0.45">
      <c r="A81" s="3">
        <f>[2]หน้าผ้า!C90</f>
        <v>45798</v>
      </c>
      <c r="B81" s="14" t="str">
        <f>[2]หน้าผ้า!B90</f>
        <v>MK68-000693</v>
      </c>
      <c r="C81" s="9" t="str">
        <f>[2]หน้าผ้า!E90</f>
        <v>บจก.เอพีเอ็ม อะโกร</v>
      </c>
      <c r="D81" s="13" t="str">
        <f>[2]หน้าผ้า!F90</f>
        <v>ฟีล กู๊ด พี07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 t="str">
        <f>[2]หน้าผ้า!X90</f>
        <v>รอแจ้ง</v>
      </c>
      <c r="U81" s="11">
        <f>[2]หน้าผ้า!AA90</f>
        <v>5000</v>
      </c>
      <c r="V81" s="10">
        <f>[2]หน้าผ้า!AJ90</f>
        <v>0</v>
      </c>
      <c r="W81" s="10">
        <f>[2]หน้าผ้า!AL90</f>
        <v>5000</v>
      </c>
      <c r="X81" s="10">
        <f>[2]หน้าผ้า!AM90</f>
        <v>0</v>
      </c>
      <c r="Y81" s="10">
        <f>[2]หน้าผ้า!AN90</f>
        <v>5250</v>
      </c>
      <c r="Z81" s="9" t="str">
        <f>[2]หน้าผ้า!AO90</f>
        <v>WSWT2025800SM</v>
      </c>
      <c r="AA81" s="8">
        <f>[2]หน้าผ้า!AQ90</f>
        <v>5518.15</v>
      </c>
      <c r="AB81" s="8">
        <f>[2]หน้าผ้า!AR90</f>
        <v>0</v>
      </c>
      <c r="AC81" s="8">
        <f>[2]หน้าผ้า!AS90</f>
        <v>5518.15</v>
      </c>
      <c r="AD81" s="8">
        <f>[2]หน้าผ้า!AT90</f>
        <v>0</v>
      </c>
      <c r="AE81" s="8">
        <f>[2]หน้าผ้า!AU90</f>
        <v>5518.15</v>
      </c>
      <c r="AF81" s="8">
        <f>[2]หน้าผ้า!AI90</f>
        <v>0</v>
      </c>
      <c r="AG81" s="1" t="str">
        <f>[3]หน้าผ้า!DC93</f>
        <v>รอตัด</v>
      </c>
      <c r="AH81" s="1" t="str">
        <f>[2]หน้าผ้า!DL90</f>
        <v>P6</v>
      </c>
      <c r="AI81" s="1">
        <f>[2]หน้าผ้า!DM90</f>
        <v>4</v>
      </c>
      <c r="AJ81" s="3" t="str">
        <f>[2]หน้าผ้า!DN90</f>
        <v>รอแจ้ง</v>
      </c>
      <c r="AK81" s="3" t="e">
        <f>[2]หน้าผ้า!DQ90</f>
        <v>#VALUE!</v>
      </c>
      <c r="AL81" s="3" t="e">
        <f>[2]หน้าผ้า!DR90</f>
        <v>#VALUE!</v>
      </c>
      <c r="AM81" s="3" t="e">
        <f>[2]หน้าผ้า!DS90</f>
        <v>#VALUE!</v>
      </c>
      <c r="AN81" s="3" t="e">
        <f>[2]หน้าผ้า!DT90</f>
        <v>#VALUE!</v>
      </c>
      <c r="AO81" s="3" t="e">
        <f>[2]หน้าผ้า!DU90</f>
        <v>#VALUE!</v>
      </c>
      <c r="AP81" s="3" t="e">
        <f>[2]หน้าผ้า!DP90</f>
        <v>#VALUE!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 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416.92688888888887</v>
      </c>
    </row>
    <row r="82" spans="1:56" ht="27.75" customHeight="1" x14ac:dyDescent="0.45">
      <c r="A82" s="3">
        <f>[2]หน้าผ้า!C91</f>
        <v>45674</v>
      </c>
      <c r="B82" s="14" t="str">
        <f>[2]หน้าผ้า!B91</f>
        <v>MK68-000093</v>
      </c>
      <c r="C82" s="9" t="str">
        <f>[2]หน้าผ้า!E91</f>
        <v>บจก.อินเทคค์ โกลบอล</v>
      </c>
      <c r="D82" s="13" t="str">
        <f>[2]หน้าผ้า!F91</f>
        <v>เฟิร์สคลาส 902</v>
      </c>
      <c r="E82" s="9">
        <f>[2]หน้าผ้า!G91</f>
        <v>20</v>
      </c>
      <c r="F82" s="9">
        <f>[2]หน้าผ้า!H91</f>
        <v>35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97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จับจีบ4"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มัด80 ใช้สายรัด</v>
      </c>
      <c r="T82" s="12" t="str">
        <f>[2]หน้าผ้า!X91</f>
        <v>รอแจ้ง</v>
      </c>
      <c r="U82" s="11">
        <f>[2]หน้าผ้า!AA91</f>
        <v>152</v>
      </c>
      <c r="V82" s="10">
        <f>[2]หน้าผ้า!AJ91</f>
        <v>0</v>
      </c>
      <c r="W82" s="10">
        <f>[2]หน้าผ้า!AL91</f>
        <v>152</v>
      </c>
      <c r="X82" s="10">
        <f>[2]หน้าผ้า!AM91</f>
        <v>6000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5987</v>
      </c>
      <c r="AG82" s="1" t="str">
        <f>[3]หน้าผ้า!DC94</f>
        <v>พร้อมส่ง</v>
      </c>
      <c r="AH82" s="1" t="str">
        <f>[2]หน้าผ้า!DL91</f>
        <v>P6</v>
      </c>
      <c r="AI82" s="1">
        <f>[2]หน้าผ้า!DM91</f>
        <v>4</v>
      </c>
      <c r="AJ82" s="3" t="str">
        <f>[2]หน้าผ้า!DN91</f>
        <v>รอแจ้ง</v>
      </c>
      <c r="AK82" s="3" t="e">
        <f>[2]หน้าผ้า!DQ91</f>
        <v>#VALUE!</v>
      </c>
      <c r="AL82" s="3" t="e">
        <f>[2]หน้าผ้า!DR91</f>
        <v>#VALUE!</v>
      </c>
      <c r="AM82" s="3" t="e">
        <f>[2]หน้าผ้า!DS91</f>
        <v>#VALUE!</v>
      </c>
      <c r="AN82" s="3" t="e">
        <f>[2]หน้าผ้า!DT91</f>
        <v>#VALUE!</v>
      </c>
      <c r="AO82" s="3" t="e">
        <f>[2]หน้าผ้า!DU91</f>
        <v>#VALUE!</v>
      </c>
      <c r="AP82" s="3" t="e">
        <f>[2]หน้าผ้า!DP91</f>
        <v>#VALUE!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 t="str">
        <f>[2]หน้าผ้า!AG91</f>
        <v>ลบสี 5040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45611</v>
      </c>
      <c r="B83" s="14" t="str">
        <f>[2]หน้าผ้า!B92</f>
        <v>MK67-001532</v>
      </c>
      <c r="C83" s="9" t="str">
        <f>[2]หน้าผ้า!E92</f>
        <v>บจก.อินเทคค์ โกลบอล</v>
      </c>
      <c r="D83" s="13" t="str">
        <f>[2]หน้าผ้า!F92</f>
        <v>เฟิร์สช้อย 903</v>
      </c>
      <c r="E83" s="9">
        <f>[2]หน้าผ้า!G92</f>
        <v>20</v>
      </c>
      <c r="F83" s="9">
        <f>[2]หน้าผ้า!H92</f>
        <v>36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จับจีบ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มัด80 ใช้สายรัด</v>
      </c>
      <c r="T83" s="12" t="str">
        <f>[2]หน้าผ้า!X92</f>
        <v>รอแจ้ง</v>
      </c>
      <c r="U83" s="11">
        <f>[2]หน้าผ้า!AA92</f>
        <v>117</v>
      </c>
      <c r="V83" s="10">
        <f>[2]หน้าผ้า!AJ92</f>
        <v>0</v>
      </c>
      <c r="W83" s="10">
        <f>[2]หน้าผ้า!AL92</f>
        <v>117</v>
      </c>
      <c r="X83" s="10">
        <f>[2]หน้าผ้า!AM92</f>
        <v>10065</v>
      </c>
      <c r="Y83" s="10">
        <f>[2]หน้าผ้า!AN92</f>
        <v>0</v>
      </c>
      <c r="Z83" s="9" t="str">
        <f>[2]หน้าผ้า!AO92</f>
        <v>WSWT2025800SM</v>
      </c>
      <c r="AA83" s="8">
        <f>[2]หน้าผ้า!AQ92</f>
        <v>0</v>
      </c>
      <c r="AB83" s="8">
        <f>[2]หน้าผ้า!AR92</f>
        <v>0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รอตัด</v>
      </c>
      <c r="AH83" s="1" t="str">
        <f>[2]หน้าผ้า!DL92</f>
        <v>P6</v>
      </c>
      <c r="AI83" s="1">
        <f>[2]หน้าผ้า!DM92</f>
        <v>4</v>
      </c>
      <c r="AJ83" s="3" t="str">
        <f>[2]หน้าผ้า!DN92</f>
        <v>รอแจ้ง</v>
      </c>
      <c r="AK83" s="3" t="e">
        <f>[2]หน้าผ้า!DQ92</f>
        <v>#VALUE!</v>
      </c>
      <c r="AL83" s="3" t="e">
        <f>[2]หน้าผ้า!DR92</f>
        <v>#VALUE!</v>
      </c>
      <c r="AM83" s="3" t="e">
        <f>[2]หน้าผ้า!DS92</f>
        <v>#VALUE!</v>
      </c>
      <c r="AN83" s="3" t="e">
        <f>[2]หน้าผ้า!DT92</f>
        <v>#VALUE!</v>
      </c>
      <c r="AO83" s="3" t="e">
        <f>[2]หน้าผ้า!DU92</f>
        <v>#VALUE!</v>
      </c>
      <c r="AP83" s="3" t="e">
        <f>[2]หน้าผ้า!DP92</f>
        <v>#VALUE!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45523</v>
      </c>
      <c r="B84" s="14" t="str">
        <f>[2]หน้าผ้า!B93</f>
        <v>MK67-001153</v>
      </c>
      <c r="C84" s="9" t="str">
        <f>[2]หน้าผ้า!E93</f>
        <v>บจก.อินเทคค์ โกลบอล</v>
      </c>
      <c r="D84" s="13" t="str">
        <f>[2]หน้าผ้า!F93</f>
        <v>สุบรรณ 777</v>
      </c>
      <c r="E84" s="9">
        <f>[2]หน้าผ้า!G93</f>
        <v>20</v>
      </c>
      <c r="F84" s="9">
        <f>[2]หน้าผ้า!H93</f>
        <v>36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จับจีบ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มัด80 ใช้สายรัด</v>
      </c>
      <c r="T84" s="12" t="str">
        <f>[2]หน้าผ้า!X93</f>
        <v>รอแจ้ง</v>
      </c>
      <c r="U84" s="11">
        <f>[2]หน้าผ้า!AA93</f>
        <v>1260</v>
      </c>
      <c r="V84" s="10">
        <f>[2]หน้าผ้า!AJ93</f>
        <v>0</v>
      </c>
      <c r="W84" s="10">
        <f>[2]หน้าผ้า!AL93</f>
        <v>1260</v>
      </c>
      <c r="X84" s="10">
        <f>[2]หน้าผ้า!AM93</f>
        <v>11095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รอตัด</v>
      </c>
      <c r="AH84" s="1" t="str">
        <f>[2]หน้าผ้า!DL93</f>
        <v>P6</v>
      </c>
      <c r="AI84" s="1">
        <f>[2]หน้าผ้า!DM93</f>
        <v>4</v>
      </c>
      <c r="AJ84" s="3" t="str">
        <f>[2]หน้าผ้า!DN93</f>
        <v>รอแจ้ง</v>
      </c>
      <c r="AK84" s="3" t="e">
        <f>[2]หน้าผ้า!DQ93</f>
        <v>#VALUE!</v>
      </c>
      <c r="AL84" s="3" t="e">
        <f>[2]หน้าผ้า!DR93</f>
        <v>#VALUE!</v>
      </c>
      <c r="AM84" s="3" t="e">
        <f>[2]หน้าผ้า!DS93</f>
        <v>#VALUE!</v>
      </c>
      <c r="AN84" s="3" t="e">
        <f>[2]หน้าผ้า!DT93</f>
        <v>#VALUE!</v>
      </c>
      <c r="AO84" s="3" t="e">
        <f>[2]หน้าผ้า!DU93</f>
        <v>#VALUE!</v>
      </c>
      <c r="AP84" s="3" t="e">
        <f>[2]หน้าผ้า!DP93</f>
        <v>#VALUE!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45523</v>
      </c>
      <c r="B85" s="14" t="str">
        <f>[2]หน้าผ้า!B94</f>
        <v>MK67-001153</v>
      </c>
      <c r="C85" s="9" t="str">
        <f>[2]หน้าผ้า!E94</f>
        <v>บจก.อินเทคค์ โกลบอล</v>
      </c>
      <c r="D85" s="13" t="str">
        <f>[2]หน้าผ้า!F94</f>
        <v>สุบรรณ 666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 t="str">
        <f>[2]หน้าผ้า!X94</f>
        <v>รอแจ้ง</v>
      </c>
      <c r="U85" s="11">
        <f>[2]หน้าผ้า!AA94</f>
        <v>89</v>
      </c>
      <c r="V85" s="10">
        <f>[2]หน้าผ้า!AJ94</f>
        <v>0</v>
      </c>
      <c r="W85" s="10">
        <f>[2]หน้าผ้า!AL94</f>
        <v>89</v>
      </c>
      <c r="X85" s="10">
        <f>[2]หน้าผ้า!AM94</f>
        <v>11180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 t="str">
        <f>[2]หน้าผ้า!DN94</f>
        <v>รอแจ้ง</v>
      </c>
      <c r="AK85" s="3" t="e">
        <f>[2]หน้าผ้า!DQ94</f>
        <v>#VALUE!</v>
      </c>
      <c r="AL85" s="3" t="e">
        <f>[2]หน้าผ้า!DR94</f>
        <v>#VALUE!</v>
      </c>
      <c r="AM85" s="3" t="e">
        <f>[2]หน้าผ้า!DS94</f>
        <v>#VALUE!</v>
      </c>
      <c r="AN85" s="3" t="e">
        <f>[2]หน้าผ้า!DT94</f>
        <v>#VALUE!</v>
      </c>
      <c r="AO85" s="3" t="e">
        <f>[2]หน้าผ้า!DU94</f>
        <v>#VALUE!</v>
      </c>
      <c r="AP85" s="3" t="e">
        <f>[2]หน้าผ้า!DP94</f>
        <v>#VALUE!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45799</v>
      </c>
      <c r="B86" s="14" t="str">
        <f>[2]หน้าผ้า!B95</f>
        <v>MK68-000694</v>
      </c>
      <c r="C86" s="9" t="str">
        <f>[2]หน้าผ้า!E95</f>
        <v>บจก.เอ.เจ.ฟาร์ม่าแล็บ</v>
      </c>
      <c r="D86" s="13" t="str">
        <f>[2]หน้าผ้า!F95</f>
        <v>เบส-มิน</v>
      </c>
      <c r="E86" s="9">
        <f>[2]หน้าผ้า!G95</f>
        <v>20</v>
      </c>
      <c r="F86" s="9">
        <f>[2]หน้าผ้า!H95</f>
        <v>34</v>
      </c>
      <c r="G86" s="9" t="str">
        <f>[2]หน้าผ้า!I95</f>
        <v>ขาว</v>
      </c>
      <c r="H86" s="9" t="str">
        <f>[2]หน้าผ้า!J95</f>
        <v>ใส</v>
      </c>
      <c r="I86" s="9">
        <f>[2]หน้าผ้า!L95</f>
        <v>95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</v>
      </c>
      <c r="T86" s="12" t="str">
        <f>[2]หน้าผ้า!X95</f>
        <v>รอส่ง</v>
      </c>
      <c r="U86" s="11">
        <f>[2]หน้าผ้า!AA95</f>
        <v>4000</v>
      </c>
      <c r="V86" s="10">
        <f>[2]หน้าผ้า!AJ95</f>
        <v>2840</v>
      </c>
      <c r="W86" s="10">
        <f>[2]หน้าผ้า!AL95</f>
        <v>1160</v>
      </c>
      <c r="X86" s="10">
        <f>[2]หน้าผ้า!AM95</f>
        <v>8450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 t="str">
        <f>[2]หน้าผ้า!AI95</f>
        <v>ห้ามขาด-ห้ามเกิน</v>
      </c>
      <c r="AG86" s="1" t="str">
        <f>[3]หน้าผ้า!DC98</f>
        <v>พร้อมส่ง</v>
      </c>
      <c r="AH86" s="1" t="str">
        <f>[2]หน้าผ้า!DL95</f>
        <v>P6</v>
      </c>
      <c r="AI86" s="1">
        <f>[2]หน้าผ้า!DM95</f>
        <v>4</v>
      </c>
      <c r="AJ86" s="3" t="str">
        <f>[2]หน้าผ้า!DN95</f>
        <v>รอส่ง</v>
      </c>
      <c r="AK86" s="3" t="e">
        <f>[2]หน้าผ้า!DQ95</f>
        <v>#VALUE!</v>
      </c>
      <c r="AL86" s="3" t="e">
        <f>[2]หน้าผ้า!DR95</f>
        <v>#VALUE!</v>
      </c>
      <c r="AM86" s="3" t="e">
        <f>[2]หน้าผ้า!DS95</f>
        <v>#VALUE!</v>
      </c>
      <c r="AN86" s="3" t="e">
        <f>[2]หน้าผ้า!DT95</f>
        <v>#VALUE!</v>
      </c>
      <c r="AO86" s="3" t="e">
        <f>[2]หน้าผ้า!DU95</f>
        <v>#VALUE!</v>
      </c>
      <c r="AP86" s="3" t="e">
        <f>[2]หน้าผ้า!DP95</f>
        <v>#VALUE!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45799</v>
      </c>
      <c r="B87" s="14" t="str">
        <f>[2]หน้าผ้า!B96</f>
        <v>MK68-000694</v>
      </c>
      <c r="C87" s="9" t="str">
        <f>[2]หน้าผ้า!E96</f>
        <v>บจก.เอ.เจ.ฟาร์ม่าแล็บ</v>
      </c>
      <c r="D87" s="13" t="str">
        <f>[2]หน้าผ้า!F96</f>
        <v>เวท-มิน</v>
      </c>
      <c r="E87" s="9">
        <f>[2]หน้าผ้า!G96</f>
        <v>20</v>
      </c>
      <c r="F87" s="9">
        <f>[2]หน้าผ้า!H96</f>
        <v>34</v>
      </c>
      <c r="G87" s="9" t="str">
        <f>[2]หน้าผ้า!I96</f>
        <v>ขาว</v>
      </c>
      <c r="H87" s="9" t="str">
        <f>[2]หน้าผ้า!J96</f>
        <v>ใส</v>
      </c>
      <c r="I87" s="9">
        <f>[2]หน้าผ้า!L96</f>
        <v>95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</v>
      </c>
      <c r="T87" s="12" t="str">
        <f>[2]หน้าผ้า!X96</f>
        <v>รอส่ง</v>
      </c>
      <c r="U87" s="11">
        <f>[2]หน้าผ้า!AA96</f>
        <v>4000</v>
      </c>
      <c r="V87" s="10">
        <f>[2]หน้าผ้า!AJ96</f>
        <v>2654</v>
      </c>
      <c r="W87" s="10">
        <f>[2]หน้าผ้า!AL96</f>
        <v>1346</v>
      </c>
      <c r="X87" s="10">
        <f>[2]หน้าผ้า!AM96</f>
        <v>4000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 t="str">
        <f>[2]หน้าผ้า!AI96</f>
        <v>ห้ามขาด-ห้ามเกิน</v>
      </c>
      <c r="AG87" s="1" t="str">
        <f>[3]หน้าผ้า!DC99</f>
        <v>พร้อมส่ง</v>
      </c>
      <c r="AH87" s="1" t="str">
        <f>[2]หน้าผ้า!DL96</f>
        <v>P6</v>
      </c>
      <c r="AI87" s="1">
        <f>[2]หน้าผ้า!DM96</f>
        <v>4</v>
      </c>
      <c r="AJ87" s="3" t="str">
        <f>[2]หน้าผ้า!DN96</f>
        <v>รอส่ง</v>
      </c>
      <c r="AK87" s="3" t="e">
        <f>[2]หน้าผ้า!DQ96</f>
        <v>#VALUE!</v>
      </c>
      <c r="AL87" s="3" t="e">
        <f>[2]หน้าผ้า!DR96</f>
        <v>#VALUE!</v>
      </c>
      <c r="AM87" s="3" t="e">
        <f>[2]หน้าผ้า!DS96</f>
        <v>#VALUE!</v>
      </c>
      <c r="AN87" s="3" t="e">
        <f>[2]หน้าผ้า!DT96</f>
        <v>#VALUE!</v>
      </c>
      <c r="AO87" s="3" t="e">
        <f>[2]หน้าผ้า!DU96</f>
        <v>#VALUE!</v>
      </c>
      <c r="AP87" s="3" t="e">
        <f>[2]หน้าผ้า!DP96</f>
        <v>#VALUE!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45741</v>
      </c>
      <c r="B88" s="14" t="str">
        <f>[2]หน้าผ้า!B97</f>
        <v>MK68-000452</v>
      </c>
      <c r="C88" s="9" t="str">
        <f>[2]หน้าผ้า!E97</f>
        <v>บจก.เอพีเอ็ม อะโกร</v>
      </c>
      <c r="D88" s="13" t="str">
        <f>[2]หน้าผ้า!F97</f>
        <v>วี-ฟีด วี 07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ใส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 t="str">
        <f>[2]หน้าผ้า!X97</f>
        <v>รอส่ง</v>
      </c>
      <c r="U88" s="11">
        <f>[2]หน้าผ้า!AA97</f>
        <v>4000</v>
      </c>
      <c r="V88" s="10">
        <f>[2]หน้าผ้า!AJ97</f>
        <v>3867</v>
      </c>
      <c r="W88" s="10">
        <f>[2]หน้าผ้า!AL97</f>
        <v>133</v>
      </c>
      <c r="X88" s="10">
        <f>[2]หน้าผ้า!AM97</f>
        <v>4200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พร้อมส่ง</v>
      </c>
      <c r="AH88" s="1" t="str">
        <f>[2]หน้าผ้า!DL97</f>
        <v>P6</v>
      </c>
      <c r="AI88" s="1">
        <f>[2]หน้าผ้า!DM97</f>
        <v>4</v>
      </c>
      <c r="AJ88" s="3" t="str">
        <f>[2]หน้าผ้า!DN97</f>
        <v>รอส่ง</v>
      </c>
      <c r="AK88" s="3" t="e">
        <f>[2]หน้าผ้า!DQ97</f>
        <v>#VALUE!</v>
      </c>
      <c r="AL88" s="3" t="e">
        <f>[2]หน้าผ้า!DR97</f>
        <v>#VALUE!</v>
      </c>
      <c r="AM88" s="3" t="e">
        <f>[2]หน้าผ้า!DS97</f>
        <v>#VALUE!</v>
      </c>
      <c r="AN88" s="3" t="e">
        <f>[2]หน้าผ้า!DT97</f>
        <v>#VALUE!</v>
      </c>
      <c r="AO88" s="3" t="e">
        <f>[2]หน้าผ้า!DU97</f>
        <v>#VALUE!</v>
      </c>
      <c r="AP88" s="3" t="e">
        <f>[2]หน้าผ้า!DP97</f>
        <v>#VALUE!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 t="str">
        <f>[2]หน้าผ้า!AG97</f>
        <v>มีลบสี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45720</v>
      </c>
      <c r="B89" s="14" t="str">
        <f>[2]หน้าผ้า!B98</f>
        <v>ใบรับคำสั่งซื้อ</v>
      </c>
      <c r="C89" s="9" t="str">
        <f>[2]หน้าผ้า!E98</f>
        <v>บจก.เอพีเอ็ม อะโกร</v>
      </c>
      <c r="D89" s="13" t="str">
        <f>[2]หน้าผ้า!F98</f>
        <v>นีโอ พี3(เอส)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 t="str">
        <f>[2]หน้าผ้า!X98</f>
        <v>รอส่ง</v>
      </c>
      <c r="U89" s="11">
        <f>[2]หน้าผ้า!AA98</f>
        <v>4000</v>
      </c>
      <c r="V89" s="10">
        <f>[2]หน้าผ้า!AJ98</f>
        <v>4010</v>
      </c>
      <c r="W89" s="10">
        <f>[2]หน้าผ้า!AL98</f>
        <v>0</v>
      </c>
      <c r="X89" s="10">
        <f>[2]หน้าผ้า!AM98</f>
        <v>4470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พร้อมส่ง</v>
      </c>
      <c r="AH89" s="1" t="str">
        <f>[2]หน้าผ้า!DL98</f>
        <v>P6</v>
      </c>
      <c r="AI89" s="1">
        <f>[2]หน้าผ้า!DM98</f>
        <v>4</v>
      </c>
      <c r="AJ89" s="3" t="str">
        <f>[2]หน้าผ้า!DN98</f>
        <v>รอส่ง</v>
      </c>
      <c r="AK89" s="3" t="e">
        <f>[2]หน้าผ้า!DQ98</f>
        <v>#VALUE!</v>
      </c>
      <c r="AL89" s="3" t="e">
        <f>[2]หน้าผ้า!DR98</f>
        <v>#VALUE!</v>
      </c>
      <c r="AM89" s="3" t="e">
        <f>[2]หน้าผ้า!DS98</f>
        <v>#VALUE!</v>
      </c>
      <c r="AN89" s="3" t="e">
        <f>[2]หน้าผ้า!DT98</f>
        <v>#VALUE!</v>
      </c>
      <c r="AO89" s="3" t="e">
        <f>[2]หน้าผ้า!DU98</f>
        <v>#VALUE!</v>
      </c>
      <c r="AP89" s="3" t="e">
        <f>[2]หน้าผ้า!DP98</f>
        <v>#VALUE!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45720</v>
      </c>
      <c r="B90" s="14" t="str">
        <f>[2]หน้าผ้า!B99</f>
        <v>ใบรับคำสั่งซื้อ</v>
      </c>
      <c r="C90" s="9" t="str">
        <f>[2]หน้าผ้า!E99</f>
        <v>บจก.เอพีเอ็ม อะโกร</v>
      </c>
      <c r="D90" s="13" t="str">
        <f>[2]หน้าผ้า!F99</f>
        <v>นีโอ พี4(เอส)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 t="str">
        <f>[2]หน้าผ้า!X99</f>
        <v>รอส่ง</v>
      </c>
      <c r="U90" s="11">
        <f>[2]หน้าผ้า!AA99</f>
        <v>3000</v>
      </c>
      <c r="V90" s="10">
        <f>[2]หน้าผ้า!AJ99</f>
        <v>3065</v>
      </c>
      <c r="W90" s="10">
        <f>[2]หน้าผ้า!AL99</f>
        <v>0</v>
      </c>
      <c r="X90" s="10">
        <f>[2]หน้าผ้า!AM99</f>
        <v>3300</v>
      </c>
      <c r="Y90" s="10">
        <f>[2]หน้าผ้า!AN99</f>
        <v>0</v>
      </c>
      <c r="Z90" s="9" t="str">
        <f>[2]หน้าผ้า!AO99</f>
        <v>WSWT2025800SM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 t="str">
        <f>[2]หน้าผ้า!DN99</f>
        <v>รอส่ง</v>
      </c>
      <c r="AK90" s="3" t="e">
        <f>[2]หน้าผ้า!DQ99</f>
        <v>#VALUE!</v>
      </c>
      <c r="AL90" s="3" t="e">
        <f>[2]หน้าผ้า!DR99</f>
        <v>#VALUE!</v>
      </c>
      <c r="AM90" s="3" t="e">
        <f>[2]หน้าผ้า!DS99</f>
        <v>#VALUE!</v>
      </c>
      <c r="AN90" s="3" t="e">
        <f>[2]หน้าผ้า!DT99</f>
        <v>#VALUE!</v>
      </c>
      <c r="AO90" s="3" t="e">
        <f>[2]หน้าผ้า!DU99</f>
        <v>#VALUE!</v>
      </c>
      <c r="AP90" s="3" t="e">
        <f>[2]หน้าผ้า!DP99</f>
        <v>#VALUE!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45541</v>
      </c>
      <c r="B91" s="14" t="str">
        <f>[2]หน้าผ้า!B100</f>
        <v>MK67-001236</v>
      </c>
      <c r="C91" s="9" t="str">
        <f>[2]หน้าผ้า!E100</f>
        <v>บจก.เอพีเอ็ม อะโกร</v>
      </c>
      <c r="D91" s="13" t="str">
        <f>[2]หน้าผ้า!F100</f>
        <v>ยูฟีด รวมไก่ วัว</v>
      </c>
      <c r="E91" s="9">
        <f>[2]หน้าผ้า!G100</f>
        <v>20</v>
      </c>
      <c r="F91" s="9">
        <f>[2]หน้าผ้า!H100</f>
        <v>40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108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 t="str">
        <f>[2]หน้าผ้า!X100</f>
        <v>รอส่ง</v>
      </c>
      <c r="U91" s="11">
        <f>[2]หน้าผ้า!AA100</f>
        <v>3000</v>
      </c>
      <c r="V91" s="10">
        <f>[2]หน้าผ้า!AJ100</f>
        <v>3318</v>
      </c>
      <c r="W91" s="10">
        <f>[2]หน้าผ้า!AL100</f>
        <v>0</v>
      </c>
      <c r="X91" s="10">
        <f>[2]หน้าผ้า!AM100</f>
        <v>0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 t="str">
        <f>[2]หน้าผ้า!AI100</f>
        <v>ลูกค้าสั่งผิดเอาไปส่งเดือน10</v>
      </c>
      <c r="AG91" s="1" t="str">
        <f>[3]หน้าผ้า!DC103</f>
        <v>รอแบบ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รอส่ง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>
        <f>[2]หน้าผ้า!ED100</f>
        <v>0</v>
      </c>
      <c r="AY91" s="2" t="str">
        <f>[2]หน้าผ้า!AG100</f>
        <v>ลูกค้าต้องการเคลือบใส แต่เปิดมาเคลือบด้าน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45581</v>
      </c>
      <c r="B92" s="14" t="str">
        <f>[2]หน้าผ้า!B101</f>
        <v>MK67-001396</v>
      </c>
      <c r="C92" s="9" t="str">
        <f>[2]หน้าผ้า!E101</f>
        <v>บจก.เอพีเอ็ม อะโกร</v>
      </c>
      <c r="D92" s="13" t="str">
        <f>[2]หน้าผ้า!F101</f>
        <v>นีโอ พี4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 t="str">
        <f>[2]หน้าผ้า!X101</f>
        <v>รอส่ง</v>
      </c>
      <c r="U92" s="11">
        <f>[2]หน้าผ้า!AA101</f>
        <v>3000</v>
      </c>
      <c r="V92" s="10">
        <f>[2]หน้าผ้า!AJ101</f>
        <v>3194</v>
      </c>
      <c r="W92" s="10">
        <f>[2]หน้าผ้า!AL101</f>
        <v>0</v>
      </c>
      <c r="X92" s="10">
        <f>[2]หน้าผ้า!AM101</f>
        <v>5632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พร้อมส่ง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รอส่ง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0</v>
      </c>
      <c r="B93" s="14">
        <f>[2]หน้าผ้า!B102</f>
        <v>0</v>
      </c>
      <c r="C93" s="9">
        <f>[2]หน้าผ้า!E102</f>
        <v>0</v>
      </c>
      <c r="D93" s="13">
        <f>[2]หน้าผ้า!F102</f>
        <v>0</v>
      </c>
      <c r="E93" s="9">
        <f>[2]หน้าผ้า!G102</f>
        <v>20</v>
      </c>
      <c r="F93" s="9">
        <f>[2]หน้าผ้า!H102</f>
        <v>38</v>
      </c>
      <c r="G93" s="9">
        <f>[2]หน้าผ้า!I102</f>
        <v>0</v>
      </c>
      <c r="H93" s="9">
        <f>[2]หน้าผ้า!J102</f>
        <v>0</v>
      </c>
      <c r="I93" s="9">
        <f>[2]หน้าผ้า!L102</f>
        <v>84</v>
      </c>
      <c r="J93" s="9" t="str">
        <f>[2]หน้าผ้า!M102</f>
        <v>±</v>
      </c>
      <c r="K93" s="9">
        <f>[2]หน้าผ้า!N102</f>
        <v>5</v>
      </c>
      <c r="L93" s="9">
        <f>[2]หน้าผ้า!R102</f>
        <v>0</v>
      </c>
      <c r="M93" s="10">
        <f>[2]หน้าผ้า!T102</f>
        <v>0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>
        <f>[2]หน้าผ้า!Z102</f>
        <v>0</v>
      </c>
      <c r="T93" s="12">
        <f>[2]หน้าผ้า!X102</f>
        <v>0</v>
      </c>
      <c r="U93" s="11">
        <f>[2]หน้าผ้า!AA102</f>
        <v>0</v>
      </c>
      <c r="V93" s="10">
        <f>[2]หน้าผ้า!AJ102</f>
        <v>0</v>
      </c>
      <c r="W93" s="10">
        <f>[2]หน้าผ้า!AL102</f>
        <v>0</v>
      </c>
      <c r="X93" s="10">
        <f>[2]หน้าผ้า!AM102</f>
        <v>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426813.53550000011</v>
      </c>
      <c r="AB93" s="8">
        <f>[2]หน้าผ้า!AR102</f>
        <v>138208.33550000004</v>
      </c>
      <c r="AC93" s="8">
        <f>[2]หน้าผ้า!AS102</f>
        <v>288605.20000000007</v>
      </c>
      <c r="AD93" s="8">
        <f>[2]หน้าผ้า!AT102</f>
        <v>33569.909999999996</v>
      </c>
      <c r="AE93" s="8">
        <f>[2]หน้าผ้า!AU102</f>
        <v>393243.62550000014</v>
      </c>
      <c r="AF93" s="8" t="str">
        <f>[2]หน้าผ้า!AI102</f>
        <v>ระบุในSD</v>
      </c>
      <c r="AG93" s="1" t="str">
        <f>[3]หน้าผ้า!DC105</f>
        <v>พร้อมส่ง</v>
      </c>
      <c r="AH93" s="1">
        <f>[2]หน้าผ้า!DL102</f>
        <v>0</v>
      </c>
      <c r="AI93" s="1" t="str">
        <f>[2]หน้าผ้า!DM102</f>
        <v>Lead time</v>
      </c>
      <c r="AJ93" s="3">
        <f>[2]หน้าผ้า!DN102</f>
        <v>0</v>
      </c>
      <c r="AK93" s="3">
        <f>[2]หน้าผ้า!DQ102</f>
        <v>0</v>
      </c>
      <c r="AL93" s="3">
        <f>[2]หน้าผ้า!DR102</f>
        <v>0</v>
      </c>
      <c r="AM93" s="3">
        <f>[2]หน้าผ้า!DS102</f>
        <v>0</v>
      </c>
      <c r="AN93" s="3">
        <f>[2]หน้าผ้า!DT102</f>
        <v>0</v>
      </c>
      <c r="AO93" s="3">
        <f>[2]หน้าผ้า!DU102</f>
        <v>0</v>
      </c>
      <c r="AP93" s="3">
        <f>[2]หน้าผ้า!DP102</f>
        <v>0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>
        <f>[2]หน้าผ้า!EC102</f>
        <v>0</v>
      </c>
      <c r="AX93" s="2">
        <f>[2]หน้าผ้า!ED102</f>
        <v>0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 t="str">
        <f>[2]หน้าผ้า!C103</f>
        <v>ประมาณการ</v>
      </c>
      <c r="B94" s="14" t="str">
        <f>[2]หน้าผ้า!B103</f>
        <v>ประมาณการ</v>
      </c>
      <c r="C94" s="9" t="str">
        <f>[2]หน้าผ้า!E103</f>
        <v>บจก.ซันฟีด</v>
      </c>
      <c r="D94" s="13" t="str">
        <f>[2]หน้าผ้า!F103</f>
        <v>รอแบบ</v>
      </c>
      <c r="E94" s="9">
        <f>[2]หน้าผ้า!G103</f>
        <v>20</v>
      </c>
      <c r="F94" s="9">
        <f>[2]หน้าผ้า!H103</f>
        <v>39</v>
      </c>
      <c r="G94" s="9" t="str">
        <f>[2]หน้าผ้า!I103</f>
        <v>ขาว</v>
      </c>
      <c r="H94" s="9">
        <f>[2]หน้าผ้า!J103</f>
        <v>0</v>
      </c>
      <c r="I94" s="9">
        <f>[2]หน้าผ้า!L103</f>
        <v>84</v>
      </c>
      <c r="J94" s="9" t="str">
        <f>[2]หน้าผ้า!M103</f>
        <v>+</v>
      </c>
      <c r="K94" s="9">
        <f>[2]หน้าผ้า!N103</f>
        <v>0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 xml:space="preserve">300กระสอบแบนเต็มใบ </v>
      </c>
      <c r="T94" s="12" t="str">
        <f>[2]หน้าผ้า!X103</f>
        <v>รอแจ้ง</v>
      </c>
      <c r="U94" s="11">
        <f>[2]หน้าผ้า!AA103</f>
        <v>100000</v>
      </c>
      <c r="V94" s="10">
        <f>[2]หน้าผ้า!AJ103</f>
        <v>0</v>
      </c>
      <c r="W94" s="10">
        <f>[2]หน้าผ้า!AL103</f>
        <v>100000</v>
      </c>
      <c r="X94" s="10">
        <f>[2]หน้าผ้า!AM103</f>
        <v>0</v>
      </c>
      <c r="Y94" s="10">
        <f>[2]หน้าผ้า!AN103</f>
        <v>105000</v>
      </c>
      <c r="Z94" s="9" t="str">
        <f>[2]หน้าผ้า!AO103</f>
        <v>WSWT2025850</v>
      </c>
      <c r="AA94" s="8">
        <f>[2]หน้าผ้า!AQ103</f>
        <v>113157.00000000001</v>
      </c>
      <c r="AB94" s="8">
        <f>[2]หน้าผ้า!AR103</f>
        <v>99888</v>
      </c>
      <c r="AC94" s="8">
        <f>[2]หน้าผ้า!AS103</f>
        <v>13269.000000000015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พร้อมส่ง</v>
      </c>
      <c r="AH94" s="1" t="str">
        <f>[2]หน้าผ้า!DL103</f>
        <v>P7</v>
      </c>
      <c r="AI94" s="1">
        <f>[2]หน้าผ้า!DM103</f>
        <v>2</v>
      </c>
      <c r="AJ94" s="3" t="str">
        <f>[2]หน้าผ้า!DN103</f>
        <v>รอแจ้ง</v>
      </c>
      <c r="AK94" s="3">
        <f>[2]หน้าผ้า!DQ103</f>
        <v>0</v>
      </c>
      <c r="AL94" s="3" t="e">
        <f>[2]หน้าผ้า!DR103</f>
        <v>#VALUE!</v>
      </c>
      <c r="AM94" s="3" t="e">
        <f>[2]หน้าผ้า!DS103</f>
        <v>#VALUE!</v>
      </c>
      <c r="AN94" s="3" t="e">
        <f>[2]หน้าผ้า!DT103</f>
        <v>#VALUE!</v>
      </c>
      <c r="AO94" s="3" t="e">
        <f>[2]หน้าผ้า!DU103</f>
        <v>#VALUE!</v>
      </c>
      <c r="AP94" s="3" t="e">
        <f>[2]หน้าผ้า!DP103</f>
        <v>#VALUE!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งานพิมพ์</v>
      </c>
      <c r="AX94" s="2" t="str">
        <f>[2]หน้าผ้า!ED103</f>
        <v>รอART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WRWT25850/WRWT25800</v>
      </c>
      <c r="BD94" s="56">
        <f>[2]หน้าผ้า!CA103</f>
        <v>1045.3023333333344</v>
      </c>
    </row>
    <row r="95" spans="1:56" ht="27.75" customHeight="1" x14ac:dyDescent="0.45">
      <c r="A95" s="3">
        <f>[2]หน้าผ้า!C104</f>
        <v>0</v>
      </c>
      <c r="B95" s="14">
        <f>[2]หน้าผ้า!B104</f>
        <v>0</v>
      </c>
      <c r="C95" s="9">
        <f>[2]หน้าผ้า!E104</f>
        <v>0</v>
      </c>
      <c r="D95" s="13">
        <f>[2]หน้าผ้า!F104</f>
        <v>0</v>
      </c>
      <c r="E95" s="9">
        <f>[2]หน้าผ้า!G104</f>
        <v>20</v>
      </c>
      <c r="F95" s="9">
        <f>[2]หน้าผ้า!H104</f>
        <v>38</v>
      </c>
      <c r="G95" s="9">
        <f>[2]หน้าผ้า!I104</f>
        <v>0</v>
      </c>
      <c r="H95" s="9">
        <f>[2]หน้าผ้า!J104</f>
        <v>0</v>
      </c>
      <c r="I95" s="9">
        <f>[2]หน้าผ้า!L104</f>
        <v>82</v>
      </c>
      <c r="J95" s="9" t="str">
        <f>[2]หน้าผ้า!M104</f>
        <v>+</v>
      </c>
      <c r="K95" s="9">
        <f>[2]หน้าผ้า!N104</f>
        <v>2</v>
      </c>
      <c r="L95" s="9">
        <f>[2]หน้าผ้า!R104</f>
        <v>0</v>
      </c>
      <c r="M95" s="10">
        <f>[2]หน้าผ้า!T104</f>
        <v>0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>
        <f>[2]หน้าผ้า!Z104</f>
        <v>0</v>
      </c>
      <c r="T95" s="12">
        <f>[2]หน้าผ้า!X104</f>
        <v>0</v>
      </c>
      <c r="U95" s="11">
        <f>[2]หน้าผ้า!AA104</f>
        <v>0</v>
      </c>
      <c r="V95" s="10">
        <f>[2]หน้าผ้า!AJ104</f>
        <v>0</v>
      </c>
      <c r="W95" s="10">
        <f>[2]หน้าผ้า!AL104</f>
        <v>0</v>
      </c>
      <c r="X95" s="10">
        <f>[2]หน้าผ้า!AM104</f>
        <v>0</v>
      </c>
      <c r="Y95" s="10">
        <f>[2]หน้าผ้า!AN104</f>
        <v>0</v>
      </c>
      <c r="Z95" s="9" t="str">
        <f>[2]หน้าผ้า!AO104</f>
        <v>WSWT2025850</v>
      </c>
      <c r="AA95" s="8">
        <f>[2]หน้าผ้า!AQ104</f>
        <v>113157.00000000001</v>
      </c>
      <c r="AB95" s="8">
        <f>[2]หน้าผ้า!AR104</f>
        <v>99888</v>
      </c>
      <c r="AC95" s="8">
        <f>[2]หน้าผ้า!AS104</f>
        <v>13269.000000000015</v>
      </c>
      <c r="AD95" s="8">
        <f>[2]หน้าผ้า!AT104</f>
        <v>0</v>
      </c>
      <c r="AE95" s="8">
        <f>[2]หน้าผ้า!AU104</f>
        <v>0</v>
      </c>
      <c r="AF95" s="8" t="str">
        <f>[2]หน้าผ้า!AI104</f>
        <v>ระบุในSD</v>
      </c>
      <c r="AG95" s="1" t="str">
        <f>[3]หน้าผ้า!DC107</f>
        <v>รอตัด</v>
      </c>
      <c r="AH95" s="1">
        <f>[2]หน้าผ้า!DL104</f>
        <v>0</v>
      </c>
      <c r="AI95" s="1" t="str">
        <f>[2]หน้าผ้า!DM104</f>
        <v>Lead time</v>
      </c>
      <c r="AJ95" s="3">
        <f>[2]หน้าผ้า!DN104</f>
        <v>0</v>
      </c>
      <c r="AK95" s="3">
        <f>[2]หน้าผ้า!DQ104</f>
        <v>0</v>
      </c>
      <c r="AL95" s="3">
        <f>[2]หน้าผ้า!DR104</f>
        <v>0</v>
      </c>
      <c r="AM95" s="3">
        <f>[2]หน้าผ้า!DS104</f>
        <v>0</v>
      </c>
      <c r="AN95" s="3">
        <f>[2]หน้าผ้า!DT104</f>
        <v>0</v>
      </c>
      <c r="AO95" s="3">
        <f>[2]หน้าผ้า!DU104</f>
        <v>0</v>
      </c>
      <c r="AP95" s="3">
        <f>[2]หน้าผ้า!DP104</f>
        <v>0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>
        <f>[2]หน้าผ้า!EC104</f>
        <v>0</v>
      </c>
      <c r="AX95" s="2">
        <f>[2]หน้าผ้า!ED104</f>
        <v>0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WRWT200850/WRWT25800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0</v>
      </c>
      <c r="B96" s="14">
        <f>[2]หน้าผ้า!B105</f>
        <v>0</v>
      </c>
      <c r="C96" s="9">
        <f>[2]หน้าผ้า!E105</f>
        <v>0</v>
      </c>
      <c r="D96" s="13">
        <f>[2]หน้าผ้า!F105</f>
        <v>0</v>
      </c>
      <c r="E96" s="9">
        <f>[2]หน้าผ้า!G105</f>
        <v>20</v>
      </c>
      <c r="F96" s="9">
        <f>[2]หน้าผ้า!H105</f>
        <v>37</v>
      </c>
      <c r="G96" s="9">
        <f>[2]หน้าผ้า!I105</f>
        <v>0</v>
      </c>
      <c r="H96" s="9">
        <f>[2]หน้าผ้า!J105</f>
        <v>0</v>
      </c>
      <c r="I96" s="9">
        <f>[2]หน้าผ้า!L105</f>
        <v>82</v>
      </c>
      <c r="J96" s="9" t="str">
        <f>[2]หน้าผ้า!M105</f>
        <v>±</v>
      </c>
      <c r="K96" s="9">
        <f>[2]หน้าผ้า!N105</f>
        <v>5</v>
      </c>
      <c r="L96" s="9">
        <f>[2]หน้าผ้า!R105</f>
        <v>0</v>
      </c>
      <c r="M96" s="10">
        <f>[2]หน้าผ้า!T105</f>
        <v>0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>
        <f>[2]หน้าผ้า!Z105</f>
        <v>0</v>
      </c>
      <c r="T96" s="12">
        <f>[2]หน้าผ้า!X105</f>
        <v>0</v>
      </c>
      <c r="U96" s="11">
        <f>[2]หน้าผ้า!AA105</f>
        <v>0</v>
      </c>
      <c r="V96" s="10">
        <f>[2]หน้าผ้า!AJ105</f>
        <v>0</v>
      </c>
      <c r="W96" s="10">
        <f>[2]หน้าผ้า!AL105</f>
        <v>0</v>
      </c>
      <c r="X96" s="10">
        <f>[2]หน้าผ้า!AM105</f>
        <v>0</v>
      </c>
      <c r="Y96" s="10">
        <f>[2]หน้าผ้า!AN105</f>
        <v>0</v>
      </c>
      <c r="Z96" s="9" t="str">
        <f>[2]หน้าผ้า!AO105</f>
        <v>WSWT2021750</v>
      </c>
      <c r="AA96" s="8" t="e">
        <f>[2]หน้าผ้า!AQ105</f>
        <v>#REF!</v>
      </c>
      <c r="AB96" s="8" t="e">
        <f>[2]หน้าผ้า!AR105</f>
        <v>#REF!</v>
      </c>
      <c r="AC96" s="8" t="e">
        <f>[2]หน้าผ้า!AS105</f>
        <v>#REF!</v>
      </c>
      <c r="AD96" s="8" t="e">
        <f>[2]หน้าผ้า!AT105</f>
        <v>#REF!</v>
      </c>
      <c r="AE96" s="8" t="e">
        <f>[2]หน้าผ้า!AU105</f>
        <v>#REF!</v>
      </c>
      <c r="AF96" s="8" t="str">
        <f>[2]หน้าผ้า!AI105</f>
        <v>ระบุในSD</v>
      </c>
      <c r="AG96" s="1" t="str">
        <f>[3]หน้าผ้า!DC108</f>
        <v>รอตัด</v>
      </c>
      <c r="AH96" s="1">
        <f>[2]หน้าผ้า!DL105</f>
        <v>0</v>
      </c>
      <c r="AI96" s="1" t="str">
        <f>[2]หน้าผ้า!DM105</f>
        <v>Lead time</v>
      </c>
      <c r="AJ96" s="3">
        <f>[2]หน้าผ้า!DN105</f>
        <v>0</v>
      </c>
      <c r="AK96" s="3">
        <f>[2]หน้าผ้า!DQ105</f>
        <v>0</v>
      </c>
      <c r="AL96" s="3">
        <f>[2]หน้าผ้า!DR105</f>
        <v>0</v>
      </c>
      <c r="AM96" s="3">
        <f>[2]หน้าผ้า!DS105</f>
        <v>0</v>
      </c>
      <c r="AN96" s="3">
        <f>[2]หน้าผ้า!DT105</f>
        <v>0</v>
      </c>
      <c r="AO96" s="3">
        <f>[2]หน้าผ้า!DU105</f>
        <v>0</v>
      </c>
      <c r="AP96" s="3">
        <f>[2]หน้าผ้า!DP105</f>
        <v>0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>
        <f>[2]หน้าผ้า!EC105</f>
        <v>0</v>
      </c>
      <c r="AX96" s="2">
        <f>[2]หน้าผ้า!ED105</f>
        <v>0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WRWT200750/WRWT21750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45892</v>
      </c>
      <c r="B97" s="14" t="str">
        <f>[2]หน้าผ้า!B106</f>
        <v>MK68-001025</v>
      </c>
      <c r="C97" s="9" t="str">
        <f>[2]หน้าผ้า!E106</f>
        <v>บจก.อินเทคค์ โกลบอล</v>
      </c>
      <c r="D97" s="13" t="str">
        <f>[2]หน้าผ้า!F106</f>
        <v>เพอเฟคค์ 663</v>
      </c>
      <c r="E97" s="9">
        <f>[2]หน้าผ้า!G106</f>
        <v>20</v>
      </c>
      <c r="F97" s="9">
        <f>[2]หน้าผ้า!H106</f>
        <v>36</v>
      </c>
      <c r="G97" s="9" t="str">
        <f>[2]หน้าผ้า!I106</f>
        <v>ขาว</v>
      </c>
      <c r="H97" s="9">
        <f>[2]หน้าผ้า!J106</f>
        <v>0</v>
      </c>
      <c r="I97" s="9">
        <f>[2]หน้าผ้า!L106</f>
        <v>78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จับจีบ4"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>
        <f>[2]หน้าผ้า!X106</f>
        <v>45909</v>
      </c>
      <c r="U97" s="11">
        <f>[2]หน้าผ้า!AA106</f>
        <v>10000</v>
      </c>
      <c r="V97" s="10">
        <f>[2]หน้าผ้า!AJ106</f>
        <v>10000</v>
      </c>
      <c r="W97" s="10">
        <f>[2]หน้าผ้า!AL106</f>
        <v>0</v>
      </c>
      <c r="X97" s="10">
        <f>[2]หน้าผ้า!AM106</f>
        <v>10696</v>
      </c>
      <c r="Y97" s="10">
        <f>[2]หน้าผ้า!AN106</f>
        <v>0</v>
      </c>
      <c r="Z97" s="9" t="str">
        <f>[2]หน้าผ้า!AO106</f>
        <v>WSWT2025800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 t="str">
        <f>[2]หน้าผ้า!AI106</f>
        <v>ห้ามขาด-ห้ามเกิน</v>
      </c>
      <c r="AG97" s="1" t="str">
        <f>[3]หน้าผ้า!DC109</f>
        <v>รอตัด</v>
      </c>
      <c r="AH97" s="1" t="str">
        <f>[2]หน้าผ้า!DL106</f>
        <v>P7</v>
      </c>
      <c r="AI97" s="1">
        <f>[2]หน้าผ้า!DM106</f>
        <v>2</v>
      </c>
      <c r="AJ97" s="3">
        <f>[2]หน้าผ้า!DN106</f>
        <v>45909</v>
      </c>
      <c r="AK97" s="3">
        <f>[2]หน้าผ้า!DQ106</f>
        <v>0</v>
      </c>
      <c r="AL97" s="3">
        <f>[2]หน้าผ้า!DR106</f>
        <v>45900</v>
      </c>
      <c r="AM97" s="3">
        <f>[2]หน้าผ้า!DS106</f>
        <v>45907</v>
      </c>
      <c r="AN97" s="3">
        <f>[2]หน้าผ้า!DT106</f>
        <v>45908</v>
      </c>
      <c r="AO97" s="3">
        <f>[2]หน้าผ้า!DU106</f>
        <v>45908</v>
      </c>
      <c r="AP97" s="3">
        <f>[2]หน้าผ้า!DP106</f>
        <v>45904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WRWT25800/WRWT25800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45887</v>
      </c>
      <c r="B98" s="14" t="str">
        <f>[2]หน้าผ้า!B107</f>
        <v>MK68-001009</v>
      </c>
      <c r="C98" s="9" t="str">
        <f>[2]หน้าผ้า!E107</f>
        <v>บจก.อินเทคค์ โกลบอล</v>
      </c>
      <c r="D98" s="13" t="str">
        <f>[2]หน้าผ้า!F107</f>
        <v>เพอเฟคค 664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>
        <f>[2]หน้าผ้า!J107</f>
        <v>0</v>
      </c>
      <c r="I98" s="9">
        <f>[2]หน้าผ้า!L107</f>
        <v>78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จับจีบ4"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>
        <f>[2]หน้าผ้า!X107</f>
        <v>45915</v>
      </c>
      <c r="U98" s="11">
        <f>[2]หน้าผ้า!AA107</f>
        <v>9153</v>
      </c>
      <c r="V98" s="10">
        <f>[2]หน้าผ้า!AJ107</f>
        <v>0</v>
      </c>
      <c r="W98" s="10">
        <f>[2]หน้าผ้า!AL107</f>
        <v>9153</v>
      </c>
      <c r="X98" s="10">
        <f>[2]หน้าผ้า!AM107</f>
        <v>18825</v>
      </c>
      <c r="Y98" s="10">
        <f>[2]หน้าผ้า!AN107</f>
        <v>0</v>
      </c>
      <c r="Z98" s="9" t="str">
        <f>[2]หน้าผ้า!AO107</f>
        <v>WSWT2025800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 t="str">
        <f>[2]หน้าผ้า!AI107</f>
        <v>ห้ามขาด-ห้ามเกิน</v>
      </c>
      <c r="AG98" s="1" t="str">
        <f>[3]หน้าผ้า!DC110</f>
        <v>รอตัด</v>
      </c>
      <c r="AH98" s="1" t="str">
        <f>[2]หน้าผ้า!DL107</f>
        <v>P7</v>
      </c>
      <c r="AI98" s="1">
        <f>[2]หน้าผ้า!DM107</f>
        <v>2</v>
      </c>
      <c r="AJ98" s="3">
        <f>[2]หน้าผ้า!DN107</f>
        <v>45915</v>
      </c>
      <c r="AK98" s="3">
        <f>[2]หน้าผ้า!DQ107</f>
        <v>0</v>
      </c>
      <c r="AL98" s="3">
        <f>[2]หน้าผ้า!DR107</f>
        <v>45906</v>
      </c>
      <c r="AM98" s="3">
        <f>[2]หน้าผ้า!DS107</f>
        <v>45913</v>
      </c>
      <c r="AN98" s="3">
        <f>[2]หน้าผ้า!DT107</f>
        <v>45914</v>
      </c>
      <c r="AO98" s="3">
        <f>[2]หน้าผ้า!DU107</f>
        <v>45914</v>
      </c>
      <c r="AP98" s="3">
        <f>[2]หน้าผ้า!DP107</f>
        <v>45910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งานพิมพ์</v>
      </c>
      <c r="AX98" s="2" t="str">
        <f>[2]หน้าผ้า!ED107</f>
        <v xml:space="preserve"> /</v>
      </c>
      <c r="AY98" s="2" t="str">
        <f>[2]หน้าผ้า!AG107</f>
        <v>1/9 8/9 15/9 22/9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WRWT25800/WRWT25800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45887</v>
      </c>
      <c r="B99" s="14" t="str">
        <f>[2]หน้าผ้า!B108</f>
        <v>MK68-001010</v>
      </c>
      <c r="C99" s="9" t="str">
        <f>[2]หน้าผ้า!E108</f>
        <v>บจก.อินเทคค์ โกลบอล</v>
      </c>
      <c r="D99" s="13" t="str">
        <f>[2]หน้าผ้า!F108</f>
        <v>เพอเฟคค์ 664HP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>
        <f>[2]หน้าผ้า!J108</f>
        <v>0</v>
      </c>
      <c r="I99" s="9">
        <f>[2]หน้าผ้า!L108</f>
        <v>78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จับจีบ4"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>
        <f>[2]หน้าผ้า!X108</f>
        <v>45919</v>
      </c>
      <c r="U99" s="11">
        <f>[2]หน้าผ้า!AA108</f>
        <v>17360</v>
      </c>
      <c r="V99" s="10">
        <f>[2]หน้าผ้า!AJ108</f>
        <v>10080</v>
      </c>
      <c r="W99" s="10">
        <f>[2]หน้าผ้า!AL108</f>
        <v>7280</v>
      </c>
      <c r="X99" s="10">
        <f>[2]หน้าผ้า!AM108</f>
        <v>40982</v>
      </c>
      <c r="Y99" s="10">
        <f>[2]หน้าผ้า!AN108</f>
        <v>0</v>
      </c>
      <c r="Z99" s="9" t="str">
        <f>[2]หน้าผ้า!AO108</f>
        <v>WSWT2025800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 t="str">
        <f>[2]หน้าผ้า!AI108</f>
        <v>ห้ามขาด-ห้ามเกิน</v>
      </c>
      <c r="AG99" s="1" t="str">
        <f>[3]หน้าผ้า!DC111</f>
        <v>ยังไม่ได้พิมพ์</v>
      </c>
      <c r="AH99" s="1" t="str">
        <f>[2]หน้าผ้า!DL108</f>
        <v>P7</v>
      </c>
      <c r="AI99" s="1">
        <f>[2]หน้าผ้า!DM108</f>
        <v>2</v>
      </c>
      <c r="AJ99" s="3">
        <f>[2]หน้าผ้า!DN108</f>
        <v>45919</v>
      </c>
      <c r="AK99" s="3">
        <f>[2]หน้าผ้า!DQ108</f>
        <v>0</v>
      </c>
      <c r="AL99" s="3">
        <f>[2]หน้าผ้า!DR108</f>
        <v>45910</v>
      </c>
      <c r="AM99" s="3">
        <f>[2]หน้าผ้า!DS108</f>
        <v>45917</v>
      </c>
      <c r="AN99" s="3">
        <f>[2]หน้าผ้า!DT108</f>
        <v>45918</v>
      </c>
      <c r="AO99" s="3">
        <f>[2]หน้าผ้า!DU108</f>
        <v>45918</v>
      </c>
      <c r="AP99" s="3">
        <f>[2]หน้าผ้า!DP108</f>
        <v>45914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งานพิมพ์</v>
      </c>
      <c r="AX99" s="2" t="str">
        <f>[2]หน้าผ้า!ED108</f>
        <v xml:space="preserve"> /</v>
      </c>
      <c r="AY99" s="2" t="str">
        <f>[2]หน้าผ้า!AG108</f>
        <v>2/9 9/9 16/9 19/9 23/9 26/9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WRWT25800/WRWT25800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45887</v>
      </c>
      <c r="B100" s="14" t="str">
        <f>[2]หน้าผ้า!B109</f>
        <v>MK68-001010</v>
      </c>
      <c r="C100" s="9" t="str">
        <f>[2]หน้าผ้า!E109</f>
        <v>บจก.อินเทคค์ โกลบอล</v>
      </c>
      <c r="D100" s="13" t="str">
        <f>[2]หน้าผ้า!F109</f>
        <v>เพอเฟคค์ 664HP</v>
      </c>
      <c r="E100" s="9">
        <f>[2]หน้าผ้า!G109</f>
        <v>20</v>
      </c>
      <c r="F100" s="9">
        <f>[2]หน้าผ้า!H109</f>
        <v>36</v>
      </c>
      <c r="G100" s="9" t="str">
        <f>[2]หน้าผ้า!I109</f>
        <v>ขาว</v>
      </c>
      <c r="H100" s="9">
        <f>[2]หน้าผ้า!J109</f>
        <v>0</v>
      </c>
      <c r="I100" s="9">
        <f>[2]หน้าผ้า!L109</f>
        <v>78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จับจีบ4"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>
        <f>[2]หน้าผ้า!X109</f>
        <v>45922</v>
      </c>
      <c r="U100" s="11">
        <f>[2]หน้าผ้า!AA109</f>
        <v>30000</v>
      </c>
      <c r="V100" s="10">
        <f>[2]หน้าผ้า!AJ109</f>
        <v>0</v>
      </c>
      <c r="W100" s="10">
        <f>[2]หน้าผ้า!AL109</f>
        <v>30000</v>
      </c>
      <c r="X100" s="10">
        <f>[2]หน้าผ้า!AM109</f>
        <v>31000</v>
      </c>
      <c r="Y100" s="10">
        <f>[2]หน้าผ้า!AN109</f>
        <v>0</v>
      </c>
      <c r="Z100" s="9" t="str">
        <f>[2]หน้าผ้า!AO109</f>
        <v>WSWT2025800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 t="str">
        <f>[2]หน้าผ้า!AI109</f>
        <v>ห้ามขาด-ห้ามเกิน</v>
      </c>
      <c r="AG100" s="1" t="str">
        <f>[3]หน้าผ้า!DC112</f>
        <v>พิมพ์ไม่ครบ</v>
      </c>
      <c r="AH100" s="1" t="str">
        <f>[2]หน้าผ้า!DL109</f>
        <v>P7</v>
      </c>
      <c r="AI100" s="1">
        <f>[2]หน้าผ้า!DM109</f>
        <v>2</v>
      </c>
      <c r="AJ100" s="3">
        <f>[2]หน้าผ้า!DN109</f>
        <v>45922</v>
      </c>
      <c r="AK100" s="3">
        <f>[2]หน้าผ้า!DQ109</f>
        <v>0</v>
      </c>
      <c r="AL100" s="3">
        <f>[2]หน้าผ้า!DR109</f>
        <v>45913</v>
      </c>
      <c r="AM100" s="3">
        <f>[2]หน้าผ้า!DS109</f>
        <v>45920</v>
      </c>
      <c r="AN100" s="3">
        <f>[2]หน้าผ้า!DT109</f>
        <v>45921</v>
      </c>
      <c r="AO100" s="3">
        <f>[2]หน้าผ้า!DU109</f>
        <v>45921</v>
      </c>
      <c r="AP100" s="3">
        <f>[2]หน้าผ้า!DP109</f>
        <v>45917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งานพิมพ์</v>
      </c>
      <c r="AX100" s="2" t="str">
        <f>[2]หน้าผ้า!ED109</f>
        <v xml:space="preserve"> /</v>
      </c>
      <c r="AY100" s="2" t="str">
        <f>[2]หน้าผ้า!AG109</f>
        <v>2/9 9/9 16/9 19/9 23/9 26/9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WRWT25800/WRWT25800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45887</v>
      </c>
      <c r="B101" s="14" t="str">
        <f>[2]หน้าผ้า!B110</f>
        <v>MK68-001010</v>
      </c>
      <c r="C101" s="9" t="str">
        <f>[2]หน้าผ้า!E110</f>
        <v>บจก.อินเทคค์ โกลบอล</v>
      </c>
      <c r="D101" s="13" t="str">
        <f>[2]หน้าผ้า!F110</f>
        <v>เพอเฟคค์ 664HP</v>
      </c>
      <c r="E101" s="9">
        <f>[2]หน้าผ้า!G110</f>
        <v>20</v>
      </c>
      <c r="F101" s="9">
        <f>[2]หน้าผ้า!H110</f>
        <v>36</v>
      </c>
      <c r="G101" s="9" t="str">
        <f>[2]หน้าผ้า!I110</f>
        <v>ขาว</v>
      </c>
      <c r="H101" s="9">
        <f>[2]หน้าผ้า!J110</f>
        <v>0</v>
      </c>
      <c r="I101" s="9">
        <f>[2]หน้าผ้า!L110</f>
        <v>78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จับจีบ4"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>
        <f>[2]หน้าผ้า!X110</f>
        <v>45926</v>
      </c>
      <c r="U101" s="11">
        <f>[2]หน้าผ้า!AA110</f>
        <v>20000</v>
      </c>
      <c r="V101" s="10">
        <f>[2]หน้าผ้า!AJ110</f>
        <v>0</v>
      </c>
      <c r="W101" s="10">
        <f>[2]หน้าผ้า!AL110</f>
        <v>20000</v>
      </c>
      <c r="X101" s="10">
        <f>[2]หน้าผ้า!AM110</f>
        <v>20056</v>
      </c>
      <c r="Y101" s="10">
        <f>[2]หน้าผ้า!AN110</f>
        <v>0</v>
      </c>
      <c r="Z101" s="9" t="str">
        <f>[2]หน้าผ้า!AO110</f>
        <v>WSWT2025800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 t="str">
        <f>[2]หน้าผ้า!AI110</f>
        <v>ห้ามขาด-ห้ามเกิน</v>
      </c>
      <c r="AG101" s="1" t="str">
        <f>[3]หน้าผ้า!DC113</f>
        <v>รอแบบ</v>
      </c>
      <c r="AH101" s="1" t="str">
        <f>[2]หน้าผ้า!DL110</f>
        <v>P7</v>
      </c>
      <c r="AI101" s="1">
        <f>[2]หน้าผ้า!DM110</f>
        <v>2</v>
      </c>
      <c r="AJ101" s="3">
        <f>[2]หน้าผ้า!DN110</f>
        <v>45926</v>
      </c>
      <c r="AK101" s="3">
        <f>[2]หน้าผ้า!DQ110</f>
        <v>0</v>
      </c>
      <c r="AL101" s="3">
        <f>[2]หน้าผ้า!DR110</f>
        <v>45917</v>
      </c>
      <c r="AM101" s="3">
        <f>[2]หน้าผ้า!DS110</f>
        <v>45924</v>
      </c>
      <c r="AN101" s="3">
        <f>[2]หน้าผ้า!DT110</f>
        <v>45925</v>
      </c>
      <c r="AO101" s="3">
        <f>[2]หน้าผ้า!DU110</f>
        <v>45925</v>
      </c>
      <c r="AP101" s="3">
        <f>[2]หน้าผ้า!DP110</f>
        <v>45921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งานพิมพ์</v>
      </c>
      <c r="AX101" s="2" t="str">
        <f>[2]หน้าผ้า!ED110</f>
        <v xml:space="preserve"> /</v>
      </c>
      <c r="AY101" s="2" t="str">
        <f>[2]หน้าผ้า!AG110</f>
        <v>2/9 9/9 16/9 19/9 23/9 26/9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WRWT25800/WRWT25800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45905</v>
      </c>
      <c r="B102" s="14" t="str">
        <f>[2]หน้าผ้า!B111</f>
        <v>MK68-001082</v>
      </c>
      <c r="C102" s="9" t="str">
        <f>[2]หน้าผ้า!E111</f>
        <v>บจก.ที.เอช.แพลเล็ท</v>
      </c>
      <c r="D102" s="13" t="str">
        <f>[2]หน้าผ้า!F111</f>
        <v>ใบมัน</v>
      </c>
      <c r="E102" s="9">
        <f>[2]หน้าผ้า!G111</f>
        <v>20</v>
      </c>
      <c r="F102" s="9">
        <f>[2]หน้าผ้า!H111</f>
        <v>34</v>
      </c>
      <c r="G102" s="9" t="str">
        <f>[2]หน้าผ้า!I111</f>
        <v>ขาว</v>
      </c>
      <c r="H102" s="9">
        <f>[2]หน้าผ้า!J111</f>
        <v>0</v>
      </c>
      <c r="I102" s="9">
        <f>[2]หน้าผ้า!L111</f>
        <v>70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ไม่</v>
      </c>
      <c r="M102" s="10">
        <f>[2]หน้าผ้า!T111</f>
        <v>21</v>
      </c>
      <c r="N102" s="9">
        <f>[2]หน้าผ้า!U111</f>
        <v>37</v>
      </c>
      <c r="O102" s="9">
        <f>[2]หน้าผ้า!V111</f>
        <v>40</v>
      </c>
      <c r="P102" s="10">
        <f>[2]หน้าผ้า!AB111</f>
        <v>95.846517983999988</v>
      </c>
      <c r="Q102" s="10">
        <f>[2]หน้าผ้า!AC111</f>
        <v>0</v>
      </c>
      <c r="R102" s="10">
        <f>[2]หน้าผ้า!AD111</f>
        <v>95.846517983999988</v>
      </c>
      <c r="S102" s="9" t="str">
        <f>[2]หน้าผ้า!Z111</f>
        <v>500กระสอบแบน</v>
      </c>
      <c r="T102" s="12">
        <f>[2]หน้าผ้า!X111</f>
        <v>45912</v>
      </c>
      <c r="U102" s="11">
        <f>[2]หน้าผ้า!AA111</f>
        <v>5000</v>
      </c>
      <c r="V102" s="10">
        <f>[2]หน้าผ้า!AJ111</f>
        <v>0</v>
      </c>
      <c r="W102" s="10">
        <f>[2]หน้าผ้า!AL111</f>
        <v>5000</v>
      </c>
      <c r="X102" s="10">
        <f>[2]หน้าผ้า!AM111</f>
        <v>0</v>
      </c>
      <c r="Y102" s="10">
        <f>[2]หน้าผ้า!AN111</f>
        <v>5250</v>
      </c>
      <c r="Z102" s="9" t="str">
        <f>[2]หน้าผ้า!AO111</f>
        <v>WSWT2025800</v>
      </c>
      <c r="AA102" s="8">
        <f>[2]หน้าผ้า!AQ111</f>
        <v>4959.3500000000004</v>
      </c>
      <c r="AB102" s="8">
        <f>[2]หน้าผ้า!AR111</f>
        <v>4959.3500000000004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 t="str">
        <f>[2]หน้าผ้า!AI111</f>
        <v>ห้ามขาด-เกินได้ 100</v>
      </c>
      <c r="AG102" s="1" t="str">
        <f>[3]หน้าผ้า!DC114</f>
        <v>พร้อมส่ง</v>
      </c>
      <c r="AH102" s="1" t="str">
        <f>[2]หน้าผ้า!DL111</f>
        <v>P9</v>
      </c>
      <c r="AI102" s="1">
        <f>[2]หน้าผ้า!DM111</f>
        <v>3</v>
      </c>
      <c r="AJ102" s="3">
        <f>[2]หน้าผ้า!DN111</f>
        <v>45912</v>
      </c>
      <c r="AK102" s="3">
        <f>[2]หน้าผ้า!DQ111</f>
        <v>0</v>
      </c>
      <c r="AL102" s="3">
        <f>[2]หน้าผ้า!DR111</f>
        <v>45902</v>
      </c>
      <c r="AM102" s="3">
        <f>[2]หน้าผ้า!DS111</f>
        <v>45909</v>
      </c>
      <c r="AN102" s="3">
        <f>[2]หน้าผ้า!DT111</f>
        <v>45910</v>
      </c>
      <c r="AO102" s="3">
        <f>[2]หน้าผ้า!DU111</f>
        <v>45910</v>
      </c>
      <c r="AP102" s="3">
        <f>[2]หน้าผ้า!DP111</f>
        <v>45907</v>
      </c>
      <c r="AQ102" s="3">
        <f>[2]หน้าผ้า!DW111</f>
        <v>45911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งานพิมพ์</v>
      </c>
      <c r="AX102" s="2">
        <f>[2]หน้าผ้า!ED111</f>
        <v>0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WRWT25800/WRWT25800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45905</v>
      </c>
      <c r="B103" s="14" t="str">
        <f>[2]หน้าผ้า!B112</f>
        <v>MK68-001081</v>
      </c>
      <c r="C103" s="9" t="str">
        <f>[2]หน้าผ้า!E112</f>
        <v>บจก.อินเทคค์ โกลบอล</v>
      </c>
      <c r="D103" s="13" t="str">
        <f>[2]หน้าผ้า!F112</f>
        <v>เพอเฟคค 664</v>
      </c>
      <c r="E103" s="9">
        <f>[2]หน้าผ้า!G112</f>
        <v>20</v>
      </c>
      <c r="F103" s="9">
        <f>[2]หน้าผ้า!H112</f>
        <v>36</v>
      </c>
      <c r="G103" s="9" t="str">
        <f>[2]หน้าผ้า!I112</f>
        <v>ขาว</v>
      </c>
      <c r="H103" s="9">
        <f>[2]หน้าผ้า!J112</f>
        <v>0</v>
      </c>
      <c r="I103" s="9">
        <f>[2]หน้าผ้า!L112</f>
        <v>78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จับจีบ4"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มัด80 ใช้สายรัด</v>
      </c>
      <c r="T103" s="12">
        <f>[2]หน้าผ้า!X112</f>
        <v>45918</v>
      </c>
      <c r="U103" s="11">
        <f>[2]หน้าผ้า!AA112</f>
        <v>30000</v>
      </c>
      <c r="V103" s="10">
        <f>[2]หน้าผ้า!AJ112</f>
        <v>0</v>
      </c>
      <c r="W103" s="10">
        <f>[2]หน้าผ้า!AL112</f>
        <v>30000</v>
      </c>
      <c r="X103" s="10">
        <f>[2]หน้าผ้า!AM112</f>
        <v>19678</v>
      </c>
      <c r="Y103" s="10">
        <f>[2]หน้าผ้า!AN112</f>
        <v>10838.1</v>
      </c>
      <c r="Z103" s="9" t="str">
        <f>[2]หน้าผ้า!AO112</f>
        <v>WSWT2025800</v>
      </c>
      <c r="AA103" s="8">
        <f>[2]หน้าผ้า!AQ112</f>
        <v>11355.619275000001</v>
      </c>
      <c r="AB103" s="8">
        <f>[2]หน้าผ้า!AR112</f>
        <v>11355.619275000001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 t="str">
        <f>[2]หน้าผ้า!AI112</f>
        <v>ห้ามขาด-ห้ามเกิน</v>
      </c>
      <c r="AG103" s="1" t="str">
        <f>[3]หน้าผ้า!DC115</f>
        <v>พร้อมส่ง</v>
      </c>
      <c r="AH103" s="1" t="str">
        <f>[2]หน้าผ้า!DL112</f>
        <v>P7</v>
      </c>
      <c r="AI103" s="1">
        <f>[2]หน้าผ้า!DM112</f>
        <v>2</v>
      </c>
      <c r="AJ103" s="3">
        <f>[2]หน้าผ้า!DN112</f>
        <v>45918</v>
      </c>
      <c r="AK103" s="3">
        <f>[2]หน้าผ้า!DQ112</f>
        <v>0</v>
      </c>
      <c r="AL103" s="3">
        <f>[2]หน้าผ้า!DR112</f>
        <v>45909</v>
      </c>
      <c r="AM103" s="3">
        <f>[2]หน้าผ้า!DS112</f>
        <v>45916</v>
      </c>
      <c r="AN103" s="3">
        <f>[2]หน้าผ้า!DT112</f>
        <v>45917</v>
      </c>
      <c r="AO103" s="3">
        <f>[2]หน้าผ้า!DU112</f>
        <v>45917</v>
      </c>
      <c r="AP103" s="3">
        <f>[2]หน้าผ้า!DP112</f>
        <v>45913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งานพิมพ์</v>
      </c>
      <c r="AX103" s="2" t="str">
        <f>[2]หน้าผ้า!ED112</f>
        <v xml:space="preserve"> /</v>
      </c>
      <c r="AY103" s="2" t="str">
        <f>[2]หน้าผ้า!AG112</f>
        <v>18/9  22/9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WRWT25800/WRWT25800</v>
      </c>
      <c r="BD103" s="56">
        <f>[2]หน้าผ้า!CA112</f>
        <v>0</v>
      </c>
    </row>
    <row r="104" spans="1:56" ht="27.75" customHeight="1" x14ac:dyDescent="0.45">
      <c r="A104" s="3" t="str">
        <f>[2]หน้าผ้า!C113</f>
        <v>ประมาณการ</v>
      </c>
      <c r="B104" s="14" t="str">
        <f>[2]หน้าผ้า!B113</f>
        <v>ประมาณการ</v>
      </c>
      <c r="C104" s="9" t="str">
        <f>[2]หน้าผ้า!E113</f>
        <v>บจก.อินเทคค์ โกลบอล</v>
      </c>
      <c r="D104" s="13" t="str">
        <f>[2]หน้าผ้า!F113</f>
        <v>รอแบบ</v>
      </c>
      <c r="E104" s="9">
        <f>[2]หน้าผ้า!G113</f>
        <v>20</v>
      </c>
      <c r="F104" s="9">
        <f>[2]หน้าผ้า!H113</f>
        <v>36</v>
      </c>
      <c r="G104" s="9" t="str">
        <f>[2]หน้าผ้า!I113</f>
        <v>ขาว</v>
      </c>
      <c r="H104" s="9">
        <f>[2]หน้าผ้า!J113</f>
        <v>0</v>
      </c>
      <c r="I104" s="9">
        <f>[2]หน้าผ้า!L113</f>
        <v>78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จับจีบ4"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มัด80 ใช้สายรัด</v>
      </c>
      <c r="T104" s="12" t="str">
        <f>[2]หน้าผ้า!X113</f>
        <v>รอแจ้ง</v>
      </c>
      <c r="U104" s="11">
        <f>[2]หน้าผ้า!AA113</f>
        <v>290000</v>
      </c>
      <c r="V104" s="10">
        <f>[2]หน้าผ้า!AJ113</f>
        <v>0</v>
      </c>
      <c r="W104" s="10">
        <f>[2]หน้าผ้า!AL113</f>
        <v>290000</v>
      </c>
      <c r="X104" s="10">
        <f>[2]หน้าผ้า!AM113</f>
        <v>0</v>
      </c>
      <c r="Y104" s="10">
        <f>[2]หน้าผ้า!AN113</f>
        <v>304500</v>
      </c>
      <c r="Z104" s="9" t="str">
        <f>[2]หน้าผ้า!AO113</f>
        <v>WSWT2025800</v>
      </c>
      <c r="AA104" s="8">
        <f>[2]หน้าผ้า!AQ113</f>
        <v>303847.5</v>
      </c>
      <c r="AB104" s="8">
        <f>[2]หน้าผ้า!AR113</f>
        <v>72336</v>
      </c>
      <c r="AC104" s="8">
        <f>[2]หน้าผ้า!AS113</f>
        <v>231511.5</v>
      </c>
      <c r="AD104" s="8">
        <f>[2]หน้าผ้า!AT113</f>
        <v>0</v>
      </c>
      <c r="AE104" s="8">
        <f>[2]หน้าผ้า!AU113</f>
        <v>0</v>
      </c>
      <c r="AF104" s="8" t="str">
        <f>[2]หน้าผ้า!AI113</f>
        <v>ห้ามขาด-ห้ามเกิน</v>
      </c>
      <c r="AG104" s="1" t="str">
        <f>[3]หน้าผ้า!DC116</f>
        <v>พร้อมส่ง</v>
      </c>
      <c r="AH104" s="1" t="str">
        <f>[2]หน้าผ้า!DL113</f>
        <v>P7</v>
      </c>
      <c r="AI104" s="1">
        <f>[2]หน้าผ้า!DM113</f>
        <v>2</v>
      </c>
      <c r="AJ104" s="3" t="str">
        <f>[2]หน้าผ้า!DN113</f>
        <v>รอแจ้ง</v>
      </c>
      <c r="AK104" s="3">
        <f>[2]หน้าผ้า!DQ113</f>
        <v>0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WRWT25800/WRWT25800</v>
      </c>
      <c r="BD104" s="56">
        <f>[2]หน้าผ้า!CA113</f>
        <v>17697.768</v>
      </c>
    </row>
    <row r="105" spans="1:56" ht="27.75" customHeight="1" x14ac:dyDescent="0.45">
      <c r="A105" s="3">
        <f>[2]หน้าผ้า!C114</f>
        <v>0</v>
      </c>
      <c r="B105" s="14">
        <f>[2]หน้าผ้า!B114</f>
        <v>0</v>
      </c>
      <c r="C105" s="9">
        <f>[2]หน้าผ้า!E114</f>
        <v>0</v>
      </c>
      <c r="D105" s="13">
        <f>[2]หน้าผ้า!F114</f>
        <v>0</v>
      </c>
      <c r="E105" s="9">
        <f>[2]หน้าผ้า!G114</f>
        <v>20</v>
      </c>
      <c r="F105" s="9">
        <f>[2]หน้าผ้า!H114</f>
        <v>37</v>
      </c>
      <c r="G105" s="9">
        <f>[2]หน้าผ้า!I114</f>
        <v>0</v>
      </c>
      <c r="H105" s="9">
        <f>[2]หน้าผ้า!J114</f>
        <v>0</v>
      </c>
      <c r="I105" s="9">
        <f>[2]หน้าผ้า!L114</f>
        <v>80</v>
      </c>
      <c r="J105" s="9" t="str">
        <f>[2]หน้าผ้า!M114</f>
        <v>±</v>
      </c>
      <c r="K105" s="9">
        <f>[2]หน้าผ้า!N114</f>
        <v>3</v>
      </c>
      <c r="L105" s="9">
        <f>[2]หน้าผ้า!R114</f>
        <v>0</v>
      </c>
      <c r="M105" s="10">
        <f>[2]หน้าผ้า!T114</f>
        <v>0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>
        <f>[2]หน้าผ้า!Z114</f>
        <v>0</v>
      </c>
      <c r="T105" s="12">
        <f>[2]หน้าผ้า!X114</f>
        <v>0</v>
      </c>
      <c r="U105" s="11">
        <f>[2]หน้าผ้า!AA114</f>
        <v>0</v>
      </c>
      <c r="V105" s="10">
        <f>[2]หน้าผ้า!AJ114</f>
        <v>0</v>
      </c>
      <c r="W105" s="10">
        <f>[2]หน้าผ้า!AL114</f>
        <v>0</v>
      </c>
      <c r="X105" s="10">
        <f>[2]หน้าผ้า!AM114</f>
        <v>0</v>
      </c>
      <c r="Y105" s="10">
        <f>[2]หน้าผ้า!AN114</f>
        <v>0</v>
      </c>
      <c r="Z105" s="9" t="str">
        <f>[2]หน้าผ้า!AO114</f>
        <v>WSWT2025800</v>
      </c>
      <c r="AA105" s="8">
        <f>[2]หน้าผ้า!AQ114</f>
        <v>320162.46927499998</v>
      </c>
      <c r="AB105" s="8">
        <f>[2]หน้าผ้า!AR114</f>
        <v>88650.969274999996</v>
      </c>
      <c r="AC105" s="8">
        <f>[2]หน้าผ้า!AS114</f>
        <v>231511.5</v>
      </c>
      <c r="AD105" s="8">
        <f>[2]หน้าผ้า!AT114</f>
        <v>0</v>
      </c>
      <c r="AE105" s="8">
        <f>[2]หน้าผ้า!AU114</f>
        <v>0</v>
      </c>
      <c r="AF105" s="8" t="str">
        <f>[2]หน้าผ้า!AI114</f>
        <v>ระบุในSD</v>
      </c>
      <c r="AG105" s="1" t="str">
        <f>[3]หน้าผ้า!DC117</f>
        <v>พร้อมส่ง</v>
      </c>
      <c r="AH105" s="1">
        <f>[2]หน้าผ้า!DL114</f>
        <v>0</v>
      </c>
      <c r="AI105" s="1" t="str">
        <f>[2]หน้าผ้า!DM114</f>
        <v>Lead time</v>
      </c>
      <c r="AJ105" s="3">
        <f>[2]หน้าผ้า!DN114</f>
        <v>0</v>
      </c>
      <c r="AK105" s="3">
        <f>[2]หน้าผ้า!DQ114</f>
        <v>0</v>
      </c>
      <c r="AL105" s="3">
        <f>[2]หน้าผ้า!DR114</f>
        <v>0</v>
      </c>
      <c r="AM105" s="3">
        <f>[2]หน้าผ้า!DS114</f>
        <v>0</v>
      </c>
      <c r="AN105" s="3">
        <f>[2]หน้าผ้า!DT114</f>
        <v>0</v>
      </c>
      <c r="AO105" s="3">
        <f>[2]หน้าผ้า!DU114</f>
        <v>0</v>
      </c>
      <c r="AP105" s="3">
        <f>[2]หน้าผ้า!DP114</f>
        <v>0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>
        <f>[2]หน้าผ้า!EC114</f>
        <v>0</v>
      </c>
      <c r="AX105" s="2">
        <f>[2]หน้าผ้า!ED114</f>
        <v>0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WRWT25800/WRWT25800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0</v>
      </c>
      <c r="B106" s="14">
        <f>[2]หน้าผ้า!B115</f>
        <v>0</v>
      </c>
      <c r="C106" s="9">
        <f>[2]หน้าผ้า!E115</f>
        <v>0</v>
      </c>
      <c r="D106" s="13">
        <f>[2]หน้าผ้า!F115</f>
        <v>0</v>
      </c>
      <c r="E106" s="9">
        <f>[2]หน้าผ้า!G115</f>
        <v>20</v>
      </c>
      <c r="F106" s="9">
        <f>[2]หน้าผ้า!H115</f>
        <v>34</v>
      </c>
      <c r="G106" s="9">
        <f>[2]หน้าผ้า!I115</f>
        <v>0</v>
      </c>
      <c r="H106" s="9">
        <f>[2]หน้าผ้า!J115</f>
        <v>0</v>
      </c>
      <c r="I106" s="9">
        <f>[2]หน้าผ้า!L115</f>
        <v>98</v>
      </c>
      <c r="J106" s="9" t="str">
        <f>[2]หน้าผ้า!M115</f>
        <v>±</v>
      </c>
      <c r="K106" s="9">
        <f>[2]หน้าผ้า!N115</f>
        <v>5</v>
      </c>
      <c r="L106" s="9">
        <f>[2]หน้าผ้า!R115</f>
        <v>0</v>
      </c>
      <c r="M106" s="10">
        <f>[2]หน้าผ้า!T115</f>
        <v>0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>
        <f>[2]หน้าผ้า!Z115</f>
        <v>0</v>
      </c>
      <c r="T106" s="12">
        <f>[2]หน้าผ้า!X115</f>
        <v>0</v>
      </c>
      <c r="U106" s="11">
        <f>[2]หน้าผ้า!AA115</f>
        <v>0</v>
      </c>
      <c r="V106" s="10">
        <f>[2]หน้าผ้า!AJ115</f>
        <v>0</v>
      </c>
      <c r="W106" s="10">
        <f>[2]หน้าผ้า!AL115</f>
        <v>0</v>
      </c>
      <c r="X106" s="10">
        <f>[2]หน้าผ้า!AM115</f>
        <v>0</v>
      </c>
      <c r="Y106" s="10">
        <f>[2]หน้าผ้า!AN115</f>
        <v>0</v>
      </c>
      <c r="Z106" s="9" t="str">
        <f>[2]หน้าผ้า!AO115</f>
        <v>WSWT2021950UV</v>
      </c>
      <c r="AA106" s="8" t="e">
        <f>[2]หน้าผ้า!AQ115</f>
        <v>#REF!</v>
      </c>
      <c r="AB106" s="8" t="e">
        <f>[2]หน้าผ้า!AR115</f>
        <v>#REF!</v>
      </c>
      <c r="AC106" s="8" t="e">
        <f>[2]หน้าผ้า!AS115</f>
        <v>#REF!</v>
      </c>
      <c r="AD106" s="8" t="e">
        <f>[2]หน้าผ้า!AT115</f>
        <v>#REF!</v>
      </c>
      <c r="AE106" s="8" t="e">
        <f>[2]หน้าผ้า!AU115</f>
        <v>#REF!</v>
      </c>
      <c r="AF106" s="8" t="str">
        <f>[2]หน้าผ้า!AI115</f>
        <v>ระบุในSD</v>
      </c>
      <c r="AG106" s="1" t="str">
        <f>[3]หน้าผ้า!DC118</f>
        <v>พร้อมส่ง</v>
      </c>
      <c r="AH106" s="1">
        <f>[2]หน้าผ้า!DL115</f>
        <v>0</v>
      </c>
      <c r="AI106" s="1" t="str">
        <f>[2]หน้าผ้า!DM115</f>
        <v>Lead time</v>
      </c>
      <c r="AJ106" s="3">
        <f>[2]หน้าผ้า!DN115</f>
        <v>0</v>
      </c>
      <c r="AK106" s="3">
        <f>[2]หน้าผ้า!DQ115</f>
        <v>0</v>
      </c>
      <c r="AL106" s="3">
        <f>[2]หน้าผ้า!DR115</f>
        <v>0</v>
      </c>
      <c r="AM106" s="3">
        <f>[2]หน้าผ้า!DS115</f>
        <v>0</v>
      </c>
      <c r="AN106" s="3">
        <f>[2]หน้าผ้า!DT115</f>
        <v>0</v>
      </c>
      <c r="AO106" s="3">
        <f>[2]หน้าผ้า!DU115</f>
        <v>0</v>
      </c>
      <c r="AP106" s="3">
        <f>[2]หน้าผ้า!DP115</f>
        <v>0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>
        <f>[2]หน้าผ้า!EC115</f>
        <v>0</v>
      </c>
      <c r="AX106" s="2">
        <f>[2]หน้าผ้า!ED115</f>
        <v>0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WRWT200950/WRWT21950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0</v>
      </c>
      <c r="B107" s="14">
        <f>[2]หน้าผ้า!B116</f>
        <v>0</v>
      </c>
      <c r="C107" s="9">
        <f>[2]หน้าผ้า!E116</f>
        <v>0</v>
      </c>
      <c r="D107" s="13">
        <f>[2]หน้าผ้า!F116</f>
        <v>0</v>
      </c>
      <c r="E107" s="9">
        <f>[2]หน้าผ้า!G116</f>
        <v>20</v>
      </c>
      <c r="F107" s="9">
        <f>[2]หน้าผ้า!H116</f>
        <v>34</v>
      </c>
      <c r="G107" s="9">
        <f>[2]หน้าผ้า!I116</f>
        <v>0</v>
      </c>
      <c r="H107" s="9">
        <f>[2]หน้าผ้า!J116</f>
        <v>0</v>
      </c>
      <c r="I107" s="9">
        <f>[2]หน้าผ้า!L116</f>
        <v>95</v>
      </c>
      <c r="J107" s="9" t="str">
        <f>[2]หน้าผ้า!M116</f>
        <v>±</v>
      </c>
      <c r="K107" s="9">
        <f>[2]หน้าผ้า!N116</f>
        <v>5</v>
      </c>
      <c r="L107" s="9">
        <f>[2]หน้าผ้า!R116</f>
        <v>0</v>
      </c>
      <c r="M107" s="10">
        <f>[2]หน้าผ้า!T116</f>
        <v>0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>
        <f>[2]หน้าผ้า!Z116</f>
        <v>0</v>
      </c>
      <c r="T107" s="12">
        <f>[2]หน้าผ้า!X116</f>
        <v>0</v>
      </c>
      <c r="U107" s="11">
        <f>[2]หน้าผ้า!AA116</f>
        <v>0</v>
      </c>
      <c r="V107" s="10">
        <f>[2]หน้าผ้า!AJ116</f>
        <v>0</v>
      </c>
      <c r="W107" s="10">
        <f>[2]หน้าผ้า!AL116</f>
        <v>0</v>
      </c>
      <c r="X107" s="10">
        <f>[2]หน้าผ้า!AM116</f>
        <v>0</v>
      </c>
      <c r="Y107" s="10">
        <f>[2]หน้าผ้า!AN116</f>
        <v>0</v>
      </c>
      <c r="Z107" s="9" t="str">
        <f>[2]หน้าผ้า!AO116</f>
        <v>WSWT2021900UV</v>
      </c>
      <c r="AA107" s="8" t="e">
        <f>[2]หน้าผ้า!AQ116</f>
        <v>#REF!</v>
      </c>
      <c r="AB107" s="8" t="e">
        <f>[2]หน้าผ้า!AR116</f>
        <v>#REF!</v>
      </c>
      <c r="AC107" s="8" t="e">
        <f>[2]หน้าผ้า!AS116</f>
        <v>#REF!</v>
      </c>
      <c r="AD107" s="8" t="e">
        <f>[2]หน้าผ้า!AT116</f>
        <v>#REF!</v>
      </c>
      <c r="AE107" s="8" t="e">
        <f>[2]หน้าผ้า!AU116</f>
        <v>#REF!</v>
      </c>
      <c r="AF107" s="8" t="str">
        <f>[2]หน้าผ้า!AI116</f>
        <v>ระบุในSD</v>
      </c>
      <c r="AG107" s="1" t="str">
        <f>[3]หน้าผ้า!DC119</f>
        <v>พร้อมส่ง</v>
      </c>
      <c r="AH107" s="1">
        <f>[2]หน้าผ้า!DL116</f>
        <v>0</v>
      </c>
      <c r="AI107" s="1" t="str">
        <f>[2]หน้าผ้า!DM116</f>
        <v>Lead time</v>
      </c>
      <c r="AJ107" s="3">
        <f>[2]หน้าผ้า!DN116</f>
        <v>0</v>
      </c>
      <c r="AK107" s="3">
        <f>[2]หน้าผ้า!DQ116</f>
        <v>0</v>
      </c>
      <c r="AL107" s="3">
        <f>[2]หน้าผ้า!DR116</f>
        <v>0</v>
      </c>
      <c r="AM107" s="3">
        <f>[2]หน้าผ้า!DS116</f>
        <v>0</v>
      </c>
      <c r="AN107" s="3">
        <f>[2]หน้าผ้า!DT116</f>
        <v>0</v>
      </c>
      <c r="AO107" s="3">
        <f>[2]หน้าผ้า!DU116</f>
        <v>0</v>
      </c>
      <c r="AP107" s="3">
        <f>[2]หน้าผ้า!DP116</f>
        <v>0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>
        <f>[2]หน้าผ้า!EC116</f>
        <v>0</v>
      </c>
      <c r="AX107" s="2">
        <f>[2]หน้าผ้า!ED116</f>
        <v>0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WRWT200900/WRWT21900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0</v>
      </c>
      <c r="B108" s="14">
        <f>[2]หน้าผ้า!B117</f>
        <v>0</v>
      </c>
      <c r="C108" s="9">
        <f>[2]หน้าผ้า!E117</f>
        <v>0</v>
      </c>
      <c r="D108" s="13">
        <f>[2]หน้าผ้า!F117</f>
        <v>0</v>
      </c>
      <c r="E108" s="9">
        <f>[2]หน้าผ้า!G117</f>
        <v>20</v>
      </c>
      <c r="F108" s="9">
        <f>[2]หน้าผ้า!H117</f>
        <v>34</v>
      </c>
      <c r="G108" s="9">
        <f>[2]หน้าผ้า!I117</f>
        <v>0</v>
      </c>
      <c r="H108" s="9">
        <f>[2]หน้าผ้า!J117</f>
        <v>0</v>
      </c>
      <c r="I108" s="9">
        <f>[2]หน้าผ้า!L117</f>
        <v>80</v>
      </c>
      <c r="J108" s="9" t="str">
        <f>[2]หน้าผ้า!M117</f>
        <v>±</v>
      </c>
      <c r="K108" s="9">
        <f>[2]หน้าผ้า!N117</f>
        <v>5</v>
      </c>
      <c r="L108" s="9">
        <f>[2]หน้าผ้า!R117</f>
        <v>0</v>
      </c>
      <c r="M108" s="10">
        <f>[2]หน้าผ้า!T117</f>
        <v>0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>
        <f>[2]หน้าผ้า!Z117</f>
        <v>0</v>
      </c>
      <c r="T108" s="12">
        <f>[2]หน้าผ้า!X117</f>
        <v>0</v>
      </c>
      <c r="U108" s="11">
        <f>[2]หน้าผ้า!AA117</f>
        <v>0</v>
      </c>
      <c r="V108" s="10">
        <f>[2]หน้าผ้า!AJ117</f>
        <v>0</v>
      </c>
      <c r="W108" s="10">
        <f>[2]หน้าผ้า!AL117</f>
        <v>0</v>
      </c>
      <c r="X108" s="10">
        <f>[2]หน้าผ้า!AM117</f>
        <v>0</v>
      </c>
      <c r="Y108" s="10">
        <f>[2]หน้าผ้า!AN117</f>
        <v>0</v>
      </c>
      <c r="Z108" s="9" t="str">
        <f>[2]หน้าผ้า!AO117</f>
        <v>WSWT2021750UV</v>
      </c>
      <c r="AA108" s="8" t="e">
        <f>[2]หน้าผ้า!AQ117</f>
        <v>#REF!</v>
      </c>
      <c r="AB108" s="8" t="e">
        <f>[2]หน้าผ้า!AR117</f>
        <v>#REF!</v>
      </c>
      <c r="AC108" s="8" t="e">
        <f>[2]หน้าผ้า!AS117</f>
        <v>#REF!</v>
      </c>
      <c r="AD108" s="8" t="e">
        <f>[2]หน้าผ้า!AT117</f>
        <v>#REF!</v>
      </c>
      <c r="AE108" s="8" t="e">
        <f>[2]หน้าผ้า!AU117</f>
        <v>#REF!</v>
      </c>
      <c r="AF108" s="8" t="str">
        <f>[2]หน้าผ้า!AI117</f>
        <v>ระบุในSD</v>
      </c>
      <c r="AG108" s="1" t="str">
        <f>[3]หน้าผ้า!DC120</f>
        <v>พร้อมส่ง</v>
      </c>
      <c r="AH108" s="1">
        <f>[2]หน้าผ้า!DL117</f>
        <v>0</v>
      </c>
      <c r="AI108" s="1" t="str">
        <f>[2]หน้าผ้า!DM117</f>
        <v>Lead time</v>
      </c>
      <c r="AJ108" s="3">
        <f>[2]หน้าผ้า!DN117</f>
        <v>0</v>
      </c>
      <c r="AK108" s="3">
        <f>[2]หน้าผ้า!DQ117</f>
        <v>0</v>
      </c>
      <c r="AL108" s="3">
        <f>[2]หน้าผ้า!DR117</f>
        <v>0</v>
      </c>
      <c r="AM108" s="3">
        <f>[2]หน้าผ้า!DS117</f>
        <v>0</v>
      </c>
      <c r="AN108" s="3">
        <f>[2]หน้าผ้า!DT117</f>
        <v>0</v>
      </c>
      <c r="AO108" s="3">
        <f>[2]หน้าผ้า!DU117</f>
        <v>0</v>
      </c>
      <c r="AP108" s="3">
        <f>[2]หน้าผ้า!DP117</f>
        <v>0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>
        <f>[2]หน้าผ้า!EC117</f>
        <v>0</v>
      </c>
      <c r="AX108" s="2">
        <f>[2]หน้าผ้า!ED117</f>
        <v>0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WRWT200750/WRWT21750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0</v>
      </c>
      <c r="B109" s="14">
        <f>[2]หน้าผ้า!B118</f>
        <v>0</v>
      </c>
      <c r="C109" s="9">
        <f>[2]หน้าผ้า!E118</f>
        <v>0</v>
      </c>
      <c r="D109" s="13">
        <f>[2]หน้าผ้า!F118</f>
        <v>0</v>
      </c>
      <c r="E109" s="9">
        <f>[2]หน้าผ้า!G118</f>
        <v>20</v>
      </c>
      <c r="F109" s="9">
        <f>[2]หน้าผ้า!H118</f>
        <v>34</v>
      </c>
      <c r="G109" s="9">
        <f>[2]หน้าผ้า!I118</f>
        <v>0</v>
      </c>
      <c r="H109" s="9">
        <f>[2]หน้าผ้า!J118</f>
        <v>0</v>
      </c>
      <c r="I109" s="9">
        <f>[2]หน้าผ้า!L118</f>
        <v>80</v>
      </c>
      <c r="J109" s="9" t="str">
        <f>[2]หน้าผ้า!M118</f>
        <v>±</v>
      </c>
      <c r="K109" s="9">
        <f>[2]หน้าผ้า!N118</f>
        <v>5</v>
      </c>
      <c r="L109" s="9">
        <f>[2]หน้าผ้า!R118</f>
        <v>0</v>
      </c>
      <c r="M109" s="10">
        <f>[2]หน้าผ้า!T118</f>
        <v>0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>
        <f>[2]หน้าผ้า!Z118</f>
        <v>0</v>
      </c>
      <c r="T109" s="12">
        <f>[2]หน้าผ้า!X118</f>
        <v>0</v>
      </c>
      <c r="U109" s="11">
        <f>[2]หน้าผ้า!AA118</f>
        <v>0</v>
      </c>
      <c r="V109" s="10">
        <f>[2]หน้าผ้า!AJ118</f>
        <v>0</v>
      </c>
      <c r="W109" s="10">
        <f>[2]หน้าผ้า!AL118</f>
        <v>0</v>
      </c>
      <c r="X109" s="10">
        <f>[2]หน้าผ้า!AM118</f>
        <v>0</v>
      </c>
      <c r="Y109" s="10">
        <f>[2]หน้าผ้า!AN118</f>
        <v>0</v>
      </c>
      <c r="Z109" s="9" t="str">
        <f>[2]หน้าผ้า!AO118</f>
        <v>WSWT2021800UV</v>
      </c>
      <c r="AA109" s="8" t="e">
        <f>[2]หน้าผ้า!AQ118</f>
        <v>#REF!</v>
      </c>
      <c r="AB109" s="8" t="e">
        <f>[2]หน้าผ้า!AR118</f>
        <v>#REF!</v>
      </c>
      <c r="AC109" s="8" t="e">
        <f>[2]หน้าผ้า!AS118</f>
        <v>#REF!</v>
      </c>
      <c r="AD109" s="8" t="e">
        <f>[2]หน้าผ้า!AT118</f>
        <v>#REF!</v>
      </c>
      <c r="AE109" s="8" t="e">
        <f>[2]หน้าผ้า!AU118</f>
        <v>#REF!</v>
      </c>
      <c r="AF109" s="8" t="str">
        <f>[2]หน้าผ้า!AI118</f>
        <v>ระบุในSD</v>
      </c>
      <c r="AG109" s="1" t="str">
        <f>[3]หน้าผ้า!DC121</f>
        <v>พร้อมส่ง</v>
      </c>
      <c r="AH109" s="1">
        <f>[2]หน้าผ้า!DL118</f>
        <v>0</v>
      </c>
      <c r="AI109" s="1" t="str">
        <f>[2]หน้าผ้า!DM118</f>
        <v>Lead time</v>
      </c>
      <c r="AJ109" s="3">
        <f>[2]หน้าผ้า!DN118</f>
        <v>0</v>
      </c>
      <c r="AK109" s="3">
        <f>[2]หน้าผ้า!DQ118</f>
        <v>0</v>
      </c>
      <c r="AL109" s="3">
        <f>[2]หน้าผ้า!DR118</f>
        <v>0</v>
      </c>
      <c r="AM109" s="3">
        <f>[2]หน้าผ้า!DS118</f>
        <v>0</v>
      </c>
      <c r="AN109" s="3">
        <f>[2]หน้าผ้า!DT118</f>
        <v>0</v>
      </c>
      <c r="AO109" s="3">
        <f>[2]หน้าผ้า!DU118</f>
        <v>0</v>
      </c>
      <c r="AP109" s="3">
        <f>[2]หน้าผ้า!DP118</f>
        <v>0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>
        <f>[2]หน้าผ้า!EC118</f>
        <v>0</v>
      </c>
      <c r="AX109" s="2">
        <f>[2]หน้าผ้า!ED118</f>
        <v>0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WRWT200800/WRWT21800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0</v>
      </c>
      <c r="B110" s="14">
        <f>[2]หน้าผ้า!B119</f>
        <v>0</v>
      </c>
      <c r="C110" s="9">
        <f>[2]หน้าผ้า!E119</f>
        <v>0</v>
      </c>
      <c r="D110" s="13">
        <f>[2]หน้าผ้า!F119</f>
        <v>0</v>
      </c>
      <c r="E110" s="9">
        <f>[2]หน้าผ้า!G119</f>
        <v>20</v>
      </c>
      <c r="F110" s="9">
        <f>[2]หน้าผ้า!H119</f>
        <v>37</v>
      </c>
      <c r="G110" s="9" t="str">
        <f>[2]หน้าผ้า!I119</f>
        <v>ขาว</v>
      </c>
      <c r="H110" s="9">
        <f>[2]หน้าผ้า!J119</f>
        <v>0</v>
      </c>
      <c r="I110" s="9">
        <f>[2]หน้าผ้า!L119</f>
        <v>70</v>
      </c>
      <c r="J110" s="9" t="str">
        <f>[2]หน้าผ้า!M119</f>
        <v>±</v>
      </c>
      <c r="K110" s="9">
        <f>[2]หน้าผ้า!N119</f>
        <v>5</v>
      </c>
      <c r="L110" s="9">
        <f>[2]หน้าผ้า!R119</f>
        <v>0</v>
      </c>
      <c r="M110" s="10">
        <f>[2]หน้าผ้า!T119</f>
        <v>0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>
        <f>[2]หน้าผ้า!Z119</f>
        <v>0</v>
      </c>
      <c r="T110" s="12">
        <f>[2]หน้าผ้า!X119</f>
        <v>0</v>
      </c>
      <c r="U110" s="11">
        <f>[2]หน้าผ้า!AA119</f>
        <v>0</v>
      </c>
      <c r="V110" s="10">
        <f>[2]หน้าผ้า!AJ119</f>
        <v>0</v>
      </c>
      <c r="W110" s="10">
        <f>[2]หน้าผ้า!AL119</f>
        <v>0</v>
      </c>
      <c r="X110" s="10">
        <f>[2]หน้าผ้า!AM119</f>
        <v>0</v>
      </c>
      <c r="Y110" s="10">
        <f>[2]หน้าผ้า!AN119</f>
        <v>0</v>
      </c>
      <c r="Z110" s="9" t="str">
        <f>[2]หน้าผ้า!AO119</f>
        <v>WSWT2025700(1)</v>
      </c>
      <c r="AA110" s="8" t="e">
        <f>[2]หน้าผ้า!AQ119</f>
        <v>#REF!</v>
      </c>
      <c r="AB110" s="8" t="e">
        <f>[2]หน้าผ้า!AR119</f>
        <v>#REF!</v>
      </c>
      <c r="AC110" s="8" t="e">
        <f>[2]หน้าผ้า!AS119</f>
        <v>#REF!</v>
      </c>
      <c r="AD110" s="8" t="e">
        <f>[2]หน้าผ้า!AT119</f>
        <v>#REF!</v>
      </c>
      <c r="AE110" s="8" t="e">
        <f>[2]หน้าผ้า!AU119</f>
        <v>#REF!</v>
      </c>
      <c r="AF110" s="8" t="str">
        <f>[2]หน้าผ้า!AI119</f>
        <v>ระบุในSD</v>
      </c>
      <c r="AG110" s="1" t="str">
        <f>[3]หน้าผ้า!DC122</f>
        <v>พร้อมส่ง</v>
      </c>
      <c r="AH110" s="1">
        <f>[2]หน้าผ้า!DL119</f>
        <v>0</v>
      </c>
      <c r="AI110" s="1" t="str">
        <f>[2]หน้าผ้า!DM119</f>
        <v>Lead time</v>
      </c>
      <c r="AJ110" s="3">
        <f>[2]หน้าผ้า!DN119</f>
        <v>0</v>
      </c>
      <c r="AK110" s="3">
        <f>[2]หน้าผ้า!DQ119</f>
        <v>0</v>
      </c>
      <c r="AL110" s="3">
        <f>[2]หน้าผ้า!DR119</f>
        <v>0</v>
      </c>
      <c r="AM110" s="3">
        <f>[2]หน้าผ้า!DS119</f>
        <v>0</v>
      </c>
      <c r="AN110" s="3">
        <f>[2]หน้าผ้า!DT119</f>
        <v>0</v>
      </c>
      <c r="AO110" s="3">
        <f>[2]หน้าผ้า!DU119</f>
        <v>0</v>
      </c>
      <c r="AP110" s="3">
        <f>[2]หน้าผ้า!DP119</f>
        <v>0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>
        <f>[2]หน้าผ้า!EC119</f>
        <v>0</v>
      </c>
      <c r="AX110" s="2">
        <f>[2]หน้าผ้า!ED119</f>
        <v>0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WRWT200800/WRWT25650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0</v>
      </c>
      <c r="B111" s="14">
        <f>[2]หน้าผ้า!B120</f>
        <v>0</v>
      </c>
      <c r="C111" s="9">
        <f>[2]หน้าผ้า!E120</f>
        <v>0</v>
      </c>
      <c r="D111" s="13">
        <f>[2]หน้าผ้า!F120</f>
        <v>0</v>
      </c>
      <c r="E111" s="9">
        <f>[2]หน้าผ้า!G120</f>
        <v>20</v>
      </c>
      <c r="F111" s="9">
        <f>[2]หน้าผ้า!H120</f>
        <v>34</v>
      </c>
      <c r="G111" s="9">
        <f>[2]หน้าผ้า!I120</f>
        <v>0</v>
      </c>
      <c r="H111" s="9">
        <f>[2]หน้าผ้า!J120</f>
        <v>0</v>
      </c>
      <c r="I111" s="9">
        <f>[2]หน้าผ้า!L120</f>
        <v>85</v>
      </c>
      <c r="J111" s="9" t="str">
        <f>[2]หน้าผ้า!M120</f>
        <v>±</v>
      </c>
      <c r="K111" s="9">
        <f>[2]หน้าผ้า!N120</f>
        <v>5</v>
      </c>
      <c r="L111" s="9">
        <f>[2]หน้าผ้า!R120</f>
        <v>0</v>
      </c>
      <c r="M111" s="10">
        <f>[2]หน้าผ้า!T120</f>
        <v>0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>
        <f>[2]หน้าผ้า!Z120</f>
        <v>0</v>
      </c>
      <c r="T111" s="12">
        <f>[2]หน้าผ้า!X120</f>
        <v>0</v>
      </c>
      <c r="U111" s="11">
        <f>[2]หน้าผ้า!AA120</f>
        <v>0</v>
      </c>
      <c r="V111" s="10">
        <f>[2]หน้าผ้า!AJ120</f>
        <v>0</v>
      </c>
      <c r="W111" s="10">
        <f>[2]หน้าผ้า!AL120</f>
        <v>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WSWT2021850UV</v>
      </c>
      <c r="AA111" s="8" t="e">
        <f>[2]หน้าผ้า!AQ120</f>
        <v>#REF!</v>
      </c>
      <c r="AB111" s="8" t="e">
        <f>[2]หน้าผ้า!AR120</f>
        <v>#REF!</v>
      </c>
      <c r="AC111" s="8" t="e">
        <f>[2]หน้าผ้า!AS120</f>
        <v>#REF!</v>
      </c>
      <c r="AD111" s="8" t="e">
        <f>[2]หน้าผ้า!AT120</f>
        <v>#REF!</v>
      </c>
      <c r="AE111" s="8" t="e">
        <f>[2]หน้าผ้า!AU120</f>
        <v>#REF!</v>
      </c>
      <c r="AF111" s="8" t="str">
        <f>[2]หน้าผ้า!AI120</f>
        <v>ระบุในSD</v>
      </c>
      <c r="AG111" s="1" t="str">
        <f>[3]หน้าผ้า!DC123</f>
        <v>พร้อมส่ง</v>
      </c>
      <c r="AH111" s="1">
        <f>[2]หน้าผ้า!DL120</f>
        <v>0</v>
      </c>
      <c r="AI111" s="1">
        <f>[2]หน้าผ้า!DM120</f>
        <v>0</v>
      </c>
      <c r="AJ111" s="3">
        <f>[2]หน้าผ้า!DN120</f>
        <v>0</v>
      </c>
      <c r="AK111" s="3">
        <f>[2]หน้าผ้า!DQ120</f>
        <v>0</v>
      </c>
      <c r="AL111" s="3">
        <f>[2]หน้าผ้า!DR120</f>
        <v>0</v>
      </c>
      <c r="AM111" s="3">
        <f>[2]หน้าผ้า!DS120</f>
        <v>0</v>
      </c>
      <c r="AN111" s="3">
        <f>[2]หน้าผ้า!DT120</f>
        <v>0</v>
      </c>
      <c r="AO111" s="3">
        <f>[2]หน้าผ้า!DU120</f>
        <v>0</v>
      </c>
      <c r="AP111" s="3">
        <f>[2]หน้าผ้า!DP120</f>
        <v>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>
        <f>[2]หน้าผ้า!EC120</f>
        <v>0</v>
      </c>
      <c r="AX111" s="2">
        <f>[2]หน้าผ้า!ED120</f>
        <v>0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WRWT200850/WRWT21850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0</v>
      </c>
      <c r="B112" s="14">
        <f>[2]หน้าผ้า!B121</f>
        <v>0</v>
      </c>
      <c r="C112" s="9">
        <f>[2]หน้าผ้า!E121</f>
        <v>0</v>
      </c>
      <c r="D112" s="13">
        <f>[2]หน้าผ้า!F121</f>
        <v>0</v>
      </c>
      <c r="E112" s="9">
        <f>[2]หน้าผ้า!G121</f>
        <v>20</v>
      </c>
      <c r="F112" s="9">
        <f>[2]หน้าผ้า!H121</f>
        <v>34</v>
      </c>
      <c r="G112" s="9">
        <f>[2]หน้าผ้า!I121</f>
        <v>0</v>
      </c>
      <c r="H112" s="9">
        <f>[2]หน้าผ้า!J121</f>
        <v>0</v>
      </c>
      <c r="I112" s="9">
        <f>[2]หน้าผ้า!L121</f>
        <v>80</v>
      </c>
      <c r="J112" s="9" t="str">
        <f>[2]หน้าผ้า!M121</f>
        <v>±</v>
      </c>
      <c r="K112" s="9">
        <f>[2]หน้าผ้า!N121</f>
        <v>5</v>
      </c>
      <c r="L112" s="9">
        <f>[2]หน้าผ้า!R121</f>
        <v>0</v>
      </c>
      <c r="M112" s="10">
        <f>[2]หน้าผ้า!T121</f>
        <v>0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>
        <f>[2]หน้าผ้า!Z121</f>
        <v>0</v>
      </c>
      <c r="T112" s="12">
        <f>[2]หน้าผ้า!X121</f>
        <v>0</v>
      </c>
      <c r="U112" s="11">
        <f>[2]หน้าผ้า!AA121</f>
        <v>0</v>
      </c>
      <c r="V112" s="10">
        <f>[2]หน้าผ้า!AJ121</f>
        <v>0</v>
      </c>
      <c r="W112" s="10">
        <f>[2]หน้าผ้า!AL121</f>
        <v>0</v>
      </c>
      <c r="X112" s="10">
        <f>[2]หน้าผ้า!AM121</f>
        <v>0</v>
      </c>
      <c r="Y112" s="10">
        <f>[2]หน้าผ้า!AN121</f>
        <v>0</v>
      </c>
      <c r="Z112" s="9" t="str">
        <f>[2]หน้าผ้า!AO121</f>
        <v>WSWT2021750UV</v>
      </c>
      <c r="AA112" s="8" t="e">
        <f>[2]หน้าผ้า!AQ121</f>
        <v>#REF!</v>
      </c>
      <c r="AB112" s="8" t="e">
        <f>[2]หน้าผ้า!AR121</f>
        <v>#REF!</v>
      </c>
      <c r="AC112" s="8" t="e">
        <f>[2]หน้าผ้า!AS121</f>
        <v>#REF!</v>
      </c>
      <c r="AD112" s="8" t="e">
        <f>[2]หน้าผ้า!AT121</f>
        <v>#REF!</v>
      </c>
      <c r="AE112" s="8" t="e">
        <f>[2]หน้าผ้า!AU121</f>
        <v>#REF!</v>
      </c>
      <c r="AF112" s="8" t="str">
        <f>[2]หน้าผ้า!AI121</f>
        <v>ระบุในSD</v>
      </c>
      <c r="AG112" s="1" t="str">
        <f>[3]หน้าผ้า!DC124</f>
        <v>พร้อมส่ง</v>
      </c>
      <c r="AH112" s="1">
        <f>[2]หน้าผ้า!DL121</f>
        <v>0</v>
      </c>
      <c r="AI112" s="1">
        <f>[2]หน้าผ้า!DM121</f>
        <v>0</v>
      </c>
      <c r="AJ112" s="3">
        <f>[2]หน้าผ้า!DN121</f>
        <v>0</v>
      </c>
      <c r="AK112" s="3">
        <f>[2]หน้าผ้า!DQ121</f>
        <v>0</v>
      </c>
      <c r="AL112" s="3">
        <f>[2]หน้าผ้า!DR121</f>
        <v>0</v>
      </c>
      <c r="AM112" s="3">
        <f>[2]หน้าผ้า!DS121</f>
        <v>0</v>
      </c>
      <c r="AN112" s="3">
        <f>[2]หน้าผ้า!DT121</f>
        <v>0</v>
      </c>
      <c r="AO112" s="3">
        <f>[2]หน้าผ้า!DU121</f>
        <v>0</v>
      </c>
      <c r="AP112" s="3">
        <f>[2]หน้าผ้า!DP121</f>
        <v>0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>
        <f>[2]หน้าผ้า!EC121</f>
        <v>0</v>
      </c>
      <c r="AX112" s="2">
        <f>[2]หน้าผ้า!ED121</f>
        <v>0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WRWT200750/WRWT21750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0</v>
      </c>
      <c r="B113" s="14">
        <f>[2]หน้าผ้า!B122</f>
        <v>0</v>
      </c>
      <c r="C113" s="9">
        <f>[2]หน้าผ้า!E122</f>
        <v>0</v>
      </c>
      <c r="D113" s="13">
        <f>[2]หน้าผ้า!F122</f>
        <v>0</v>
      </c>
      <c r="E113" s="9">
        <f>[2]หน้าผ้า!G122</f>
        <v>21</v>
      </c>
      <c r="F113" s="9">
        <f>[2]หน้าผ้า!H122</f>
        <v>39</v>
      </c>
      <c r="G113" s="9">
        <f>[2]หน้าผ้า!I122</f>
        <v>0</v>
      </c>
      <c r="H113" s="9">
        <f>[2]หน้าผ้า!J122</f>
        <v>0</v>
      </c>
      <c r="I113" s="9">
        <f>[2]หน้าผ้า!L122</f>
        <v>78</v>
      </c>
      <c r="J113" s="9" t="str">
        <f>[2]หน้าผ้า!M122</f>
        <v>±</v>
      </c>
      <c r="K113" s="9">
        <f>[2]หน้าผ้า!N122</f>
        <v>3</v>
      </c>
      <c r="L113" s="9">
        <f>[2]หน้าผ้า!R122</f>
        <v>0</v>
      </c>
      <c r="M113" s="10">
        <f>[2]หน้าผ้า!T122</f>
        <v>0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>
        <f>[2]หน้าผ้า!Z122</f>
        <v>0</v>
      </c>
      <c r="T113" s="12">
        <f>[2]หน้าผ้า!X122</f>
        <v>0</v>
      </c>
      <c r="U113" s="11">
        <f>[2]หน้าผ้า!AA122</f>
        <v>0</v>
      </c>
      <c r="V113" s="10">
        <f>[2]หน้าผ้า!AJ122</f>
        <v>0</v>
      </c>
      <c r="W113" s="10">
        <f>[2]หน้าผ้า!AL122</f>
        <v>0</v>
      </c>
      <c r="X113" s="10">
        <f>[2]หน้าผ้า!AM122</f>
        <v>0</v>
      </c>
      <c r="Y113" s="10">
        <f>[2]หน้าผ้า!AN122</f>
        <v>0</v>
      </c>
      <c r="Z113" s="9" t="str">
        <f>[2]หน้าผ้า!AO122</f>
        <v>WSWT2125700</v>
      </c>
      <c r="AA113" s="8" t="e">
        <f>[2]หน้าผ้า!AQ122</f>
        <v>#REF!</v>
      </c>
      <c r="AB113" s="8" t="e">
        <f>[2]หน้าผ้า!AR122</f>
        <v>#REF!</v>
      </c>
      <c r="AC113" s="8" t="e">
        <f>[2]หน้าผ้า!AS122</f>
        <v>#REF!</v>
      </c>
      <c r="AD113" s="8" t="e">
        <f>[2]หน้าผ้า!AT122</f>
        <v>#REF!</v>
      </c>
      <c r="AE113" s="8" t="e">
        <f>[2]หน้าผ้า!AU122</f>
        <v>#REF!</v>
      </c>
      <c r="AF113" s="8" t="str">
        <f>[2]หน้าผ้า!AI122</f>
        <v>ระบุในSD</v>
      </c>
      <c r="AG113" s="1" t="str">
        <f>[3]หน้าผ้า!DC125</f>
        <v>พร้อมส่ง</v>
      </c>
      <c r="AH113" s="1">
        <f>[2]หน้าผ้า!DL122</f>
        <v>0</v>
      </c>
      <c r="AI113" s="1">
        <f>[2]หน้าผ้า!DM122</f>
        <v>0</v>
      </c>
      <c r="AJ113" s="3">
        <f>[2]หน้าผ้า!DN122</f>
        <v>0</v>
      </c>
      <c r="AK113" s="3">
        <f>[2]หน้าผ้า!DQ122</f>
        <v>0</v>
      </c>
      <c r="AL113" s="3">
        <f>[2]หน้าผ้า!DR122</f>
        <v>0</v>
      </c>
      <c r="AM113" s="3">
        <f>[2]หน้าผ้า!DS122</f>
        <v>0</v>
      </c>
      <c r="AN113" s="3">
        <f>[2]หน้าผ้า!DT122</f>
        <v>0</v>
      </c>
      <c r="AO113" s="3">
        <f>[2]หน้าผ้า!DU122</f>
        <v>0</v>
      </c>
      <c r="AP113" s="3">
        <f>[2]หน้าผ้า!DP122</f>
        <v>0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>
        <f>[2]หน้าผ้า!EC122</f>
        <v>0</v>
      </c>
      <c r="AX113" s="2">
        <f>[2]หน้าผ้า!ED122</f>
        <v>0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WRWT210800/WRWT25650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0</v>
      </c>
      <c r="B114" s="14">
        <f>[2]หน้าผ้า!B123</f>
        <v>0</v>
      </c>
      <c r="C114" s="9">
        <f>[2]หน้าผ้า!E123</f>
        <v>0</v>
      </c>
      <c r="D114" s="13">
        <f>[2]หน้าผ้า!F123</f>
        <v>0</v>
      </c>
      <c r="E114" s="9">
        <f>[2]หน้าผ้า!G123</f>
        <v>21</v>
      </c>
      <c r="F114" s="9">
        <f>[2]หน้าผ้า!H123</f>
        <v>37</v>
      </c>
      <c r="G114" s="9" t="str">
        <f>[2]หน้าผ้า!I123</f>
        <v>ขาว</v>
      </c>
      <c r="H114" s="9">
        <f>[2]หน้าผ้า!J123</f>
        <v>0</v>
      </c>
      <c r="I114" s="9">
        <f>[2]หน้าผ้า!L123</f>
        <v>67</v>
      </c>
      <c r="J114" s="9" t="str">
        <f>[2]หน้าผ้า!M123</f>
        <v>±</v>
      </c>
      <c r="K114" s="9">
        <f>[2]หน้าผ้า!N123</f>
        <v>5</v>
      </c>
      <c r="L114" s="9">
        <f>[2]หน้าผ้า!R123</f>
        <v>0</v>
      </c>
      <c r="M114" s="10">
        <f>[2]หน้าผ้า!T123</f>
        <v>0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>
        <f>[2]หน้าผ้า!Z123</f>
        <v>0</v>
      </c>
      <c r="T114" s="12">
        <f>[2]หน้าผ้า!X123</f>
        <v>0</v>
      </c>
      <c r="U114" s="11">
        <f>[2]หน้าผ้า!AA123</f>
        <v>0</v>
      </c>
      <c r="V114" s="10">
        <f>[2]หน้าผ้า!AJ123</f>
        <v>0</v>
      </c>
      <c r="W114" s="10">
        <f>[2]หน้าผ้า!AL123</f>
        <v>0</v>
      </c>
      <c r="X114" s="10">
        <f>[2]หน้าผ้า!AM123</f>
        <v>0</v>
      </c>
      <c r="Y114" s="10">
        <f>[2]หน้าผ้า!AN123</f>
        <v>0</v>
      </c>
      <c r="Z114" s="9" t="str">
        <f>[2]หน้าผ้า!AO123</f>
        <v>WSWT2125650</v>
      </c>
      <c r="AA114" s="8" t="e">
        <f>[2]หน้าผ้า!AQ123</f>
        <v>#REF!</v>
      </c>
      <c r="AB114" s="8" t="e">
        <f>[2]หน้าผ้า!AR123</f>
        <v>#REF!</v>
      </c>
      <c r="AC114" s="8" t="e">
        <f>[2]หน้าผ้า!AS123</f>
        <v>#REF!</v>
      </c>
      <c r="AD114" s="8" t="e">
        <f>[2]หน้าผ้า!AT123</f>
        <v>#REF!</v>
      </c>
      <c r="AE114" s="8" t="e">
        <f>[2]หน้าผ้า!AU123</f>
        <v>#REF!</v>
      </c>
      <c r="AF114" s="8" t="str">
        <f>[2]หน้าผ้า!AI123</f>
        <v>ระบุในSD</v>
      </c>
      <c r="AG114" s="1" t="str">
        <f>[3]หน้าผ้า!DC126</f>
        <v>รอตัด</v>
      </c>
      <c r="AH114" s="1">
        <f>[2]หน้าผ้า!DL123</f>
        <v>0</v>
      </c>
      <c r="AI114" s="1" t="str">
        <f>[2]หน้าผ้า!DM123</f>
        <v>Lead time</v>
      </c>
      <c r="AJ114" s="3">
        <f>[2]หน้าผ้า!DN123</f>
        <v>0</v>
      </c>
      <c r="AK114" s="3">
        <f>[2]หน้าผ้า!DQ123</f>
        <v>0</v>
      </c>
      <c r="AL114" s="3">
        <f>[2]หน้าผ้า!DR123</f>
        <v>0</v>
      </c>
      <c r="AM114" s="3">
        <f>[2]หน้าผ้า!DS123</f>
        <v>0</v>
      </c>
      <c r="AN114" s="3">
        <f>[2]หน้าผ้า!DT123</f>
        <v>0</v>
      </c>
      <c r="AO114" s="3">
        <f>[2]หน้าผ้า!DU123</f>
        <v>0</v>
      </c>
      <c r="AP114" s="3">
        <f>[2]หน้าผ้า!DP123</f>
        <v>0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>
        <f>[2]หน้าผ้า!EC123</f>
        <v>0</v>
      </c>
      <c r="AX114" s="2">
        <f>[2]หน้าผ้า!ED123</f>
        <v>0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WRWT25650/WRWT25650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0</v>
      </c>
      <c r="B115" s="14">
        <f>[2]หน้าผ้า!B124</f>
        <v>0</v>
      </c>
      <c r="C115" s="9">
        <f>[2]หน้าผ้า!E124</f>
        <v>0</v>
      </c>
      <c r="D115" s="13">
        <f>[2]หน้าผ้า!F124</f>
        <v>0</v>
      </c>
      <c r="E115" s="9">
        <f>[2]หน้าผ้า!G124</f>
        <v>21</v>
      </c>
      <c r="F115" s="9">
        <f>[2]หน้าผ้า!H124</f>
        <v>37</v>
      </c>
      <c r="G115" s="9" t="str">
        <f>[2]หน้าผ้า!I124</f>
        <v>ขาวแถบใส5</v>
      </c>
      <c r="H115" s="9">
        <f>[2]หน้าผ้า!J124</f>
        <v>0</v>
      </c>
      <c r="I115" s="9">
        <f>[2]หน้าผ้า!L124</f>
        <v>67</v>
      </c>
      <c r="J115" s="9" t="str">
        <f>[2]หน้าผ้า!M124</f>
        <v>±</v>
      </c>
      <c r="K115" s="9">
        <f>[2]หน้าผ้า!N124</f>
        <v>5</v>
      </c>
      <c r="L115" s="9">
        <f>[2]หน้าผ้า!R124</f>
        <v>0</v>
      </c>
      <c r="M115" s="10">
        <f>[2]หน้าผ้า!T124</f>
        <v>0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>
        <f>[2]หน้าผ้า!Z124</f>
        <v>0</v>
      </c>
      <c r="T115" s="12">
        <f>[2]หน้าผ้า!X124</f>
        <v>0</v>
      </c>
      <c r="U115" s="11">
        <f>[2]หน้าผ้า!AA124</f>
        <v>0</v>
      </c>
      <c r="V115" s="10">
        <f>[2]หน้าผ้า!AJ124</f>
        <v>0</v>
      </c>
      <c r="W115" s="10">
        <f>[2]หน้าผ้า!AL124</f>
        <v>0</v>
      </c>
      <c r="X115" s="10">
        <f>[2]หน้าผ้า!AM124</f>
        <v>0</v>
      </c>
      <c r="Y115" s="10">
        <f>[2]หน้าผ้า!AN124</f>
        <v>0</v>
      </c>
      <c r="Z115" s="9" t="str">
        <f>[2]หน้าผ้า!AO124</f>
        <v>WSWTSCL052125650</v>
      </c>
      <c r="AA115" s="8" t="e">
        <f>[2]หน้าผ้า!AQ124</f>
        <v>#REF!</v>
      </c>
      <c r="AB115" s="8" t="e">
        <f>[2]หน้าผ้า!AR124</f>
        <v>#REF!</v>
      </c>
      <c r="AC115" s="8" t="e">
        <f>[2]หน้าผ้า!AS124</f>
        <v>#REF!</v>
      </c>
      <c r="AD115" s="8" t="e">
        <f>[2]หน้าผ้า!AT124</f>
        <v>#REF!</v>
      </c>
      <c r="AE115" s="8" t="e">
        <f>[2]หน้าผ้า!AU124</f>
        <v>#REF!</v>
      </c>
      <c r="AF115" s="8" t="str">
        <f>[2]หน้าผ้า!AI124</f>
        <v>ระบุในSD</v>
      </c>
      <c r="AG115" s="1" t="str">
        <f>[3]หน้าผ้า!DC127</f>
        <v>ยังไม่ได้พิมพ์</v>
      </c>
      <c r="AH115" s="1">
        <f>[2]หน้าผ้า!DL124</f>
        <v>0</v>
      </c>
      <c r="AI115" s="1" t="str">
        <f>[2]หน้าผ้า!DM124</f>
        <v>Lead time</v>
      </c>
      <c r="AJ115" s="3">
        <f>[2]หน้าผ้า!DN124</f>
        <v>0</v>
      </c>
      <c r="AK115" s="3">
        <f>[2]หน้าผ้า!DQ124</f>
        <v>0</v>
      </c>
      <c r="AL115" s="3">
        <f>[2]หน้าผ้า!DR124</f>
        <v>0</v>
      </c>
      <c r="AM115" s="3">
        <f>[2]หน้าผ้า!DS124</f>
        <v>0</v>
      </c>
      <c r="AN115" s="3">
        <f>[2]หน้าผ้า!DT124</f>
        <v>0</v>
      </c>
      <c r="AO115" s="3">
        <f>[2]หน้าผ้า!DU124</f>
        <v>0</v>
      </c>
      <c r="AP115" s="3">
        <f>[2]หน้าผ้า!DP124</f>
        <v>0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>
        <f>[2]หน้าผ้า!EC124</f>
        <v>0</v>
      </c>
      <c r="AX115" s="2">
        <f>[2]หน้าผ้า!ED124</f>
        <v>0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WRWT25650/WRCL25680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0</v>
      </c>
      <c r="B116" s="14">
        <f>[2]หน้าผ้า!B125</f>
        <v>0</v>
      </c>
      <c r="C116" s="9">
        <f>[2]หน้าผ้า!E125</f>
        <v>0</v>
      </c>
      <c r="D116" s="13">
        <f>[2]หน้าผ้า!F125</f>
        <v>0</v>
      </c>
      <c r="E116" s="9">
        <f>[2]หน้าผ้า!G125</f>
        <v>21</v>
      </c>
      <c r="F116" s="9">
        <f>[2]หน้าผ้า!H125</f>
        <v>37</v>
      </c>
      <c r="G116" s="9" t="str">
        <f>[2]หน้าผ้า!I125</f>
        <v>ขาว</v>
      </c>
      <c r="H116" s="9">
        <f>[2]หน้าผ้า!J125</f>
        <v>0</v>
      </c>
      <c r="I116" s="9">
        <f>[2]หน้าผ้า!L125</f>
        <v>83</v>
      </c>
      <c r="J116" s="9" t="str">
        <f>[2]หน้าผ้า!M125</f>
        <v>±</v>
      </c>
      <c r="K116" s="9">
        <f>[2]หน้าผ้า!N125</f>
        <v>5</v>
      </c>
      <c r="L116" s="9">
        <f>[2]หน้าผ้า!R125</f>
        <v>0</v>
      </c>
      <c r="M116" s="10">
        <f>[2]หน้าผ้า!T125</f>
        <v>0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>
        <f>[2]หน้าผ้า!Z125</f>
        <v>0</v>
      </c>
      <c r="T116" s="12">
        <f>[2]หน้าผ้า!X125</f>
        <v>0</v>
      </c>
      <c r="U116" s="11">
        <f>[2]หน้าผ้า!AA125</f>
        <v>0</v>
      </c>
      <c r="V116" s="10">
        <f>[2]หน้าผ้า!AJ125</f>
        <v>0</v>
      </c>
      <c r="W116" s="10">
        <f>[2]หน้าผ้า!AL125</f>
        <v>0</v>
      </c>
      <c r="X116" s="10">
        <f>[2]หน้าผ้า!AM125</f>
        <v>0</v>
      </c>
      <c r="Y116" s="10">
        <f>[2]หน้าผ้า!AN125</f>
        <v>0</v>
      </c>
      <c r="Z116" s="9" t="str">
        <f>[2]หน้าผ้า!AO125</f>
        <v>WSWT2125800</v>
      </c>
      <c r="AA116" s="8" t="e">
        <f>[2]หน้าผ้า!AQ125</f>
        <v>#REF!</v>
      </c>
      <c r="AB116" s="8" t="e">
        <f>[2]หน้าผ้า!AR125</f>
        <v>#REF!</v>
      </c>
      <c r="AC116" s="8" t="e">
        <f>[2]หน้าผ้า!AS125</f>
        <v>#REF!</v>
      </c>
      <c r="AD116" s="8" t="e">
        <f>[2]หน้าผ้า!AT125</f>
        <v>#REF!</v>
      </c>
      <c r="AE116" s="8" t="e">
        <f>[2]หน้าผ้า!AU125</f>
        <v>#REF!</v>
      </c>
      <c r="AF116" s="8" t="str">
        <f>[2]หน้าผ้า!AI125</f>
        <v>ระบุในSD</v>
      </c>
      <c r="AG116" s="1" t="str">
        <f>[3]หน้าผ้า!DC128</f>
        <v>รอแบบ</v>
      </c>
      <c r="AH116" s="1">
        <f>[2]หน้าผ้า!DL125</f>
        <v>0</v>
      </c>
      <c r="AI116" s="1">
        <f>[2]หน้าผ้า!DM125</f>
        <v>0</v>
      </c>
      <c r="AJ116" s="3">
        <f>[2]หน้าผ้า!DN125</f>
        <v>0</v>
      </c>
      <c r="AK116" s="3">
        <f>[2]หน้าผ้า!DQ125</f>
        <v>0</v>
      </c>
      <c r="AL116" s="3">
        <f>[2]หน้าผ้า!DR125</f>
        <v>0</v>
      </c>
      <c r="AM116" s="3">
        <f>[2]หน้าผ้า!DS125</f>
        <v>0</v>
      </c>
      <c r="AN116" s="3">
        <f>[2]หน้าผ้า!DT125</f>
        <v>0</v>
      </c>
      <c r="AO116" s="3">
        <f>[2]หน้าผ้า!DU125</f>
        <v>0</v>
      </c>
      <c r="AP116" s="3">
        <f>[2]หน้าผ้า!DP125</f>
        <v>0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>
        <f>[2]หน้าผ้า!EC125</f>
        <v>0</v>
      </c>
      <c r="AX116" s="2">
        <f>[2]หน้าผ้า!ED125</f>
        <v>0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WRWT210800/WRWT25800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45904</v>
      </c>
      <c r="B117" s="14" t="str">
        <f>[2]หน้าผ้า!B126</f>
        <v>MK68-001073</v>
      </c>
      <c r="C117" s="9" t="str">
        <f>[2]หน้าผ้า!E126</f>
        <v>บจก.ทีเจที.เทรดเดอร์</v>
      </c>
      <c r="D117" s="13" t="str">
        <f>[2]หน้าผ้า!F126</f>
        <v>เอ็มเค 914</v>
      </c>
      <c r="E117" s="9">
        <f>[2]หน้าผ้า!G126</f>
        <v>21</v>
      </c>
      <c r="F117" s="9">
        <f>[2]หน้าผ้า!H126</f>
        <v>40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108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ไม่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</v>
      </c>
      <c r="T117" s="12">
        <f>[2]หน้าผ้า!X126</f>
        <v>45911</v>
      </c>
      <c r="U117" s="11">
        <f>[2]หน้าผ้า!AA126</f>
        <v>4000</v>
      </c>
      <c r="V117" s="10">
        <f>[2]หน้าผ้า!AJ126</f>
        <v>0</v>
      </c>
      <c r="W117" s="10">
        <f>[2]หน้าผ้า!AL126</f>
        <v>4000</v>
      </c>
      <c r="X117" s="10">
        <f>[2]หน้าผ้า!AM126</f>
        <v>4340</v>
      </c>
      <c r="Y117" s="10">
        <f>[2]หน้าผ้า!AN126</f>
        <v>0</v>
      </c>
      <c r="Z117" s="9" t="str">
        <f>[2]หน้าผ้า!AO126</f>
        <v>WSWT2121670SM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ยังไม่ได้พิมพ์</v>
      </c>
      <c r="AH117" s="1" t="str">
        <f>[2]หน้าผ้า!DL126</f>
        <v>P8</v>
      </c>
      <c r="AI117" s="1">
        <f>[2]หน้าผ้า!DM126</f>
        <v>4</v>
      </c>
      <c r="AJ117" s="3">
        <f>[2]หน้าผ้า!DN126</f>
        <v>45911</v>
      </c>
      <c r="AK117" s="3">
        <f>[2]หน้าผ้า!DQ126</f>
        <v>45907</v>
      </c>
      <c r="AL117" s="3">
        <f>[2]หน้าผ้า!DR126</f>
        <v>45901</v>
      </c>
      <c r="AM117" s="3">
        <f>[2]หน้าผ้า!DS126</f>
        <v>45908</v>
      </c>
      <c r="AN117" s="3">
        <f>[2]หน้าผ้า!DT126</f>
        <v>45909</v>
      </c>
      <c r="AO117" s="3">
        <f>[2]หน้าผ้า!DU126</f>
        <v>45909</v>
      </c>
      <c r="AP117" s="3">
        <f>[2]หน้าผ้า!DP126</f>
        <v>45906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>
        <f>[2]หน้าผ้า!ED126</f>
        <v>0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WRWT21670/WRWT21670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45876</v>
      </c>
      <c r="B118" s="14" t="str">
        <f>[2]หน้าผ้า!B127</f>
        <v>MK68-000977</v>
      </c>
      <c r="C118" s="9" t="str">
        <f>[2]หน้าผ้า!E127</f>
        <v>บจก.เอพีเอ็ม อะโกร</v>
      </c>
      <c r="D118" s="13" t="str">
        <f>[2]หน้าผ้า!F127</f>
        <v>โมโม่ 4131</v>
      </c>
      <c r="E118" s="9">
        <f>[2]หน้าผ้า!G127</f>
        <v>21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ใส</v>
      </c>
      <c r="I118" s="9">
        <f>[2]หน้าผ้า!L127</f>
        <v>102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</v>
      </c>
      <c r="M118" s="10">
        <f>[2]หน้าผ้า!T127</f>
        <v>22</v>
      </c>
      <c r="N118" s="9">
        <f>[2]หน้าผ้า!U127</f>
        <v>40</v>
      </c>
      <c r="O118" s="9">
        <f>[2]หน้าผ้า!V127</f>
        <v>40</v>
      </c>
      <c r="P118" s="10">
        <f>[2]หน้าผ้า!AB127</f>
        <v>65.13122457599998</v>
      </c>
      <c r="Q118" s="10">
        <f>[2]หน้าผ้า!AC127</f>
        <v>0</v>
      </c>
      <c r="R118" s="10">
        <f>[2]หน้าผ้า!AD127</f>
        <v>65.13122457599998</v>
      </c>
      <c r="S118" s="9" t="str">
        <f>[2]หน้าผ้า!Z127</f>
        <v>500กระสอบแบน</v>
      </c>
      <c r="T118" s="12">
        <f>[2]หน้าผ้า!X127</f>
        <v>45926</v>
      </c>
      <c r="U118" s="11">
        <f>[2]หน้าผ้า!AA127</f>
        <v>3000</v>
      </c>
      <c r="V118" s="10">
        <f>[2]หน้าผ้า!AJ127</f>
        <v>0</v>
      </c>
      <c r="W118" s="10">
        <f>[2]หน้าผ้า!AL127</f>
        <v>3000</v>
      </c>
      <c r="X118" s="10">
        <f>[2]หน้าผ้า!AM127</f>
        <v>0</v>
      </c>
      <c r="Y118" s="10">
        <f>[2]หน้าผ้า!AN127</f>
        <v>3150</v>
      </c>
      <c r="Z118" s="9" t="str">
        <f>[2]หน้าผ้า!AO127</f>
        <v>WSWT2121670SM</v>
      </c>
      <c r="AA118" s="8">
        <f>[2]หน้าผ้า!AQ127</f>
        <v>3310.89</v>
      </c>
      <c r="AB118" s="8">
        <f>[2]หน้าผ้า!AR127</f>
        <v>3310.89</v>
      </c>
      <c r="AC118" s="8">
        <f>[2]หน้าผ้า!AS127</f>
        <v>0</v>
      </c>
      <c r="AD118" s="8">
        <f>[2]หน้าผ้า!AT127</f>
        <v>3310.89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ยังไม่ได้พิมพ์</v>
      </c>
      <c r="AH118" s="1" t="str">
        <f>[2]หน้าผ้า!DL127</f>
        <v>P8</v>
      </c>
      <c r="AI118" s="1">
        <f>[2]หน้าผ้า!DM127</f>
        <v>4</v>
      </c>
      <c r="AJ118" s="3">
        <f>[2]หน้าผ้า!DN127</f>
        <v>45926</v>
      </c>
      <c r="AK118" s="3">
        <f>[2]หน้าผ้า!DQ127</f>
        <v>45922</v>
      </c>
      <c r="AL118" s="3">
        <f>[2]หน้าผ้า!DR127</f>
        <v>45916</v>
      </c>
      <c r="AM118" s="3">
        <f>[2]หน้าผ้า!DS127</f>
        <v>45923</v>
      </c>
      <c r="AN118" s="3">
        <f>[2]หน้าผ้า!DT127</f>
        <v>45924</v>
      </c>
      <c r="AO118" s="3">
        <f>[2]หน้าผ้า!DU127</f>
        <v>45924</v>
      </c>
      <c r="AP118" s="3">
        <f>[2]หน้าผ้า!DP127</f>
        <v>45921</v>
      </c>
      <c r="AQ118" s="3">
        <f>[2]หน้าผ้า!DW127</f>
        <v>45925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WRWT21670/WRWT21670</v>
      </c>
      <c r="BD118" s="56">
        <f>[2]หน้าผ้า!CA127</f>
        <v>0</v>
      </c>
    </row>
    <row r="119" spans="1:56" ht="27.75" customHeight="1" x14ac:dyDescent="0.45">
      <c r="A119" s="3" t="str">
        <f>[2]หน้าผ้า!C128</f>
        <v>ประมาณการ</v>
      </c>
      <c r="B119" s="14" t="str">
        <f>[2]หน้าผ้า!B128</f>
        <v>ประมาณการ</v>
      </c>
      <c r="C119" s="9" t="str">
        <f>[2]หน้าผ้า!E128</f>
        <v>บจก.แอมโก้เวท</v>
      </c>
      <c r="D119" s="13" t="str">
        <f>[2]หน้าผ้า!F128</f>
        <v>รอแบบ</v>
      </c>
      <c r="E119" s="9">
        <f>[2]หน้าผ้า!G128</f>
        <v>21</v>
      </c>
      <c r="F119" s="9">
        <f>[2]หน้าผ้า!H128</f>
        <v>37</v>
      </c>
      <c r="G119" s="9" t="str">
        <f>[2]หน้าผ้า!I128</f>
        <v>ขาว</v>
      </c>
      <c r="H119" s="9" t="str">
        <f>[2]หน้าผ้า!J128</f>
        <v>ใส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</v>
      </c>
      <c r="T119" s="12">
        <f>[2]หน้าผ้า!X128</f>
        <v>45930</v>
      </c>
      <c r="U119" s="11">
        <f>[2]หน้าผ้า!AA128</f>
        <v>100000</v>
      </c>
      <c r="V119" s="10">
        <f>[2]หน้าผ้า!AJ128</f>
        <v>0</v>
      </c>
      <c r="W119" s="10">
        <f>[2]หน้าผ้า!AL128</f>
        <v>100000</v>
      </c>
      <c r="X119" s="10">
        <f>[2]หน้าผ้า!AM128</f>
        <v>0</v>
      </c>
      <c r="Y119" s="10">
        <f>[2]หน้าผ้า!AN128</f>
        <v>105000</v>
      </c>
      <c r="Z119" s="9" t="str">
        <f>[2]หน้าผ้า!AO128</f>
        <v>WSWT2121670SM</v>
      </c>
      <c r="AA119" s="8">
        <f>[2]หน้าผ้า!AQ128</f>
        <v>107569.00000000001</v>
      </c>
      <c r="AB119" s="8">
        <f>[2]หน้าผ้า!AR128</f>
        <v>107569.00000000001</v>
      </c>
      <c r="AC119" s="8">
        <f>[2]หน้าผ้า!AS128</f>
        <v>0</v>
      </c>
      <c r="AD119" s="8">
        <f>[2]หน้าผ้า!AT128</f>
        <v>107569.00000000001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ยังไม่ได้พิมพ์</v>
      </c>
      <c r="AH119" s="1" t="str">
        <f>[2]หน้าผ้า!DL128</f>
        <v>P8</v>
      </c>
      <c r="AI119" s="1">
        <f>[2]หน้าผ้า!DM128</f>
        <v>4</v>
      </c>
      <c r="AJ119" s="3">
        <f>[2]หน้าผ้า!DN128</f>
        <v>45930</v>
      </c>
      <c r="AK119" s="3">
        <f>[2]หน้าผ้า!DQ128</f>
        <v>45926</v>
      </c>
      <c r="AL119" s="3">
        <f>[2]หน้าผ้า!DR128</f>
        <v>45920</v>
      </c>
      <c r="AM119" s="3">
        <f>[2]หน้าผ้า!DS128</f>
        <v>45927</v>
      </c>
      <c r="AN119" s="3">
        <f>[2]หน้าผ้า!DT128</f>
        <v>45928</v>
      </c>
      <c r="AO119" s="3">
        <f>[2]หน้าผ้า!DU128</f>
        <v>45928</v>
      </c>
      <c r="AP119" s="3">
        <f>[2]หน้าผ้า!DP128</f>
        <v>45925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WRWT21670/WRWT21670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45631</v>
      </c>
      <c r="B120" s="14" t="str">
        <f>[2]หน้าผ้า!B129</f>
        <v>MK67-001643</v>
      </c>
      <c r="C120" s="9" t="str">
        <f>[2]หน้าผ้า!E129</f>
        <v>บจก.ที.ซี.ยูเนี่ยน อโกรเทค</v>
      </c>
      <c r="D120" s="13" t="str">
        <f>[2]หน้าผ้า!F129</f>
        <v>Zhejiang UN</v>
      </c>
      <c r="E120" s="9">
        <f>[2]หน้าผ้า!G129</f>
        <v>21</v>
      </c>
      <c r="F120" s="9">
        <f>[2]หน้าผ้า!H129</f>
        <v>37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ไม่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 xml:space="preserve">300กระสอบแบนเต็มใบ </v>
      </c>
      <c r="T120" s="12" t="str">
        <f>[2]หน้าผ้า!X129</f>
        <v>รอแจ้ง</v>
      </c>
      <c r="U120" s="11">
        <f>[2]หน้าผ้า!AA129</f>
        <v>16000</v>
      </c>
      <c r="V120" s="10">
        <f>[2]หน้าผ้า!AJ129</f>
        <v>0</v>
      </c>
      <c r="W120" s="10">
        <f>[2]หน้าผ้า!AL129</f>
        <v>16000</v>
      </c>
      <c r="X120" s="10">
        <f>[2]หน้าผ้า!AM129</f>
        <v>0</v>
      </c>
      <c r="Y120" s="10">
        <f>[2]หน้าผ้า!AN129</f>
        <v>16800</v>
      </c>
      <c r="Z120" s="9" t="str">
        <f>[2]หน้าผ้า!AO129</f>
        <v>WSWT2121670SM</v>
      </c>
      <c r="AA120" s="8">
        <f>[2]หน้าผ้า!AQ129</f>
        <v>17211.04</v>
      </c>
      <c r="AB120" s="8">
        <f>[2]หน้าผ้า!AR129</f>
        <v>17211.04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17211.04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P8</v>
      </c>
      <c r="AI120" s="1">
        <f>[2]หน้าผ้า!DM129</f>
        <v>4</v>
      </c>
      <c r="AJ120" s="3" t="str">
        <f>[2]หน้าผ้า!DN129</f>
        <v>รอแจ้ง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 t="str">
        <f>[2]หน้าผ้า!AG129</f>
        <v>17/2---28/3 ลูกค้าแจ้งเลื่อน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WRWT21670/WRWT21670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45631</v>
      </c>
      <c r="B121" s="14" t="str">
        <f>[2]หน้าผ้า!B130</f>
        <v>MK67-001642</v>
      </c>
      <c r="C121" s="9" t="str">
        <f>[2]หน้าผ้า!E130</f>
        <v>บจก.ที.ซี.ยูเนี่ยน อโกรเทค</v>
      </c>
      <c r="D121" s="13" t="str">
        <f>[2]หน้าผ้า!F130</f>
        <v>Zhejiang UN</v>
      </c>
      <c r="E121" s="9">
        <f>[2]หน้าผ้า!G130</f>
        <v>21</v>
      </c>
      <c r="F121" s="9">
        <f>[2]หน้าผ้า!H130</f>
        <v>37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ไม่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 xml:space="preserve">300กระสอบแบนเต็มใบ </v>
      </c>
      <c r="T121" s="12" t="str">
        <f>[2]หน้าผ้า!X130</f>
        <v>รอแจ้ง</v>
      </c>
      <c r="U121" s="11">
        <f>[2]หน้าผ้า!AA130</f>
        <v>9000</v>
      </c>
      <c r="V121" s="10">
        <f>[2]หน้าผ้า!AJ130</f>
        <v>0</v>
      </c>
      <c r="W121" s="10">
        <f>[2]หน้าผ้า!AL130</f>
        <v>9000</v>
      </c>
      <c r="X121" s="10">
        <f>[2]หน้าผ้า!AM130</f>
        <v>0</v>
      </c>
      <c r="Y121" s="10">
        <f>[2]หน้าผ้า!AN130</f>
        <v>9450</v>
      </c>
      <c r="Z121" s="9" t="str">
        <f>[2]หน้าผ้า!AO130</f>
        <v>WSWT2121670SM</v>
      </c>
      <c r="AA121" s="8">
        <f>[2]หน้าผ้า!AQ130</f>
        <v>9681.2100000000009</v>
      </c>
      <c r="AB121" s="8">
        <f>[2]หน้าผ้า!AR130</f>
        <v>9681.2100000000009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9681.2100000000009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P8</v>
      </c>
      <c r="AI121" s="1">
        <f>[2]หน้าผ้า!DM130</f>
        <v>4</v>
      </c>
      <c r="AJ121" s="3" t="str">
        <f>[2]หน้าผ้า!DN130</f>
        <v>รอแจ้ง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 t="str">
        <f>[2]หน้าผ้า!AG130</f>
        <v>3/2---19/3 ลูกค้าแจ้งเลื่อน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WRWT21670/WRWT21670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45896</v>
      </c>
      <c r="B122" s="14" t="str">
        <f>[2]หน้าผ้า!B131</f>
        <v>MK68-001036</v>
      </c>
      <c r="C122" s="9" t="str">
        <f>[2]หน้าผ้า!E131</f>
        <v>บจก.เอพีเอ็ม อะโกร</v>
      </c>
      <c r="D122" s="13" t="str">
        <f>[2]หน้าผ้า!F131</f>
        <v>โมโม่ 491</v>
      </c>
      <c r="E122" s="9">
        <f>[2]หน้าผ้า!G131</f>
        <v>21</v>
      </c>
      <c r="F122" s="9">
        <f>[2]หน้าผ้า!H131</f>
        <v>38</v>
      </c>
      <c r="G122" s="9" t="str">
        <f>[2]หน้าผ้า!I131</f>
        <v>ขาว</v>
      </c>
      <c r="H122" s="9" t="str">
        <f>[2]หน้าผ้า!J131</f>
        <v>ใส</v>
      </c>
      <c r="I122" s="9">
        <f>[2]หน้าผ้า!L131</f>
        <v>102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จับจีบ</v>
      </c>
      <c r="M122" s="10">
        <f>[2]หน้าผ้า!T131</f>
        <v>22</v>
      </c>
      <c r="N122" s="9">
        <f>[2]หน้าผ้า!U131</f>
        <v>40</v>
      </c>
      <c r="O122" s="9">
        <f>[2]หน้าผ้า!V131</f>
        <v>40</v>
      </c>
      <c r="P122" s="10">
        <f>[2]หน้าผ้า!AB131</f>
        <v>65.13122457599998</v>
      </c>
      <c r="Q122" s="10">
        <f>[2]หน้าผ้า!AC131</f>
        <v>0</v>
      </c>
      <c r="R122" s="10">
        <f>[2]หน้าผ้า!AD131</f>
        <v>65.13122457599998</v>
      </c>
      <c r="S122" s="9" t="str">
        <f>[2]หน้าผ้า!Z131</f>
        <v>500กระสอบแบน</v>
      </c>
      <c r="T122" s="12" t="str">
        <f>[2]หน้าผ้า!X131</f>
        <v>รอแจ้ง</v>
      </c>
      <c r="U122" s="11">
        <f>[2]หน้าผ้า!AA131</f>
        <v>3000</v>
      </c>
      <c r="V122" s="10">
        <f>[2]หน้าผ้า!AJ131</f>
        <v>0</v>
      </c>
      <c r="W122" s="10">
        <f>[2]หน้าผ้า!AL131</f>
        <v>3000</v>
      </c>
      <c r="X122" s="10">
        <f>[2]หน้าผ้า!AM131</f>
        <v>0</v>
      </c>
      <c r="Y122" s="10">
        <f>[2]หน้าผ้า!AN131</f>
        <v>3150</v>
      </c>
      <c r="Z122" s="9" t="str">
        <f>[2]หน้าผ้า!AO131</f>
        <v>WSWT2121670SM</v>
      </c>
      <c r="AA122" s="8">
        <f>[2]หน้าผ้า!AQ131</f>
        <v>3310.89</v>
      </c>
      <c r="AB122" s="8">
        <f>[2]หน้าผ้า!AR131</f>
        <v>3310.89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3310.89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P8</v>
      </c>
      <c r="AI122" s="1">
        <f>[2]หน้าผ้า!DM131</f>
        <v>4</v>
      </c>
      <c r="AJ122" s="3" t="str">
        <f>[2]หน้าผ้า!DN131</f>
        <v>รอแจ้ง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 t="e">
        <f>[2]หน้าผ้า!DW131</f>
        <v>#VALUE!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WRWT21670/WRWT21670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45896</v>
      </c>
      <c r="B123" s="14" t="str">
        <f>[2]หน้าผ้า!B132</f>
        <v>MK68-001038</v>
      </c>
      <c r="C123" s="9" t="str">
        <f>[2]หน้าผ้า!E132</f>
        <v>บจก.เอพีเอ็ม อะโกร</v>
      </c>
      <c r="D123" s="13" t="str">
        <f>[2]หน้าผ้า!F132</f>
        <v>โมโม่ 492</v>
      </c>
      <c r="E123" s="9">
        <f>[2]หน้าผ้า!G132</f>
        <v>21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102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จับจีบ</v>
      </c>
      <c r="M123" s="10">
        <f>[2]หน้าผ้า!T132</f>
        <v>22</v>
      </c>
      <c r="N123" s="9">
        <f>[2]หน้าผ้า!U132</f>
        <v>40</v>
      </c>
      <c r="O123" s="9">
        <f>[2]หน้าผ้า!V132</f>
        <v>40</v>
      </c>
      <c r="P123" s="10">
        <f>[2]หน้าผ้า!AB132</f>
        <v>108.55204095999999</v>
      </c>
      <c r="Q123" s="10">
        <f>[2]หน้าผ้า!AC132</f>
        <v>0</v>
      </c>
      <c r="R123" s="10">
        <f>[2]หน้าผ้า!AD132</f>
        <v>108.55204095999999</v>
      </c>
      <c r="S123" s="9" t="str">
        <f>[2]หน้าผ้า!Z132</f>
        <v>500กระสอบแบน</v>
      </c>
      <c r="T123" s="12" t="str">
        <f>[2]หน้าผ้า!X132</f>
        <v>รอแจ้ง</v>
      </c>
      <c r="U123" s="11">
        <f>[2]หน้าผ้า!AA132</f>
        <v>5000</v>
      </c>
      <c r="V123" s="10">
        <f>[2]หน้าผ้า!AJ132</f>
        <v>0</v>
      </c>
      <c r="W123" s="10">
        <f>[2]หน้าผ้า!AL132</f>
        <v>5000</v>
      </c>
      <c r="X123" s="10">
        <f>[2]หน้าผ้า!AM132</f>
        <v>0</v>
      </c>
      <c r="Y123" s="10">
        <f>[2]หน้าผ้า!AN132</f>
        <v>5250</v>
      </c>
      <c r="Z123" s="9" t="str">
        <f>[2]หน้าผ้า!AO132</f>
        <v>WSWT2121670SM</v>
      </c>
      <c r="AA123" s="8">
        <f>[2]หน้าผ้า!AQ132</f>
        <v>5518.15</v>
      </c>
      <c r="AB123" s="8">
        <f>[2]หน้าผ้า!AR132</f>
        <v>5518.15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5518.15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P8</v>
      </c>
      <c r="AI123" s="1">
        <f>[2]หน้าผ้า!DM132</f>
        <v>4</v>
      </c>
      <c r="AJ123" s="3" t="str">
        <f>[2]หน้าผ้า!DN132</f>
        <v>รอแจ้ง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 t="e">
        <f>[2]หน้าผ้า!DW132</f>
        <v>#VALUE!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WRWT21670/WRWT21670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45896</v>
      </c>
      <c r="B124" s="14" t="str">
        <f>[2]หน้าผ้า!B133</f>
        <v>MK68-001037</v>
      </c>
      <c r="C124" s="9" t="str">
        <f>[2]หน้าผ้า!E133</f>
        <v>บจก.เอพีเอ็ม อะโกร</v>
      </c>
      <c r="D124" s="13" t="str">
        <f>[2]หน้าผ้า!F133</f>
        <v>โมโม่ 401</v>
      </c>
      <c r="E124" s="9">
        <f>[2]หน้าผ้า!G133</f>
        <v>21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102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จับจีบ</v>
      </c>
      <c r="M124" s="10">
        <f>[2]หน้าผ้า!T133</f>
        <v>22</v>
      </c>
      <c r="N124" s="9">
        <f>[2]หน้าผ้า!U133</f>
        <v>40</v>
      </c>
      <c r="O124" s="9">
        <f>[2]หน้าผ้า!V133</f>
        <v>40</v>
      </c>
      <c r="P124" s="10">
        <f>[2]หน้าผ้า!AB133</f>
        <v>65.13122457599998</v>
      </c>
      <c r="Q124" s="10">
        <f>[2]หน้าผ้า!AC133</f>
        <v>0</v>
      </c>
      <c r="R124" s="10">
        <f>[2]หน้าผ้า!AD133</f>
        <v>65.13122457599998</v>
      </c>
      <c r="S124" s="9" t="str">
        <f>[2]หน้าผ้า!Z133</f>
        <v>500กระสอบแบน</v>
      </c>
      <c r="T124" s="12" t="str">
        <f>[2]หน้าผ้า!X133</f>
        <v>รอแจ้ง</v>
      </c>
      <c r="U124" s="11">
        <f>[2]หน้าผ้า!AA133</f>
        <v>3000</v>
      </c>
      <c r="V124" s="10">
        <f>[2]หน้าผ้า!AJ133</f>
        <v>0</v>
      </c>
      <c r="W124" s="10">
        <f>[2]หน้าผ้า!AL133</f>
        <v>3000</v>
      </c>
      <c r="X124" s="10">
        <f>[2]หน้าผ้า!AM133</f>
        <v>0</v>
      </c>
      <c r="Y124" s="10">
        <f>[2]หน้าผ้า!AN133</f>
        <v>3150</v>
      </c>
      <c r="Z124" s="9" t="str">
        <f>[2]หน้าผ้า!AO133</f>
        <v>WSWT2121670SM</v>
      </c>
      <c r="AA124" s="8">
        <f>[2]หน้าผ้า!AQ133</f>
        <v>3310.89</v>
      </c>
      <c r="AB124" s="8">
        <f>[2]หน้าผ้า!AR133</f>
        <v>3310.89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3310.89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P8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 t="e">
        <f>[2]หน้าผ้า!DW133</f>
        <v>#VALUE!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WRWT21670/WRWT21670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45876</v>
      </c>
      <c r="B125" s="14" t="str">
        <f>[2]หน้าผ้า!B134</f>
        <v>MK68-000982</v>
      </c>
      <c r="C125" s="9" t="str">
        <f>[2]หน้าผ้า!E134</f>
        <v>บจก.เอพีเอ็ม อะโกร</v>
      </c>
      <c r="D125" s="13" t="str">
        <f>[2]หน้าผ้า!F134</f>
        <v>ฟีล กู๊ด 893</v>
      </c>
      <c r="E125" s="9">
        <f>[2]หน้าผ้า!G134</f>
        <v>21</v>
      </c>
      <c r="F125" s="9">
        <f>[2]หน้าผ้า!H134</f>
        <v>40</v>
      </c>
      <c r="G125" s="9" t="str">
        <f>[2]หน้าผ้า!I134</f>
        <v>ขาว</v>
      </c>
      <c r="H125" s="9" t="str">
        <f>[2]หน้าผ้า!J134</f>
        <v>ใส</v>
      </c>
      <c r="I125" s="9">
        <f>[2]หน้าผ้า!L134</f>
        <v>108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>
        <f>[2]หน้าผ้า!T134</f>
        <v>22</v>
      </c>
      <c r="N125" s="9">
        <f>[2]หน้าผ้า!U134</f>
        <v>42</v>
      </c>
      <c r="O125" s="9">
        <f>[2]หน้าผ้า!V134</f>
        <v>40</v>
      </c>
      <c r="P125" s="10">
        <f>[2]หน้าผ้า!AB134</f>
        <v>68.387785804799989</v>
      </c>
      <c r="Q125" s="10">
        <f>[2]หน้าผ้า!AC134</f>
        <v>0</v>
      </c>
      <c r="R125" s="10">
        <f>[2]หน้าผ้า!AD134</f>
        <v>68.387785804799989</v>
      </c>
      <c r="S125" s="9" t="str">
        <f>[2]หน้าผ้า!Z134</f>
        <v>500กระสอบ</v>
      </c>
      <c r="T125" s="12" t="str">
        <f>[2]หน้าผ้า!X134</f>
        <v>รอแจ้ง</v>
      </c>
      <c r="U125" s="11">
        <f>[2]หน้าผ้า!AA134</f>
        <v>3000</v>
      </c>
      <c r="V125" s="10">
        <f>[2]หน้าผ้า!AJ134</f>
        <v>0</v>
      </c>
      <c r="W125" s="10">
        <f>[2]หน้าผ้า!AL134</f>
        <v>3000</v>
      </c>
      <c r="X125" s="10">
        <f>[2]หน้าผ้า!AM134</f>
        <v>0</v>
      </c>
      <c r="Y125" s="10">
        <f>[2]หน้าผ้า!AN134</f>
        <v>3150</v>
      </c>
      <c r="Z125" s="9" t="str">
        <f>[2]หน้าผ้า!AO134</f>
        <v>WSWT2121670SM</v>
      </c>
      <c r="AA125" s="8">
        <f>[2]หน้าผ้า!AQ134</f>
        <v>3478.5300000000007</v>
      </c>
      <c r="AB125" s="8">
        <f>[2]หน้าผ้า!AR134</f>
        <v>3478.5300000000007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3478.5300000000007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 t="str">
        <f>[2]หน้าผ้า!DL134</f>
        <v>P8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 t="e">
        <f>[2]หน้าผ้า!DW134</f>
        <v>#VALUE!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WRWT21670/WRWT21670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45876</v>
      </c>
      <c r="B126" s="14" t="str">
        <f>[2]หน้าผ้า!B135</f>
        <v>MK68-000978</v>
      </c>
      <c r="C126" s="9" t="str">
        <f>[2]หน้าผ้า!E135</f>
        <v>บจก.เอพีเอ็ม อะโกร</v>
      </c>
      <c r="D126" s="13" t="str">
        <f>[2]หน้าผ้า!F135</f>
        <v>โมโม่ 4132</v>
      </c>
      <c r="E126" s="9">
        <f>[2]หน้าผ้า!G135</f>
        <v>21</v>
      </c>
      <c r="F126" s="9">
        <f>[2]หน้าผ้า!H135</f>
        <v>40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108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>
        <f>[2]หน้าผ้า!T135</f>
        <v>22</v>
      </c>
      <c r="N126" s="9">
        <f>[2]หน้าผ้า!U135</f>
        <v>42</v>
      </c>
      <c r="O126" s="9">
        <f>[2]หน้าผ้า!V135</f>
        <v>40</v>
      </c>
      <c r="P126" s="10">
        <f>[2]หน้าผ้า!AB135</f>
        <v>113.97964300799998</v>
      </c>
      <c r="Q126" s="10">
        <f>[2]หน้าผ้า!AC135</f>
        <v>0</v>
      </c>
      <c r="R126" s="10">
        <f>[2]หน้าผ้า!AD135</f>
        <v>113.97964300799998</v>
      </c>
      <c r="S126" s="9" t="str">
        <f>[2]หน้าผ้า!Z135</f>
        <v>500กระสอบ</v>
      </c>
      <c r="T126" s="12" t="str">
        <f>[2]หน้าผ้า!X135</f>
        <v>รอแจ้ง</v>
      </c>
      <c r="U126" s="11">
        <f>[2]หน้าผ้า!AA135</f>
        <v>5000</v>
      </c>
      <c r="V126" s="10">
        <f>[2]หน้าผ้า!AJ135</f>
        <v>0</v>
      </c>
      <c r="W126" s="10">
        <f>[2]หน้าผ้า!AL135</f>
        <v>5000</v>
      </c>
      <c r="X126" s="10">
        <f>[2]หน้าผ้า!AM135</f>
        <v>0</v>
      </c>
      <c r="Y126" s="10">
        <f>[2]หน้าผ้า!AN135</f>
        <v>5250</v>
      </c>
      <c r="Z126" s="9" t="str">
        <f>[2]หน้าผ้า!AO135</f>
        <v>WSWT2121670SM</v>
      </c>
      <c r="AA126" s="8">
        <f>[2]หน้าผ้า!AQ135</f>
        <v>5797.55</v>
      </c>
      <c r="AB126" s="8">
        <f>[2]หน้าผ้า!AR135</f>
        <v>5797.55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5797.55</v>
      </c>
      <c r="AF126" s="8">
        <f>[2]หน้าผ้า!AI135</f>
        <v>0</v>
      </c>
      <c r="AG126" s="1" t="str">
        <f>[3]หน้าผ้า!DC138</f>
        <v>ยังไม่ได้พิมพ์</v>
      </c>
      <c r="AH126" s="1" t="str">
        <f>[2]หน้าผ้า!DL135</f>
        <v>P8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 t="e">
        <f>[2]หน้าผ้า!DW135</f>
        <v>#VALUE!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WRWT21670/WRWT21670</v>
      </c>
      <c r="BD126" s="56">
        <f>[2]หน้าผ้า!CA135</f>
        <v>0</v>
      </c>
    </row>
    <row r="127" spans="1:56" ht="27.75" customHeight="1" x14ac:dyDescent="0.45">
      <c r="A127" s="3" t="str">
        <f>[2]หน้าผ้า!C136</f>
        <v>ประมาณการ</v>
      </c>
      <c r="B127" s="14" t="str">
        <f>[2]หน้าผ้า!B136</f>
        <v>ประมาณการ</v>
      </c>
      <c r="C127" s="9" t="str">
        <f>[2]หน้าผ้า!E136</f>
        <v>บจก.ที.ซี.ยูเนี่ยน อโกรเทค</v>
      </c>
      <c r="D127" s="13" t="str">
        <f>[2]หน้าผ้า!F136</f>
        <v>Zhejiang UN</v>
      </c>
      <c r="E127" s="9">
        <f>[2]หน้าผ้า!G136</f>
        <v>21</v>
      </c>
      <c r="F127" s="9">
        <f>[2]หน้าผ้า!H136</f>
        <v>37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ไม่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 xml:space="preserve">300กระสอบแบนเต็มใบ </v>
      </c>
      <c r="T127" s="12" t="str">
        <f>[2]หน้าผ้า!X136</f>
        <v>รอแจ้ง</v>
      </c>
      <c r="U127" s="11">
        <f>[2]หน้าผ้า!AA136</f>
        <v>10000</v>
      </c>
      <c r="V127" s="10">
        <f>[2]หน้าผ้า!AJ136</f>
        <v>0</v>
      </c>
      <c r="W127" s="10">
        <f>[2]หน้าผ้า!AL136</f>
        <v>10000</v>
      </c>
      <c r="X127" s="10">
        <f>[2]หน้าผ้า!AM136</f>
        <v>0</v>
      </c>
      <c r="Y127" s="10">
        <f>[2]หน้าผ้า!AN136</f>
        <v>10500</v>
      </c>
      <c r="Z127" s="9" t="str">
        <f>[2]หน้าผ้า!AO136</f>
        <v>WSWT2121670SM</v>
      </c>
      <c r="AA127" s="8">
        <f>[2]หน้าผ้า!AQ136</f>
        <v>10756.900000000001</v>
      </c>
      <c r="AB127" s="8">
        <f>[2]หน้าผ้า!AR136</f>
        <v>10756.900000000001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10756.900000000001</v>
      </c>
      <c r="AF127" s="8">
        <f>[2]หน้าผ้า!AI136</f>
        <v>0</v>
      </c>
      <c r="AG127" s="1" t="str">
        <f>[3]หน้าผ้า!DC139</f>
        <v>ยังไม่ได้พิมพ์</v>
      </c>
      <c r="AH127" s="1" t="str">
        <f>[2]หน้าผ้า!DL136</f>
        <v>P8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WRWT21670/WRWT21670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45854</v>
      </c>
      <c r="B128" s="14" t="str">
        <f>[2]หน้าผ้า!B137</f>
        <v>MK68-000892</v>
      </c>
      <c r="C128" s="9" t="str">
        <f>[2]หน้าผ้า!E137</f>
        <v>บจก.เอสพีเอ็ม อาหารสัตว์</v>
      </c>
      <c r="D128" s="13" t="str">
        <f>[2]หน้าผ้า!F137</f>
        <v>มาซู ฟีดซี042</v>
      </c>
      <c r="E128" s="9">
        <f>[2]หน้าผ้า!G137</f>
        <v>21</v>
      </c>
      <c r="F128" s="9">
        <f>[2]หน้าผ้า!H137</f>
        <v>38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102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บิด</v>
      </c>
      <c r="M128" s="10">
        <f>[2]หน้าผ้า!T137</f>
        <v>22</v>
      </c>
      <c r="N128" s="9">
        <f>[2]หน้าผ้า!U137</f>
        <v>40</v>
      </c>
      <c r="O128" s="9">
        <f>[2]หน้าผ้า!V137</f>
        <v>40</v>
      </c>
      <c r="P128" s="10">
        <f>[2]หน้าผ้า!AB137</f>
        <v>65.13122457599998</v>
      </c>
      <c r="Q128" s="10">
        <f>[2]หน้าผ้า!AC137</f>
        <v>0</v>
      </c>
      <c r="R128" s="10">
        <f>[2]หน้าผ้า!AD137</f>
        <v>65.13122457599998</v>
      </c>
      <c r="S128" s="9" t="str">
        <f>[2]หน้าผ้า!Z137</f>
        <v>500กระสอบแบน</v>
      </c>
      <c r="T128" s="12" t="str">
        <f>[2]หน้าผ้า!X137</f>
        <v>รอแจ้ง</v>
      </c>
      <c r="U128" s="11">
        <f>[2]หน้าผ้า!AA137</f>
        <v>3000</v>
      </c>
      <c r="V128" s="10">
        <f>[2]หน้าผ้า!AJ137</f>
        <v>0</v>
      </c>
      <c r="W128" s="10">
        <f>[2]หน้าผ้า!AL137</f>
        <v>3000</v>
      </c>
      <c r="X128" s="10">
        <f>[2]หน้าผ้า!AM137</f>
        <v>0</v>
      </c>
      <c r="Y128" s="10">
        <f>[2]หน้าผ้า!AN137</f>
        <v>3150</v>
      </c>
      <c r="Z128" s="9" t="str">
        <f>[2]หน้าผ้า!AO137</f>
        <v>WSWT2121670SM</v>
      </c>
      <c r="AA128" s="8">
        <f>[2]หน้าผ้า!AQ137</f>
        <v>3310.89</v>
      </c>
      <c r="AB128" s="8">
        <f>[2]หน้าผ้า!AR137</f>
        <v>3310.89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3310.89</v>
      </c>
      <c r="AF128" s="8">
        <f>[2]หน้าผ้า!AI137</f>
        <v>0</v>
      </c>
      <c r="AG128" s="1" t="str">
        <f>[3]หน้าผ้า!DC140</f>
        <v>ยังไม่ได้พิมพ์</v>
      </c>
      <c r="AH128" s="1" t="str">
        <f>[2]หน้าผ้า!DL137</f>
        <v>P8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 t="e">
        <f>[2]หน้าผ้า!DW137</f>
        <v>#VALUE!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WRWT21670/WRWT21670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45854</v>
      </c>
      <c r="B129" s="14" t="str">
        <f>[2]หน้าผ้า!B138</f>
        <v>MK68-000893</v>
      </c>
      <c r="C129" s="9" t="str">
        <f>[2]หน้าผ้า!E138</f>
        <v>บจก.เอสพีเอ็ม อาหารสัตว์</v>
      </c>
      <c r="D129" s="13" t="str">
        <f>[2]หน้าผ้า!F138</f>
        <v>มาซู ฟีดจี041</v>
      </c>
      <c r="E129" s="9">
        <f>[2]หน้าผ้า!G138</f>
        <v>21</v>
      </c>
      <c r="F129" s="9">
        <f>[2]หน้าผ้า!H138</f>
        <v>38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102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บิด</v>
      </c>
      <c r="M129" s="10">
        <f>[2]หน้าผ้า!T138</f>
        <v>22</v>
      </c>
      <c r="N129" s="9">
        <f>[2]หน้าผ้า!U138</f>
        <v>40</v>
      </c>
      <c r="O129" s="9">
        <f>[2]หน้าผ้า!V138</f>
        <v>40</v>
      </c>
      <c r="P129" s="10">
        <f>[2]หน้าผ้า!AB138</f>
        <v>65.13122457599998</v>
      </c>
      <c r="Q129" s="10">
        <f>[2]หน้าผ้า!AC138</f>
        <v>0</v>
      </c>
      <c r="R129" s="10">
        <f>[2]หน้าผ้า!AD138</f>
        <v>65.13122457599998</v>
      </c>
      <c r="S129" s="9" t="str">
        <f>[2]หน้าผ้า!Z138</f>
        <v>500กระสอบแบน</v>
      </c>
      <c r="T129" s="12" t="str">
        <f>[2]หน้าผ้า!X138</f>
        <v>รอแจ้ง</v>
      </c>
      <c r="U129" s="11">
        <f>[2]หน้าผ้า!AA138</f>
        <v>3000</v>
      </c>
      <c r="V129" s="10">
        <f>[2]หน้าผ้า!AJ138</f>
        <v>0</v>
      </c>
      <c r="W129" s="10">
        <f>[2]หน้าผ้า!AL138</f>
        <v>3000</v>
      </c>
      <c r="X129" s="10">
        <f>[2]หน้าผ้า!AM138</f>
        <v>0</v>
      </c>
      <c r="Y129" s="10">
        <f>[2]หน้าผ้า!AN138</f>
        <v>3150</v>
      </c>
      <c r="Z129" s="9" t="str">
        <f>[2]หน้าผ้า!AO138</f>
        <v>WSWT2121670SM</v>
      </c>
      <c r="AA129" s="8">
        <f>[2]หน้าผ้า!AQ138</f>
        <v>3310.89</v>
      </c>
      <c r="AB129" s="8">
        <f>[2]หน้าผ้า!AR138</f>
        <v>3310.89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3310.89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P8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 t="e">
        <f>[2]หน้าผ้า!DW138</f>
        <v>#VALUE!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WRWT21670/WRWT21670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45826</v>
      </c>
      <c r="B130" s="14" t="str">
        <f>[2]หน้าผ้า!B139</f>
        <v>MK68-000804</v>
      </c>
      <c r="C130" s="9" t="str">
        <f>[2]หน้าผ้า!E139</f>
        <v>บจก.เอพีเอ็ม อะโกร</v>
      </c>
      <c r="D130" s="13" t="str">
        <f>[2]หน้าผ้า!F139</f>
        <v>ฟีล กู๊ด 802</v>
      </c>
      <c r="E130" s="9">
        <f>[2]หน้าผ้า!G139</f>
        <v>21</v>
      </c>
      <c r="F130" s="9">
        <f>[2]หน้าผ้า!H139</f>
        <v>38</v>
      </c>
      <c r="G130" s="9" t="str">
        <f>[2]หน้าผ้า!I139</f>
        <v>ขาว</v>
      </c>
      <c r="H130" s="9" t="str">
        <f>[2]หน้าผ้า!J139</f>
        <v>ใส</v>
      </c>
      <c r="I130" s="9">
        <f>[2]หน้าผ้า!L139</f>
        <v>102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บิด</v>
      </c>
      <c r="M130" s="10">
        <f>[2]หน้าผ้า!T139</f>
        <v>22</v>
      </c>
      <c r="N130" s="9">
        <f>[2]หน้าผ้า!U139</f>
        <v>40</v>
      </c>
      <c r="O130" s="9">
        <f>[2]หน้าผ้า!V139</f>
        <v>40</v>
      </c>
      <c r="P130" s="10">
        <f>[2]หน้าผ้า!AB139</f>
        <v>163.47937368575995</v>
      </c>
      <c r="Q130" s="10">
        <f>[2]หน้าผ้า!AC139</f>
        <v>0</v>
      </c>
      <c r="R130" s="10">
        <f>[2]หน้าผ้า!AD139</f>
        <v>163.47937368575995</v>
      </c>
      <c r="S130" s="9" t="str">
        <f>[2]หน้าผ้า!Z139</f>
        <v>500กระสอบแบน</v>
      </c>
      <c r="T130" s="12" t="str">
        <f>[2]หน้าผ้า!X139</f>
        <v>รอแจ้ง</v>
      </c>
      <c r="U130" s="11">
        <f>[2]หน้าผ้า!AA139</f>
        <v>8000</v>
      </c>
      <c r="V130" s="10">
        <f>[2]หน้าผ้า!AJ139</f>
        <v>470</v>
      </c>
      <c r="W130" s="10">
        <f>[2]หน้าผ้า!AL139</f>
        <v>7530</v>
      </c>
      <c r="X130" s="10">
        <f>[2]หน้าผ้า!AM139</f>
        <v>0</v>
      </c>
      <c r="Y130" s="10">
        <f>[2]หน้าผ้า!AN139</f>
        <v>7906.5</v>
      </c>
      <c r="Z130" s="9" t="str">
        <f>[2]หน้าผ้า!AO139</f>
        <v>WSWT2121670SM</v>
      </c>
      <c r="AA130" s="8">
        <f>[2]หน้าผ้า!AQ139</f>
        <v>8310.3338999999996</v>
      </c>
      <c r="AB130" s="8">
        <f>[2]หน้าผ้า!AR139</f>
        <v>8310.3338999999996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8310.3338999999996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P8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 t="e">
        <f>[2]หน้าผ้า!DW139</f>
        <v>#VALUE!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WRWT21670/WRWT21670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45066</v>
      </c>
      <c r="B131" s="14" t="str">
        <f>[2]หน้าผ้า!B140</f>
        <v>MK66-000701</v>
      </c>
      <c r="C131" s="9" t="str">
        <f>[2]หน้าผ้า!E140</f>
        <v>บจก.เอสพีเอ็ม อาหารสัตว์</v>
      </c>
      <c r="D131" s="13" t="str">
        <f>[2]หน้าผ้า!F140</f>
        <v>มาซูฟีด ซี041</v>
      </c>
      <c r="E131" s="9">
        <f>[2]หน้าผ้า!G140</f>
        <v>21</v>
      </c>
      <c r="F131" s="9">
        <f>[2]หน้าผ้า!H140</f>
        <v>38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102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บิด</v>
      </c>
      <c r="M131" s="10">
        <f>[2]หน้าผ้า!T140</f>
        <v>22</v>
      </c>
      <c r="N131" s="9">
        <f>[2]หน้าผ้า!U140</f>
        <v>40</v>
      </c>
      <c r="O131" s="9">
        <f>[2]หน้าผ้า!V140</f>
        <v>40</v>
      </c>
      <c r="P131" s="10">
        <f>[2]หน้าผ้า!AB140</f>
        <v>108.55204095999999</v>
      </c>
      <c r="Q131" s="10">
        <f>[2]หน้าผ้า!AC140</f>
        <v>0</v>
      </c>
      <c r="R131" s="10">
        <f>[2]หน้าผ้า!AD140</f>
        <v>108.55204095999999</v>
      </c>
      <c r="S131" s="9" t="str">
        <f>[2]หน้าผ้า!Z140</f>
        <v>500กระสอบแบน</v>
      </c>
      <c r="T131" s="12" t="str">
        <f>[2]หน้าผ้า!X140</f>
        <v>รอแจ้ง</v>
      </c>
      <c r="U131" s="11">
        <f>[2]หน้าผ้า!AA140</f>
        <v>5000</v>
      </c>
      <c r="V131" s="10">
        <f>[2]หน้าผ้า!AJ140</f>
        <v>0</v>
      </c>
      <c r="W131" s="10">
        <f>[2]หน้าผ้า!AL140</f>
        <v>5000</v>
      </c>
      <c r="X131" s="10">
        <f>[2]หน้าผ้า!AM140</f>
        <v>0</v>
      </c>
      <c r="Y131" s="10">
        <f>[2]หน้าผ้า!AN140</f>
        <v>5250</v>
      </c>
      <c r="Z131" s="9" t="str">
        <f>[2]หน้าผ้า!AO140</f>
        <v>WSWT2121670SM</v>
      </c>
      <c r="AA131" s="8">
        <f>[2]หน้าผ้า!AQ140</f>
        <v>5518.15</v>
      </c>
      <c r="AB131" s="8">
        <f>[2]หน้าผ้า!AR140</f>
        <v>5518.15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5518.15</v>
      </c>
      <c r="AF131" s="8">
        <f>[2]หน้าผ้า!AI140</f>
        <v>0</v>
      </c>
      <c r="AG131" s="1" t="str">
        <f>[3]หน้าผ้า!DC143</f>
        <v>ยังไม่ได้พิมพ์</v>
      </c>
      <c r="AH131" s="1" t="str">
        <f>[2]หน้าผ้า!DL140</f>
        <v>P8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 t="e">
        <f>[2]หน้าผ้า!DW140</f>
        <v>#VALUE!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WRWT21670/WRWT21670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0</v>
      </c>
      <c r="B132" s="14">
        <f>[2]หน้าผ้า!B141</f>
        <v>0</v>
      </c>
      <c r="C132" s="9">
        <f>[2]หน้าผ้า!E141</f>
        <v>0</v>
      </c>
      <c r="D132" s="13">
        <f>[2]หน้าผ้า!F141</f>
        <v>0</v>
      </c>
      <c r="E132" s="9">
        <f>[2]หน้าผ้า!G141</f>
        <v>21</v>
      </c>
      <c r="F132" s="9">
        <f>[2]หน้าผ้า!H141</f>
        <v>37</v>
      </c>
      <c r="G132" s="9">
        <f>[2]หน้าผ้า!I141</f>
        <v>0</v>
      </c>
      <c r="H132" s="9">
        <f>[2]หน้าผ้า!J141</f>
        <v>0</v>
      </c>
      <c r="I132" s="9">
        <f>[2]หน้าผ้า!L141</f>
        <v>74</v>
      </c>
      <c r="J132" s="9" t="str">
        <f>[2]หน้าผ้า!M141</f>
        <v>±</v>
      </c>
      <c r="K132" s="9">
        <f>[2]หน้าผ้า!N141</f>
        <v>5</v>
      </c>
      <c r="L132" s="9">
        <f>[2]หน้าผ้า!R141</f>
        <v>0</v>
      </c>
      <c r="M132" s="10">
        <f>[2]หน้าผ้า!T141</f>
        <v>0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 t="str">
        <f>[2]หน้าผ้า!AC141</f>
        <v>ว</v>
      </c>
      <c r="R132" s="10">
        <f>[2]หน้าผ้า!AD141</f>
        <v>0</v>
      </c>
      <c r="S132" s="9">
        <f>[2]หน้าผ้า!Z141</f>
        <v>0</v>
      </c>
      <c r="T132" s="12">
        <f>[2]หน้าผ้า!X141</f>
        <v>0</v>
      </c>
      <c r="U132" s="11">
        <f>[2]หน้าผ้า!AA141</f>
        <v>0</v>
      </c>
      <c r="V132" s="10">
        <f>[2]หน้าผ้า!AJ141</f>
        <v>0</v>
      </c>
      <c r="W132" s="10">
        <f>[2]หน้าผ้า!AL141</f>
        <v>0</v>
      </c>
      <c r="X132" s="10">
        <f>[2]หน้าผ้า!AM141</f>
        <v>0</v>
      </c>
      <c r="Y132" s="10">
        <f>[2]หน้าผ้า!AN141</f>
        <v>0</v>
      </c>
      <c r="Z132" s="9" t="str">
        <f>[2]หน้าผ้า!AO141</f>
        <v>WSWT2121670SM</v>
      </c>
      <c r="AA132" s="8">
        <f>[2]หน้าผ้า!AQ141</f>
        <v>190395.31390000004</v>
      </c>
      <c r="AB132" s="8">
        <f>[2]หน้าผ้า!AR141</f>
        <v>190395.31390000004</v>
      </c>
      <c r="AC132" s="8">
        <f>[2]หน้าผ้า!AS141</f>
        <v>0</v>
      </c>
      <c r="AD132" s="8">
        <f>[2]หน้าผ้า!AT141</f>
        <v>110879.89000000001</v>
      </c>
      <c r="AE132" s="8">
        <f>[2]หน้าผ้า!AU141</f>
        <v>79515.423899999994</v>
      </c>
      <c r="AF132" s="8" t="str">
        <f>[2]หน้าผ้า!AI141</f>
        <v>ระบุในSD</v>
      </c>
      <c r="AG132" s="1" t="str">
        <f>[3]หน้าผ้า!DC144</f>
        <v>รอแบบ</v>
      </c>
      <c r="AH132" s="1">
        <f>[2]หน้าผ้า!DL141</f>
        <v>0</v>
      </c>
      <c r="AI132" s="1" t="str">
        <f>[2]หน้าผ้า!DM141</f>
        <v>Lead time</v>
      </c>
      <c r="AJ132" s="3">
        <f>[2]หน้าผ้า!DN141</f>
        <v>0</v>
      </c>
      <c r="AK132" s="3">
        <f>[2]หน้าผ้า!DQ141</f>
        <v>0</v>
      </c>
      <c r="AL132" s="3">
        <f>[2]หน้าผ้า!DR141</f>
        <v>0</v>
      </c>
      <c r="AM132" s="3">
        <f>[2]หน้าผ้า!DS141</f>
        <v>0</v>
      </c>
      <c r="AN132" s="3">
        <f>[2]หน้าผ้า!DT141</f>
        <v>0</v>
      </c>
      <c r="AO132" s="3">
        <f>[2]หน้าผ้า!DU141</f>
        <v>0</v>
      </c>
      <c r="AP132" s="3">
        <f>[2]หน้าผ้า!DP141</f>
        <v>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>
        <f>[2]หน้าผ้า!EC141</f>
        <v>0</v>
      </c>
      <c r="AX132" s="2">
        <f>[2]หน้าผ้า!ED141</f>
        <v>0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WRWT210670/WRWT21670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0</v>
      </c>
      <c r="B133" s="14">
        <f>[2]หน้าผ้า!B142</f>
        <v>0</v>
      </c>
      <c r="C133" s="9">
        <f>[2]หน้าผ้า!E142</f>
        <v>0</v>
      </c>
      <c r="D133" s="13">
        <f>[2]หน้าผ้า!F142</f>
        <v>0</v>
      </c>
      <c r="E133" s="9">
        <f>[2]หน้าผ้า!G142</f>
        <v>21.6</v>
      </c>
      <c r="F133" s="9">
        <f>[2]หน้าผ้า!H142</f>
        <v>34</v>
      </c>
      <c r="G133" s="9">
        <f>[2]หน้าผ้า!I142</f>
        <v>0</v>
      </c>
      <c r="H133" s="9">
        <f>[2]หน้าผ้า!J142</f>
        <v>0</v>
      </c>
      <c r="I133" s="9">
        <f>[2]หน้าผ้า!L142</f>
        <v>97</v>
      </c>
      <c r="J133" s="9" t="str">
        <f>[2]หน้าผ้า!M142</f>
        <v>±</v>
      </c>
      <c r="K133" s="9">
        <f>[2]หน้าผ้า!N142</f>
        <v>5</v>
      </c>
      <c r="L133" s="9">
        <f>[2]หน้าผ้า!R142</f>
        <v>0</v>
      </c>
      <c r="M133" s="10">
        <f>[2]หน้าผ้า!T142</f>
        <v>0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>
        <f>[2]หน้าผ้า!Z142</f>
        <v>0</v>
      </c>
      <c r="T133" s="12">
        <f>[2]หน้าผ้า!X142</f>
        <v>0</v>
      </c>
      <c r="U133" s="11">
        <f>[2]หน้าผ้า!AA142</f>
        <v>0</v>
      </c>
      <c r="V133" s="10">
        <f>[2]หน้าผ้า!AJ142</f>
        <v>0</v>
      </c>
      <c r="W133" s="10">
        <f>[2]หน้าผ้า!AL142</f>
        <v>0</v>
      </c>
      <c r="X133" s="10">
        <f>[2]หน้าผ้า!AM142</f>
        <v>0</v>
      </c>
      <c r="Y133" s="10">
        <f>[2]หน้าผ้า!AN142</f>
        <v>0</v>
      </c>
      <c r="Z133" s="9" t="str">
        <f>[2]หน้าผ้า!AO142</f>
        <v>WSWT2221940</v>
      </c>
      <c r="AA133" s="8" t="e">
        <f>[2]หน้าผ้า!AQ142</f>
        <v>#REF!</v>
      </c>
      <c r="AB133" s="8" t="e">
        <f>[2]หน้าผ้า!AR142</f>
        <v>#REF!</v>
      </c>
      <c r="AC133" s="8" t="e">
        <f>[2]หน้าผ้า!AS142</f>
        <v>#REF!</v>
      </c>
      <c r="AD133" s="8" t="e">
        <f>[2]หน้าผ้า!AT142</f>
        <v>#REF!</v>
      </c>
      <c r="AE133" s="8" t="e">
        <f>[2]หน้าผ้า!AU142</f>
        <v>#REF!</v>
      </c>
      <c r="AF133" s="8" t="str">
        <f>[2]หน้าผ้า!AI142</f>
        <v>ระบุในSD</v>
      </c>
      <c r="AG133" s="1" t="str">
        <f>[3]หน้าผ้า!DC145</f>
        <v>พร้อมส่ง</v>
      </c>
      <c r="AH133" s="1">
        <f>[2]หน้าผ้า!DL142</f>
        <v>0</v>
      </c>
      <c r="AI133" s="1" t="str">
        <f>[2]หน้าผ้า!DM142</f>
        <v>Lead time</v>
      </c>
      <c r="AJ133" s="3">
        <f>[2]หน้าผ้า!DN142</f>
        <v>0</v>
      </c>
      <c r="AK133" s="3">
        <f>[2]หน้าผ้า!DQ142</f>
        <v>0</v>
      </c>
      <c r="AL133" s="3">
        <f>[2]หน้าผ้า!DR142</f>
        <v>0</v>
      </c>
      <c r="AM133" s="3">
        <f>[2]หน้าผ้า!DS142</f>
        <v>0</v>
      </c>
      <c r="AN133" s="3">
        <f>[2]หน้าผ้า!DT142</f>
        <v>0</v>
      </c>
      <c r="AO133" s="3">
        <f>[2]หน้าผ้า!DU142</f>
        <v>0</v>
      </c>
      <c r="AP133" s="3">
        <f>[2]หน้าผ้า!DP142</f>
        <v>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>
        <f>[2]หน้าผ้า!EC142</f>
        <v>0</v>
      </c>
      <c r="AX133" s="2">
        <f>[2]หน้าผ้า!ED142</f>
        <v>0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WRWT21940/WRWT21940</v>
      </c>
      <c r="BD133" s="56">
        <f>[2]หน้าผ้า!CA142</f>
        <v>0</v>
      </c>
    </row>
    <row r="134" spans="1:56" ht="27.75" customHeight="1" x14ac:dyDescent="0.45">
      <c r="A134" s="3" t="str">
        <f>[2]หน้าผ้า!C143</f>
        <v>ประมาณการ</v>
      </c>
      <c r="B134" s="14" t="str">
        <f>[2]หน้าผ้า!B143</f>
        <v>ประมาณการ</v>
      </c>
      <c r="C134" s="9" t="str">
        <f>[2]หน้าผ้า!E143</f>
        <v>พันธุ์ข้าว</v>
      </c>
      <c r="D134" s="13" t="str">
        <f>[2]หน้าผ้า!F143</f>
        <v>พันธุ์ข้าว</v>
      </c>
      <c r="E134" s="9">
        <f>[2]หน้าผ้า!G143</f>
        <v>23</v>
      </c>
      <c r="F134" s="9">
        <f>[2]หน้าผ้า!H143</f>
        <v>34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68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</v>
      </c>
      <c r="T134" s="12">
        <f>[2]หน้าผ้า!X143</f>
        <v>45930</v>
      </c>
      <c r="U134" s="11">
        <f>[2]หน้าผ้า!AA143</f>
        <v>30000</v>
      </c>
      <c r="V134" s="10">
        <f>[2]หน้าผ้า!AJ143</f>
        <v>0</v>
      </c>
      <c r="W134" s="10">
        <f>[2]หน้าผ้า!AL143</f>
        <v>30000</v>
      </c>
      <c r="X134" s="10">
        <f>[2]หน้าผ้า!AM143</f>
        <v>0</v>
      </c>
      <c r="Y134" s="10">
        <f>[2]หน้าผ้า!AN143</f>
        <v>31500</v>
      </c>
      <c r="Z134" s="9" t="str">
        <f>[2]หน้าผ้า!AO143</f>
        <v>WSWT2325650</v>
      </c>
      <c r="AA134" s="8">
        <f>[2]หน้าผ้า!AQ143</f>
        <v>29756.100000000002</v>
      </c>
      <c r="AB134" s="8">
        <f>[2]หน้าผ้า!AR143</f>
        <v>29756.100000000002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45930</v>
      </c>
      <c r="AK134" s="3">
        <f>[2]หน้าผ้า!DQ143</f>
        <v>0</v>
      </c>
      <c r="AL134" s="3">
        <f>[2]หน้าผ้า!DR143</f>
        <v>45921</v>
      </c>
      <c r="AM134" s="3">
        <f>[2]หน้าผ้า!DS143</f>
        <v>45928</v>
      </c>
      <c r="AN134" s="3">
        <f>[2]หน้าผ้า!DT143</f>
        <v>45929</v>
      </c>
      <c r="AO134" s="3">
        <f>[2]หน้าผ้า!DU143</f>
        <v>45929</v>
      </c>
      <c r="AP134" s="3">
        <f>[2]หน้าผ้า!DP143</f>
        <v>45925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>
        <f>[2]หน้าผ้า!ED143</f>
        <v>0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WRWT25650/WRWT25650</v>
      </c>
      <c r="BD134" s="56">
        <f>[2]หน้าผ้า!CA143</f>
        <v>0</v>
      </c>
    </row>
    <row r="135" spans="1:56" ht="27.75" customHeight="1" x14ac:dyDescent="0.45">
      <c r="A135" s="3" t="str">
        <f>[2]หน้าผ้า!C144</f>
        <v>ประมาณการ</v>
      </c>
      <c r="B135" s="14" t="str">
        <f>[2]หน้าผ้า!B144</f>
        <v>ประมาณการ</v>
      </c>
      <c r="C135" s="9" t="str">
        <f>[2]หน้าผ้า!E144</f>
        <v>บจก.ซิเบลโก้(สบปราบ)</v>
      </c>
      <c r="D135" s="13" t="str">
        <f>[2]หน้าผ้า!F144</f>
        <v>รอแบบ</v>
      </c>
      <c r="E135" s="9">
        <f>[2]หน้าผ้า!G144</f>
        <v>23</v>
      </c>
      <c r="F135" s="9">
        <f>[2]หน้าผ้า!H144</f>
        <v>34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68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ไม่</v>
      </c>
      <c r="M135" s="10">
        <f>[2]หน้าผ้า!T144</f>
        <v>24</v>
      </c>
      <c r="N135" s="9">
        <f>[2]หน้าผ้า!U144</f>
        <v>37</v>
      </c>
      <c r="O135" s="9">
        <f>[2]หน้าผ้า!V144</f>
        <v>50</v>
      </c>
      <c r="P135" s="10">
        <f>[2]หน้าผ้า!AB144</f>
        <v>821.54158271999995</v>
      </c>
      <c r="Q135" s="10">
        <f>[2]หน้าผ้า!AC144</f>
        <v>0</v>
      </c>
      <c r="R135" s="10">
        <f>[2]หน้าผ้า!AD144</f>
        <v>821.54158271999995</v>
      </c>
      <c r="S135" s="9" t="str">
        <f>[2]หน้าผ้า!Z144</f>
        <v>มัด100</v>
      </c>
      <c r="T135" s="12">
        <f>[2]หน้าผ้า!X144</f>
        <v>45930</v>
      </c>
      <c r="U135" s="11">
        <f>[2]หน้าผ้า!AA144</f>
        <v>30000</v>
      </c>
      <c r="V135" s="10">
        <f>[2]หน้าผ้า!AJ144</f>
        <v>0</v>
      </c>
      <c r="W135" s="10">
        <f>[2]หน้าผ้า!AL144</f>
        <v>30000</v>
      </c>
      <c r="X135" s="10">
        <f>[2]หน้าผ้า!AM144</f>
        <v>0</v>
      </c>
      <c r="Y135" s="10">
        <f>[2]หน้าผ้า!AN144</f>
        <v>31500</v>
      </c>
      <c r="Z135" s="9" t="str">
        <f>[2]หน้าผ้า!AO144</f>
        <v>WSWT2325650</v>
      </c>
      <c r="AA135" s="8">
        <f>[2]หน้าผ้า!AQ144</f>
        <v>29756.100000000002</v>
      </c>
      <c r="AB135" s="8">
        <f>[2]หน้าผ้า!AR144</f>
        <v>18178</v>
      </c>
      <c r="AC135" s="8">
        <f>[2]หน้าผ้า!AS144</f>
        <v>11578.100000000002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P9</v>
      </c>
      <c r="AI135" s="1">
        <f>[2]หน้าผ้า!DM144</f>
        <v>3</v>
      </c>
      <c r="AJ135" s="3">
        <f>[2]หน้าผ้า!DN144</f>
        <v>45930</v>
      </c>
      <c r="AK135" s="3">
        <f>[2]หน้าผ้า!DQ144</f>
        <v>0</v>
      </c>
      <c r="AL135" s="3">
        <f>[2]หน้าผ้า!DR144</f>
        <v>45920</v>
      </c>
      <c r="AM135" s="3">
        <f>[2]หน้าผ้า!DS144</f>
        <v>45927</v>
      </c>
      <c r="AN135" s="3">
        <f>[2]หน้าผ้า!DT144</f>
        <v>45928</v>
      </c>
      <c r="AO135" s="3">
        <f>[2]หน้าผ้า!DU144</f>
        <v>45928</v>
      </c>
      <c r="AP135" s="3">
        <f>[2]หน้าผ้า!DP144</f>
        <v>45925</v>
      </c>
      <c r="AQ135" s="3">
        <f>[2]หน้าผ้า!DW144</f>
        <v>45929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งานพิมพ์</v>
      </c>
      <c r="AX135" s="2" t="str">
        <f>[2]หน้าผ้า!ED144</f>
        <v>รอART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WRWT25650/WRWT25650</v>
      </c>
      <c r="BD135" s="56">
        <f>[2]หน้าผ้า!CA144</f>
        <v>865.46297500000014</v>
      </c>
    </row>
    <row r="136" spans="1:56" ht="27.75" customHeight="1" x14ac:dyDescent="0.45">
      <c r="A136" s="3">
        <f>[2]หน้าผ้า!C145</f>
        <v>0</v>
      </c>
      <c r="B136" s="14">
        <f>[2]หน้าผ้า!B145</f>
        <v>0</v>
      </c>
      <c r="C136" s="9">
        <f>[2]หน้าผ้า!E145</f>
        <v>0</v>
      </c>
      <c r="D136" s="13">
        <f>[2]หน้าผ้า!F145</f>
        <v>0</v>
      </c>
      <c r="E136" s="9">
        <f>[2]หน้าผ้า!G145</f>
        <v>23</v>
      </c>
      <c r="F136" s="9">
        <f>[2]หน้าผ้า!H145</f>
        <v>34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68</v>
      </c>
      <c r="J136" s="9" t="str">
        <f>[2]หน้าผ้า!M145</f>
        <v>±</v>
      </c>
      <c r="K136" s="9">
        <f>[2]หน้าผ้า!N145</f>
        <v>5</v>
      </c>
      <c r="L136" s="9">
        <f>[2]หน้าผ้า!R145</f>
        <v>0</v>
      </c>
      <c r="M136" s="10">
        <f>[2]หน้าผ้า!T145</f>
        <v>0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>
        <f>[2]หน้าผ้า!Z145</f>
        <v>0</v>
      </c>
      <c r="T136" s="12">
        <f>[2]หน้าผ้า!X145</f>
        <v>0</v>
      </c>
      <c r="U136" s="11">
        <f>[2]หน้าผ้า!AA145</f>
        <v>0</v>
      </c>
      <c r="V136" s="10">
        <f>[2]หน้าผ้า!AJ145</f>
        <v>0</v>
      </c>
      <c r="W136" s="10">
        <f>[2]หน้าผ้า!AL145</f>
        <v>0</v>
      </c>
      <c r="X136" s="10">
        <f>[2]หน้าผ้า!AM145</f>
        <v>0</v>
      </c>
      <c r="Y136" s="10">
        <f>[2]หน้าผ้า!AN145</f>
        <v>0</v>
      </c>
      <c r="Z136" s="9" t="str">
        <f>[2]หน้าผ้า!AO145</f>
        <v>WSWT2325650</v>
      </c>
      <c r="AA136" s="8">
        <f>[2]หน้าผ้า!AQ145</f>
        <v>59512.200000000004</v>
      </c>
      <c r="AB136" s="8">
        <f>[2]หน้าผ้า!AR145</f>
        <v>47934.100000000006</v>
      </c>
      <c r="AC136" s="8">
        <f>[2]หน้าผ้า!AS145</f>
        <v>11578.100000000002</v>
      </c>
      <c r="AD136" s="8">
        <f>[2]หน้าผ้า!AT145</f>
        <v>0</v>
      </c>
      <c r="AE136" s="8">
        <f>[2]หน้าผ้า!AU145</f>
        <v>0</v>
      </c>
      <c r="AF136" s="8" t="str">
        <f>[2]หน้าผ้า!AI145</f>
        <v>ระบุในSD</v>
      </c>
      <c r="AG136" s="1" t="str">
        <f>[3]หน้าผ้า!DC148</f>
        <v>พร้อมส่ง</v>
      </c>
      <c r="AH136" s="1">
        <f>[2]หน้าผ้า!DL145</f>
        <v>0</v>
      </c>
      <c r="AI136" s="1" t="str">
        <f>[2]หน้าผ้า!DM145</f>
        <v>Lead time</v>
      </c>
      <c r="AJ136" s="3">
        <f>[2]หน้าผ้า!DN145</f>
        <v>0</v>
      </c>
      <c r="AK136" s="3">
        <f>[2]หน้าผ้า!DQ145</f>
        <v>0</v>
      </c>
      <c r="AL136" s="3">
        <f>[2]หน้าผ้า!DR145</f>
        <v>0</v>
      </c>
      <c r="AM136" s="3">
        <f>[2]หน้าผ้า!DS145</f>
        <v>0</v>
      </c>
      <c r="AN136" s="3">
        <f>[2]หน้าผ้า!DT145</f>
        <v>0</v>
      </c>
      <c r="AO136" s="3">
        <f>[2]หน้าผ้า!DU145</f>
        <v>0</v>
      </c>
      <c r="AP136" s="3">
        <f>[2]หน้าผ้า!DP145</f>
        <v>0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>
        <f>[2]หน้าผ้า!EC145</f>
        <v>0</v>
      </c>
      <c r="AX136" s="2">
        <f>[2]หน้าผ้า!ED145</f>
        <v>0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WRWT25650/WRWT25650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0</v>
      </c>
      <c r="B137" s="14">
        <f>[2]หน้าผ้า!B146</f>
        <v>0</v>
      </c>
      <c r="C137" s="9">
        <f>[2]หน้าผ้า!E146</f>
        <v>0</v>
      </c>
      <c r="D137" s="13">
        <f>[2]หน้าผ้า!F146</f>
        <v>0</v>
      </c>
      <c r="E137" s="9">
        <f>[2]หน้าผ้า!G146</f>
        <v>23</v>
      </c>
      <c r="F137" s="9">
        <f>[2]หน้าผ้า!H146</f>
        <v>34</v>
      </c>
      <c r="G137" s="9" t="str">
        <f>[2]หน้าผ้า!I146</f>
        <v>ขาวแถบใส5</v>
      </c>
      <c r="H137" s="9">
        <f>[2]หน้าผ้า!J146</f>
        <v>0</v>
      </c>
      <c r="I137" s="9">
        <f>[2]หน้าผ้า!L146</f>
        <v>68</v>
      </c>
      <c r="J137" s="9" t="str">
        <f>[2]หน้าผ้า!M146</f>
        <v>±</v>
      </c>
      <c r="K137" s="9">
        <f>[2]หน้าผ้า!N146</f>
        <v>5</v>
      </c>
      <c r="L137" s="9">
        <f>[2]หน้าผ้า!R146</f>
        <v>0</v>
      </c>
      <c r="M137" s="10">
        <f>[2]หน้าผ้า!T146</f>
        <v>0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>
        <f>[2]หน้าผ้า!Z146</f>
        <v>0</v>
      </c>
      <c r="T137" s="12">
        <f>[2]หน้าผ้า!X146</f>
        <v>0</v>
      </c>
      <c r="U137" s="11">
        <f>[2]หน้าผ้า!AA146</f>
        <v>0</v>
      </c>
      <c r="V137" s="10">
        <f>[2]หน้าผ้า!AJ146</f>
        <v>0</v>
      </c>
      <c r="W137" s="10">
        <f>[2]หน้าผ้า!AL146</f>
        <v>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WSWTSCL052325650</v>
      </c>
      <c r="AA137" s="8" t="e">
        <f>[2]หน้าผ้า!AQ146</f>
        <v>#REF!</v>
      </c>
      <c r="AB137" s="8" t="e">
        <f>[2]หน้าผ้า!AR146</f>
        <v>#REF!</v>
      </c>
      <c r="AC137" s="8" t="e">
        <f>[2]หน้าผ้า!AS146</f>
        <v>#REF!</v>
      </c>
      <c r="AD137" s="8" t="e">
        <f>[2]หน้าผ้า!AT146</f>
        <v>#REF!</v>
      </c>
      <c r="AE137" s="8" t="e">
        <f>[2]หน้าผ้า!AU146</f>
        <v>#REF!</v>
      </c>
      <c r="AF137" s="8">
        <f>[2]หน้าผ้า!AI146</f>
        <v>0</v>
      </c>
      <c r="AG137" s="1" t="str">
        <f>[3]หน้าผ้า!DC149</f>
        <v>ผ้าขาว</v>
      </c>
      <c r="AH137" s="1">
        <f>[2]หน้าผ้า!DL146</f>
        <v>0</v>
      </c>
      <c r="AI137" s="1" t="str">
        <f>[2]หน้าผ้า!DM146</f>
        <v>Lead time</v>
      </c>
      <c r="AJ137" s="3">
        <f>[2]หน้าผ้า!DN146</f>
        <v>0</v>
      </c>
      <c r="AK137" s="3">
        <f>[2]หน้าผ้า!DQ146</f>
        <v>0</v>
      </c>
      <c r="AL137" s="3">
        <f>[2]หน้าผ้า!DR146</f>
        <v>0</v>
      </c>
      <c r="AM137" s="3">
        <f>[2]หน้าผ้า!DS146</f>
        <v>0</v>
      </c>
      <c r="AN137" s="3">
        <f>[2]หน้าผ้า!DT146</f>
        <v>0</v>
      </c>
      <c r="AO137" s="3">
        <f>[2]หน้าผ้า!DU146</f>
        <v>0</v>
      </c>
      <c r="AP137" s="3">
        <f>[2]หน้าผ้า!DP146</f>
        <v>0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>
        <f>[2]หน้าผ้า!EC146</f>
        <v>0</v>
      </c>
      <c r="AX137" s="2">
        <f>[2]หน้าผ้า!ED146</f>
        <v>0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WRWT25650/WRCL25680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0</v>
      </c>
      <c r="B138" s="14">
        <f>[2]หน้าผ้า!B147</f>
        <v>0</v>
      </c>
      <c r="C138" s="9">
        <f>[2]หน้าผ้า!E147</f>
        <v>0</v>
      </c>
      <c r="D138" s="13">
        <f>[2]หน้าผ้า!F147</f>
        <v>0</v>
      </c>
      <c r="E138" s="9">
        <f>[2]หน้าผ้า!G147</f>
        <v>23</v>
      </c>
      <c r="F138" s="9">
        <f>[2]หน้าผ้า!H147</f>
        <v>34</v>
      </c>
      <c r="G138" s="9" t="str">
        <f>[2]หน้าผ้า!I147</f>
        <v>ขาวแถบใส2</v>
      </c>
      <c r="H138" s="9">
        <f>[2]หน้าผ้า!J147</f>
        <v>0</v>
      </c>
      <c r="I138" s="9">
        <f>[2]หน้าผ้า!L147</f>
        <v>68</v>
      </c>
      <c r="J138" s="9" t="str">
        <f>[2]หน้าผ้า!M147</f>
        <v>±</v>
      </c>
      <c r="K138" s="9">
        <f>[2]หน้าผ้า!N147</f>
        <v>5</v>
      </c>
      <c r="L138" s="9">
        <f>[2]หน้าผ้า!R147</f>
        <v>0</v>
      </c>
      <c r="M138" s="10">
        <f>[2]หน้าผ้า!T147</f>
        <v>0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>
        <f>[2]หน้าผ้า!Z147</f>
        <v>0</v>
      </c>
      <c r="T138" s="12">
        <f>[2]หน้าผ้า!X147</f>
        <v>0</v>
      </c>
      <c r="U138" s="11">
        <f>[2]หน้าผ้า!AA147</f>
        <v>0</v>
      </c>
      <c r="V138" s="10">
        <f>[2]หน้าผ้า!AJ147</f>
        <v>0</v>
      </c>
      <c r="W138" s="10">
        <f>[2]หน้าผ้า!AL147</f>
        <v>0</v>
      </c>
      <c r="X138" s="10">
        <f>[2]หน้าผ้า!AM147</f>
        <v>0</v>
      </c>
      <c r="Y138" s="10">
        <f>[2]หน้าผ้า!AN147</f>
        <v>0</v>
      </c>
      <c r="Z138" s="9" t="str">
        <f>[2]หน้าผ้า!AO147</f>
        <v>WSWTFCL022325650</v>
      </c>
      <c r="AA138" s="8" t="e">
        <f>[2]หน้าผ้า!AQ147</f>
        <v>#REF!</v>
      </c>
      <c r="AB138" s="8" t="e">
        <f>[2]หน้าผ้า!AR147</f>
        <v>#REF!</v>
      </c>
      <c r="AC138" s="8" t="e">
        <f>[2]หน้าผ้า!AS147</f>
        <v>#REF!</v>
      </c>
      <c r="AD138" s="8" t="e">
        <f>[2]หน้าผ้า!AT147</f>
        <v>#REF!</v>
      </c>
      <c r="AE138" s="8" t="e">
        <f>[2]หน้าผ้า!AU147</f>
        <v>#REF!</v>
      </c>
      <c r="AF138" s="8" t="str">
        <f>[2]หน้าผ้า!AI147</f>
        <v>ระบุในSD</v>
      </c>
      <c r="AG138" s="1" t="str">
        <f>[3]หน้าผ้า!DC150</f>
        <v>พร้อมส่ง</v>
      </c>
      <c r="AH138" s="1">
        <f>[2]หน้าผ้า!DL147</f>
        <v>0</v>
      </c>
      <c r="AI138" s="1" t="str">
        <f>[2]หน้าผ้า!DM147</f>
        <v>Lead time</v>
      </c>
      <c r="AJ138" s="3">
        <f>[2]หน้าผ้า!DN147</f>
        <v>0</v>
      </c>
      <c r="AK138" s="3">
        <f>[2]หน้าผ้า!DQ147</f>
        <v>0</v>
      </c>
      <c r="AL138" s="3">
        <f>[2]หน้าผ้า!DR147</f>
        <v>0</v>
      </c>
      <c r="AM138" s="3">
        <f>[2]หน้าผ้า!DS147</f>
        <v>0</v>
      </c>
      <c r="AN138" s="3">
        <f>[2]หน้าผ้า!DT147</f>
        <v>0</v>
      </c>
      <c r="AO138" s="3">
        <f>[2]หน้าผ้า!DU147</f>
        <v>0</v>
      </c>
      <c r="AP138" s="3">
        <f>[2]หน้าผ้า!DP147</f>
        <v>0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>
        <f>[2]หน้าผ้า!EC147</f>
        <v>0</v>
      </c>
      <c r="AX138" s="2">
        <f>[2]หน้าผ้า!ED147</f>
        <v>0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WRWT25650/WRCL25680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0</v>
      </c>
      <c r="B139" s="14">
        <f>[2]หน้าผ้า!B148</f>
        <v>0</v>
      </c>
      <c r="C139" s="9">
        <f>[2]หน้าผ้า!E148</f>
        <v>0</v>
      </c>
      <c r="D139" s="13">
        <f>[2]หน้าผ้า!F148</f>
        <v>0</v>
      </c>
      <c r="E139" s="9">
        <f>[2]หน้าผ้า!G148</f>
        <v>23</v>
      </c>
      <c r="F139" s="9">
        <f>[2]หน้าผ้า!H148</f>
        <v>37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85</v>
      </c>
      <c r="J139" s="9" t="str">
        <f>[2]หน้าผ้า!M148</f>
        <v>±</v>
      </c>
      <c r="K139" s="9">
        <f>[2]หน้าผ้า!N148</f>
        <v>5</v>
      </c>
      <c r="L139" s="9">
        <f>[2]หน้าผ้า!R148</f>
        <v>0</v>
      </c>
      <c r="M139" s="10">
        <f>[2]หน้าผ้า!T148</f>
        <v>0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>
        <f>[2]หน้าผ้า!Z148</f>
        <v>0</v>
      </c>
      <c r="T139" s="12">
        <f>[2]หน้าผ้า!X148</f>
        <v>0</v>
      </c>
      <c r="U139" s="11">
        <f>[2]หน้าผ้า!AA148</f>
        <v>0</v>
      </c>
      <c r="V139" s="10">
        <f>[2]หน้าผ้า!AJ148</f>
        <v>0</v>
      </c>
      <c r="W139" s="10">
        <f>[2]หน้าผ้า!AL148</f>
        <v>0</v>
      </c>
      <c r="X139" s="10">
        <f>[2]หน้าผ้า!AM148</f>
        <v>0</v>
      </c>
      <c r="Y139" s="10">
        <f>[2]หน้าผ้า!AN148</f>
        <v>0</v>
      </c>
      <c r="Z139" s="9" t="str">
        <f>[2]หน้าผ้า!AO148</f>
        <v>WSWT2325800</v>
      </c>
      <c r="AA139" s="8" t="e">
        <f>[2]หน้าผ้า!AQ148</f>
        <v>#REF!</v>
      </c>
      <c r="AB139" s="8" t="e">
        <f>[2]หน้าผ้า!AR148</f>
        <v>#REF!</v>
      </c>
      <c r="AC139" s="8" t="e">
        <f>[2]หน้าผ้า!AS148</f>
        <v>#REF!</v>
      </c>
      <c r="AD139" s="8" t="e">
        <f>[2]หน้าผ้า!AT148</f>
        <v>#REF!</v>
      </c>
      <c r="AE139" s="8" t="e">
        <f>[2]หน้าผ้า!AU148</f>
        <v>#REF!</v>
      </c>
      <c r="AF139" s="8" t="str">
        <f>[2]หน้าผ้า!AI148</f>
        <v>ระบุในSD</v>
      </c>
      <c r="AG139" s="1" t="str">
        <f>[3]หน้าผ้า!DC151</f>
        <v>ผ้าขาว</v>
      </c>
      <c r="AH139" s="1">
        <f>[2]หน้าผ้า!DL148</f>
        <v>0</v>
      </c>
      <c r="AI139" s="1" t="str">
        <f>[2]หน้าผ้า!DM148</f>
        <v>Lead time</v>
      </c>
      <c r="AJ139" s="3">
        <f>[2]หน้าผ้า!DN148</f>
        <v>0</v>
      </c>
      <c r="AK139" s="3">
        <f>[2]หน้าผ้า!DQ148</f>
        <v>0</v>
      </c>
      <c r="AL139" s="3">
        <f>[2]หน้าผ้า!DR148</f>
        <v>0</v>
      </c>
      <c r="AM139" s="3">
        <f>[2]หน้าผ้า!DS148</f>
        <v>0</v>
      </c>
      <c r="AN139" s="3">
        <f>[2]หน้าผ้า!DT148</f>
        <v>0</v>
      </c>
      <c r="AO139" s="3">
        <f>[2]หน้าผ้า!DU148</f>
        <v>0</v>
      </c>
      <c r="AP139" s="3">
        <f>[2]หน้าผ้า!DP148</f>
        <v>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>
        <f>[2]หน้าผ้า!EC148</f>
        <v>0</v>
      </c>
      <c r="AX139" s="2">
        <f>[2]หน้าผ้า!ED148</f>
        <v>0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WRWT25800/WRWT28750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45727</v>
      </c>
      <c r="B140" s="14" t="str">
        <f>[2]หน้าผ้า!B149</f>
        <v>MK68-000378</v>
      </c>
      <c r="C140" s="9" t="str">
        <f>[2]หน้าผ้า!E149</f>
        <v>บจก.แอมโก้เวท</v>
      </c>
      <c r="D140" s="13" t="str">
        <f>[2]หน้าผ้า!F149</f>
        <v>ไม่พิมพ์</v>
      </c>
      <c r="E140" s="9">
        <f>[2]หน้าผ้า!G149</f>
        <v>23</v>
      </c>
      <c r="F140" s="9">
        <f>[2]หน้าผ้า!H149</f>
        <v>40</v>
      </c>
      <c r="G140" s="9" t="str">
        <f>[2]หน้าผ้า!I149</f>
        <v>ขาว</v>
      </c>
      <c r="H140" s="9" t="str">
        <f>[2]หน้าผ้า!J149</f>
        <v>ใส</v>
      </c>
      <c r="I140" s="9">
        <f>[2]หน้าผ้า!L149</f>
        <v>125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จับจีบ4"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500กระสอบแบน</v>
      </c>
      <c r="T140" s="12" t="str">
        <f>[2]หน้าผ้า!X149</f>
        <v>รอแจ้ง</v>
      </c>
      <c r="U140" s="11">
        <f>[2]หน้าผ้า!AA149</f>
        <v>1000</v>
      </c>
      <c r="V140" s="10">
        <f>[2]หน้าผ้า!AJ149</f>
        <v>0</v>
      </c>
      <c r="W140" s="10">
        <f>[2]หน้าผ้า!AL149</f>
        <v>1000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WSWT2321750</v>
      </c>
      <c r="AA140" s="8">
        <f>[2]หน้าผ้า!AQ149</f>
        <v>1159.5100000000002</v>
      </c>
      <c r="AB140" s="8">
        <f>[2]หน้าผ้า!AR149</f>
        <v>1159.5100000000002</v>
      </c>
      <c r="AC140" s="8">
        <f>[2]หน้าผ้า!AS149</f>
        <v>0</v>
      </c>
      <c r="AD140" s="8">
        <f>[2]หน้าผ้า!AT149</f>
        <v>1159.5100000000002</v>
      </c>
      <c r="AE140" s="8">
        <f>[2]หน้าผ้า!AU149</f>
        <v>0</v>
      </c>
      <c r="AF140" s="8" t="str">
        <f>[2]หน้าผ้า!AI149</f>
        <v>ห้ามขาด-เกินได้5%</v>
      </c>
      <c r="AG140" s="1" t="str">
        <f>[3]หน้าผ้า!DC152</f>
        <v>พร้อมส่ง</v>
      </c>
      <c r="AH140" s="1" t="str">
        <f>[2]หน้าผ้า!DL149</f>
        <v>P11</v>
      </c>
      <c r="AI140" s="1">
        <f>[2]หน้าผ้า!DM149</f>
        <v>2</v>
      </c>
      <c r="AJ140" s="3" t="str">
        <f>[2]หน้าผ้า!DN149</f>
        <v>รอแจ้ง</v>
      </c>
      <c r="AK140" s="3" t="e">
        <f>[2]หน้าผ้า!DQ149</f>
        <v>#VALUE!</v>
      </c>
      <c r="AL140" s="3">
        <f>[2]หน้าผ้า!DR149</f>
        <v>0</v>
      </c>
      <c r="AM140" s="3">
        <f>[2]หน้าผ้า!DS149</f>
        <v>0</v>
      </c>
      <c r="AN140" s="3">
        <f>[2]หน้าผ้า!DT149</f>
        <v>0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งานเคลือบ+ตัด</v>
      </c>
      <c r="AX140" s="2">
        <f>[2]หน้าผ้า!ED149</f>
        <v>0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WRWT21750/WRWT21750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0</v>
      </c>
      <c r="B141" s="14">
        <f>[2]หน้าผ้า!B150</f>
        <v>0</v>
      </c>
      <c r="C141" s="9">
        <f>[2]หน้าผ้า!E150</f>
        <v>0</v>
      </c>
      <c r="D141" s="13">
        <f>[2]หน้าผ้า!F150</f>
        <v>0</v>
      </c>
      <c r="E141" s="9">
        <f>[2]หน้าผ้า!G150</f>
        <v>23</v>
      </c>
      <c r="F141" s="9">
        <f>[2]หน้าผ้า!H150</f>
        <v>37</v>
      </c>
      <c r="G141" s="9">
        <f>[2]หน้าผ้า!I150</f>
        <v>0</v>
      </c>
      <c r="H141" s="9">
        <f>[2]หน้าผ้า!J150</f>
        <v>0</v>
      </c>
      <c r="I141" s="9">
        <f>[2]หน้าผ้า!L150</f>
        <v>85</v>
      </c>
      <c r="J141" s="9" t="str">
        <f>[2]หน้าผ้า!M150</f>
        <v>±</v>
      </c>
      <c r="K141" s="9">
        <f>[2]หน้าผ้า!N150</f>
        <v>5</v>
      </c>
      <c r="L141" s="9">
        <f>[2]หน้าผ้า!R150</f>
        <v>0</v>
      </c>
      <c r="M141" s="10">
        <f>[2]หน้าผ้า!T150</f>
        <v>0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>
        <f>[2]หน้าผ้า!Z150</f>
        <v>0</v>
      </c>
      <c r="T141" s="12">
        <f>[2]หน้าผ้า!X150</f>
        <v>0</v>
      </c>
      <c r="U141" s="11">
        <f>[2]หน้าผ้า!AA150</f>
        <v>0</v>
      </c>
      <c r="V141" s="10">
        <f>[2]หน้าผ้า!AJ150</f>
        <v>0</v>
      </c>
      <c r="W141" s="10">
        <f>[2]หน้าผ้า!AL150</f>
        <v>0</v>
      </c>
      <c r="X141" s="10">
        <f>[2]หน้าผ้า!AM150</f>
        <v>0</v>
      </c>
      <c r="Y141" s="10">
        <f>[2]หน้าผ้า!AN150</f>
        <v>0</v>
      </c>
      <c r="Z141" s="9" t="str">
        <f>[2]หน้าผ้า!AO150</f>
        <v>WSWT2321750</v>
      </c>
      <c r="AA141" s="8">
        <f>[2]หน้าผ้า!AQ150</f>
        <v>1159.5100000000002</v>
      </c>
      <c r="AB141" s="8">
        <f>[2]หน้าผ้า!AR150</f>
        <v>1159.5100000000002</v>
      </c>
      <c r="AC141" s="8">
        <f>[2]หน้าผ้า!AS150</f>
        <v>0</v>
      </c>
      <c r="AD141" s="8">
        <f>[2]หน้าผ้า!AT150</f>
        <v>1159.5100000000002</v>
      </c>
      <c r="AE141" s="8">
        <f>[2]หน้าผ้า!AU150</f>
        <v>0</v>
      </c>
      <c r="AF141" s="8" t="str">
        <f>[2]หน้าผ้า!AI150</f>
        <v>ระบุในSD</v>
      </c>
      <c r="AG141" s="1" t="str">
        <f>[3]หน้าผ้า!DC153</f>
        <v>พร้อมส่ง</v>
      </c>
      <c r="AH141" s="1">
        <f>[2]หน้าผ้า!DL150</f>
        <v>0</v>
      </c>
      <c r="AI141" s="1" t="str">
        <f>[2]หน้าผ้า!DM150</f>
        <v>Lead time</v>
      </c>
      <c r="AJ141" s="3">
        <f>[2]หน้าผ้า!DN150</f>
        <v>0</v>
      </c>
      <c r="AK141" s="3">
        <f>[2]หน้าผ้า!DQ150</f>
        <v>0</v>
      </c>
      <c r="AL141" s="3">
        <f>[2]หน้าผ้า!DR150</f>
        <v>0</v>
      </c>
      <c r="AM141" s="3">
        <f>[2]หน้าผ้า!DS150</f>
        <v>0</v>
      </c>
      <c r="AN141" s="3">
        <f>[2]หน้าผ้า!DT150</f>
        <v>0</v>
      </c>
      <c r="AO141" s="3">
        <f>[2]หน้าผ้า!DU150</f>
        <v>0</v>
      </c>
      <c r="AP141" s="3">
        <f>[2]หน้าผ้า!DP150</f>
        <v>0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>
        <f>[2]หน้าผ้า!EC150</f>
        <v>0</v>
      </c>
      <c r="AX141" s="2">
        <f>[2]หน้าผ้า!ED150</f>
        <v>0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WRWT230750/WRWT21750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45908</v>
      </c>
      <c r="B142" s="14" t="str">
        <f>[2]หน้าผ้า!B151</f>
        <v>ใบรับคำสั่งซื้อ</v>
      </c>
      <c r="C142" s="9" t="str">
        <f>[2]หน้าผ้า!E151</f>
        <v>โรงสีธัญญกิจ(ราชบุรี)</v>
      </c>
      <c r="D142" s="13" t="str">
        <f>[2]หน้าผ้า!F151</f>
        <v>ไม่พิมพ์</v>
      </c>
      <c r="E142" s="9">
        <f>[2]หน้าผ้า!G151</f>
        <v>23</v>
      </c>
      <c r="F142" s="9">
        <f>[2]หน้าผ้า!H151</f>
        <v>35</v>
      </c>
      <c r="G142" s="9" t="str">
        <f>[2]หน้าผ้า!I151</f>
        <v>ขาวแถบใส2"</v>
      </c>
      <c r="H142" s="9">
        <f>[2]หน้าผ้า!J151</f>
        <v>0</v>
      </c>
      <c r="I142" s="9">
        <f>[2]หน้าผ้า!L151</f>
        <v>90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ไม่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</v>
      </c>
      <c r="T142" s="12">
        <f>[2]หน้าผ้า!X151</f>
        <v>45922</v>
      </c>
      <c r="U142" s="11">
        <f>[2]หน้าผ้า!AA151</f>
        <v>10000</v>
      </c>
      <c r="V142" s="10">
        <f>[2]หน้าผ้า!AJ151</f>
        <v>0</v>
      </c>
      <c r="W142" s="10">
        <f>[2]หน้าผ้า!AL151</f>
        <v>10000</v>
      </c>
      <c r="X142" s="10">
        <f>[2]หน้าผ้า!AM151</f>
        <v>0</v>
      </c>
      <c r="Y142" s="10">
        <f>[2]หน้าผ้า!AN151</f>
        <v>0</v>
      </c>
      <c r="Z142" s="9" t="str">
        <f>[2]หน้าผ้า!AO151</f>
        <v>WSWTSCL042325800</v>
      </c>
      <c r="AA142" s="8">
        <f>[2]หน้าผ้า!AQ151</f>
        <v>10198.1</v>
      </c>
      <c r="AB142" s="8">
        <f>[2]หน้าผ้า!AR151</f>
        <v>0</v>
      </c>
      <c r="AC142" s="8">
        <f>[2]หน้าผ้า!AS151</f>
        <v>10198.1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พร้อมส่ง</v>
      </c>
      <c r="AH142" s="1" t="str">
        <f>[2]หน้าผ้า!DL151</f>
        <v>P3</v>
      </c>
      <c r="AI142" s="1">
        <f>[2]หน้าผ้า!DM151</f>
        <v>1</v>
      </c>
      <c r="AJ142" s="3">
        <f>[2]หน้าผ้า!DN151</f>
        <v>45922</v>
      </c>
      <c r="AK142" s="3">
        <f>[2]หน้าผ้า!DQ151</f>
        <v>0</v>
      </c>
      <c r="AL142" s="3">
        <f>[2]หน้าผ้า!DR151</f>
        <v>0</v>
      </c>
      <c r="AM142" s="3">
        <f>[2]หน้าผ้า!DS151</f>
        <v>0</v>
      </c>
      <c r="AN142" s="3">
        <f>[2]หน้าผ้า!DT151</f>
        <v>0</v>
      </c>
      <c r="AO142" s="3">
        <f>[2]หน้าผ้า!DU151</f>
        <v>45921</v>
      </c>
      <c r="AP142" s="3">
        <f>[2]หน้าผ้า!DP151</f>
        <v>45917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ตัด</v>
      </c>
      <c r="AX142" s="2">
        <f>[2]หน้าผ้า!ED151</f>
        <v>0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WRWT25800/WRCL25650</v>
      </c>
      <c r="BD142" s="56">
        <f>[2]หน้าผ้า!CA151</f>
        <v>939.58494666666661</v>
      </c>
    </row>
    <row r="143" spans="1:56" ht="27.75" customHeight="1" x14ac:dyDescent="0.45">
      <c r="A143" s="3">
        <f>[2]หน้าผ้า!C152</f>
        <v>0</v>
      </c>
      <c r="B143" s="14">
        <f>[2]หน้าผ้า!B152</f>
        <v>0</v>
      </c>
      <c r="C143" s="9">
        <f>[2]หน้าผ้า!E152</f>
        <v>0</v>
      </c>
      <c r="D143" s="13">
        <f>[2]หน้าผ้า!F152</f>
        <v>0</v>
      </c>
      <c r="E143" s="9">
        <f>[2]หน้าผ้า!G152</f>
        <v>23</v>
      </c>
      <c r="F143" s="9">
        <f>[2]หน้าผ้า!H152</f>
        <v>34</v>
      </c>
      <c r="G143" s="9">
        <f>[2]หน้าผ้า!I152</f>
        <v>0</v>
      </c>
      <c r="H143" s="9">
        <f>[2]หน้าผ้า!J152</f>
        <v>0</v>
      </c>
      <c r="I143" s="9">
        <f>[2]หน้าผ้า!L152</f>
        <v>90</v>
      </c>
      <c r="J143" s="9" t="str">
        <f>[2]หน้าผ้า!M152</f>
        <v>±</v>
      </c>
      <c r="K143" s="9">
        <f>[2]หน้าผ้า!N152</f>
        <v>5</v>
      </c>
      <c r="L143" s="9">
        <f>[2]หน้าผ้า!R152</f>
        <v>0</v>
      </c>
      <c r="M143" s="10">
        <f>[2]หน้าผ้า!T152</f>
        <v>0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>
        <f>[2]หน้าผ้า!Z152</f>
        <v>0</v>
      </c>
      <c r="T143" s="12">
        <f>[2]หน้าผ้า!X152</f>
        <v>0</v>
      </c>
      <c r="U143" s="11">
        <f>[2]หน้าผ้า!AA152</f>
        <v>0</v>
      </c>
      <c r="V143" s="10">
        <f>[2]หน้าผ้า!AJ152</f>
        <v>0</v>
      </c>
      <c r="W143" s="10">
        <f>[2]หน้าผ้า!AL152</f>
        <v>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WSWTSCL042325800</v>
      </c>
      <c r="AA143" s="8">
        <f>[2]หน้าผ้า!AQ152</f>
        <v>10198.1</v>
      </c>
      <c r="AB143" s="8">
        <f>[2]หน้าผ้า!AR152</f>
        <v>0</v>
      </c>
      <c r="AC143" s="8">
        <f>[2]หน้าผ้า!AS152</f>
        <v>10198.1</v>
      </c>
      <c r="AD143" s="8">
        <f>[2]หน้าผ้า!AT152</f>
        <v>0</v>
      </c>
      <c r="AE143" s="8">
        <f>[2]หน้าผ้า!AU152</f>
        <v>0</v>
      </c>
      <c r="AF143" s="8" t="str">
        <f>[2]หน้าผ้า!AI152</f>
        <v>ระบุในSD</v>
      </c>
      <c r="AG143" s="1" t="str">
        <f>[3]หน้าผ้า!DC155</f>
        <v>พร้อมส่ง</v>
      </c>
      <c r="AH143" s="1">
        <f>[2]หน้าผ้า!DL152</f>
        <v>0</v>
      </c>
      <c r="AI143" s="1" t="str">
        <f>[2]หน้าผ้า!DM152</f>
        <v>Lead time</v>
      </c>
      <c r="AJ143" s="3">
        <f>[2]หน้าผ้า!DN152</f>
        <v>0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0</v>
      </c>
      <c r="AP143" s="3">
        <f>[2]หน้าผ้า!DP152</f>
        <v>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>
        <f>[2]หน้าผ้า!EC152</f>
        <v>0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WRWT230800/WRWT25650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0</v>
      </c>
      <c r="B144" s="14">
        <f>[2]หน้าผ้า!B153</f>
        <v>0</v>
      </c>
      <c r="C144" s="9">
        <f>[2]หน้าผ้า!E153</f>
        <v>0</v>
      </c>
      <c r="D144" s="13">
        <f>[2]หน้าผ้า!F153</f>
        <v>0</v>
      </c>
      <c r="E144" s="9">
        <f>[2]หน้าผ้า!G153</f>
        <v>23</v>
      </c>
      <c r="F144" s="9">
        <f>[2]หน้าผ้า!H153</f>
        <v>37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90</v>
      </c>
      <c r="J144" s="9" t="str">
        <f>[2]หน้าผ้า!M153</f>
        <v>±</v>
      </c>
      <c r="K144" s="9">
        <f>[2]หน้าผ้า!N153</f>
        <v>5</v>
      </c>
      <c r="L144" s="9">
        <f>[2]หน้าผ้า!R153</f>
        <v>0</v>
      </c>
      <c r="M144" s="10">
        <f>[2]หน้าผ้า!T153</f>
        <v>0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>
        <f>[2]หน้าผ้า!Z153</f>
        <v>0</v>
      </c>
      <c r="T144" s="12">
        <f>[2]หน้าผ้า!X153</f>
        <v>0</v>
      </c>
      <c r="U144" s="11">
        <f>[2]หน้าผ้า!AA153</f>
        <v>0</v>
      </c>
      <c r="V144" s="10">
        <f>[2]หน้าผ้า!AJ153</f>
        <v>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WSWT2325800SM</v>
      </c>
      <c r="AA144" s="8" t="e">
        <f>[2]หน้าผ้า!AQ153</f>
        <v>#REF!</v>
      </c>
      <c r="AB144" s="8" t="e">
        <f>[2]หน้าผ้า!AR153</f>
        <v>#REF!</v>
      </c>
      <c r="AC144" s="8" t="e">
        <f>[2]หน้าผ้า!AS153</f>
        <v>#REF!</v>
      </c>
      <c r="AD144" s="8" t="e">
        <f>[2]หน้าผ้า!AT153</f>
        <v>#REF!</v>
      </c>
      <c r="AE144" s="8" t="e">
        <f>[2]หน้าผ้า!AU153</f>
        <v>#REF!</v>
      </c>
      <c r="AF144" s="8" t="str">
        <f>[2]หน้าผ้า!AI153</f>
        <v>ระบุในSD</v>
      </c>
      <c r="AG144" s="1" t="str">
        <f>[3]หน้าผ้า!DC156</f>
        <v>พร้อมส่ง</v>
      </c>
      <c r="AH144" s="1">
        <f>[2]หน้าผ้า!DL153</f>
        <v>0</v>
      </c>
      <c r="AI144" s="1" t="str">
        <f>[2]หน้าผ้า!DM153</f>
        <v>Lead time</v>
      </c>
      <c r="AJ144" s="3">
        <f>[2]หน้าผ้า!DN153</f>
        <v>0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0</v>
      </c>
      <c r="AP144" s="3">
        <f>[2]หน้าผ้า!DP153</f>
        <v>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>
        <f>[2]หน้าผ้า!EC153</f>
        <v>0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WRWT21800/WRWT21800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0</v>
      </c>
      <c r="B145" s="14">
        <f>[2]หน้าผ้า!B154</f>
        <v>0</v>
      </c>
      <c r="C145" s="9">
        <f>[2]หน้าผ้า!E154</f>
        <v>0</v>
      </c>
      <c r="D145" s="13">
        <f>[2]หน้าผ้า!F154</f>
        <v>0</v>
      </c>
      <c r="E145" s="9">
        <f>[2]หน้าผ้า!G154</f>
        <v>23</v>
      </c>
      <c r="F145" s="9">
        <f>[2]หน้าผ้า!H154</f>
        <v>37</v>
      </c>
      <c r="G145" s="9">
        <f>[2]หน้าผ้า!I154</f>
        <v>0</v>
      </c>
      <c r="H145" s="9">
        <f>[2]หน้าผ้า!J154</f>
        <v>0</v>
      </c>
      <c r="I145" s="9">
        <f>[2]หน้าผ้า!L154</f>
        <v>120</v>
      </c>
      <c r="J145" s="9" t="str">
        <f>[2]หน้าผ้า!M154</f>
        <v>+</v>
      </c>
      <c r="K145" s="9">
        <f>[2]หน้าผ้า!N154</f>
        <v>5</v>
      </c>
      <c r="L145" s="9">
        <f>[2]หน้าผ้า!R154</f>
        <v>0</v>
      </c>
      <c r="M145" s="10">
        <f>[2]หน้าผ้า!T154</f>
        <v>0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>
        <f>[2]หน้าผ้า!Z154</f>
        <v>0</v>
      </c>
      <c r="T145" s="12">
        <f>[2]หน้าผ้า!X154</f>
        <v>0</v>
      </c>
      <c r="U145" s="11">
        <f>[2]หน้าผ้า!AA154</f>
        <v>0</v>
      </c>
      <c r="V145" s="10">
        <f>[2]หน้าผ้า!AJ154</f>
        <v>0</v>
      </c>
      <c r="W145" s="10">
        <f>[2]หน้าผ้า!AL154</f>
        <v>0</v>
      </c>
      <c r="X145" s="10">
        <f>[2]หน้าผ้า!AM154</f>
        <v>0</v>
      </c>
      <c r="Y145" s="10">
        <f>[2]หน้าผ้า!AN154</f>
        <v>0</v>
      </c>
      <c r="Z145" s="9" t="str">
        <f>[2]หน้าผ้า!AO154</f>
        <v>WSWT23211125120SMFX</v>
      </c>
      <c r="AA145" s="8" t="e">
        <f>[2]หน้าผ้า!AQ154</f>
        <v>#REF!</v>
      </c>
      <c r="AB145" s="8" t="e">
        <f>[2]หน้าผ้า!AR154</f>
        <v>#REF!</v>
      </c>
      <c r="AC145" s="8" t="e">
        <f>[2]หน้าผ้า!AS154</f>
        <v>#REF!</v>
      </c>
      <c r="AD145" s="8" t="e">
        <f>[2]หน้าผ้า!AT154</f>
        <v>#REF!</v>
      </c>
      <c r="AE145" s="8" t="e">
        <f>[2]หน้าผ้า!AU154</f>
        <v>#REF!</v>
      </c>
      <c r="AF145" s="8" t="str">
        <f>[2]หน้าผ้า!AI154</f>
        <v>ระบุในSD</v>
      </c>
      <c r="AG145" s="1" t="str">
        <f>[3]หน้าผ้า!DC157</f>
        <v>ยังไม่ได้พิมพ์</v>
      </c>
      <c r="AH145" s="1">
        <f>[2]หน้าผ้า!DL154</f>
        <v>0</v>
      </c>
      <c r="AI145" s="1" t="str">
        <f>[2]หน้าผ้า!DM154</f>
        <v>Lead time</v>
      </c>
      <c r="AJ145" s="3">
        <f>[2]หน้าผ้า!DN154</f>
        <v>0</v>
      </c>
      <c r="AK145" s="3">
        <f>[2]หน้าผ้า!DQ154</f>
        <v>0</v>
      </c>
      <c r="AL145" s="3">
        <f>[2]หน้าผ้า!DR154</f>
        <v>0</v>
      </c>
      <c r="AM145" s="3">
        <f>[2]หน้าผ้า!DS154</f>
        <v>0</v>
      </c>
      <c r="AN145" s="3">
        <f>[2]หน้าผ้า!DT154</f>
        <v>0</v>
      </c>
      <c r="AO145" s="3">
        <f>[2]หน้าผ้า!DU154</f>
        <v>0</v>
      </c>
      <c r="AP145" s="3">
        <f>[2]หน้าผ้า!DP154</f>
        <v>0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>
        <f>[2]หน้าผ้า!EC154</f>
        <v>0</v>
      </c>
      <c r="AX145" s="2">
        <f>[2]หน้าผ้า!ED154</f>
        <v>0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WROP2301125/WRBR21940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0</v>
      </c>
      <c r="B146" s="14">
        <f>[2]หน้าผ้า!B155</f>
        <v>0</v>
      </c>
      <c r="C146" s="9">
        <f>[2]หน้าผ้า!E155</f>
        <v>0</v>
      </c>
      <c r="D146" s="13" t="str">
        <f>[2]หน้าผ้า!F155</f>
        <v xml:space="preserve">  </v>
      </c>
      <c r="E146" s="9">
        <f>[2]หน้าผ้า!G155</f>
        <v>23</v>
      </c>
      <c r="F146" s="9">
        <f>[2]หน้าผ้า!H155</f>
        <v>37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130</v>
      </c>
      <c r="J146" s="9" t="str">
        <f>[2]หน้าผ้า!M155</f>
        <v>+</v>
      </c>
      <c r="K146" s="9">
        <f>[2]หน้าผ้า!N155</f>
        <v>3</v>
      </c>
      <c r="L146" s="9">
        <f>[2]หน้าผ้า!R155</f>
        <v>0</v>
      </c>
      <c r="M146" s="10">
        <f>[2]หน้าผ้า!T155</f>
        <v>0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>
        <f>[2]หน้าผ้า!Z155</f>
        <v>0</v>
      </c>
      <c r="T146" s="12">
        <f>[2]หน้าผ้า!X155</f>
        <v>0</v>
      </c>
      <c r="U146" s="11">
        <f>[2]หน้าผ้า!AA155</f>
        <v>0</v>
      </c>
      <c r="V146" s="10">
        <f>[2]หน้าผ้า!AJ155</f>
        <v>0</v>
      </c>
      <c r="W146" s="10">
        <f>[2]หน้าผ้า!AL155</f>
        <v>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WSWT23211125130</v>
      </c>
      <c r="AA146" s="8" t="e">
        <f>[2]หน้าผ้า!AQ155</f>
        <v>#REF!</v>
      </c>
      <c r="AB146" s="8" t="e">
        <f>[2]หน้าผ้า!AR155</f>
        <v>#REF!</v>
      </c>
      <c r="AC146" s="8" t="e">
        <f>[2]หน้าผ้า!AS155</f>
        <v>#REF!</v>
      </c>
      <c r="AD146" s="8" t="e">
        <f>[2]หน้าผ้า!AT155</f>
        <v>#REF!</v>
      </c>
      <c r="AE146" s="8" t="e">
        <f>[2]หน้าผ้า!AU155</f>
        <v>#REF!</v>
      </c>
      <c r="AF146" s="8" t="str">
        <f>[2]หน้าผ้า!AI155</f>
        <v>ระบุในSD</v>
      </c>
      <c r="AG146" s="1" t="str">
        <f>[3]หน้าผ้า!DC158</f>
        <v>ยังไม่ได้พิมพ์</v>
      </c>
      <c r="AH146" s="1">
        <f>[2]หน้าผ้า!DL155</f>
        <v>0</v>
      </c>
      <c r="AI146" s="1" t="str">
        <f>[2]หน้าผ้า!DM155</f>
        <v>Lead time</v>
      </c>
      <c r="AJ146" s="3">
        <f>[2]หน้าผ้า!DN155</f>
        <v>0</v>
      </c>
      <c r="AK146" s="3">
        <f>[2]หน้าผ้า!DQ155</f>
        <v>0</v>
      </c>
      <c r="AL146" s="3">
        <f>[2]หน้าผ้า!DR155</f>
        <v>0</v>
      </c>
      <c r="AM146" s="3">
        <f>[2]หน้าผ้า!DS155</f>
        <v>0</v>
      </c>
      <c r="AN146" s="3">
        <f>[2]หน้าผ้า!DT155</f>
        <v>0</v>
      </c>
      <c r="AO146" s="3">
        <f>[2]หน้าผ้า!DU155</f>
        <v>0</v>
      </c>
      <c r="AP146" s="3">
        <f>[2]หน้าผ้า!DP155</f>
        <v>0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>
        <f>[2]หน้าผ้า!EC155</f>
        <v>0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WRWT211125/WRWT251080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0</v>
      </c>
      <c r="B147" s="14">
        <f>[2]หน้าผ้า!B156</f>
        <v>0</v>
      </c>
      <c r="C147" s="9">
        <f>[2]หน้าผ้า!E156</f>
        <v>0</v>
      </c>
      <c r="D147" s="13">
        <f>[2]หน้าผ้า!F156</f>
        <v>0</v>
      </c>
      <c r="E147" s="9">
        <f>[2]หน้าผ้า!G156</f>
        <v>23</v>
      </c>
      <c r="F147" s="9">
        <f>[2]หน้าผ้า!H156</f>
        <v>37</v>
      </c>
      <c r="G147" s="9">
        <f>[2]หน้าผ้า!I156</f>
        <v>0</v>
      </c>
      <c r="H147" s="9">
        <f>[2]หน้าผ้า!J156</f>
        <v>0</v>
      </c>
      <c r="I147" s="9">
        <f>[2]หน้าผ้า!L156</f>
        <v>120</v>
      </c>
      <c r="J147" s="9" t="str">
        <f>[2]หน้าผ้า!M156</f>
        <v>±</v>
      </c>
      <c r="K147" s="9">
        <f>[2]หน้าผ้า!N156</f>
        <v>3</v>
      </c>
      <c r="L147" s="9">
        <f>[2]หน้าผ้า!R156</f>
        <v>0</v>
      </c>
      <c r="M147" s="10">
        <f>[2]หน้าผ้า!T156</f>
        <v>0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>
        <f>[2]หน้าผ้า!Z156</f>
        <v>0</v>
      </c>
      <c r="T147" s="12">
        <f>[2]หน้าผ้า!X156</f>
        <v>0</v>
      </c>
      <c r="U147" s="11">
        <f>[2]หน้าผ้า!AA156</f>
        <v>0</v>
      </c>
      <c r="V147" s="10">
        <f>[2]หน้าผ้า!AJ156</f>
        <v>0</v>
      </c>
      <c r="W147" s="10">
        <f>[2]หน้าผ้า!AL156</f>
        <v>0</v>
      </c>
      <c r="X147" s="10">
        <f>[2]หน้าผ้า!AM156</f>
        <v>0</v>
      </c>
      <c r="Y147" s="10">
        <f>[2]หน้าผ้า!AN156</f>
        <v>0</v>
      </c>
      <c r="Z147" s="9" t="str">
        <f>[2]หน้าผ้า!AO156</f>
        <v>WSWT2321112512051</v>
      </c>
      <c r="AA147" s="8" t="e">
        <f>[2]หน้าผ้า!AQ156</f>
        <v>#REF!</v>
      </c>
      <c r="AB147" s="8" t="e">
        <f>[2]หน้าผ้า!AR156</f>
        <v>#REF!</v>
      </c>
      <c r="AC147" s="8" t="e">
        <f>[2]หน้าผ้า!AS156</f>
        <v>#REF!</v>
      </c>
      <c r="AD147" s="8" t="e">
        <f>[2]หน้าผ้า!AT156</f>
        <v>#REF!</v>
      </c>
      <c r="AE147" s="8" t="e">
        <f>[2]หน้าผ้า!AU156</f>
        <v>#REF!</v>
      </c>
      <c r="AF147" s="8" t="str">
        <f>[2]หน้าผ้า!AI156</f>
        <v>ระบุในSD</v>
      </c>
      <c r="AG147" s="1" t="str">
        <f>[3]หน้าผ้า!DC159</f>
        <v>พร้อมส่ง</v>
      </c>
      <c r="AH147" s="1">
        <f>[2]หน้าผ้า!DL156</f>
        <v>0</v>
      </c>
      <c r="AI147" s="1" t="str">
        <f>[2]หน้าผ้า!DM156</f>
        <v>Lead time</v>
      </c>
      <c r="AJ147" s="3">
        <f>[2]หน้าผ้า!DN156</f>
        <v>0</v>
      </c>
      <c r="AK147" s="3">
        <f>[2]หน้าผ้า!DQ156</f>
        <v>0</v>
      </c>
      <c r="AL147" s="3">
        <f>[2]หน้าผ้า!DR156</f>
        <v>0</v>
      </c>
      <c r="AM147" s="3">
        <f>[2]หน้าผ้า!DS156</f>
        <v>0</v>
      </c>
      <c r="AN147" s="3">
        <f>[2]หน้าผ้า!DT156</f>
        <v>0</v>
      </c>
      <c r="AO147" s="3">
        <f>[2]หน้าผ้า!DU156</f>
        <v>0</v>
      </c>
      <c r="AP147" s="3">
        <f>[2]หน้าผ้า!DP156</f>
        <v>0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>
        <f>[2]หน้าผ้า!EC156</f>
        <v>0</v>
      </c>
      <c r="AX147" s="2">
        <f>[2]หน้าผ้า!ED156</f>
        <v>0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WRWT211125/WRWT21900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45601</v>
      </c>
      <c r="B148" s="14" t="str">
        <f>[2]หน้าผ้า!B157</f>
        <v>MK67-001490</v>
      </c>
      <c r="C148" s="9" t="str">
        <f>[2]หน้าผ้า!E157</f>
        <v>บจก.น้ำตาลทิพย์สุโขทัย</v>
      </c>
      <c r="D148" s="13" t="str">
        <f>[2]หน้าผ้า!F157</f>
        <v>Green for white sugar</v>
      </c>
      <c r="E148" s="9">
        <f>[2]หน้าผ้า!G157</f>
        <v>23</v>
      </c>
      <c r="F148" s="9">
        <f>[2]หน้าผ้า!H157</f>
        <v>37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130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บิด</v>
      </c>
      <c r="M148" s="10">
        <f>[2]หน้าผ้า!T157</f>
        <v>24</v>
      </c>
      <c r="N148" s="9">
        <f>[2]หน้าผ้า!U157</f>
        <v>40</v>
      </c>
      <c r="O148" s="9">
        <f>[2]หน้าผ้า!V157</f>
        <v>55</v>
      </c>
      <c r="P148" s="10">
        <f>[2]หน้าผ้า!AB157</f>
        <v>3207.7128103679997</v>
      </c>
      <c r="Q148" s="10">
        <f>[2]หน้าผ้า!AC157</f>
        <v>0</v>
      </c>
      <c r="R148" s="10">
        <f>[2]หน้าผ้า!AD157</f>
        <v>3207.7128103679997</v>
      </c>
      <c r="S148" s="9" t="str">
        <f>[2]หน้าผ้า!Z157</f>
        <v>300แบน</v>
      </c>
      <c r="T148" s="12" t="str">
        <f>[2]หน้าผ้า!X157</f>
        <v>รอแจ้ง</v>
      </c>
      <c r="U148" s="11">
        <f>[2]หน้าผ้า!AA157</f>
        <v>100000</v>
      </c>
      <c r="V148" s="10">
        <f>[2]หน้าผ้า!AJ157</f>
        <v>1500</v>
      </c>
      <c r="W148" s="10">
        <f>[2]หน้าผ้า!AL157</f>
        <v>98500</v>
      </c>
      <c r="X148" s="10">
        <f>[2]หน้าผ้า!AM157</f>
        <v>0</v>
      </c>
      <c r="Y148" s="10">
        <f>[2]หน้าผ้า!AN157</f>
        <v>103425</v>
      </c>
      <c r="Z148" s="9" t="str">
        <f>[2]หน้าผ้า!AO157</f>
        <v>WSWT2321112512551</v>
      </c>
      <c r="AA148" s="8">
        <f>[2]หน้าผ้า!AQ157</f>
        <v>105955.465</v>
      </c>
      <c r="AB148" s="8">
        <f>[2]หน้าผ้า!AR157</f>
        <v>18859</v>
      </c>
      <c r="AC148" s="8">
        <f>[2]หน้าผ้า!AS157</f>
        <v>87096.464999999997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พร้อมส่ง</v>
      </c>
      <c r="AH148" s="1" t="str">
        <f>[2]หน้าผ้า!DL157</f>
        <v>P9</v>
      </c>
      <c r="AI148" s="1">
        <f>[2]หน้าผ้า!DM157</f>
        <v>3</v>
      </c>
      <c r="AJ148" s="3" t="str">
        <f>[2]หน้าผ้า!DN157</f>
        <v>รอแจ้ง</v>
      </c>
      <c r="AK148" s="3">
        <f>[2]หน้าผ้า!DQ157</f>
        <v>0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 t="e">
        <f>[2]หน้าผ้า!DW157</f>
        <v>#VALUE!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WRWT211125/WRWT251030</v>
      </c>
      <c r="BD148" s="56">
        <f>[2]หน้าผ้า!CA157</f>
        <v>11157.371681512501</v>
      </c>
    </row>
    <row r="149" spans="1:56" ht="27.75" customHeight="1" x14ac:dyDescent="0.45">
      <c r="A149" s="3">
        <f>[2]หน้าผ้า!C158</f>
        <v>45601</v>
      </c>
      <c r="B149" s="14" t="str">
        <f>[2]หน้าผ้า!B158</f>
        <v>MK67-001490</v>
      </c>
      <c r="C149" s="9" t="str">
        <f>[2]หน้าผ้า!E158</f>
        <v>บจก.น้ำตาลทิพย์สุโขทัย</v>
      </c>
      <c r="D149" s="13" t="str">
        <f>[2]หน้าผ้า!F158</f>
        <v>Green for white sugar</v>
      </c>
      <c r="E149" s="9">
        <f>[2]หน้าผ้า!G158</f>
        <v>23</v>
      </c>
      <c r="F149" s="9">
        <f>[2]หน้าผ้า!H158</f>
        <v>37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130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>
        <f>[2]หน้าผ้า!T158</f>
        <v>24</v>
      </c>
      <c r="N149" s="9">
        <f>[2]หน้าผ้า!U158</f>
        <v>40</v>
      </c>
      <c r="O149" s="9">
        <f>[2]หน้าผ้า!V158</f>
        <v>55</v>
      </c>
      <c r="P149" s="10">
        <f>[2]หน้าผ้า!AB158</f>
        <v>11003.203948644863</v>
      </c>
      <c r="Q149" s="10">
        <f>[2]หน้าผ้า!AC158</f>
        <v>0</v>
      </c>
      <c r="R149" s="10">
        <f>[2]หน้าผ้า!AD158</f>
        <v>11003.203948644863</v>
      </c>
      <c r="S149" s="9" t="str">
        <f>[2]หน้าผ้า!Z158</f>
        <v>300แบน</v>
      </c>
      <c r="T149" s="12" t="str">
        <f>[2]หน้าผ้า!X158</f>
        <v>รอแจ้ง</v>
      </c>
      <c r="U149" s="11">
        <f>[2]หน้าผ้า!AA158</f>
        <v>337878</v>
      </c>
      <c r="V149" s="10">
        <f>[2]หน้าผ้า!AJ158</f>
        <v>0</v>
      </c>
      <c r="W149" s="10">
        <f>[2]หน้าผ้า!AL158</f>
        <v>337878</v>
      </c>
      <c r="X149" s="10">
        <f>[2]หน้าผ้า!AM158</f>
        <v>0</v>
      </c>
      <c r="Y149" s="10">
        <f>[2]หน้าผ้า!AN158</f>
        <v>354771.9</v>
      </c>
      <c r="Z149" s="9" t="str">
        <f>[2]หน้าผ้า!AO158</f>
        <v>WSWT2321112512551</v>
      </c>
      <c r="AA149" s="8">
        <f>[2]หน้าผ้า!AQ158</f>
        <v>363451.98582000006</v>
      </c>
      <c r="AB149" s="8">
        <f>[2]หน้าผ้า!AR158</f>
        <v>0</v>
      </c>
      <c r="AC149" s="8">
        <f>[2]หน้าผ้า!AS158</f>
        <v>363451.98582000006</v>
      </c>
      <c r="AD149" s="8">
        <f>[2]หน้าผ้า!AT158</f>
        <v>0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พร้อมส่ง</v>
      </c>
      <c r="AH149" s="1" t="str">
        <f>[2]หน้าผ้า!DL158</f>
        <v>P9</v>
      </c>
      <c r="AI149" s="1">
        <f>[2]หน้าผ้า!DM158</f>
        <v>3</v>
      </c>
      <c r="AJ149" s="3" t="str">
        <f>[2]หน้าผ้า!DN158</f>
        <v>รอแจ้ง</v>
      </c>
      <c r="AK149" s="3">
        <f>[2]หน้าผ้า!DQ158</f>
        <v>0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 t="e">
        <f>[2]หน้าผ้า!DW158</f>
        <v>#VALUE!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WRWT211125/WRWT251030</v>
      </c>
      <c r="BD149" s="56">
        <f>[2]หน้าผ้า!CA158</f>
        <v>46559.511849046357</v>
      </c>
    </row>
    <row r="150" spans="1:56" ht="27.75" customHeight="1" x14ac:dyDescent="0.45">
      <c r="A150" s="3">
        <f>[2]หน้าผ้า!C159</f>
        <v>0</v>
      </c>
      <c r="B150" s="14">
        <f>[2]หน้าผ้า!B159</f>
        <v>0</v>
      </c>
      <c r="C150" s="9">
        <f>[2]หน้าผ้า!E159</f>
        <v>0</v>
      </c>
      <c r="D150" s="13">
        <f>[2]หน้าผ้า!F159</f>
        <v>0</v>
      </c>
      <c r="E150" s="9">
        <f>[2]หน้าผ้า!G159</f>
        <v>23</v>
      </c>
      <c r="F150" s="9">
        <f>[2]หน้าผ้า!H159</f>
        <v>37</v>
      </c>
      <c r="G150" s="9">
        <f>[2]หน้าผ้า!I159</f>
        <v>0</v>
      </c>
      <c r="H150" s="9">
        <f>[2]หน้าผ้า!J159</f>
        <v>0</v>
      </c>
      <c r="I150" s="9">
        <f>[2]หน้าผ้า!L159</f>
        <v>128</v>
      </c>
      <c r="J150" s="9" t="str">
        <f>[2]หน้าผ้า!M159</f>
        <v>±</v>
      </c>
      <c r="K150" s="9">
        <f>[2]หน้าผ้า!N159</f>
        <v>5</v>
      </c>
      <c r="L150" s="9">
        <f>[2]หน้าผ้า!R159</f>
        <v>0</v>
      </c>
      <c r="M150" s="10">
        <f>[2]หน้าผ้า!T159</f>
        <v>0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>
        <f>[2]หน้าผ้า!Z159</f>
        <v>0</v>
      </c>
      <c r="T150" s="12">
        <f>[2]หน้าผ้า!X159</f>
        <v>0</v>
      </c>
      <c r="U150" s="11">
        <f>[2]หน้าผ้า!AA159</f>
        <v>0</v>
      </c>
      <c r="V150" s="10">
        <f>[2]หน้าผ้า!AJ159</f>
        <v>0</v>
      </c>
      <c r="W150" s="10">
        <f>[2]หน้าผ้า!AL159</f>
        <v>0</v>
      </c>
      <c r="X150" s="10">
        <f>[2]หน้าผ้า!AM159</f>
        <v>0</v>
      </c>
      <c r="Y150" s="10">
        <f>[2]หน้าผ้า!AN159</f>
        <v>0</v>
      </c>
      <c r="Z150" s="9" t="str">
        <f>[2]หน้าผ้า!AO159</f>
        <v>WSWT2321112512551</v>
      </c>
      <c r="AA150" s="8">
        <f>[2]หน้าผ้า!AQ159</f>
        <v>469407.45082000003</v>
      </c>
      <c r="AB150" s="8">
        <f>[2]หน้าผ้า!AR159</f>
        <v>18859</v>
      </c>
      <c r="AC150" s="8">
        <f>[2]หน้าผ้า!AS159</f>
        <v>450548.45082000003</v>
      </c>
      <c r="AD150" s="8">
        <f>[2]หน้าผ้า!AT159</f>
        <v>0</v>
      </c>
      <c r="AE150" s="8">
        <f>[2]หน้าผ้า!AU159</f>
        <v>0</v>
      </c>
      <c r="AF150" s="8" t="str">
        <f>[2]หน้าผ้า!AI159</f>
        <v>ระบุในSD</v>
      </c>
      <c r="AG150" s="1" t="str">
        <f>[3]หน้าผ้า!DC162</f>
        <v>พร้อมส่ง</v>
      </c>
      <c r="AH150" s="1">
        <f>[2]หน้าผ้า!DL159</f>
        <v>0</v>
      </c>
      <c r="AI150" s="1">
        <f>[2]หน้าผ้า!DM159</f>
        <v>0</v>
      </c>
      <c r="AJ150" s="3">
        <f>[2]หน้าผ้า!DN159</f>
        <v>0</v>
      </c>
      <c r="AK150" s="3">
        <f>[2]หน้าผ้า!DQ159</f>
        <v>0</v>
      </c>
      <c r="AL150" s="3">
        <f>[2]หน้าผ้า!DR159</f>
        <v>0</v>
      </c>
      <c r="AM150" s="3">
        <f>[2]หน้าผ้า!DS159</f>
        <v>0</v>
      </c>
      <c r="AN150" s="3">
        <f>[2]หน้าผ้า!DT159</f>
        <v>0</v>
      </c>
      <c r="AO150" s="3">
        <f>[2]หน้าผ้า!DU159</f>
        <v>0</v>
      </c>
      <c r="AP150" s="3">
        <f>[2]หน้าผ้า!DP159</f>
        <v>0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>
        <f>[2]หน้าผ้า!EC159</f>
        <v>0</v>
      </c>
      <c r="AX150" s="2">
        <f>[2]หน้าผ้า!ED159</f>
        <v>0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WRWT2301125/WRWT251030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0</v>
      </c>
      <c r="B151" s="14">
        <f>[2]หน้าผ้า!B160</f>
        <v>0</v>
      </c>
      <c r="C151" s="9">
        <f>[2]หน้าผ้า!E160</f>
        <v>0</v>
      </c>
      <c r="D151" s="13">
        <f>[2]หน้าผ้า!F160</f>
        <v>0</v>
      </c>
      <c r="E151" s="9">
        <f>[2]หน้าผ้า!G160</f>
        <v>24</v>
      </c>
      <c r="F151" s="9">
        <f>[2]หน้าผ้า!H160</f>
        <v>37</v>
      </c>
      <c r="G151" s="9">
        <f>[2]หน้าผ้า!I160</f>
        <v>0</v>
      </c>
      <c r="H151" s="9">
        <f>[2]หน้าผ้า!J160</f>
        <v>0</v>
      </c>
      <c r="I151" s="9">
        <f>[2]หน้าผ้า!L160</f>
        <v>120</v>
      </c>
      <c r="J151" s="9" t="str">
        <f>[2]หน้าผ้า!M160</f>
        <v>+</v>
      </c>
      <c r="K151" s="9">
        <f>[2]หน้าผ้า!N160</f>
        <v>3</v>
      </c>
      <c r="L151" s="9">
        <f>[2]หน้าผ้า!R160</f>
        <v>0</v>
      </c>
      <c r="M151" s="10">
        <f>[2]หน้าผ้า!T160</f>
        <v>0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>
        <f>[2]หน้าผ้า!Z160</f>
        <v>0</v>
      </c>
      <c r="T151" s="12">
        <f>[2]หน้าผ้า!X160</f>
        <v>0</v>
      </c>
      <c r="U151" s="11">
        <f>[2]หน้าผ้า!AA160</f>
        <v>0</v>
      </c>
      <c r="V151" s="10">
        <f>[2]หน้าผ้า!AJ160</f>
        <v>0</v>
      </c>
      <c r="W151" s="10">
        <f>[2]หน้าผ้า!AL160</f>
        <v>0</v>
      </c>
      <c r="X151" s="10">
        <f>[2]หน้าผ้า!AM160</f>
        <v>0</v>
      </c>
      <c r="Y151" s="10">
        <f>[2]หน้าผ้า!AN160</f>
        <v>0</v>
      </c>
      <c r="Z151" s="9" t="str">
        <f>[2]หน้าผ้า!AO160</f>
        <v>WSWT24211125120</v>
      </c>
      <c r="AA151" s="8" t="e">
        <f>[2]หน้าผ้า!AQ160</f>
        <v>#REF!</v>
      </c>
      <c r="AB151" s="8" t="e">
        <f>[2]หน้าผ้า!AR160</f>
        <v>#REF!</v>
      </c>
      <c r="AC151" s="8" t="e">
        <f>[2]หน้าผ้า!AS160</f>
        <v>#REF!</v>
      </c>
      <c r="AD151" s="8" t="e">
        <f>[2]หน้าผ้า!AT160</f>
        <v>#REF!</v>
      </c>
      <c r="AE151" s="8" t="e">
        <f>[2]หน้าผ้า!AU160</f>
        <v>#REF!</v>
      </c>
      <c r="AF151" s="8" t="str">
        <f>[2]หน้าผ้า!AI160</f>
        <v>ระบุในSD</v>
      </c>
      <c r="AG151" s="1" t="str">
        <f>[3]หน้าผ้า!DC163</f>
        <v>ผ้าขาว</v>
      </c>
      <c r="AH151" s="1">
        <f>[2]หน้าผ้า!DL160</f>
        <v>0</v>
      </c>
      <c r="AI151" s="1">
        <f>[2]หน้าผ้า!DM160</f>
        <v>0</v>
      </c>
      <c r="AJ151" s="3">
        <f>[2]หน้าผ้า!DN160</f>
        <v>0</v>
      </c>
      <c r="AK151" s="3">
        <f>[2]หน้าผ้า!DQ160</f>
        <v>0</v>
      </c>
      <c r="AL151" s="3">
        <f>[2]หน้าผ้า!DR160</f>
        <v>0</v>
      </c>
      <c r="AM151" s="3">
        <f>[2]หน้าผ้า!DS160</f>
        <v>0</v>
      </c>
      <c r="AN151" s="3">
        <f>[2]หน้าผ้า!DT160</f>
        <v>0</v>
      </c>
      <c r="AO151" s="3">
        <f>[2]หน้าผ้า!DU160</f>
        <v>0</v>
      </c>
      <c r="AP151" s="3">
        <f>[2]หน้าผ้า!DP160</f>
        <v>0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>
        <f>[2]หน้าผ้า!EC160</f>
        <v>0</v>
      </c>
      <c r="AX151" s="2">
        <f>[2]หน้าผ้า!ED160</f>
        <v>0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WRWT2401125/WRWT25850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0</v>
      </c>
      <c r="B152" s="14">
        <f>[2]หน้าผ้า!B161</f>
        <v>0</v>
      </c>
      <c r="C152" s="9">
        <f>[2]หน้าผ้า!E161</f>
        <v>0</v>
      </c>
      <c r="D152" s="13" t="str">
        <f>[2]หน้าผ้า!F161</f>
        <v xml:space="preserve"> </v>
      </c>
      <c r="E152" s="9">
        <f>[2]หน้าผ้า!G161</f>
        <v>24</v>
      </c>
      <c r="F152" s="9">
        <f>[2]หน้าผ้า!H161</f>
        <v>37</v>
      </c>
      <c r="G152" s="9">
        <f>[2]หน้าผ้า!I161</f>
        <v>0</v>
      </c>
      <c r="H152" s="9">
        <f>[2]หน้าผ้า!J161</f>
        <v>0</v>
      </c>
      <c r="I152" s="9">
        <f>[2]หน้าผ้า!L161</f>
        <v>125</v>
      </c>
      <c r="J152" s="9" t="str">
        <f>[2]หน้าผ้า!M161</f>
        <v>+</v>
      </c>
      <c r="K152" s="9">
        <f>[2]หน้าผ้า!N161</f>
        <v>3</v>
      </c>
      <c r="L152" s="9">
        <f>[2]หน้าผ้า!R161</f>
        <v>0</v>
      </c>
      <c r="M152" s="10">
        <f>[2]หน้าผ้า!T161</f>
        <v>0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>
        <f>[2]หน้าผ้า!Z161</f>
        <v>0</v>
      </c>
      <c r="T152" s="12">
        <f>[2]หน้าผ้า!X161</f>
        <v>0</v>
      </c>
      <c r="U152" s="11">
        <f>[2]หน้าผ้า!AA161</f>
        <v>0</v>
      </c>
      <c r="V152" s="10">
        <f>[2]หน้าผ้า!AJ161</f>
        <v>0</v>
      </c>
      <c r="W152" s="10">
        <f>[2]หน้าผ้า!AL161</f>
        <v>0</v>
      </c>
      <c r="X152" s="10">
        <f>[2]หน้าผ้า!AM161</f>
        <v>0</v>
      </c>
      <c r="Y152" s="10">
        <f>[2]หน้าผ้า!AN161</f>
        <v>0</v>
      </c>
      <c r="Z152" s="9" t="str">
        <f>[2]หน้าผ้า!AO161</f>
        <v>WSWT2421112512551</v>
      </c>
      <c r="AA152" s="8" t="e">
        <f>[2]หน้าผ้า!AQ161</f>
        <v>#REF!</v>
      </c>
      <c r="AB152" s="8" t="e">
        <f>[2]หน้าผ้า!AR161</f>
        <v>#REF!</v>
      </c>
      <c r="AC152" s="8" t="e">
        <f>[2]หน้าผ้า!AS161</f>
        <v>#REF!</v>
      </c>
      <c r="AD152" s="8" t="e">
        <f>[2]หน้าผ้า!AT161</f>
        <v>#REF!</v>
      </c>
      <c r="AE152" s="8" t="e">
        <f>[2]หน้าผ้า!AU161</f>
        <v>#REF!</v>
      </c>
      <c r="AF152" s="8" t="str">
        <f>[2]หน้าผ้า!AI161</f>
        <v>ระบุในSD</v>
      </c>
      <c r="AG152" s="1" t="str">
        <f>[3]หน้าผ้า!DC164</f>
        <v>ยังไม่ได้พิมพ์</v>
      </c>
      <c r="AH152" s="1">
        <f>[2]หน้าผ้า!DL161</f>
        <v>0</v>
      </c>
      <c r="AI152" s="1" t="str">
        <f>[2]หน้าผ้า!DM161</f>
        <v>Lead time</v>
      </c>
      <c r="AJ152" s="3">
        <f>[2]หน้าผ้า!DN161</f>
        <v>0</v>
      </c>
      <c r="AK152" s="3">
        <f>[2]หน้าผ้า!DQ161</f>
        <v>0</v>
      </c>
      <c r="AL152" s="3">
        <f>[2]หน้าผ้า!DR161</f>
        <v>0</v>
      </c>
      <c r="AM152" s="3">
        <f>[2]หน้าผ้า!DS161</f>
        <v>0</v>
      </c>
      <c r="AN152" s="3">
        <f>[2]หน้าผ้า!DT161</f>
        <v>0</v>
      </c>
      <c r="AO152" s="3">
        <f>[2]หน้าผ้า!DU161</f>
        <v>0</v>
      </c>
      <c r="AP152" s="3">
        <f>[2]หน้าผ้า!DP161</f>
        <v>0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>
        <f>[2]หน้าผ้า!EC161</f>
        <v>0</v>
      </c>
      <c r="AX152" s="2">
        <f>[2]หน้าผ้า!ED161</f>
        <v>0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WRWT2401125/WRWT25960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0</v>
      </c>
      <c r="B153" s="14">
        <f>[2]หน้าผ้า!B162</f>
        <v>0</v>
      </c>
      <c r="C153" s="9">
        <f>[2]หน้าผ้า!E162</f>
        <v>0</v>
      </c>
      <c r="D153" s="13">
        <f>[2]หน้าผ้า!F162</f>
        <v>0</v>
      </c>
      <c r="E153" s="9">
        <f>[2]หน้าผ้า!G162</f>
        <v>26</v>
      </c>
      <c r="F153" s="9">
        <f>[2]หน้าผ้า!H162</f>
        <v>38</v>
      </c>
      <c r="G153" s="9" t="str">
        <f>[2]หน้าผ้า!I162</f>
        <v>เหลือง</v>
      </c>
      <c r="H153" s="9">
        <f>[2]หน้าผ้า!J162</f>
        <v>0</v>
      </c>
      <c r="I153" s="9">
        <f>[2]หน้าผ้า!L162</f>
        <v>105</v>
      </c>
      <c r="J153" s="9" t="str">
        <f>[2]หน้าผ้า!M162</f>
        <v>±</v>
      </c>
      <c r="K153" s="9">
        <f>[2]หน้าผ้า!N162</f>
        <v>5</v>
      </c>
      <c r="L153" s="9">
        <f>[2]หน้าผ้า!R162</f>
        <v>0</v>
      </c>
      <c r="M153" s="10">
        <f>[2]หน้าผ้า!T162</f>
        <v>0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>
        <f>[2]หน้าผ้า!Z162</f>
        <v>0</v>
      </c>
      <c r="T153" s="12">
        <f>[2]หน้าผ้า!X162</f>
        <v>0</v>
      </c>
      <c r="U153" s="11">
        <f>[2]หน้าผ้า!AA162</f>
        <v>0</v>
      </c>
      <c r="V153" s="10">
        <f>[2]หน้าผ้า!AJ162</f>
        <v>0</v>
      </c>
      <c r="W153" s="10">
        <f>[2]หน้าผ้า!AL162</f>
        <v>0</v>
      </c>
      <c r="X153" s="10">
        <f>[2]หน้าผ้า!AM162</f>
        <v>0</v>
      </c>
      <c r="Y153" s="10">
        <f>[2]หน้าผ้า!AN162</f>
        <v>0</v>
      </c>
      <c r="Z153" s="9" t="str">
        <f>[2]หน้าผ้า!AO162</f>
        <v>WSYL2625850</v>
      </c>
      <c r="AA153" s="8" t="e">
        <f>[2]หน้าผ้า!AQ162</f>
        <v>#REF!</v>
      </c>
      <c r="AB153" s="8" t="e">
        <f>[2]หน้าผ้า!AR162</f>
        <v>#REF!</v>
      </c>
      <c r="AC153" s="8" t="e">
        <f>[2]หน้าผ้า!AS162</f>
        <v>#REF!</v>
      </c>
      <c r="AD153" s="8" t="e">
        <f>[2]หน้าผ้า!AT162</f>
        <v>#REF!</v>
      </c>
      <c r="AE153" s="8" t="e">
        <f>[2]หน้าผ้า!AU162</f>
        <v>#REF!</v>
      </c>
      <c r="AF153" s="8" t="str">
        <f>[2]หน้าผ้า!AI162</f>
        <v>ระบุในSD</v>
      </c>
      <c r="AG153" s="1" t="str">
        <f>[3]หน้าผ้า!DC165</f>
        <v>ยังไม่ได้พิมพ์</v>
      </c>
      <c r="AH153" s="1">
        <f>[2]หน้าผ้า!DL162</f>
        <v>0</v>
      </c>
      <c r="AI153" s="1" t="str">
        <f>[2]หน้าผ้า!DM162</f>
        <v>Lead time</v>
      </c>
      <c r="AJ153" s="3">
        <f>[2]หน้าผ้า!DN162</f>
        <v>0</v>
      </c>
      <c r="AK153" s="3">
        <f>[2]หน้าผ้า!DQ162</f>
        <v>0</v>
      </c>
      <c r="AL153" s="3">
        <f>[2]หน้าผ้า!DR162</f>
        <v>0</v>
      </c>
      <c r="AM153" s="3">
        <f>[2]หน้าผ้า!DS162</f>
        <v>0</v>
      </c>
      <c r="AN153" s="3">
        <f>[2]หน้าผ้า!DT162</f>
        <v>0</v>
      </c>
      <c r="AO153" s="3">
        <f>[2]หน้าผ้า!DU162</f>
        <v>0</v>
      </c>
      <c r="AP153" s="3">
        <f>[2]หน้าผ้า!DP162</f>
        <v>0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>
        <f>[2]หน้าผ้า!EC162</f>
        <v>0</v>
      </c>
      <c r="AX153" s="2">
        <f>[2]หน้าผ้า!ED162</f>
        <v>0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WRYL25850/WRYL25850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45894</v>
      </c>
      <c r="B154" s="14" t="str">
        <f>[2]หน้าผ้า!B163</f>
        <v>MK68-001030</v>
      </c>
      <c r="C154" s="9" t="str">
        <f>[2]หน้าผ้า!E163</f>
        <v>คุณธนนท์ อุทัยไพศาลวงศ์</v>
      </c>
      <c r="D154" s="13" t="str">
        <f>[2]หน้าผ้า!F163</f>
        <v>ไม่พิมพ์</v>
      </c>
      <c r="E154" s="9">
        <f>[2]หน้าผ้า!G163</f>
        <v>26</v>
      </c>
      <c r="F154" s="9">
        <f>[2]หน้าผ้า!H163</f>
        <v>39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93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ไม่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มัด100</v>
      </c>
      <c r="T154" s="12">
        <f>[2]หน้าผ้า!X163</f>
        <v>45910</v>
      </c>
      <c r="U154" s="11">
        <f>[2]หน้าผ้า!AA163</f>
        <v>5000</v>
      </c>
      <c r="V154" s="10">
        <f>[2]หน้าผ้า!AJ163</f>
        <v>5000</v>
      </c>
      <c r="W154" s="10">
        <f>[2]หน้าผ้า!AL163</f>
        <v>0</v>
      </c>
      <c r="X154" s="10">
        <f>[2]หน้าผ้า!AM163</f>
        <v>0</v>
      </c>
      <c r="Y154" s="10">
        <f>[2]หน้าผ้า!AN163</f>
        <v>0</v>
      </c>
      <c r="Z154" s="9" t="str">
        <f>[2]หน้าผ้า!AO163</f>
        <v>WSWT2625650</v>
      </c>
      <c r="AA154" s="8">
        <f>[2]หน้าผ้า!AQ163</f>
        <v>0</v>
      </c>
      <c r="AB154" s="8">
        <f>[2]หน้าผ้า!AR163</f>
        <v>0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P3</v>
      </c>
      <c r="AI154" s="1">
        <f>[2]หน้าผ้า!DM163</f>
        <v>1</v>
      </c>
      <c r="AJ154" s="3">
        <f>[2]หน้าผ้า!DN163</f>
        <v>45910</v>
      </c>
      <c r="AK154" s="3">
        <f>[2]หน้าผ้า!DQ163</f>
        <v>0</v>
      </c>
      <c r="AL154" s="3">
        <f>[2]หน้าผ้า!DR163</f>
        <v>0</v>
      </c>
      <c r="AM154" s="3">
        <f>[2]หน้าผ้า!DS163</f>
        <v>0</v>
      </c>
      <c r="AN154" s="3">
        <f>[2]หน้าผ้า!DT163</f>
        <v>0</v>
      </c>
      <c r="AO154" s="3">
        <f>[2]หน้าผ้า!DU163</f>
        <v>45909</v>
      </c>
      <c r="AP154" s="3">
        <f>[2]หน้าผ้า!DP163</f>
        <v>45905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ตัด</v>
      </c>
      <c r="AX154" s="2">
        <f>[2]หน้าผ้า!ED163</f>
        <v>0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WRWT25650/WRWT25650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45906</v>
      </c>
      <c r="B155" s="14" t="str">
        <f>[2]หน้าผ้า!B164</f>
        <v>MK68-001083</v>
      </c>
      <c r="C155" s="9" t="str">
        <f>[2]หน้าผ้า!E164</f>
        <v>บจก.กบินทร์อินทรีย์</v>
      </c>
      <c r="D155" s="13" t="str">
        <f>[2]หน้าผ้า!F164</f>
        <v>หลอดไฟ 20กก.</v>
      </c>
      <c r="E155" s="9">
        <f>[2]หน้าผ้า!G164</f>
        <v>26</v>
      </c>
      <c r="F155" s="9">
        <f>[2]หน้าผ้า!H164</f>
        <v>41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97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>
        <f>[2]หน้าผ้า!T164</f>
        <v>27</v>
      </c>
      <c r="N155" s="9">
        <f>[2]หน้าผ้า!U164</f>
        <v>43</v>
      </c>
      <c r="O155" s="9">
        <f>[2]หน้าผ้า!V164</f>
        <v>40</v>
      </c>
      <c r="P155" s="10">
        <f>[2]หน้าผ้า!AB164</f>
        <v>114.57174504959998</v>
      </c>
      <c r="Q155" s="10">
        <f>[2]หน้าผ้า!AC164</f>
        <v>0</v>
      </c>
      <c r="R155" s="10">
        <f>[2]หน้าผ้า!AD164</f>
        <v>114.57174504959998</v>
      </c>
      <c r="S155" s="9" t="str">
        <f>[2]หน้าผ้า!Z164</f>
        <v>300กระสอบ</v>
      </c>
      <c r="T155" s="12">
        <f>[2]หน้าผ้า!X164</f>
        <v>45919</v>
      </c>
      <c r="U155" s="11">
        <f>[2]หน้าผ้า!AA164</f>
        <v>4000</v>
      </c>
      <c r="V155" s="10">
        <f>[2]หน้าผ้า!AJ164</f>
        <v>0</v>
      </c>
      <c r="W155" s="10">
        <f>[2]หน้าผ้า!AL164</f>
        <v>4000</v>
      </c>
      <c r="X155" s="10">
        <f>[2]หน้าผ้า!AM164</f>
        <v>0</v>
      </c>
      <c r="Y155" s="10">
        <f>[2]หน้าผ้า!AN164</f>
        <v>4200</v>
      </c>
      <c r="Z155" s="9" t="str">
        <f>[2]หน้าผ้า!AO164</f>
        <v>WSWT2625650</v>
      </c>
      <c r="AA155" s="8">
        <f>[2]หน้าผ้า!AQ164</f>
        <v>4749.8</v>
      </c>
      <c r="AB155" s="8">
        <f>[2]หน้าผ้า!AR164</f>
        <v>0</v>
      </c>
      <c r="AC155" s="8">
        <f>[2]หน้าผ้า!AS164</f>
        <v>4749.8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พร้อมส่ง</v>
      </c>
      <c r="AH155" s="1" t="str">
        <f>[2]หน้าผ้า!DL164</f>
        <v>P9</v>
      </c>
      <c r="AI155" s="1">
        <f>[2]หน้าผ้า!DM164</f>
        <v>3</v>
      </c>
      <c r="AJ155" s="3">
        <f>[2]หน้าผ้า!DN164</f>
        <v>45919</v>
      </c>
      <c r="AK155" s="3">
        <f>[2]หน้าผ้า!DQ164</f>
        <v>0</v>
      </c>
      <c r="AL155" s="3">
        <f>[2]หน้าผ้า!DR164</f>
        <v>45909</v>
      </c>
      <c r="AM155" s="3">
        <f>[2]หน้าผ้า!DS164</f>
        <v>45916</v>
      </c>
      <c r="AN155" s="3">
        <f>[2]หน้าผ้า!DT164</f>
        <v>45917</v>
      </c>
      <c r="AO155" s="3">
        <f>[2]หน้าผ้า!DU164</f>
        <v>45917</v>
      </c>
      <c r="AP155" s="3">
        <f>[2]หน้าผ้า!DP164</f>
        <v>45914</v>
      </c>
      <c r="AQ155" s="3">
        <f>[2]หน้าผ้า!DW164</f>
        <v>45918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>รอART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WRWT25650/WRWT25650</v>
      </c>
      <c r="BD155" s="56">
        <f>[2]หน้าผ้า!CA164</f>
        <v>383.51996222222226</v>
      </c>
    </row>
    <row r="156" spans="1:56" ht="27.75" customHeight="1" x14ac:dyDescent="0.45">
      <c r="A156" s="3">
        <f>[2]หน้าผ้า!C165</f>
        <v>45906</v>
      </c>
      <c r="B156" s="14" t="str">
        <f>[2]หน้าผ้า!B165</f>
        <v>MK68-001083</v>
      </c>
      <c r="C156" s="9" t="str">
        <f>[2]หน้าผ้า!E165</f>
        <v>บจก.กบินทร์อินทรีย์</v>
      </c>
      <c r="D156" s="13" t="str">
        <f>[2]หน้าผ้า!F165</f>
        <v xml:space="preserve">ไก่เหยียบศรกบินทร์ </v>
      </c>
      <c r="E156" s="9">
        <f>[2]หน้าผ้า!G165</f>
        <v>26</v>
      </c>
      <c r="F156" s="9">
        <f>[2]หน้าผ้า!H165</f>
        <v>41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97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บิด</v>
      </c>
      <c r="M156" s="10">
        <f>[2]หน้าผ้า!T165</f>
        <v>27</v>
      </c>
      <c r="N156" s="9">
        <f>[2]หน้าผ้า!U165</f>
        <v>43</v>
      </c>
      <c r="O156" s="9">
        <f>[2]หน้าผ้า!V165</f>
        <v>40</v>
      </c>
      <c r="P156" s="10">
        <f>[2]หน้าผ้า!AB165</f>
        <v>114.57174504959998</v>
      </c>
      <c r="Q156" s="10">
        <f>[2]หน้าผ้า!AC165</f>
        <v>0</v>
      </c>
      <c r="R156" s="10">
        <f>[2]หน้าผ้า!AD165</f>
        <v>114.57174504959998</v>
      </c>
      <c r="S156" s="9" t="str">
        <f>[2]หน้าผ้า!Z165</f>
        <v>300กระสอบ</v>
      </c>
      <c r="T156" s="12">
        <f>[2]หน้าผ้า!X165</f>
        <v>45919</v>
      </c>
      <c r="U156" s="11">
        <f>[2]หน้าผ้า!AA165</f>
        <v>4000</v>
      </c>
      <c r="V156" s="10">
        <f>[2]หน้าผ้า!AJ165</f>
        <v>0</v>
      </c>
      <c r="W156" s="10">
        <f>[2]หน้าผ้า!AL165</f>
        <v>4000</v>
      </c>
      <c r="X156" s="10">
        <f>[2]หน้าผ้า!AM165</f>
        <v>0</v>
      </c>
      <c r="Y156" s="10">
        <f>[2]หน้าผ้า!AN165</f>
        <v>4200</v>
      </c>
      <c r="Z156" s="9" t="str">
        <f>[2]หน้าผ้า!AO165</f>
        <v>WSWT2625650</v>
      </c>
      <c r="AA156" s="8">
        <f>[2]หน้าผ้า!AQ165</f>
        <v>4749.8</v>
      </c>
      <c r="AB156" s="8">
        <f>[2]หน้าผ้า!AR165</f>
        <v>0</v>
      </c>
      <c r="AC156" s="8">
        <f>[2]หน้าผ้า!AS165</f>
        <v>4749.8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P9</v>
      </c>
      <c r="AI156" s="1">
        <f>[2]หน้าผ้า!DM165</f>
        <v>3</v>
      </c>
      <c r="AJ156" s="3">
        <f>[2]หน้าผ้า!DN165</f>
        <v>45919</v>
      </c>
      <c r="AK156" s="3">
        <f>[2]หน้าผ้า!DQ165</f>
        <v>0</v>
      </c>
      <c r="AL156" s="3">
        <f>[2]หน้าผ้า!DR165</f>
        <v>45909</v>
      </c>
      <c r="AM156" s="3">
        <f>[2]หน้าผ้า!DS165</f>
        <v>45916</v>
      </c>
      <c r="AN156" s="3">
        <f>[2]หน้าผ้า!DT165</f>
        <v>45917</v>
      </c>
      <c r="AO156" s="3">
        <f>[2]หน้าผ้า!DU165</f>
        <v>45917</v>
      </c>
      <c r="AP156" s="3">
        <f>[2]หน้าผ้า!DP165</f>
        <v>45914</v>
      </c>
      <c r="AQ156" s="3">
        <f>[2]หน้าผ้า!DW165</f>
        <v>45918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>รอART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WRWT25650/WRWT25650</v>
      </c>
      <c r="BD156" s="56">
        <f>[2]หน้าผ้า!CA165</f>
        <v>383.51996222222226</v>
      </c>
    </row>
    <row r="157" spans="1:56" ht="27.75" customHeight="1" x14ac:dyDescent="0.45">
      <c r="A157" s="3">
        <f>[2]หน้าผ้า!C166</f>
        <v>45906</v>
      </c>
      <c r="B157" s="14" t="str">
        <f>[2]หน้าผ้า!B166</f>
        <v>ใบรับคำสั่งซื้อ</v>
      </c>
      <c r="C157" s="9" t="str">
        <f>[2]หน้าผ้า!E166</f>
        <v>บจก.กบินทร์อินทรีย์</v>
      </c>
      <c r="D157" s="13" t="str">
        <f>[2]หน้าผ้า!F166</f>
        <v>ไก่เหยียบศรีวรรณ</v>
      </c>
      <c r="E157" s="9">
        <f>[2]หน้าผ้า!G166</f>
        <v>26</v>
      </c>
      <c r="F157" s="9">
        <f>[2]หน้าผ้า!H166</f>
        <v>41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97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>
        <f>[2]หน้าผ้า!T166</f>
        <v>27</v>
      </c>
      <c r="N157" s="9">
        <f>[2]หน้าผ้า!U166</f>
        <v>43</v>
      </c>
      <c r="O157" s="9">
        <f>[2]หน้าผ้า!V166</f>
        <v>40</v>
      </c>
      <c r="P157" s="10">
        <f>[2]หน้าผ้า!AB166</f>
        <v>114.57174504959998</v>
      </c>
      <c r="Q157" s="10">
        <f>[2]หน้าผ้า!AC166</f>
        <v>0</v>
      </c>
      <c r="R157" s="10">
        <f>[2]หน้าผ้า!AD166</f>
        <v>114.57174504959998</v>
      </c>
      <c r="S157" s="9" t="str">
        <f>[2]หน้าผ้า!Z166</f>
        <v>300กระสอบ</v>
      </c>
      <c r="T157" s="12">
        <f>[2]หน้าผ้า!X166</f>
        <v>45919</v>
      </c>
      <c r="U157" s="11">
        <f>[2]หน้าผ้า!AA166</f>
        <v>4000</v>
      </c>
      <c r="V157" s="10">
        <f>[2]หน้าผ้า!AJ166</f>
        <v>0</v>
      </c>
      <c r="W157" s="10">
        <f>[2]หน้าผ้า!AL166</f>
        <v>4000</v>
      </c>
      <c r="X157" s="10">
        <f>[2]หน้าผ้า!AM166</f>
        <v>0</v>
      </c>
      <c r="Y157" s="10">
        <f>[2]หน้าผ้า!AN166</f>
        <v>4200</v>
      </c>
      <c r="Z157" s="9" t="str">
        <f>[2]หน้าผ้า!AO166</f>
        <v>WSWT2625650</v>
      </c>
      <c r="AA157" s="8">
        <f>[2]หน้าผ้า!AQ166</f>
        <v>4749.8</v>
      </c>
      <c r="AB157" s="8">
        <f>[2]หน้าผ้า!AR166</f>
        <v>0</v>
      </c>
      <c r="AC157" s="8">
        <f>[2]หน้าผ้า!AS166</f>
        <v>4749.8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พร้อมส่ง</v>
      </c>
      <c r="AH157" s="1" t="str">
        <f>[2]หน้าผ้า!DL166</f>
        <v>P9</v>
      </c>
      <c r="AI157" s="1">
        <f>[2]หน้าผ้า!DM166</f>
        <v>3</v>
      </c>
      <c r="AJ157" s="3">
        <f>[2]หน้าผ้า!DN166</f>
        <v>45919</v>
      </c>
      <c r="AK157" s="3">
        <f>[2]หน้าผ้า!DQ166</f>
        <v>0</v>
      </c>
      <c r="AL157" s="3">
        <f>[2]หน้าผ้า!DR166</f>
        <v>45909</v>
      </c>
      <c r="AM157" s="3">
        <f>[2]หน้าผ้า!DS166</f>
        <v>45916</v>
      </c>
      <c r="AN157" s="3">
        <f>[2]หน้าผ้า!DT166</f>
        <v>45917</v>
      </c>
      <c r="AO157" s="3">
        <f>[2]หน้าผ้า!DU166</f>
        <v>45917</v>
      </c>
      <c r="AP157" s="3">
        <f>[2]หน้าผ้า!DP166</f>
        <v>45914</v>
      </c>
      <c r="AQ157" s="3">
        <f>[2]หน้าผ้า!DW166</f>
        <v>45918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>รอART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WRWT25650/WRWT25650</v>
      </c>
      <c r="BD157" s="56">
        <f>[2]หน้าผ้า!CA166</f>
        <v>383.51996222222226</v>
      </c>
    </row>
    <row r="158" spans="1:56" ht="27.75" customHeight="1" x14ac:dyDescent="0.45">
      <c r="A158" s="3">
        <f>[2]หน้าผ้า!C167</f>
        <v>0</v>
      </c>
      <c r="B158" s="14">
        <f>[2]หน้าผ้า!B167</f>
        <v>0</v>
      </c>
      <c r="C158" s="9">
        <f>[2]หน้าผ้า!E167</f>
        <v>0</v>
      </c>
      <c r="D158" s="13">
        <f>[2]หน้าผ้า!F167</f>
        <v>0</v>
      </c>
      <c r="E158" s="9">
        <f>[2]หน้าผ้า!G167</f>
        <v>26</v>
      </c>
      <c r="F158" s="9">
        <f>[2]หน้าผ้า!H167</f>
        <v>43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102</v>
      </c>
      <c r="J158" s="9" t="str">
        <f>[2]หน้าผ้า!M167</f>
        <v>±</v>
      </c>
      <c r="K158" s="9">
        <f>[2]หน้าผ้า!N167</f>
        <v>5</v>
      </c>
      <c r="L158" s="9">
        <f>[2]หน้าผ้า!R167</f>
        <v>0</v>
      </c>
      <c r="M158" s="10">
        <f>[2]หน้าผ้า!T167</f>
        <v>0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>
        <f>[2]หน้าผ้า!Z167</f>
        <v>0</v>
      </c>
      <c r="T158" s="12">
        <f>[2]หน้าผ้า!X167</f>
        <v>0</v>
      </c>
      <c r="U158" s="11">
        <f>[2]หน้าผ้า!AA167</f>
        <v>0</v>
      </c>
      <c r="V158" s="10">
        <f>[2]หน้าผ้า!AJ167</f>
        <v>0</v>
      </c>
      <c r="W158" s="10">
        <f>[2]หน้าผ้า!AL167</f>
        <v>0</v>
      </c>
      <c r="X158" s="10">
        <f>[2]หน้าผ้า!AM167</f>
        <v>0</v>
      </c>
      <c r="Y158" s="10">
        <f>[2]หน้าผ้า!AN167</f>
        <v>0</v>
      </c>
      <c r="Z158" s="9" t="str">
        <f>[2]หน้าผ้า!AO167</f>
        <v>WSWT2625650</v>
      </c>
      <c r="AA158" s="8">
        <f>[2]หน้าผ้า!AQ167</f>
        <v>14249.400000000001</v>
      </c>
      <c r="AB158" s="8">
        <f>[2]หน้าผ้า!AR167</f>
        <v>0</v>
      </c>
      <c r="AC158" s="8">
        <f>[2]หน้าผ้า!AS167</f>
        <v>14249.400000000001</v>
      </c>
      <c r="AD158" s="8">
        <f>[2]หน้าผ้า!AT167</f>
        <v>0</v>
      </c>
      <c r="AE158" s="8">
        <f>[2]หน้าผ้า!AU167</f>
        <v>0</v>
      </c>
      <c r="AF158" s="8" t="str">
        <f>[2]หน้าผ้า!AI167</f>
        <v>ระบุในSD</v>
      </c>
      <c r="AG158" s="1" t="str">
        <f>[3]หน้าผ้า!DC170</f>
        <v>พร้อมส่ง</v>
      </c>
      <c r="AH158" s="1">
        <f>[2]หน้าผ้า!DL167</f>
        <v>0</v>
      </c>
      <c r="AI158" s="1" t="str">
        <f>[2]หน้าผ้า!DM167</f>
        <v>Lead time</v>
      </c>
      <c r="AJ158" s="3">
        <f>[2]หน้าผ้า!DN167</f>
        <v>0</v>
      </c>
      <c r="AK158" s="3">
        <f>[2]หน้าผ้า!DQ167</f>
        <v>0</v>
      </c>
      <c r="AL158" s="3">
        <f>[2]หน้าผ้า!DR167</f>
        <v>0</v>
      </c>
      <c r="AM158" s="3">
        <f>[2]หน้าผ้า!DS167</f>
        <v>0</v>
      </c>
      <c r="AN158" s="3">
        <f>[2]หน้าผ้า!DT167</f>
        <v>0</v>
      </c>
      <c r="AO158" s="3">
        <f>[2]หน้าผ้า!DU167</f>
        <v>0</v>
      </c>
      <c r="AP158" s="3">
        <f>[2]หน้าผ้า!DP167</f>
        <v>0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>
        <f>[2]หน้าผ้า!EC167</f>
        <v>0</v>
      </c>
      <c r="AX158" s="2">
        <f>[2]หน้าผ้า!ED167</f>
        <v>0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WRWT25650/WRWT25650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45904</v>
      </c>
      <c r="B159" s="14" t="str">
        <f>[2]หน้าผ้า!B168</f>
        <v>MK68-001074</v>
      </c>
      <c r="C159" s="9" t="str">
        <f>[2]หน้าผ้า!E168</f>
        <v>บจก.ทีพีเค แอ็บโซลูท สตาร์ช</v>
      </c>
      <c r="D159" s="13" t="str">
        <f>[2]หน้าผ้า!F168</f>
        <v>MASTER CHEF</v>
      </c>
      <c r="E159" s="9">
        <f>[2]หน้าผ้า!G168</f>
        <v>26</v>
      </c>
      <c r="F159" s="9">
        <f>[2]หน้าผ้า!H168</f>
        <v>43</v>
      </c>
      <c r="G159" s="9" t="str">
        <f>[2]หน้าผ้า!I168</f>
        <v>ขาว</v>
      </c>
      <c r="H159" s="9" t="str">
        <f>[2]หน้าผ้า!J168</f>
        <v>ใส</v>
      </c>
      <c r="I159" s="9">
        <f>[2]หน้าผ้า!L168</f>
        <v>140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ไม่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  </v>
      </c>
      <c r="T159" s="12">
        <f>[2]หน้าผ้า!X168</f>
        <v>45912</v>
      </c>
      <c r="U159" s="11">
        <f>[2]หน้าผ้า!AA168</f>
        <v>10000</v>
      </c>
      <c r="V159" s="10">
        <f>[2]หน้าผ้า!AJ168</f>
        <v>0</v>
      </c>
      <c r="W159" s="10">
        <f>[2]หน้าผ้า!AL168</f>
        <v>10000</v>
      </c>
      <c r="X159" s="10">
        <f>[2]หน้าผ้า!AM168</f>
        <v>0</v>
      </c>
      <c r="Y159" s="10">
        <f>[2]หน้าผ้า!AN168</f>
        <v>10500</v>
      </c>
      <c r="Z159" s="9" t="str">
        <f>[2]หน้าผ้า!AO168</f>
        <v>WSWT262575051</v>
      </c>
      <c r="AA159" s="8">
        <f>[2]หน้าผ้า!AQ168</f>
        <v>12433.3</v>
      </c>
      <c r="AB159" s="8">
        <f>[2]หน้าผ้า!AR168</f>
        <v>11491</v>
      </c>
      <c r="AC159" s="8">
        <f>[2]หน้าผ้า!AS168</f>
        <v>942.29999999999927</v>
      </c>
      <c r="AD159" s="8">
        <f>[2]หน้าผ้า!AT168</f>
        <v>0</v>
      </c>
      <c r="AE159" s="8">
        <f>[2]หน้าผ้า!AU168</f>
        <v>12433.3</v>
      </c>
      <c r="AF159" s="8" t="str">
        <f>[2]หน้าผ้า!AI168</f>
        <v>ห้ามใช้เชือกฟาง</v>
      </c>
      <c r="AG159" s="1" t="str">
        <f>[3]หน้าผ้า!DC171</f>
        <v>พร้อมส่ง</v>
      </c>
      <c r="AH159" s="1" t="str">
        <f>[2]หน้าผ้า!DL168</f>
        <v>P6</v>
      </c>
      <c r="AI159" s="1">
        <f>[2]หน้าผ้า!DM168</f>
        <v>4</v>
      </c>
      <c r="AJ159" s="3">
        <f>[2]หน้าผ้า!DN168</f>
        <v>45912</v>
      </c>
      <c r="AK159" s="3">
        <f>[2]หน้าผ้า!DQ168</f>
        <v>45908</v>
      </c>
      <c r="AL159" s="3">
        <f>[2]หน้าผ้า!DR168</f>
        <v>45901</v>
      </c>
      <c r="AM159" s="3">
        <f>[2]หน้าผ้า!DS168</f>
        <v>45909</v>
      </c>
      <c r="AN159" s="3">
        <f>[2]หน้าผ้า!DT168</f>
        <v>45910</v>
      </c>
      <c r="AO159" s="3">
        <f>[2]หน้าผ้า!DU168</f>
        <v>45911</v>
      </c>
      <c r="AP159" s="3">
        <f>[2]หน้าผ้า!DP168</f>
        <v>45907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>
        <f>[2]หน้าผ้า!ED168</f>
        <v>0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WRWT25800/WRWT25650</v>
      </c>
      <c r="BD159" s="56">
        <f>[2]หน้าผ้า!CA168</f>
        <v>84.660419999999945</v>
      </c>
    </row>
    <row r="160" spans="1:56" ht="27.75" customHeight="1" x14ac:dyDescent="0.45">
      <c r="A160" s="3">
        <f>[2]หน้าผ้า!C169</f>
        <v>0</v>
      </c>
      <c r="B160" s="14">
        <f>[2]หน้าผ้า!B169</f>
        <v>0</v>
      </c>
      <c r="C160" s="9">
        <f>[2]หน้าผ้า!E169</f>
        <v>0</v>
      </c>
      <c r="D160" s="13">
        <f>[2]หน้าผ้า!F169</f>
        <v>0</v>
      </c>
      <c r="E160" s="9">
        <f>[2]หน้าผ้า!G169</f>
        <v>26</v>
      </c>
      <c r="F160" s="9">
        <f>[2]หน้าผ้า!H169</f>
        <v>43</v>
      </c>
      <c r="G160" s="9">
        <f>[2]หน้าผ้า!I169</f>
        <v>0</v>
      </c>
      <c r="H160" s="9">
        <f>[2]หน้าผ้า!J169</f>
        <v>0</v>
      </c>
      <c r="I160" s="9">
        <f>[2]หน้าผ้า!L169</f>
        <v>100</v>
      </c>
      <c r="J160" s="9" t="str">
        <f>[2]หน้าผ้า!M169</f>
        <v>±</v>
      </c>
      <c r="K160" s="9">
        <f>[2]หน้าผ้า!N169</f>
        <v>5</v>
      </c>
      <c r="L160" s="9">
        <f>[2]หน้าผ้า!R169</f>
        <v>0</v>
      </c>
      <c r="M160" s="10">
        <f>[2]หน้าผ้า!T169</f>
        <v>0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>
        <f>[2]หน้าผ้า!Z169</f>
        <v>0</v>
      </c>
      <c r="T160" s="12">
        <f>[2]หน้าผ้า!X169</f>
        <v>0</v>
      </c>
      <c r="U160" s="11">
        <f>[2]หน้าผ้า!AA169</f>
        <v>0</v>
      </c>
      <c r="V160" s="10">
        <f>[2]หน้าผ้า!AJ169</f>
        <v>0</v>
      </c>
      <c r="W160" s="10">
        <f>[2]หน้าผ้า!AL169</f>
        <v>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WSWT262575051</v>
      </c>
      <c r="AA160" s="8">
        <f>[2]หน้าผ้า!AQ169</f>
        <v>12433.3</v>
      </c>
      <c r="AB160" s="8">
        <f>[2]หน้าผ้า!AR169</f>
        <v>11491</v>
      </c>
      <c r="AC160" s="8">
        <f>[2]หน้าผ้า!AS169</f>
        <v>942.29999999999927</v>
      </c>
      <c r="AD160" s="8">
        <f>[2]หน้าผ้า!AT169</f>
        <v>0</v>
      </c>
      <c r="AE160" s="8">
        <f>[2]หน้าผ้า!AU169</f>
        <v>12433.3</v>
      </c>
      <c r="AF160" s="8" t="str">
        <f>[2]หน้าผ้า!AI169</f>
        <v>ระบุในSD</v>
      </c>
      <c r="AG160" s="1" t="str">
        <f>[3]หน้าผ้า!DC172</f>
        <v>ผ้าขาว</v>
      </c>
      <c r="AH160" s="1">
        <f>[2]หน้าผ้า!DL169</f>
        <v>0</v>
      </c>
      <c r="AI160" s="1" t="str">
        <f>[2]หน้าผ้า!DM169</f>
        <v>Lead time</v>
      </c>
      <c r="AJ160" s="3">
        <f>[2]หน้าผ้า!DN169</f>
        <v>0</v>
      </c>
      <c r="AK160" s="3">
        <f>[2]หน้าผ้า!DQ169</f>
        <v>0</v>
      </c>
      <c r="AL160" s="3">
        <f>[2]หน้าผ้า!DR169</f>
        <v>0</v>
      </c>
      <c r="AM160" s="3">
        <f>[2]หน้าผ้า!DS169</f>
        <v>0</v>
      </c>
      <c r="AN160" s="3">
        <f>[2]หน้าผ้า!DT169</f>
        <v>0</v>
      </c>
      <c r="AO160" s="3">
        <f>[2]หน้าผ้า!DU169</f>
        <v>0</v>
      </c>
      <c r="AP160" s="3">
        <f>[2]หน้าผ้า!DP169</f>
        <v>0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>
        <f>[2]หน้าผ้า!EC169</f>
        <v>0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WRWT25800/WRWT25650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>
        <f>[2]หน้าผ้า!F170</f>
        <v>0</v>
      </c>
      <c r="E161" s="9">
        <f>[2]หน้าผ้า!G170</f>
        <v>26</v>
      </c>
      <c r="F161" s="9">
        <f>[2]หน้าผ้า!H170</f>
        <v>43</v>
      </c>
      <c r="G161" s="9">
        <f>[2]หน้าผ้า!I170</f>
        <v>0</v>
      </c>
      <c r="H161" s="9">
        <f>[2]หน้าผ้า!J170</f>
        <v>0</v>
      </c>
      <c r="I161" s="9">
        <f>[2]หน้าผ้า!L170</f>
        <v>113</v>
      </c>
      <c r="J161" s="9" t="str">
        <f>[2]หน้าผ้า!M170</f>
        <v>±</v>
      </c>
      <c r="K161" s="9">
        <f>[2]หน้าผ้า!N170</f>
        <v>5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WSWT2625700</v>
      </c>
      <c r="AA161" s="8" t="e">
        <f>[2]หน้าผ้า!AQ170</f>
        <v>#REF!</v>
      </c>
      <c r="AB161" s="8" t="e">
        <f>[2]หน้าผ้า!AR170</f>
        <v>#REF!</v>
      </c>
      <c r="AC161" s="8" t="e">
        <f>[2]หน้าผ้า!AS170</f>
        <v>#REF!</v>
      </c>
      <c r="AD161" s="8" t="e">
        <f>[2]หน้าผ้า!AT170</f>
        <v>#REF!</v>
      </c>
      <c r="AE161" s="8" t="e">
        <f>[2]หน้าผ้า!AU170</f>
        <v>#REF!</v>
      </c>
      <c r="AF161" s="8" t="str">
        <f>[2]หน้าผ้า!AI170</f>
        <v>ระบุในSD</v>
      </c>
      <c r="AG161" s="1" t="str">
        <f>[3]หน้าผ้า!DC173</f>
        <v>พร้อมส่ง</v>
      </c>
      <c r="AH161" s="1">
        <f>[2]หน้าผ้า!DL170</f>
        <v>0</v>
      </c>
      <c r="AI161" s="1" t="str">
        <f>[2]หน้าผ้า!DM170</f>
        <v>Lead time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WRWT260800/WRWT25650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0</v>
      </c>
      <c r="B162" s="14">
        <f>[2]หน้าผ้า!B171</f>
        <v>0</v>
      </c>
      <c r="C162" s="9">
        <f>[2]หน้าผ้า!E171</f>
        <v>0</v>
      </c>
      <c r="D162" s="13">
        <f>[2]หน้าผ้า!F171</f>
        <v>0</v>
      </c>
      <c r="E162" s="9">
        <f>[2]หน้าผ้า!G171</f>
        <v>26</v>
      </c>
      <c r="F162" s="9">
        <f>[2]หน้าผ้า!H171</f>
        <v>41</v>
      </c>
      <c r="G162" s="9">
        <f>[2]หน้าผ้า!I171</f>
        <v>0</v>
      </c>
      <c r="H162" s="9">
        <f>[2]หน้าผ้า!J171</f>
        <v>0</v>
      </c>
      <c r="I162" s="9">
        <f>[2]หน้าผ้า!L171</f>
        <v>90</v>
      </c>
      <c r="J162" s="9" t="str">
        <f>[2]หน้าผ้า!M171</f>
        <v>±</v>
      </c>
      <c r="K162" s="9">
        <f>[2]หน้าผ้า!N171</f>
        <v>5</v>
      </c>
      <c r="L162" s="9">
        <f>[2]หน้าผ้า!R171</f>
        <v>0</v>
      </c>
      <c r="M162" s="10">
        <f>[2]หน้าผ้า!T171</f>
        <v>0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>
        <f>[2]หน้าผ้า!Z171</f>
        <v>0</v>
      </c>
      <c r="T162" s="12">
        <f>[2]หน้าผ้า!X171</f>
        <v>0</v>
      </c>
      <c r="U162" s="11">
        <f>[2]หน้าผ้า!AA171</f>
        <v>0</v>
      </c>
      <c r="V162" s="10">
        <f>[2]หน้าผ้า!AJ171</f>
        <v>0</v>
      </c>
      <c r="W162" s="10">
        <f>[2]หน้าผ้า!AL171</f>
        <v>0</v>
      </c>
      <c r="X162" s="10">
        <f>[2]หน้าผ้า!AM171</f>
        <v>0</v>
      </c>
      <c r="Y162" s="10">
        <f>[2]หน้าผ้า!AN171</f>
        <v>0</v>
      </c>
      <c r="Z162" s="9" t="str">
        <f>[2]หน้าผ้า!AO171</f>
        <v>WSWT2625800SM</v>
      </c>
      <c r="AA162" s="8" t="e">
        <f>[2]หน้าผ้า!AQ171</f>
        <v>#REF!</v>
      </c>
      <c r="AB162" s="8" t="e">
        <f>[2]หน้าผ้า!AR171</f>
        <v>#REF!</v>
      </c>
      <c r="AC162" s="8" t="e">
        <f>[2]หน้าผ้า!AS171</f>
        <v>#REF!</v>
      </c>
      <c r="AD162" s="8" t="e">
        <f>[2]หน้าผ้า!AT171</f>
        <v>#REF!</v>
      </c>
      <c r="AE162" s="8" t="e">
        <f>[2]หน้าผ้า!AU171</f>
        <v>#REF!</v>
      </c>
      <c r="AF162" s="8" t="str">
        <f>[2]หน้าผ้า!AI171</f>
        <v>ระบุในSD</v>
      </c>
      <c r="AG162" s="1" t="str">
        <f>[3]หน้าผ้า!DC174</f>
        <v>ผ้าขาว</v>
      </c>
      <c r="AH162" s="1">
        <f>[2]หน้าผ้า!DL171</f>
        <v>0</v>
      </c>
      <c r="AI162" s="1" t="str">
        <f>[2]หน้าผ้า!DM171</f>
        <v>Lead time</v>
      </c>
      <c r="AJ162" s="3">
        <f>[2]หน้าผ้า!DN171</f>
        <v>0</v>
      </c>
      <c r="AK162" s="3">
        <f>[2]หน้าผ้า!DQ171</f>
        <v>0</v>
      </c>
      <c r="AL162" s="3">
        <f>[2]หน้าผ้า!DR171</f>
        <v>0</v>
      </c>
      <c r="AM162" s="3">
        <f>[2]หน้าผ้า!DS171</f>
        <v>0</v>
      </c>
      <c r="AN162" s="3">
        <f>[2]หน้าผ้า!DT171</f>
        <v>0</v>
      </c>
      <c r="AO162" s="3">
        <f>[2]หน้าผ้า!DU171</f>
        <v>0</v>
      </c>
      <c r="AP162" s="3">
        <f>[2]หน้าผ้า!DP171</f>
        <v>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>
        <f>[2]หน้าผ้า!EC171</f>
        <v>0</v>
      </c>
      <c r="AX162" s="2">
        <f>[2]หน้าผ้า!ED171</f>
        <v>0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WRWT260800/WRWT25650</v>
      </c>
      <c r="BD162" s="56">
        <f>[2]หน้าผ้า!CA171</f>
        <v>0</v>
      </c>
    </row>
    <row r="163" spans="1:56" ht="27.75" customHeight="1" x14ac:dyDescent="0.45">
      <c r="A163" s="3" t="str">
        <f>[2]หน้าผ้า!C172</f>
        <v>ประมาณการ</v>
      </c>
      <c r="B163" s="14" t="str">
        <f>[2]หน้าผ้า!B172</f>
        <v>ประมาณการ</v>
      </c>
      <c r="C163" s="9" t="str">
        <f>[2]หน้าผ้า!E172</f>
        <v>บจก.ที.ซี.ยูเนี่ยน อโกรเทค</v>
      </c>
      <c r="D163" s="13" t="str">
        <f>[2]หน้าผ้า!F172</f>
        <v>ไม่พิมพ์</v>
      </c>
      <c r="E163" s="9">
        <f>[2]หน้าผ้า!G172</f>
        <v>26</v>
      </c>
      <c r="F163" s="9">
        <f>[2]หน้าผ้า!H172</f>
        <v>43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116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ไม่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45925</v>
      </c>
      <c r="U163" s="11">
        <f>[2]หน้าผ้า!AA172</f>
        <v>10000</v>
      </c>
      <c r="V163" s="10">
        <f>[2]หน้าผ้า!AJ172</f>
        <v>0</v>
      </c>
      <c r="W163" s="10">
        <f>[2]หน้าผ้า!AL172</f>
        <v>10000</v>
      </c>
      <c r="X163" s="10">
        <f>[2]หน้าผ้า!AM172</f>
        <v>0</v>
      </c>
      <c r="Y163" s="10">
        <f>[2]หน้าผ้า!AN172</f>
        <v>0</v>
      </c>
      <c r="Z163" s="9" t="str">
        <f>[2]หน้าผ้า!AO172</f>
        <v xml:space="preserve">WSWT2625800 </v>
      </c>
      <c r="AA163" s="8">
        <f>[2]หน้าผ้า!AQ172</f>
        <v>12433.3</v>
      </c>
      <c r="AB163" s="8">
        <f>[2]หน้าผ้า!AR172</f>
        <v>12433.3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พิมพ์ไม่ครบ</v>
      </c>
      <c r="AH163" s="1" t="str">
        <f>[2]หน้าผ้า!DL172</f>
        <v>P3</v>
      </c>
      <c r="AI163" s="1">
        <f>[2]หน้าผ้า!DM172</f>
        <v>1</v>
      </c>
      <c r="AJ163" s="3">
        <f>[2]หน้าผ้า!DN172</f>
        <v>45925</v>
      </c>
      <c r="AK163" s="3">
        <f>[2]หน้าผ้า!DQ172</f>
        <v>0</v>
      </c>
      <c r="AL163" s="3">
        <f>[2]หน้าผ้า!DR172</f>
        <v>0</v>
      </c>
      <c r="AM163" s="3">
        <f>[2]หน้าผ้า!DS172</f>
        <v>0</v>
      </c>
      <c r="AN163" s="3">
        <f>[2]หน้าผ้า!DT172</f>
        <v>0</v>
      </c>
      <c r="AO163" s="3">
        <f>[2]หน้าผ้า!DU172</f>
        <v>45924</v>
      </c>
      <c r="AP163" s="3">
        <f>[2]หน้าผ้า!DP172</f>
        <v>45920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ตัด</v>
      </c>
      <c r="AX163" s="2">
        <f>[2]หน้าผ้า!ED172</f>
        <v>0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WRWT25800/WRWT25800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0</v>
      </c>
      <c r="B164" s="14">
        <f>[2]หน้าผ้า!B173</f>
        <v>0</v>
      </c>
      <c r="C164" s="9">
        <f>[2]หน้าผ้า!E173</f>
        <v>0</v>
      </c>
      <c r="D164" s="13">
        <f>[2]หน้าผ้า!F173</f>
        <v>0</v>
      </c>
      <c r="E164" s="9">
        <f>[2]หน้าผ้า!G173</f>
        <v>26</v>
      </c>
      <c r="F164" s="9">
        <f>[2]หน้าผ้า!H173</f>
        <v>43</v>
      </c>
      <c r="G164" s="9">
        <f>[2]หน้าผ้า!I173</f>
        <v>0</v>
      </c>
      <c r="H164" s="9">
        <f>[2]หน้าผ้า!J173</f>
        <v>0</v>
      </c>
      <c r="I164" s="9">
        <f>[2]หน้าผ้า!L173</f>
        <v>116</v>
      </c>
      <c r="J164" s="9" t="str">
        <f>[2]หน้าผ้า!M173</f>
        <v>±</v>
      </c>
      <c r="K164" s="9">
        <f>[2]หน้าผ้า!N173</f>
        <v>5</v>
      </c>
      <c r="L164" s="9">
        <f>[2]หน้าผ้า!R173</f>
        <v>0</v>
      </c>
      <c r="M164" s="10">
        <f>[2]หน้าผ้า!T173</f>
        <v>0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>
        <f>[2]หน้าผ้า!Z173</f>
        <v>0</v>
      </c>
      <c r="T164" s="12">
        <f>[2]หน้าผ้า!X173</f>
        <v>0</v>
      </c>
      <c r="U164" s="11">
        <f>[2]หน้าผ้า!AA173</f>
        <v>0</v>
      </c>
      <c r="V164" s="10">
        <f>[2]หน้าผ้า!AJ173</f>
        <v>0</v>
      </c>
      <c r="W164" s="10">
        <f>[2]หน้าผ้า!AL173</f>
        <v>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 xml:space="preserve">WSWT2625800 </v>
      </c>
      <c r="AA164" s="8">
        <f>[2]หน้าผ้า!AQ173</f>
        <v>12433.3</v>
      </c>
      <c r="AB164" s="8">
        <f>[2]หน้าผ้า!AR173</f>
        <v>12433.3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 t="str">
        <f>[2]หน้าผ้า!AI173</f>
        <v>ระบุในSD</v>
      </c>
      <c r="AG164" s="1" t="str">
        <f>[3]หน้าผ้า!DC176</f>
        <v>ยังไม่ได้พิมพ์</v>
      </c>
      <c r="AH164" s="1">
        <f>[2]หน้าผ้า!DL173</f>
        <v>0</v>
      </c>
      <c r="AI164" s="1" t="str">
        <f>[2]หน้าผ้า!DM173</f>
        <v>Lead time</v>
      </c>
      <c r="AJ164" s="3">
        <f>[2]หน้าผ้า!DN173</f>
        <v>0</v>
      </c>
      <c r="AK164" s="3">
        <f>[2]หน้าผ้า!DQ173</f>
        <v>0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0</v>
      </c>
      <c r="AP164" s="3">
        <f>[2]หน้าผ้า!DP173</f>
        <v>0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>
        <f>[2]หน้าผ้า!EC173</f>
        <v>0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WRWT260800/WRWT25800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45898</v>
      </c>
      <c r="B165" s="14" t="str">
        <f>[2]หน้าผ้า!B174</f>
        <v>MK68-001052</v>
      </c>
      <c r="C165" s="9" t="str">
        <f>[2]หน้าผ้า!E174</f>
        <v>บจก.ที.ซี.ยูเนี่ยน อโกรเทค</v>
      </c>
      <c r="D165" s="13" t="str">
        <f>[2]หน้าผ้า!F174</f>
        <v>ไม่พิมพ์</v>
      </c>
      <c r="E165" s="9">
        <f>[2]หน้าผ้า!G174</f>
        <v>26</v>
      </c>
      <c r="F165" s="9">
        <f>[2]หน้าผ้า!H174</f>
        <v>43</v>
      </c>
      <c r="G165" s="9" t="str">
        <f>[2]หน้าผ้า!I174</f>
        <v>ขาว</v>
      </c>
      <c r="H165" s="9" t="str">
        <f>[2]หน้าผ้า!J174</f>
        <v>ใส</v>
      </c>
      <c r="I165" s="9">
        <f>[2]หน้าผ้า!L174</f>
        <v>150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45917</v>
      </c>
      <c r="U165" s="11">
        <f>[2]หน้าผ้า!AA174</f>
        <v>15000</v>
      </c>
      <c r="V165" s="10">
        <f>[2]หน้าผ้า!AJ174</f>
        <v>0</v>
      </c>
      <c r="W165" s="10">
        <f>[2]หน้าผ้า!AL174</f>
        <v>15000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WSWT2625850SM</v>
      </c>
      <c r="AA165" s="8">
        <f>[2]หน้าผ้า!AQ174</f>
        <v>18649.949999999997</v>
      </c>
      <c r="AB165" s="8">
        <f>[2]หน้าผ้า!AR174</f>
        <v>4658</v>
      </c>
      <c r="AC165" s="8">
        <f>[2]หน้าผ้า!AS174</f>
        <v>13991.949999999997</v>
      </c>
      <c r="AD165" s="8">
        <f>[2]หน้าผ้า!AT174</f>
        <v>0</v>
      </c>
      <c r="AE165" s="8">
        <f>[2]หน้าผ้า!AU174</f>
        <v>18649.949999999997</v>
      </c>
      <c r="AF165" s="8">
        <f>[2]หน้าผ้า!AI174</f>
        <v>0</v>
      </c>
      <c r="AG165" s="1" t="str">
        <f>[3]หน้าผ้า!DC177</f>
        <v>พร้อมส่ง</v>
      </c>
      <c r="AH165" s="1" t="str">
        <f>[2]หน้าผ้า!DL174</f>
        <v>P11</v>
      </c>
      <c r="AI165" s="1">
        <f>[2]หน้าผ้า!DM174</f>
        <v>2</v>
      </c>
      <c r="AJ165" s="3">
        <f>[2]หน้าผ้า!DN174</f>
        <v>45917</v>
      </c>
      <c r="AK165" s="3">
        <f>[2]หน้าผ้า!DQ174</f>
        <v>45915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45916</v>
      </c>
      <c r="AP165" s="3">
        <f>[2]หน้าผ้า!DP174</f>
        <v>45912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งานเคลือบ+ตัด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WRWT25850/WRWT25850</v>
      </c>
      <c r="BD165" s="56">
        <f>[2]หน้าผ้า!CA174</f>
        <v>1443.0364433333332</v>
      </c>
    </row>
    <row r="166" spans="1:56" ht="27.75" customHeight="1" x14ac:dyDescent="0.45">
      <c r="A166" s="3">
        <f>[2]หน้าผ้า!C175</f>
        <v>45901</v>
      </c>
      <c r="B166" s="14" t="str">
        <f>[2]หน้าผ้า!B175</f>
        <v>MK68-001066</v>
      </c>
      <c r="C166" s="9" t="str">
        <f>[2]หน้าผ้า!E175</f>
        <v>บจก.ที.ซี.ยูเนี่ยน อโกรเทค</v>
      </c>
      <c r="D166" s="13" t="str">
        <f>[2]หน้าผ้า!F175</f>
        <v>Zhejiang UN</v>
      </c>
      <c r="E166" s="9">
        <f>[2]หน้าผ้า!G175</f>
        <v>26</v>
      </c>
      <c r="F166" s="9">
        <f>[2]หน้าผ้า!H175</f>
        <v>43</v>
      </c>
      <c r="G166" s="9" t="str">
        <f>[2]หน้าผ้า!I175</f>
        <v>ขาว</v>
      </c>
      <c r="H166" s="9" t="str">
        <f>[2]หน้าผ้า!J175</f>
        <v>ใส</v>
      </c>
      <c r="I166" s="9">
        <f>[2]หน้าผ้า!L175</f>
        <v>150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45930</v>
      </c>
      <c r="U166" s="11">
        <f>[2]หน้าผ้า!AA175</f>
        <v>30000</v>
      </c>
      <c r="V166" s="10">
        <f>[2]หน้าผ้า!AJ175</f>
        <v>5000</v>
      </c>
      <c r="W166" s="10">
        <f>[2]หน้าผ้า!AL175</f>
        <v>25000</v>
      </c>
      <c r="X166" s="10">
        <f>[2]หน้าผ้า!AM175</f>
        <v>9475</v>
      </c>
      <c r="Y166" s="10">
        <f>[2]หน้าผ้า!AN175</f>
        <v>21551.25</v>
      </c>
      <c r="Z166" s="9" t="str">
        <f>[2]หน้าผ้า!AO175</f>
        <v>WSWT2625850SM</v>
      </c>
      <c r="AA166" s="8">
        <f>[2]หน้าผ้า!AQ175</f>
        <v>26795.315662500001</v>
      </c>
      <c r="AB166" s="8">
        <f>[2]หน้าผ้า!AR175</f>
        <v>0</v>
      </c>
      <c r="AC166" s="8">
        <f>[2]หน้าผ้า!AS175</f>
        <v>26795.315662500001</v>
      </c>
      <c r="AD166" s="8">
        <f>[2]หน้าผ้า!AT175</f>
        <v>0</v>
      </c>
      <c r="AE166" s="8">
        <f>[2]หน้าผ้า!AU175</f>
        <v>26795.315662500001</v>
      </c>
      <c r="AF166" s="8">
        <f>[2]หน้าผ้า!AI175</f>
        <v>0</v>
      </c>
      <c r="AG166" s="1" t="str">
        <f>[3]หน้าผ้า!DC178</f>
        <v>พร้อมส่ง</v>
      </c>
      <c r="AH166" s="1" t="str">
        <f>[2]หน้าผ้า!DL175</f>
        <v>P6</v>
      </c>
      <c r="AI166" s="1">
        <f>[2]หน้าผ้า!DM175</f>
        <v>4</v>
      </c>
      <c r="AJ166" s="3">
        <f>[2]หน้าผ้า!DN175</f>
        <v>45930</v>
      </c>
      <c r="AK166" s="3">
        <f>[2]หน้าผ้า!DQ175</f>
        <v>45926</v>
      </c>
      <c r="AL166" s="3">
        <f>[2]หน้าผ้า!DR175</f>
        <v>45919</v>
      </c>
      <c r="AM166" s="3">
        <f>[2]หน้าผ้า!DS175</f>
        <v>45927</v>
      </c>
      <c r="AN166" s="3">
        <f>[2]หน้าผ้า!DT175</f>
        <v>45928</v>
      </c>
      <c r="AO166" s="3">
        <f>[2]หน้าผ้า!DU175</f>
        <v>45929</v>
      </c>
      <c r="AP166" s="3">
        <f>[2]หน้าผ้า!DP175</f>
        <v>45925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งานเคลือบ+พิมพ์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WRWT25850/WRWT25850</v>
      </c>
      <c r="BD166" s="56">
        <f>[2]หน้าผ้า!CA175</f>
        <v>2763.4902219925007</v>
      </c>
    </row>
    <row r="167" spans="1:56" ht="27.75" customHeight="1" x14ac:dyDescent="0.45">
      <c r="A167" s="3">
        <f>[2]หน้าผ้า!C176</f>
        <v>45901</v>
      </c>
      <c r="B167" s="14" t="str">
        <f>[2]หน้าผ้า!B176</f>
        <v>MK68-001067</v>
      </c>
      <c r="C167" s="9" t="str">
        <f>[2]หน้าผ้า!E176</f>
        <v>บจก.ที.ซี.ยูเนี่ยน อโกรเทค</v>
      </c>
      <c r="D167" s="13" t="str">
        <f>[2]หน้าผ้า!F176</f>
        <v>Zhejiang UN</v>
      </c>
      <c r="E167" s="9">
        <f>[2]หน้าผ้า!G176</f>
        <v>26</v>
      </c>
      <c r="F167" s="9">
        <f>[2]หน้าผ้า!H176</f>
        <v>43</v>
      </c>
      <c r="G167" s="9" t="str">
        <f>[2]หน้าผ้า!I176</f>
        <v>ขาว</v>
      </c>
      <c r="H167" s="9" t="str">
        <f>[2]หน้าผ้า!J176</f>
        <v>ใส</v>
      </c>
      <c r="I167" s="9">
        <f>[2]หน้าผ้า!L176</f>
        <v>150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45945</v>
      </c>
      <c r="U167" s="11">
        <f>[2]หน้าผ้า!AA176</f>
        <v>10000</v>
      </c>
      <c r="V167" s="10">
        <f>[2]หน้าผ้า!AJ176</f>
        <v>0</v>
      </c>
      <c r="W167" s="10">
        <f>[2]หน้าผ้า!AL176</f>
        <v>10000</v>
      </c>
      <c r="X167" s="10">
        <f>[2]หน้าผ้า!AM176</f>
        <v>0</v>
      </c>
      <c r="Y167" s="10">
        <f>[2]หน้าผ้า!AN176</f>
        <v>10500</v>
      </c>
      <c r="Z167" s="9" t="str">
        <f>[2]หน้าผ้า!AO176</f>
        <v>WSWT2625850SM</v>
      </c>
      <c r="AA167" s="8">
        <f>[2]หน้าผ้า!AQ176</f>
        <v>12433.3</v>
      </c>
      <c r="AB167" s="8">
        <f>[2]หน้าผ้า!AR176</f>
        <v>0</v>
      </c>
      <c r="AC167" s="8">
        <f>[2]หน้าผ้า!AS176</f>
        <v>12433.3</v>
      </c>
      <c r="AD167" s="8">
        <f>[2]หน้าผ้า!AT176</f>
        <v>0</v>
      </c>
      <c r="AE167" s="8">
        <f>[2]หน้าผ้า!AU176</f>
        <v>12433.3</v>
      </c>
      <c r="AF167" s="8">
        <f>[2]หน้าผ้า!AI176</f>
        <v>0</v>
      </c>
      <c r="AG167" s="1" t="str">
        <f>[3]หน้าผ้า!DC179</f>
        <v>พร้อมส่ง</v>
      </c>
      <c r="AH167" s="1" t="str">
        <f>[2]หน้าผ้า!DL176</f>
        <v>P6</v>
      </c>
      <c r="AI167" s="1">
        <f>[2]หน้าผ้า!DM176</f>
        <v>4</v>
      </c>
      <c r="AJ167" s="3">
        <f>[2]หน้าผ้า!DN176</f>
        <v>45945</v>
      </c>
      <c r="AK167" s="3">
        <f>[2]หน้าผ้า!DQ176</f>
        <v>45941</v>
      </c>
      <c r="AL167" s="3">
        <f>[2]หน้าผ้า!DR176</f>
        <v>45934</v>
      </c>
      <c r="AM167" s="3">
        <f>[2]หน้าผ้า!DS176</f>
        <v>45942</v>
      </c>
      <c r="AN167" s="3">
        <f>[2]หน้าผ้า!DT176</f>
        <v>45943</v>
      </c>
      <c r="AO167" s="3">
        <f>[2]หน้าผ้า!DU176</f>
        <v>45944</v>
      </c>
      <c r="AP167" s="3">
        <f>[2]หน้าผ้า!DP176</f>
        <v>45940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งานเคลือบ+พิมพ์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WRWT25850/WRWT25850</v>
      </c>
      <c r="BD167" s="56">
        <f>[2]หน้าผ้า!CA176</f>
        <v>1282.2876733333333</v>
      </c>
    </row>
    <row r="168" spans="1:56" ht="27.75" customHeight="1" x14ac:dyDescent="0.45">
      <c r="A168" s="3">
        <f>[2]หน้าผ้า!C177</f>
        <v>0</v>
      </c>
      <c r="B168" s="14">
        <f>[2]หน้าผ้า!B177</f>
        <v>0</v>
      </c>
      <c r="C168" s="9">
        <f>[2]หน้าผ้า!E177</f>
        <v>0</v>
      </c>
      <c r="D168" s="13">
        <f>[2]หน้าผ้า!F177</f>
        <v>0</v>
      </c>
      <c r="E168" s="9">
        <f>[2]หน้าผ้า!G177</f>
        <v>26</v>
      </c>
      <c r="F168" s="9">
        <f>[2]หน้าผ้า!H177</f>
        <v>43</v>
      </c>
      <c r="G168" s="9">
        <f>[2]หน้าผ้า!I177</f>
        <v>0</v>
      </c>
      <c r="H168" s="9">
        <f>[2]หน้าผ้า!J177</f>
        <v>0</v>
      </c>
      <c r="I168" s="9">
        <f>[2]หน้าผ้า!L177</f>
        <v>120</v>
      </c>
      <c r="J168" s="9" t="str">
        <f>[2]หน้าผ้า!M177</f>
        <v>±</v>
      </c>
      <c r="K168" s="9">
        <f>[2]หน้าผ้า!N177</f>
        <v>5</v>
      </c>
      <c r="L168" s="9">
        <f>[2]หน้าผ้า!R177</f>
        <v>0</v>
      </c>
      <c r="M168" s="10">
        <f>[2]หน้าผ้า!T177</f>
        <v>0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>
        <f>[2]หน้าผ้า!Z177</f>
        <v>0</v>
      </c>
      <c r="T168" s="12">
        <f>[2]หน้าผ้า!X177</f>
        <v>0</v>
      </c>
      <c r="U168" s="11">
        <f>[2]หน้าผ้า!AA177</f>
        <v>0</v>
      </c>
      <c r="V168" s="10">
        <f>[2]หน้าผ้า!AJ177</f>
        <v>0</v>
      </c>
      <c r="W168" s="10">
        <f>[2]หน้าผ้า!AL177</f>
        <v>0</v>
      </c>
      <c r="X168" s="10">
        <f>[2]หน้าผ้า!AM177</f>
        <v>0</v>
      </c>
      <c r="Y168" s="10">
        <f>[2]หน้าผ้า!AN177</f>
        <v>0</v>
      </c>
      <c r="Z168" s="9" t="str">
        <f>[2]หน้าผ้า!AO177</f>
        <v>WSWT2625850SM</v>
      </c>
      <c r="AA168" s="8">
        <f>[2]หน้าผ้า!AQ177</f>
        <v>57878.565662499997</v>
      </c>
      <c r="AB168" s="8">
        <f>[2]หน้าผ้า!AR177</f>
        <v>4658</v>
      </c>
      <c r="AC168" s="8">
        <f>[2]หน้าผ้า!AS177</f>
        <v>53220.565662499997</v>
      </c>
      <c r="AD168" s="8">
        <f>[2]หน้าผ้า!AT177</f>
        <v>0</v>
      </c>
      <c r="AE168" s="8">
        <f>[2]หน้าผ้า!AU177</f>
        <v>57878.565662499997</v>
      </c>
      <c r="AF168" s="8" t="str">
        <f>[2]หน้าผ้า!AI177</f>
        <v>ระบุในSD</v>
      </c>
      <c r="AG168" s="1" t="str">
        <f>[3]หน้าผ้า!DC180</f>
        <v>ยังไม่ได้พิมพ์</v>
      </c>
      <c r="AH168" s="1">
        <f>[2]หน้าผ้า!DL177</f>
        <v>0</v>
      </c>
      <c r="AI168" s="1" t="str">
        <f>[2]หน้าผ้า!DM177</f>
        <v>Lead time</v>
      </c>
      <c r="AJ168" s="3">
        <f>[2]หน้าผ้า!DN177</f>
        <v>0</v>
      </c>
      <c r="AK168" s="3">
        <f>[2]หน้าผ้า!DQ177</f>
        <v>0</v>
      </c>
      <c r="AL168" s="3">
        <f>[2]หน้าผ้า!DR177</f>
        <v>0</v>
      </c>
      <c r="AM168" s="3">
        <f>[2]หน้าผ้า!DS177</f>
        <v>0</v>
      </c>
      <c r="AN168" s="3">
        <f>[2]หน้าผ้า!DT177</f>
        <v>0</v>
      </c>
      <c r="AO168" s="3">
        <f>[2]หน้าผ้า!DU177</f>
        <v>0</v>
      </c>
      <c r="AP168" s="3">
        <f>[2]หน้าผ้า!DP177</f>
        <v>0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>
        <f>[2]หน้าผ้า!EC177</f>
        <v>0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WRWT260850/WRWT25850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0</v>
      </c>
      <c r="B169" s="14">
        <f>[2]หน้าผ้า!B178</f>
        <v>0</v>
      </c>
      <c r="C169" s="9">
        <f>[2]หน้าผ้า!E178</f>
        <v>0</v>
      </c>
      <c r="D169" s="13">
        <f>[2]หน้าผ้า!F178</f>
        <v>0</v>
      </c>
      <c r="E169" s="9">
        <f>[2]หน้าผ้า!G178</f>
        <v>28</v>
      </c>
      <c r="F169" s="9">
        <f>[2]หน้าผ้า!H178</f>
        <v>41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122</v>
      </c>
      <c r="J169" s="9" t="str">
        <f>[2]หน้าผ้า!M178</f>
        <v>+</v>
      </c>
      <c r="K169" s="9">
        <f>[2]หน้าผ้า!N178</f>
        <v>3</v>
      </c>
      <c r="L169" s="9">
        <f>[2]หน้าผ้า!R178</f>
        <v>0</v>
      </c>
      <c r="M169" s="10">
        <f>[2]หน้าผ้า!T178</f>
        <v>0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>
        <f>[2]หน้าผ้า!Z178</f>
        <v>0</v>
      </c>
      <c r="T169" s="12">
        <f>[2]หน้าผ้า!X178</f>
        <v>0</v>
      </c>
      <c r="U169" s="11">
        <f>[2]หน้าผ้า!AA178</f>
        <v>0</v>
      </c>
      <c r="V169" s="10">
        <f>[2]หน้าผ้า!AJ178</f>
        <v>0</v>
      </c>
      <c r="W169" s="10">
        <f>[2]หน้าผ้า!AL178</f>
        <v>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>WSWT2825800</v>
      </c>
      <c r="AA169" s="8" t="e">
        <f>[2]หน้าผ้า!AQ178</f>
        <v>#REF!</v>
      </c>
      <c r="AB169" s="8" t="e">
        <f>[2]หน้าผ้า!AR178</f>
        <v>#REF!</v>
      </c>
      <c r="AC169" s="8" t="e">
        <f>[2]หน้าผ้า!AS178</f>
        <v>#REF!</v>
      </c>
      <c r="AD169" s="8" t="e">
        <f>[2]หน้าผ้า!AT178</f>
        <v>#REF!</v>
      </c>
      <c r="AE169" s="8" t="e">
        <f>[2]หน้าผ้า!AU178</f>
        <v>#REF!</v>
      </c>
      <c r="AF169" s="8" t="str">
        <f>[2]หน้าผ้า!AI178</f>
        <v>ระบุในSD</v>
      </c>
      <c r="AG169" s="1" t="str">
        <f>[3]หน้าผ้า!DC181</f>
        <v>ผ้าขาว</v>
      </c>
      <c r="AH169" s="1">
        <f>[2]หน้าผ้า!DL178</f>
        <v>0</v>
      </c>
      <c r="AI169" s="1" t="str">
        <f>[2]หน้าผ้า!DM178</f>
        <v>Lead time</v>
      </c>
      <c r="AJ169" s="3">
        <f>[2]หน้าผ้า!DN178</f>
        <v>0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0</v>
      </c>
      <c r="AP169" s="3">
        <f>[2]หน้าผ้า!DP178</f>
        <v>0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>
        <f>[2]หน้าผ้า!EC178</f>
        <v>0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45895</v>
      </c>
      <c r="B170" s="14" t="str">
        <f>[2]หน้าผ้า!B179</f>
        <v>MK68-001032</v>
      </c>
      <c r="C170" s="9" t="str">
        <f>[2]หน้าผ้า!E179</f>
        <v>บจก.ไทยร่วมใจน้ำมันพืช</v>
      </c>
      <c r="D170" s="13" t="str">
        <f>[2]หน้าผ้า!F179</f>
        <v>TRJ</v>
      </c>
      <c r="E170" s="9">
        <f>[2]หน้าผ้า!G179</f>
        <v>28</v>
      </c>
      <c r="F170" s="9">
        <f>[2]หน้าผ้า!H179</f>
        <v>41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120</v>
      </c>
      <c r="J170" s="9" t="str">
        <f>[2]หน้าผ้า!M179</f>
        <v>+</v>
      </c>
      <c r="K170" s="9">
        <f>[2]หน้าผ้า!N179</f>
        <v>3</v>
      </c>
      <c r="L170" s="9" t="str">
        <f>[2]หน้าผ้า!R179</f>
        <v>ไม่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>500กระสอบ</v>
      </c>
      <c r="T170" s="12">
        <f>[2]หน้าผ้า!X179</f>
        <v>45916</v>
      </c>
      <c r="U170" s="11">
        <f>[2]หน้าผ้า!AA179</f>
        <v>13000</v>
      </c>
      <c r="V170" s="10">
        <f>[2]หน้าผ้า!AJ179</f>
        <v>13000</v>
      </c>
      <c r="W170" s="10">
        <f>[2]หน้าผ้า!AL179</f>
        <v>0</v>
      </c>
      <c r="X170" s="10">
        <f>[2]หน้าผ้า!AM179</f>
        <v>53544</v>
      </c>
      <c r="Y170" s="10">
        <f>[2]หน้าผ้า!AN179</f>
        <v>0</v>
      </c>
      <c r="Z170" s="9" t="str">
        <f>[2]หน้าผ้า!AO179</f>
        <v>WSWT2825850</v>
      </c>
      <c r="AA170" s="8">
        <f>[2]หน้าผ้า!AQ179</f>
        <v>0</v>
      </c>
      <c r="AB170" s="8">
        <f>[2]หน้าผ้า!AR179</f>
        <v>0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พร้อมส่ง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45916</v>
      </c>
      <c r="AK170" s="3">
        <f>[2]หน้าผ้า!DQ179</f>
        <v>0</v>
      </c>
      <c r="AL170" s="3">
        <f>[2]หน้าผ้า!DR179</f>
        <v>45907</v>
      </c>
      <c r="AM170" s="3">
        <f>[2]หน้าผ้า!DS179</f>
        <v>45914</v>
      </c>
      <c r="AN170" s="3">
        <f>[2]หน้าผ้า!DT179</f>
        <v>45915</v>
      </c>
      <c r="AO170" s="3">
        <f>[2]หน้าผ้า!DU179</f>
        <v>45915</v>
      </c>
      <c r="AP170" s="3">
        <f>[2]หน้าผ้า!DP179</f>
        <v>45911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 t="str">
        <f>[2]หน้าผ้า!AG179</f>
        <v>มีน้ำหนักต่ำ รอผสม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WRWT25850/WRWT25850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45909</v>
      </c>
      <c r="B171" s="14" t="str">
        <f>[2]หน้าผ้า!B180</f>
        <v>ใบรับคำสั่งซื้อ</v>
      </c>
      <c r="C171" s="9" t="str">
        <f>[2]หน้าผ้า!E180</f>
        <v>บจก.ไทยร่วมใจน้ำมันพืช</v>
      </c>
      <c r="D171" s="13" t="str">
        <f>[2]หน้าผ้า!F180</f>
        <v>TRJ</v>
      </c>
      <c r="E171" s="9">
        <f>[2]หน้าผ้า!G180</f>
        <v>28</v>
      </c>
      <c r="F171" s="9">
        <f>[2]หน้าผ้า!H180</f>
        <v>41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120</v>
      </c>
      <c r="J171" s="9" t="str">
        <f>[2]หน้าผ้า!M180</f>
        <v>+</v>
      </c>
      <c r="K171" s="9">
        <f>[2]หน้าผ้า!N180</f>
        <v>3</v>
      </c>
      <c r="L171" s="9" t="str">
        <f>[2]หน้าผ้า!R180</f>
        <v>ไม่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>500กระสอบ</v>
      </c>
      <c r="T171" s="12">
        <f>[2]หน้าผ้า!X180</f>
        <v>45922</v>
      </c>
      <c r="U171" s="11">
        <f>[2]หน้าผ้า!AA180</f>
        <v>50000</v>
      </c>
      <c r="V171" s="10">
        <f>[2]หน้าผ้า!AJ180</f>
        <v>0</v>
      </c>
      <c r="W171" s="10">
        <f>[2]หน้าผ้า!AL180</f>
        <v>50000</v>
      </c>
      <c r="X171" s="10">
        <f>[2]หน้าผ้า!AM180</f>
        <v>0</v>
      </c>
      <c r="Y171" s="10">
        <f>[2]หน้าผ้า!AN180</f>
        <v>52500</v>
      </c>
      <c r="Z171" s="9" t="str">
        <f>[2]หน้าผ้า!AO180</f>
        <v>WSWT2825850</v>
      </c>
      <c r="AA171" s="8">
        <f>[2]หน้าผ้า!AQ180</f>
        <v>59372.5</v>
      </c>
      <c r="AB171" s="8">
        <f>[2]หน้าผ้า!AR180</f>
        <v>16630</v>
      </c>
      <c r="AC171" s="8">
        <f>[2]หน้าผ้า!AS180</f>
        <v>42742.5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พร้อมส่ง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45922</v>
      </c>
      <c r="AK171" s="3">
        <f>[2]หน้าผ้า!DQ180</f>
        <v>0</v>
      </c>
      <c r="AL171" s="3">
        <f>[2]หน้าผ้า!DR180</f>
        <v>45913</v>
      </c>
      <c r="AM171" s="3">
        <f>[2]หน้าผ้า!DS180</f>
        <v>45920</v>
      </c>
      <c r="AN171" s="3">
        <f>[2]หน้าผ้า!DT180</f>
        <v>45921</v>
      </c>
      <c r="AO171" s="3">
        <f>[2]หน้าผ้า!DU180</f>
        <v>45921</v>
      </c>
      <c r="AP171" s="3">
        <f>[2]หน้าผ้า!DP180</f>
        <v>45917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>รอART</v>
      </c>
      <c r="AY171" s="2" t="str">
        <f>[2]หน้าผ้า!AG180</f>
        <v>22/9เย็น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WRWT25850/WRWT25850</v>
      </c>
      <c r="BD171" s="56">
        <f>[2]หน้าผ้า!CA180</f>
        <v>4803.7820833333326</v>
      </c>
    </row>
    <row r="172" spans="1:56" ht="27.75" customHeight="1" x14ac:dyDescent="0.45">
      <c r="A172" s="3" t="str">
        <f>[2]หน้าผ้า!C181</f>
        <v>ประมาณการ</v>
      </c>
      <c r="B172" s="14" t="str">
        <f>[2]หน้าผ้า!B181</f>
        <v>ประมาณการ</v>
      </c>
      <c r="C172" s="9" t="str">
        <f>[2]หน้าผ้า!E181</f>
        <v>บจก.ที.ซี.ยูเนี่ยน อโกรเทค</v>
      </c>
      <c r="D172" s="13" t="str">
        <f>[2]หน้าผ้า!F181</f>
        <v>ไม่พิมพ์</v>
      </c>
      <c r="E172" s="9">
        <f>[2]หน้าผ้า!G181</f>
        <v>28</v>
      </c>
      <c r="F172" s="9">
        <f>[2]หน้าผ้า!H181</f>
        <v>47</v>
      </c>
      <c r="G172" s="9" t="str">
        <f>[2]หน้าผ้า!I181</f>
        <v>ขาว</v>
      </c>
      <c r="H172" s="9" t="str">
        <f>[2]หน้าผ้า!J181</f>
        <v>ใส</v>
      </c>
      <c r="I172" s="9">
        <f>[2]หน้าผ้า!L181</f>
        <v>180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ไม่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45925</v>
      </c>
      <c r="U172" s="11">
        <f>[2]หน้าผ้า!AA181</f>
        <v>5000</v>
      </c>
      <c r="V172" s="10">
        <f>[2]หน้าผ้า!AJ181</f>
        <v>0</v>
      </c>
      <c r="W172" s="10">
        <f>[2]หน้าผ้า!AL181</f>
        <v>5000</v>
      </c>
      <c r="X172" s="10">
        <f>[2]หน้าผ้า!AM181</f>
        <v>0</v>
      </c>
      <c r="Y172" s="10">
        <f>[2]หน้าผ้า!AN181</f>
        <v>0</v>
      </c>
      <c r="Z172" s="9" t="str">
        <f>[2]หน้าผ้า!AO181</f>
        <v>WSWT2825850</v>
      </c>
      <c r="AA172" s="8">
        <f>[2]หน้าผ้า!AQ181</f>
        <v>6775.4500000000007</v>
      </c>
      <c r="AB172" s="8">
        <f>[2]หน้าผ้า!AR181</f>
        <v>0</v>
      </c>
      <c r="AC172" s="8">
        <f>[2]หน้าผ้า!AS181</f>
        <v>6775.4500000000007</v>
      </c>
      <c r="AD172" s="8">
        <f>[2]หน้าผ้า!AT181</f>
        <v>0</v>
      </c>
      <c r="AE172" s="8">
        <f>[2]หน้าผ้า!AU181</f>
        <v>6775.4500000000007</v>
      </c>
      <c r="AF172" s="8">
        <f>[2]หน้าผ้า!AI181</f>
        <v>0</v>
      </c>
      <c r="AG172" s="1">
        <f>[3]หน้าผ้า!DC184</f>
        <v>0</v>
      </c>
      <c r="AH172" s="1" t="str">
        <f>[2]หน้าผ้า!DL181</f>
        <v>P11</v>
      </c>
      <c r="AI172" s="1">
        <f>[2]หน้าผ้า!DM181</f>
        <v>2</v>
      </c>
      <c r="AJ172" s="3">
        <f>[2]หน้าผ้า!DN181</f>
        <v>45925</v>
      </c>
      <c r="AK172" s="3">
        <f>[2]หน้าผ้า!DQ181</f>
        <v>45923</v>
      </c>
      <c r="AL172" s="3">
        <f>[2]หน้าผ้า!DR181</f>
        <v>0</v>
      </c>
      <c r="AM172" s="3">
        <f>[2]หน้าผ้า!DS181</f>
        <v>0</v>
      </c>
      <c r="AN172" s="3">
        <f>[2]หน้าผ้า!DT181</f>
        <v>0</v>
      </c>
      <c r="AO172" s="3">
        <f>[2]หน้าผ้า!DU181</f>
        <v>45924</v>
      </c>
      <c r="AP172" s="3">
        <f>[2]หน้าผ้า!DP181</f>
        <v>45920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งานเคลือบ+ตัด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WRWT25850/WRWT25850</v>
      </c>
      <c r="BD172" s="56">
        <f>[2]หน้าผ้า!CA181</f>
        <v>761.48529722222236</v>
      </c>
    </row>
    <row r="173" spans="1:56" ht="27.7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28</v>
      </c>
      <c r="F173" s="9">
        <f>[2]หน้าผ้า!H182</f>
        <v>43</v>
      </c>
      <c r="G173" s="9">
        <f>[2]หน้าผ้า!I182</f>
        <v>0</v>
      </c>
      <c r="H173" s="9">
        <f>[2]หน้าผ้า!J182</f>
        <v>0</v>
      </c>
      <c r="I173" s="9">
        <f>[2]หน้าผ้า!L182</f>
        <v>130</v>
      </c>
      <c r="J173" s="9" t="str">
        <f>[2]หน้าผ้า!M182</f>
        <v>±</v>
      </c>
      <c r="K173" s="9">
        <f>[2]หน้าผ้า!N182</f>
        <v>3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WSWT2825850</v>
      </c>
      <c r="AA173" s="8">
        <f>[2]หน้าผ้า!AQ182</f>
        <v>66147.95</v>
      </c>
      <c r="AB173" s="8">
        <f>[2]หน้าผ้า!AR182</f>
        <v>16630</v>
      </c>
      <c r="AC173" s="8">
        <f>[2]หน้าผ้า!AS182</f>
        <v>49517.95</v>
      </c>
      <c r="AD173" s="8">
        <f>[2]หน้าผ้า!AT182</f>
        <v>0</v>
      </c>
      <c r="AE173" s="8">
        <f>[2]หน้าผ้า!AU182</f>
        <v>6775.4500000000007</v>
      </c>
      <c r="AF173" s="8" t="str">
        <f>[2]หน้าผ้า!AI182</f>
        <v>ระบุในSD</v>
      </c>
      <c r="AG173" s="1">
        <f>[3]หน้าผ้า!DC185</f>
        <v>0</v>
      </c>
      <c r="AH173" s="1">
        <f>[2]หน้าผ้า!DL182</f>
        <v>0</v>
      </c>
      <c r="AI173" s="1">
        <f>[2]หน้าผ้า!DM182</f>
        <v>0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WRWT280850/WRWT25850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>
        <f>[2]หน้าผ้า!F183</f>
        <v>0</v>
      </c>
      <c r="E174" s="9">
        <f>[2]หน้าผ้า!G183</f>
        <v>30</v>
      </c>
      <c r="F174" s="9">
        <f>[2]หน้าผ้า!H183</f>
        <v>41</v>
      </c>
      <c r="G174" s="9">
        <f>[2]หน้าผ้า!I183</f>
        <v>0</v>
      </c>
      <c r="H174" s="9">
        <f>[2]หน้าผ้า!J183</f>
        <v>0</v>
      </c>
      <c r="I174" s="9">
        <f>[2]หน้าผ้า!L183</f>
        <v>122</v>
      </c>
      <c r="J174" s="9" t="str">
        <f>[2]หน้าผ้า!M183</f>
        <v>±</v>
      </c>
      <c r="K174" s="9">
        <f>[2]หน้าผ้า!N183</f>
        <v>5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WSWT3025800</v>
      </c>
      <c r="AA174" s="8" t="e">
        <f>[2]หน้าผ้า!AQ183</f>
        <v>#REF!</v>
      </c>
      <c r="AB174" s="8" t="e">
        <f>[2]หน้าผ้า!AR183</f>
        <v>#REF!</v>
      </c>
      <c r="AC174" s="8" t="e">
        <f>[2]หน้าผ้า!AS183</f>
        <v>#REF!</v>
      </c>
      <c r="AD174" s="8" t="e">
        <f>[2]หน้าผ้า!AT183</f>
        <v>#REF!</v>
      </c>
      <c r="AE174" s="8" t="e">
        <f>[2]หน้าผ้า!AU183</f>
        <v>#REF!</v>
      </c>
      <c r="AF174" s="8" t="str">
        <f>[2]หน้าผ้า!AI183</f>
        <v>ระบุในSD</v>
      </c>
      <c r="AG174" s="1">
        <f>[3]หน้าผ้า!DC186</f>
        <v>0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WRWT25800/WRWT28750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0</v>
      </c>
      <c r="F175" s="9">
        <f>[2]หน้าผ้า!H184</f>
        <v>0</v>
      </c>
      <c r="G175" s="9">
        <f>[2]หน้าผ้า!I184</f>
        <v>0</v>
      </c>
      <c r="H175" s="9">
        <f>[2]หน้าผ้า!J184</f>
        <v>0</v>
      </c>
      <c r="I175" s="9">
        <f>[2]หน้าผ้า!L184</f>
        <v>0</v>
      </c>
      <c r="J175" s="9">
        <f>[2]หน้าผ้า!M184</f>
        <v>0</v>
      </c>
      <c r="K175" s="9">
        <f>[2]หน้าผ้า!N184</f>
        <v>0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 t="str">
        <f>[2]หน้าผ้า!X184</f>
        <v>ค้างส่งทั้งหมด</v>
      </c>
      <c r="U175" s="11">
        <f>[2]หน้าผ้า!AA184</f>
        <v>2282598</v>
      </c>
      <c r="V175" s="10">
        <f>[2]หน้าผ้า!AJ184</f>
        <v>134302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>
        <f>[2]หน้าผ้า!AO184</f>
        <v>0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 xml:space="preserve"> 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-5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>
        <f>[2]หน้าผ้า!BZ184</f>
        <v>0</v>
      </c>
      <c r="BD175" s="56">
        <f>[2]หน้าผ้า!CA184</f>
        <v>129879.80396847229</v>
      </c>
    </row>
    <row r="176" spans="1:56" ht="27.75" customHeight="1" x14ac:dyDescent="0.45">
      <c r="A176" s="3">
        <f>[2]หน้าผ้า!C185</f>
        <v>0</v>
      </c>
      <c r="B176" s="14">
        <f>[2]หน้าผ้า!B185</f>
        <v>0</v>
      </c>
      <c r="C176" s="9">
        <f>[2]หน้าผ้า!E185</f>
        <v>0</v>
      </c>
      <c r="D176" s="13">
        <f>[2]หน้าผ้า!F185</f>
        <v>0</v>
      </c>
      <c r="E176" s="9">
        <f>[2]หน้าผ้า!G185</f>
        <v>0</v>
      </c>
      <c r="F176" s="9">
        <f>[2]หน้าผ้า!H185</f>
        <v>0</v>
      </c>
      <c r="G176" s="9">
        <f>[2]หน้าผ้า!I185</f>
        <v>0</v>
      </c>
      <c r="H176" s="9">
        <f>[2]หน้าผ้า!J185</f>
        <v>0</v>
      </c>
      <c r="I176" s="9">
        <f>[2]หน้าผ้า!L185</f>
        <v>0</v>
      </c>
      <c r="J176" s="9">
        <f>[2]หน้าผ้า!M185</f>
        <v>0</v>
      </c>
      <c r="K176" s="9">
        <f>[2]หน้าผ้า!N185</f>
        <v>0</v>
      </c>
      <c r="L176" s="9">
        <f>[2]หน้าผ้า!R185</f>
        <v>0</v>
      </c>
      <c r="M176" s="10">
        <f>[2]หน้าผ้า!T185</f>
        <v>0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>
        <f>[2]หน้าผ้า!Z185</f>
        <v>140000</v>
      </c>
      <c r="T176" s="12">
        <f>[2]หน้าผ้า!X185</f>
        <v>0</v>
      </c>
      <c r="U176" s="11">
        <f>[2]หน้าผ้า!AA185</f>
        <v>16.304271428571429</v>
      </c>
      <c r="V176" s="10">
        <f>[2]หน้าผ้า!AJ185</f>
        <v>0</v>
      </c>
      <c r="W176" s="10">
        <f>[2]หน้าผ้า!AL185</f>
        <v>0</v>
      </c>
      <c r="X176" s="10">
        <f>[2]หน้าผ้า!AM185</f>
        <v>0</v>
      </c>
      <c r="Y176" s="10">
        <f>[2]หน้าผ้า!AN185</f>
        <v>0</v>
      </c>
      <c r="Z176" s="9">
        <f>[2]หน้าผ้า!AO185</f>
        <v>0</v>
      </c>
      <c r="AA176" s="8" t="e">
        <f>[2]หน้าผ้า!AQ185</f>
        <v>#REF!</v>
      </c>
      <c r="AB176" s="8">
        <f>[2]หน้าผ้า!AR185</f>
        <v>0</v>
      </c>
      <c r="AC176" s="8" t="e">
        <f>[2]หน้าผ้า!AS185</f>
        <v>#REF!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>
        <f>[3]หน้าผ้า!DC188</f>
        <v>0</v>
      </c>
      <c r="AH176" s="1" t="str">
        <f>[2]หน้าผ้า!DL185</f>
        <v>P1</v>
      </c>
      <c r="AI176" s="1">
        <f>[2]หน้าผ้า!DM185</f>
        <v>2</v>
      </c>
      <c r="AJ176" s="3">
        <f>[2]หน้าผ้า!DN185</f>
        <v>0</v>
      </c>
      <c r="AK176" s="3">
        <f>[2]หน้าผ้า!DQ185</f>
        <v>0</v>
      </c>
      <c r="AL176" s="3">
        <f>[2]หน้าผ้า!DR185</f>
        <v>-9</v>
      </c>
      <c r="AM176" s="3">
        <f>[2]หน้าผ้า!DS185</f>
        <v>-2</v>
      </c>
      <c r="AN176" s="3">
        <f>[2]หน้าผ้า!DT185</f>
        <v>0</v>
      </c>
      <c r="AO176" s="3">
        <f>[2]หน้าผ้า!DU185</f>
        <v>-1</v>
      </c>
      <c r="AP176" s="3">
        <f>[2]หน้าผ้า!DP185</f>
        <v>-5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>รอART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>
        <f>[2]หน้าผ้า!BZ185</f>
        <v>0</v>
      </c>
      <c r="BD176" s="56" t="str">
        <f>[2]หน้าผ้า!CA185</f>
        <v>ห้ามลบ</v>
      </c>
    </row>
    <row r="177" spans="1:56" ht="27.75" customHeight="1" x14ac:dyDescent="0.45">
      <c r="A177" s="3">
        <f>[2]หน้าผ้า!C186</f>
        <v>0</v>
      </c>
      <c r="B177" s="14">
        <f>[2]หน้าผ้า!B186</f>
        <v>0</v>
      </c>
      <c r="C177" s="9">
        <f>[2]หน้าผ้า!E186</f>
        <v>0</v>
      </c>
      <c r="D177" s="13">
        <f>[2]หน้าผ้า!F186</f>
        <v>0</v>
      </c>
      <c r="E177" s="9">
        <f>[2]หน้าผ้า!G186</f>
        <v>0</v>
      </c>
      <c r="F177" s="9">
        <f>[2]หน้าผ้า!H186</f>
        <v>0</v>
      </c>
      <c r="G177" s="9">
        <f>[2]หน้าผ้า!I186</f>
        <v>0</v>
      </c>
      <c r="H177" s="9">
        <f>[2]หน้าผ้า!J186</f>
        <v>0</v>
      </c>
      <c r="I177" s="9">
        <f>[2]หน้าผ้า!L186</f>
        <v>0</v>
      </c>
      <c r="J177" s="9">
        <f>[2]หน้าผ้า!M186</f>
        <v>0</v>
      </c>
      <c r="K177" s="9">
        <f>[2]หน้าผ้า!N186</f>
        <v>0</v>
      </c>
      <c r="L177" s="9">
        <f>[2]หน้าผ้า!R186</f>
        <v>0</v>
      </c>
      <c r="M177" s="10">
        <f>[2]หน้าผ้า!T186</f>
        <v>0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>
        <f>[2]หน้าผ้า!Z186</f>
        <v>0</v>
      </c>
      <c r="T177" s="12" t="str">
        <f>[2]หน้าผ้า!X186</f>
        <v>ประมาณการ</v>
      </c>
      <c r="U177" s="11">
        <f>[2]หน้าผ้า!AA186</f>
        <v>1030000</v>
      </c>
      <c r="V177" s="10">
        <f>[2]หน้าผ้า!AJ186</f>
        <v>0</v>
      </c>
      <c r="W177" s="10">
        <f>[2]หน้าผ้า!AL186</f>
        <v>0</v>
      </c>
      <c r="X177" s="10">
        <f>[2]หน้าผ้า!AM186</f>
        <v>0</v>
      </c>
      <c r="Y177" s="10">
        <f>[2]หน้าผ้า!AN186</f>
        <v>0</v>
      </c>
      <c r="Z177" s="9">
        <f>[2]หน้าผ้า!AO186</f>
        <v>0</v>
      </c>
      <c r="AA177" s="8">
        <f>[2]หน้าผ้า!AQ186</f>
        <v>0</v>
      </c>
      <c r="AB177" s="8">
        <f>[2]หน้าผ้า!AR186</f>
        <v>0</v>
      </c>
      <c r="AC177" s="8">
        <f>[2]หน้าผ้า!AS186</f>
        <v>0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>
        <f>[3]หน้าผ้า!DC189</f>
        <v>0</v>
      </c>
      <c r="AH177" s="1" t="str">
        <f>[2]หน้าผ้า!DL186</f>
        <v>P3</v>
      </c>
      <c r="AI177" s="1">
        <f>[2]หน้าผ้า!DM186</f>
        <v>1</v>
      </c>
      <c r="AJ177" s="3" t="str">
        <f>[2]หน้าผ้า!DN186</f>
        <v>ประมาณการ</v>
      </c>
      <c r="AK177" s="3">
        <f>[2]หน้าผ้า!DQ186</f>
        <v>0</v>
      </c>
      <c r="AL177" s="3">
        <f>[2]หน้าผ้า!DR186</f>
        <v>0</v>
      </c>
      <c r="AM177" s="3">
        <f>[2]หน้าผ้า!DS186</f>
        <v>0</v>
      </c>
      <c r="AN177" s="3">
        <f>[2]หน้าผ้า!DT186</f>
        <v>0</v>
      </c>
      <c r="AO177" s="3" t="e">
        <f>[2]หน้าผ้า!DU186</f>
        <v>#VALUE!</v>
      </c>
      <c r="AP177" s="3" t="e">
        <f>[2]หน้าผ้า!DP186</f>
        <v>#VALUE!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ตัด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>
        <f>[2]หน้าผ้า!BZ186</f>
        <v>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0</v>
      </c>
      <c r="F178" s="9">
        <f>[2]หน้าผ้า!H187</f>
        <v>0</v>
      </c>
      <c r="G178" s="9">
        <f>[2]หน้าผ้า!I187</f>
        <v>0</v>
      </c>
      <c r="H178" s="9">
        <f>[2]หน้าผ้า!J187</f>
        <v>0</v>
      </c>
      <c r="I178" s="9">
        <f>[2]หน้าผ้า!L187</f>
        <v>0</v>
      </c>
      <c r="J178" s="9">
        <f>[2]หน้าผ้า!M187</f>
        <v>0</v>
      </c>
      <c r="K178" s="9">
        <f>[2]หน้าผ้า!N187</f>
        <v>0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 t="str">
        <f>[2]หน้าผ้า!X187</f>
        <v>รอแจ้ง</v>
      </c>
      <c r="U178" s="11">
        <f>[2]หน้าผ้า!AA187</f>
        <v>1052019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>
        <f>[2]หน้าผ้า!AO187</f>
        <v>0</v>
      </c>
      <c r="AA178" s="8">
        <f>[2]หน้าผ้า!AQ187</f>
        <v>0</v>
      </c>
      <c r="AB178" s="8">
        <f>[2]หน้าผ้า!AR187</f>
        <v>0</v>
      </c>
      <c r="AC178" s="8">
        <f>[2]หน้าผ้า!AS187</f>
        <v>845240.44082000002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>
        <f>[3]หน้าผ้า!DC190</f>
        <v>0</v>
      </c>
      <c r="AH178" s="1" t="str">
        <f>[2]หน้าผ้า!DL187</f>
        <v>P2</v>
      </c>
      <c r="AI178" s="1">
        <f>[2]หน้าผ้า!DM187</f>
        <v>3</v>
      </c>
      <c r="AJ178" s="3" t="str">
        <f>[2]หน้าผ้า!DN187</f>
        <v>รอแจ้ง</v>
      </c>
      <c r="AK178" s="3" t="e">
        <f>[2]หน้าผ้า!DQ187</f>
        <v>#VALUE!</v>
      </c>
      <c r="AL178" s="3" t="e">
        <f>[2]หน้าผ้า!DR187</f>
        <v>#VALUE!</v>
      </c>
      <c r="AM178" s="3" t="e">
        <f>[2]หน้าผ้า!DS187</f>
        <v>#VALUE!</v>
      </c>
      <c r="AN178" s="3">
        <f>[2]หน้าผ้า!DT187</f>
        <v>0</v>
      </c>
      <c r="AO178" s="3" t="e">
        <f>[2]หน้าผ้า!DU187</f>
        <v>#VALUE!</v>
      </c>
      <c r="AP178" s="3" t="e">
        <f>[2]หน้าผ้า!DP187</f>
        <v>#VALUE!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งานเคลือบ+พิมพ์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>
        <f>[2]หน้าผ้า!BZ187</f>
        <v>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>
        <f>[2]หน้าผ้า!F188</f>
        <v>0</v>
      </c>
      <c r="E179" s="9">
        <f>[2]หน้าผ้า!G188</f>
        <v>0</v>
      </c>
      <c r="F179" s="9">
        <f>[2]หน้าผ้า!H188</f>
        <v>0</v>
      </c>
      <c r="G179" s="9">
        <f>[2]หน้าผ้า!I188</f>
        <v>0</v>
      </c>
      <c r="H179" s="9">
        <f>[2]หน้าผ้า!J188</f>
        <v>0</v>
      </c>
      <c r="I179" s="9">
        <f>[2]หน้าผ้า!L188</f>
        <v>0</v>
      </c>
      <c r="J179" s="9">
        <f>[2]หน้าผ้า!M188</f>
        <v>0</v>
      </c>
      <c r="K179" s="9">
        <f>[2]หน้าผ้า!N188</f>
        <v>0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>
        <f>[2]หน้าผ้า!Z188</f>
        <v>0</v>
      </c>
      <c r="T179" s="12" t="str">
        <f>[2]หน้าผ้า!X188</f>
        <v>รอส่ง</v>
      </c>
      <c r="U179" s="11">
        <f>[2]หน้าผ้า!AA188</f>
        <v>25000</v>
      </c>
      <c r="V179" s="10">
        <f>[2]หน้าผ้า!AJ188</f>
        <v>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>
        <f>[2]หน้าผ้า!AO188</f>
        <v>0</v>
      </c>
      <c r="AA179" s="8">
        <f>[2]หน้าผ้า!AQ188</f>
        <v>0</v>
      </c>
      <c r="AB179" s="8">
        <f>[2]หน้าผ้า!AR188</f>
        <v>0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>
        <f>[3]หน้าผ้า!DC191</f>
        <v>0</v>
      </c>
      <c r="AH179" s="1" t="str">
        <f>[2]หน้าผ้า!DL188</f>
        <v>P6</v>
      </c>
      <c r="AI179" s="1">
        <f>[2]หน้าผ้า!DM188</f>
        <v>4</v>
      </c>
      <c r="AJ179" s="3" t="str">
        <f>[2]หน้าผ้า!DN188</f>
        <v>รอส่ง</v>
      </c>
      <c r="AK179" s="3" t="e">
        <f>[2]หน้าผ้า!DQ188</f>
        <v>#VALUE!</v>
      </c>
      <c r="AL179" s="3" t="e">
        <f>[2]หน้าผ้า!DR188</f>
        <v>#VALUE!</v>
      </c>
      <c r="AM179" s="3" t="e">
        <f>[2]หน้าผ้า!DS188</f>
        <v>#VALUE!</v>
      </c>
      <c r="AN179" s="3" t="e">
        <f>[2]หน้าผ้า!DT188</f>
        <v>#VALUE!</v>
      </c>
      <c r="AO179" s="3" t="e">
        <f>[2]หน้าผ้า!DU188</f>
        <v>#VALUE!</v>
      </c>
      <c r="AP179" s="3" t="e">
        <f>[2]หน้าผ้า!DP188</f>
        <v>#VALUE!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งานเคลือบ+พิมพ์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>
        <f>[2]หน้าผ้า!BZ188</f>
        <v>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0</v>
      </c>
      <c r="B180" s="14">
        <f>[2]หน้าผ้า!B189</f>
        <v>0</v>
      </c>
      <c r="C180" s="9">
        <f>[2]หน้าผ้า!E189</f>
        <v>0</v>
      </c>
      <c r="D180" s="13">
        <f>[2]หน้าผ้า!F189</f>
        <v>0</v>
      </c>
      <c r="E180" s="9">
        <f>[2]หน้าผ้า!G189</f>
        <v>0</v>
      </c>
      <c r="F180" s="9">
        <f>[2]หน้าผ้า!H189</f>
        <v>0</v>
      </c>
      <c r="G180" s="9">
        <f>[2]หน้าผ้า!I189</f>
        <v>0</v>
      </c>
      <c r="H180" s="9">
        <f>[2]หน้าผ้า!J189</f>
        <v>0</v>
      </c>
      <c r="I180" s="9">
        <f>[2]หน้าผ้า!L189</f>
        <v>0</v>
      </c>
      <c r="J180" s="9">
        <f>[2]หน้าผ้า!M189</f>
        <v>0</v>
      </c>
      <c r="K180" s="9">
        <f>[2]หน้าผ้า!N189</f>
        <v>0</v>
      </c>
      <c r="L180" s="9">
        <f>[2]หน้าผ้า!R189</f>
        <v>0</v>
      </c>
      <c r="M180" s="10">
        <f>[2]หน้าผ้า!T189</f>
        <v>0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>
        <f>[2]หน้าผ้า!Z189</f>
        <v>0</v>
      </c>
      <c r="T180" s="12" t="str">
        <f>[2]หน้าผ้า!X189</f>
        <v>มีกำหนดส่ง</v>
      </c>
      <c r="U180" s="11">
        <f>[2]หน้าผ้า!AA189</f>
        <v>175579</v>
      </c>
      <c r="V180" s="10">
        <f>[2]หน้าผ้า!AJ189</f>
        <v>0</v>
      </c>
      <c r="W180" s="10">
        <f>[2]หน้าผ้า!AL189</f>
        <v>0</v>
      </c>
      <c r="X180" s="10">
        <f>[2]หน้าผ้า!AM189</f>
        <v>0</v>
      </c>
      <c r="Y180" s="10">
        <f>[2]หน้าผ้า!AN189</f>
        <v>0</v>
      </c>
      <c r="Z180" s="9">
        <f>[2]หน้าผ้า!AO189</f>
        <v>0</v>
      </c>
      <c r="AA180" s="8">
        <f>[2]หน้าผ้า!AQ189</f>
        <v>0</v>
      </c>
      <c r="AB180" s="8">
        <f>[2]หน้าผ้า!AR189</f>
        <v>0</v>
      </c>
      <c r="AC180" s="8" t="e">
        <f>[2]หน้าผ้า!AS189</f>
        <v>#REF!</v>
      </c>
      <c r="AD180" s="8" t="e">
        <f>[2]หน้าผ้า!AT189</f>
        <v>#REF!</v>
      </c>
      <c r="AE180" s="8">
        <f>[2]หน้าผ้า!AU189</f>
        <v>0</v>
      </c>
      <c r="AF180" s="8">
        <f>[2]หน้าผ้า!AI189</f>
        <v>0</v>
      </c>
      <c r="AG180" s="1">
        <f>[3]หน้าผ้า!DC192</f>
        <v>0</v>
      </c>
      <c r="AH180" s="1" t="str">
        <f>[2]หน้าผ้า!DL189</f>
        <v>P11</v>
      </c>
      <c r="AI180" s="1">
        <f>[2]หน้าผ้า!DM189</f>
        <v>2</v>
      </c>
      <c r="AJ180" s="3" t="str">
        <f>[2]หน้าผ้า!DN189</f>
        <v>มีกำหนดส่ง</v>
      </c>
      <c r="AK180" s="3" t="e">
        <f>[2]หน้าผ้า!DQ189</f>
        <v>#VALUE!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 t="e">
        <f>[2]หน้าผ้า!DU189</f>
        <v>#VALUE!</v>
      </c>
      <c r="AP180" s="3" t="e">
        <f>[2]หน้าผ้า!DP189</f>
        <v>#VALUE!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งานเคลือบ+ตัด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>
        <f>[2]หน้าผ้า!BZ189</f>
        <v>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0</v>
      </c>
      <c r="B181" s="14">
        <f>[2]หน้าผ้า!B190</f>
        <v>0</v>
      </c>
      <c r="C181" s="9" t="str">
        <f>[2]หน้าผ้า!E190</f>
        <v>ผู้สั่งผลิต..................................................</v>
      </c>
      <c r="D181" s="13">
        <f>[2]หน้าผ้า!F190</f>
        <v>0</v>
      </c>
      <c r="E181" s="9">
        <f>[2]หน้าผ้า!G190</f>
        <v>0</v>
      </c>
      <c r="F181" s="9">
        <f>[2]หน้าผ้า!H190</f>
        <v>0</v>
      </c>
      <c r="G181" s="9" t="str">
        <f>[2]หน้าผ้า!I190</f>
        <v xml:space="preserve"> </v>
      </c>
      <c r="H181" s="9">
        <f>[2]หน้าผ้า!J190</f>
        <v>0</v>
      </c>
      <c r="I181" s="9">
        <f>[2]หน้าผ้า!L190</f>
        <v>0</v>
      </c>
      <c r="J181" s="9" t="str">
        <f>[2]หน้าผ้า!M190</f>
        <v xml:space="preserve"> </v>
      </c>
      <c r="K181" s="9">
        <f>[2]หน้าผ้า!N190</f>
        <v>0</v>
      </c>
      <c r="L181" s="9">
        <f>[2]หน้าผ้า!R190</f>
        <v>0</v>
      </c>
      <c r="M181" s="10">
        <f>[2]หน้าผ้า!T190</f>
        <v>0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>
        <f>[2]หน้าผ้า!Z190</f>
        <v>0</v>
      </c>
      <c r="T181" s="12">
        <f>[2]หน้าผ้า!X190</f>
        <v>0</v>
      </c>
      <c r="U181" s="11">
        <f>[2]หน้าผ้า!AA190</f>
        <v>0</v>
      </c>
      <c r="V181" s="10">
        <f>[2]หน้าผ้า!AJ190</f>
        <v>0</v>
      </c>
      <c r="W181" s="10">
        <f>[2]หน้าผ้า!AL190</f>
        <v>0</v>
      </c>
      <c r="X181" s="10">
        <f>[2]หน้าผ้า!AM190</f>
        <v>0</v>
      </c>
      <c r="Y181" s="10">
        <f>[2]หน้าผ้า!AN190</f>
        <v>0</v>
      </c>
      <c r="Z181" s="9">
        <f>[2]หน้าผ้า!AO190</f>
        <v>0</v>
      </c>
      <c r="AA181" s="8">
        <f>[2]หน้าผ้า!AQ190</f>
        <v>0</v>
      </c>
      <c r="AB181" s="8">
        <f>[2]หน้าผ้า!AR190</f>
        <v>0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>
        <f>[3]หน้าผ้า!DC193</f>
        <v>0</v>
      </c>
      <c r="AH181" s="1" t="str">
        <f>[2]หน้าผ้า!DL190</f>
        <v>P9</v>
      </c>
      <c r="AI181" s="1">
        <f>[2]หน้าผ้า!DM190</f>
        <v>3</v>
      </c>
      <c r="AJ181" s="3">
        <f>[2]หน้าผ้า!DN190</f>
        <v>0</v>
      </c>
      <c r="AK181" s="3">
        <f>[2]หน้าผ้า!DQ190</f>
        <v>0</v>
      </c>
      <c r="AL181" s="3">
        <f>[2]หน้าผ้า!DR190</f>
        <v>-10</v>
      </c>
      <c r="AM181" s="3">
        <f>[2]หน้าผ้า!DS190</f>
        <v>-3</v>
      </c>
      <c r="AN181" s="3">
        <f>[2]หน้าผ้า!DT190</f>
        <v>-2</v>
      </c>
      <c r="AO181" s="3">
        <f>[2]หน้าผ้า!DU190</f>
        <v>-1</v>
      </c>
      <c r="AP181" s="3">
        <f>[2]หน้าผ้า!DP190</f>
        <v>-5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>
        <f>[2]หน้าผ้า!BZ190</f>
        <v>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 t="str">
        <f>[2]หน้าผ้า!E191</f>
        <v>เจ้าหน้าที่วางแผนการผลิต</v>
      </c>
      <c r="D182" s="13">
        <f>[2]หน้าผ้า!F191</f>
        <v>0</v>
      </c>
      <c r="E182" s="9">
        <f>[2]หน้าผ้า!G191</f>
        <v>0</v>
      </c>
      <c r="F182" s="9">
        <f>[2]หน้าผ้า!H191</f>
        <v>0</v>
      </c>
      <c r="G182" s="9">
        <f>[2]หน้าผ้า!I191</f>
        <v>0</v>
      </c>
      <c r="H182" s="9">
        <f>[2]หน้าผ้า!J191</f>
        <v>0</v>
      </c>
      <c r="I182" s="9">
        <f>[2]หน้าผ้า!L191</f>
        <v>0</v>
      </c>
      <c r="J182" s="9" t="str">
        <f>[2]หน้าผ้า!M191</f>
        <v>ผู้อนุมัติ..................................................</v>
      </c>
      <c r="K182" s="9">
        <f>[2]หน้าผ้า!N191</f>
        <v>0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>
        <f>[2]หน้าผ้า!AO191</f>
        <v>0</v>
      </c>
      <c r="AA182" s="8">
        <f>[2]หน้าผ้า!AQ191</f>
        <v>0</v>
      </c>
      <c r="AB182" s="8">
        <f>[2]หน้าผ้า!AR191</f>
        <v>0</v>
      </c>
      <c r="AC182" s="8">
        <f>[2]หน้าผ้า!AS191</f>
        <v>0</v>
      </c>
      <c r="AD182" s="8" t="str">
        <f>[2]หน้าผ้า!AT191</f>
        <v xml:space="preserve"> </v>
      </c>
      <c r="AE182" s="8">
        <f>[2]หน้าผ้า!AU191</f>
        <v>0</v>
      </c>
      <c r="AF182" s="8">
        <f>[2]หน้าผ้า!AI191</f>
        <v>0</v>
      </c>
      <c r="AG182" s="1">
        <f>[3]หน้าผ้า!DC194</f>
        <v>0</v>
      </c>
      <c r="AH182" s="1" t="str">
        <f>[2]หน้าผ้า!DL191</f>
        <v>P4</v>
      </c>
      <c r="AI182" s="1">
        <f>[2]หน้าผ้า!DM191</f>
        <v>3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-10</v>
      </c>
      <c r="AM182" s="3">
        <f>[2]หน้าผ้า!DS191</f>
        <v>-3</v>
      </c>
      <c r="AN182" s="3">
        <f>[2]หน้าผ้า!DT191</f>
        <v>0</v>
      </c>
      <c r="AO182" s="3">
        <f>[2]หน้าผ้า!DU191</f>
        <v>-2</v>
      </c>
      <c r="AP182" s="3">
        <f>[2]หน้าผ้า!DP191</f>
        <v>-5</v>
      </c>
      <c r="AQ182" s="3">
        <f>[2]หน้าผ้า!DW191</f>
        <v>-1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>
        <f>[2]หน้าผ้า!BZ191</f>
        <v>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0</v>
      </c>
      <c r="B183" s="14">
        <f>[2]หน้าผ้า!B192</f>
        <v>0</v>
      </c>
      <c r="C183" s="9" t="str">
        <f>[2]หน้าผ้า!E192</f>
        <v xml:space="preserve">        /         /        .</v>
      </c>
      <c r="D183" s="13">
        <f>[2]หน้าผ้า!F192</f>
        <v>0</v>
      </c>
      <c r="E183" s="9">
        <f>[2]หน้าผ้า!G192</f>
        <v>0</v>
      </c>
      <c r="F183" s="9">
        <f>[2]หน้าผ้า!H192</f>
        <v>0</v>
      </c>
      <c r="G183" s="9">
        <f>[2]หน้าผ้า!I192</f>
        <v>0</v>
      </c>
      <c r="H183" s="9">
        <f>[2]หน้าผ้า!J192</f>
        <v>0</v>
      </c>
      <c r="I183" s="9">
        <f>[2]หน้าผ้า!L192</f>
        <v>0</v>
      </c>
      <c r="J183" s="9" t="str">
        <f>[2]หน้าผ้า!M192</f>
        <v>ผู้จัดการฝ่ายผลิต</v>
      </c>
      <c r="K183" s="9">
        <f>[2]หน้าผ้า!N192</f>
        <v>0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 t="str">
        <f>[2]หน้าผ้า!V192</f>
        <v xml:space="preserve"> 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>
        <f>[2]หน้าผ้า!AO192</f>
        <v>0</v>
      </c>
      <c r="AA183" s="8">
        <f>[2]หน้าผ้า!AQ192</f>
        <v>0</v>
      </c>
      <c r="AB183" s="8">
        <f>[2]หน้าผ้า!AR192</f>
        <v>0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>
        <f>[3]หน้าผ้า!DC195</f>
        <v>0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-9</v>
      </c>
      <c r="AM183" s="3">
        <f>[2]หน้าผ้า!DS192</f>
        <v>-2</v>
      </c>
      <c r="AN183" s="3">
        <f>[2]หน้าผ้า!DT192</f>
        <v>-1</v>
      </c>
      <c r="AO183" s="3">
        <f>[2]หน้าผ้า!DU192</f>
        <v>-1</v>
      </c>
      <c r="AP183" s="3">
        <f>[2]หน้าผ้า!DP192</f>
        <v>-5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>
        <f>[2]หน้าผ้า!BZ192</f>
        <v>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0</v>
      </c>
      <c r="F184" s="9">
        <f>[2]หน้าผ้า!H193</f>
        <v>0</v>
      </c>
      <c r="G184" s="9">
        <f>[2]หน้าผ้า!I193</f>
        <v>0</v>
      </c>
      <c r="H184" s="9">
        <f>[2]หน้าผ้า!J193</f>
        <v>0</v>
      </c>
      <c r="I184" s="9">
        <f>[2]หน้าผ้า!L193</f>
        <v>0</v>
      </c>
      <c r="J184" s="9" t="str">
        <f>[2]หน้าผ้า!M193</f>
        <v xml:space="preserve">        /         /        .</v>
      </c>
      <c r="K184" s="9">
        <f>[2]หน้าผ้า!N193</f>
        <v>0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>
        <f>[2]หน้าผ้า!X193</f>
        <v>0</v>
      </c>
      <c r="U184" s="11">
        <f>[2]หน้าผ้า!AA193</f>
        <v>0</v>
      </c>
      <c r="V184" s="10">
        <f>[2]หน้าผ้า!AJ193</f>
        <v>0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>
        <f>[2]หน้าผ้า!AO193</f>
        <v>0</v>
      </c>
      <c r="AA184" s="8">
        <f>[2]หน้าผ้า!AQ193</f>
        <v>0</v>
      </c>
      <c r="AB184" s="8">
        <f>[2]หน้าผ้า!AR193</f>
        <v>0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>
        <f>[3]หน้าผ้า!DC196</f>
        <v>0</v>
      </c>
      <c r="AH184" s="1" t="str">
        <f>[2]หน้าผ้า!DL193</f>
        <v>P8</v>
      </c>
      <c r="AI184" s="1">
        <f>[2]หน้าผ้า!DM193</f>
        <v>4</v>
      </c>
      <c r="AJ184" s="3">
        <f>[2]หน้าผ้า!DN193</f>
        <v>0</v>
      </c>
      <c r="AK184" s="3">
        <f>[2]หน้าผ้า!DQ193</f>
        <v>-4</v>
      </c>
      <c r="AL184" s="3">
        <f>[2]หน้าผ้า!DR193</f>
        <v>-10</v>
      </c>
      <c r="AM184" s="3">
        <f>[2]หน้าผ้า!DS193</f>
        <v>-3</v>
      </c>
      <c r="AN184" s="3">
        <f>[2]หน้าผ้า!DT193</f>
        <v>-2</v>
      </c>
      <c r="AO184" s="3">
        <f>[2]หน้าผ้า!DU193</f>
        <v>-2</v>
      </c>
      <c r="AP184" s="3">
        <f>[2]หน้าผ้า!DP193</f>
        <v>-5</v>
      </c>
      <c r="AQ184" s="3">
        <f>[2]หน้าผ้า!DW193</f>
        <v>-1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งานเคลือบ+พิมพ์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>
        <f>[2]หน้าผ้า!BZ193</f>
        <v>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 t="str">
        <f>[2]หน้าผ้า!F194</f>
        <v xml:space="preserve"> </v>
      </c>
      <c r="E185" s="9" t="str">
        <f>[2]หน้าผ้า!G194</f>
        <v xml:space="preserve"> </v>
      </c>
      <c r="F185" s="9">
        <f>[2]หน้าผ้า!H194</f>
        <v>0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0</v>
      </c>
      <c r="J185" s="9">
        <f>[2]หน้าผ้า!M194</f>
        <v>0</v>
      </c>
      <c r="K185" s="9">
        <f>[2]หน้าผ้า!N194</f>
        <v>0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>
        <f>[2]หน้าผ้า!AO194</f>
        <v>0</v>
      </c>
      <c r="AA185" s="8">
        <f>[2]หน้าผ้า!AQ194</f>
        <v>0</v>
      </c>
      <c r="AB185" s="8">
        <f>[2]หน้าผ้า!AR194</f>
        <v>0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>
        <f>[3]หน้าผ้า!DC197</f>
        <v>0</v>
      </c>
      <c r="AH185" s="1" t="str">
        <f>[2]หน้าผ้า!DL194</f>
        <v>P13</v>
      </c>
      <c r="AI185" s="1">
        <f>[2]หน้าผ้า!DM194</f>
        <v>2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-2</v>
      </c>
      <c r="AP185" s="3">
        <f>[2]หน้าผ้า!DP194</f>
        <v>-5</v>
      </c>
      <c r="AQ185" s="3">
        <f>[2]หน้าผ้า!DW194</f>
        <v>-1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ตัด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>
        <f>[2]หน้าผ้า!BZ194</f>
        <v>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0</v>
      </c>
      <c r="F186" s="9">
        <f>[2]หน้าผ้า!H195</f>
        <v>0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0</v>
      </c>
      <c r="J186" s="9">
        <f>[2]หน้าผ้า!M195</f>
        <v>0</v>
      </c>
      <c r="K186" s="9">
        <f>[2]หน้าผ้า!N195</f>
        <v>0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 t="str">
        <f>[2]หน้าผ้า!V195</f>
        <v xml:space="preserve"> 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>
        <f>[2]หน้าผ้า!AO195</f>
        <v>0</v>
      </c>
      <c r="AA186" s="8">
        <f>[2]หน้าผ้า!AQ195</f>
        <v>0</v>
      </c>
      <c r="AB186" s="8">
        <f>[2]หน้าผ้า!AR195</f>
        <v>0</v>
      </c>
      <c r="AC186" s="8">
        <f>[2]หน้าผ้า!AS195</f>
        <v>0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>
        <f>[3]หน้าผ้า!DC198</f>
        <v>0</v>
      </c>
      <c r="AH186" s="1" t="str">
        <f>[2]หน้าผ้า!DL195</f>
        <v>P10</v>
      </c>
      <c r="AI186" s="1">
        <f>[2]หน้าผ้า!DM195</f>
        <v>3</v>
      </c>
      <c r="AJ186" s="3">
        <f>[2]หน้าผ้า!DN195</f>
        <v>0</v>
      </c>
      <c r="AK186" s="3">
        <f>[2]หน้าผ้า!DQ195</f>
        <v>-3</v>
      </c>
      <c r="AL186" s="3">
        <f>[2]หน้าผ้า!DR195</f>
        <v>-9</v>
      </c>
      <c r="AM186" s="3">
        <f>[2]หน้าผ้า!DS195</f>
        <v>-2</v>
      </c>
      <c r="AN186" s="3">
        <f>[2]หน้าผ้า!DT195</f>
        <v>0</v>
      </c>
      <c r="AO186" s="3">
        <f>[2]หน้าผ้า!DU195</f>
        <v>-1</v>
      </c>
      <c r="AP186" s="3">
        <f>[2]หน้าผ้า!DP195</f>
        <v>-5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งานเคลือบ+พิมพ์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>
        <f>[2]หน้าผ้า!BZ195</f>
        <v>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0</v>
      </c>
      <c r="F187" s="9">
        <f>[2]หน้าผ้า!H196</f>
        <v>0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0</v>
      </c>
      <c r="J187" s="9">
        <f>[2]หน้าผ้า!M196</f>
        <v>0</v>
      </c>
      <c r="K187" s="9">
        <f>[2]หน้าผ้า!N196</f>
        <v>0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 t="str">
        <f>[2]หน้าผ้า!AA196</f>
        <v xml:space="preserve"> </v>
      </c>
      <c r="V187" s="10" t="str">
        <f>[2]หน้าผ้า!AJ196</f>
        <v>.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>
        <f>[2]หน้าผ้า!AO196</f>
        <v>0</v>
      </c>
      <c r="AA187" s="8">
        <f>[2]หน้าผ้า!AQ196</f>
        <v>0</v>
      </c>
      <c r="AB187" s="8">
        <f>[2]หน้าผ้า!AR196</f>
        <v>0</v>
      </c>
      <c r="AC187" s="8">
        <f>[2]หน้าผ้า!AS196</f>
        <v>0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>
        <f>[3]หน้าผ้า!DC199</f>
        <v>0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-5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>
        <f>[2]หน้าผ้า!BZ196</f>
        <v>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0</v>
      </c>
      <c r="F188" s="9">
        <f>[2]หน้าผ้า!H197</f>
        <v>0</v>
      </c>
      <c r="G188" s="9">
        <f>[2]หน้าผ้า!I197</f>
        <v>0</v>
      </c>
      <c r="H188" s="9">
        <f>[2]หน้าผ้า!J197</f>
        <v>0</v>
      </c>
      <c r="I188" s="9">
        <f>[2]หน้าผ้า!L197</f>
        <v>0</v>
      </c>
      <c r="J188" s="9">
        <f>[2]หน้าผ้า!M197</f>
        <v>0</v>
      </c>
      <c r="K188" s="9">
        <f>[2]หน้าผ้า!N197</f>
        <v>0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>
        <f>[2]หน้าผ้า!AO197</f>
        <v>0</v>
      </c>
      <c r="AA188" s="8">
        <f>[2]หน้าผ้า!AQ197</f>
        <v>0</v>
      </c>
      <c r="AB188" s="8">
        <f>[2]หน้าผ้า!AR197</f>
        <v>0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>
        <f>[3]หน้าผ้า!DC200</f>
        <v>0</v>
      </c>
      <c r="AH188" s="1" t="str">
        <f>[2]หน้าผ้า!DL197</f>
        <v>P5.2</v>
      </c>
      <c r="AI188" s="1">
        <f>[2]หน้าผ้า!DM197</f>
        <v>4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-11</v>
      </c>
      <c r="AM188" s="3">
        <f>[2]หน้าผ้า!DS197</f>
        <v>-4</v>
      </c>
      <c r="AN188" s="3">
        <f>[2]หน้าผ้า!DT197</f>
        <v>-3</v>
      </c>
      <c r="AO188" s="3">
        <f>[2]หน้าผ้า!DU197</f>
        <v>-3</v>
      </c>
      <c r="AP188" s="3">
        <f>[2]หน้าผ้า!DP197</f>
        <v>-15</v>
      </c>
      <c r="AQ188" s="3">
        <f>[2]หน้าผ้า!DW197</f>
        <v>-2</v>
      </c>
      <c r="AR188" s="3">
        <f>[2]หน้าผ้า!DX197</f>
        <v>-1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>
        <f>[2]หน้าผ้า!BZ197</f>
        <v>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>
        <f>[2]หน้าผ้า!F198</f>
        <v>0</v>
      </c>
      <c r="E189" s="9">
        <f>[2]หน้าผ้า!G198</f>
        <v>0</v>
      </c>
      <c r="F189" s="9">
        <f>[2]หน้าผ้า!H198</f>
        <v>0</v>
      </c>
      <c r="G189" s="9">
        <f>[2]หน้าผ้า!I198</f>
        <v>0</v>
      </c>
      <c r="H189" s="9">
        <f>[2]หน้าผ้า!J198</f>
        <v>0</v>
      </c>
      <c r="I189" s="9">
        <f>[2]หน้าผ้า!L198</f>
        <v>0</v>
      </c>
      <c r="J189" s="9">
        <f>[2]หน้าผ้า!M198</f>
        <v>0</v>
      </c>
      <c r="K189" s="9">
        <f>[2]หน้าผ้า!N198</f>
        <v>0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0</v>
      </c>
      <c r="T189" s="12">
        <f>[2]หน้าผ้า!X198</f>
        <v>0</v>
      </c>
      <c r="U189" s="11">
        <f>[2]หน้าผ้า!AA198</f>
        <v>0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>
        <f>[2]หน้าผ้า!AO198</f>
        <v>0</v>
      </c>
      <c r="AA189" s="8">
        <f>[2]หน้าผ้า!AQ198</f>
        <v>0</v>
      </c>
      <c r="AB189" s="8">
        <f>[2]หน้าผ้า!AR198</f>
        <v>0</v>
      </c>
      <c r="AC189" s="8">
        <f>[2]หน้าผ้า!AS198</f>
        <v>0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>
        <f>[3]หน้าผ้า!DC201</f>
        <v>0</v>
      </c>
      <c r="AH189" s="1" t="str">
        <f>[2]หน้าผ้า!DL198</f>
        <v>P5.3</v>
      </c>
      <c r="AI189" s="1">
        <f>[2]หน้าผ้า!DM198</f>
        <v>6</v>
      </c>
      <c r="AJ189" s="3">
        <f>[2]หน้าผ้า!DN198</f>
        <v>0</v>
      </c>
      <c r="AK189" s="3">
        <f>[2]หน้าผ้า!DQ198</f>
        <v>-6</v>
      </c>
      <c r="AL189" s="3">
        <f>[2]หน้าผ้า!DR198</f>
        <v>-12</v>
      </c>
      <c r="AM189" s="3">
        <f>[2]หน้าผ้า!DS198</f>
        <v>-5</v>
      </c>
      <c r="AN189" s="3">
        <f>[2]หน้าผ้า!DT198</f>
        <v>-4</v>
      </c>
      <c r="AO189" s="3">
        <f>[2]หน้าผ้า!DU198</f>
        <v>-3</v>
      </c>
      <c r="AP189" s="3">
        <f>[2]หน้าผ้า!DP198</f>
        <v>-15</v>
      </c>
      <c r="AQ189" s="3">
        <f>[2]หน้าผ้า!DW198</f>
        <v>-2</v>
      </c>
      <c r="AR189" s="3">
        <f>[2]หน้าผ้า!DX198</f>
        <v>-1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>
        <f>[2]หน้าผ้า!EC198</f>
        <v>0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>
        <f>[2]หน้าผ้า!BZ198</f>
        <v>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0</v>
      </c>
      <c r="F190" s="9">
        <f>[2]หน้าผ้า!H199</f>
        <v>0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0</v>
      </c>
      <c r="J190" s="9">
        <f>[2]หน้าผ้า!M199</f>
        <v>0</v>
      </c>
      <c r="K190" s="9">
        <f>[2]หน้าผ้า!N199</f>
        <v>0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>
        <f>[2]หน้าผ้า!AO199</f>
        <v>0</v>
      </c>
      <c r="AA190" s="8">
        <f>[2]หน้าผ้า!AQ199</f>
        <v>0</v>
      </c>
      <c r="AB190" s="8">
        <f>[2]หน้าผ้า!AR199</f>
        <v>0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>
        <f>[3]หน้าผ้า!DC202</f>
        <v>0</v>
      </c>
      <c r="AH190" s="1">
        <f>[2]หน้าผ้า!DL199</f>
        <v>0</v>
      </c>
      <c r="AI190" s="1">
        <f>[2]หน้าผ้า!DM199</f>
        <v>0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>
        <f>[2]หน้าผ้า!BZ199</f>
        <v>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>
        <f>[2]หน้าผ้า!E200</f>
        <v>0</v>
      </c>
      <c r="D191" s="13">
        <f>[2]หน้าผ้า!F200</f>
        <v>0</v>
      </c>
      <c r="E191" s="9">
        <f>[2]หน้าผ้า!G200</f>
        <v>0</v>
      </c>
      <c r="F191" s="9">
        <f>[2]หน้าผ้า!H200</f>
        <v>0</v>
      </c>
      <c r="G191" s="9">
        <f>[2]หน้าผ้า!I200</f>
        <v>0</v>
      </c>
      <c r="H191" s="9">
        <f>[2]หน้าผ้า!J200</f>
        <v>0</v>
      </c>
      <c r="I191" s="9">
        <f>[2]หน้าผ้า!L200</f>
        <v>0</v>
      </c>
      <c r="J191" s="9">
        <f>[2]หน้าผ้า!M200</f>
        <v>0</v>
      </c>
      <c r="K191" s="9">
        <f>[2]หน้าผ้า!N200</f>
        <v>0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>
        <f>[2]หน้าผ้า!AO200</f>
        <v>0</v>
      </c>
      <c r="AA191" s="8">
        <f>[2]หน้าผ้า!AQ200</f>
        <v>0</v>
      </c>
      <c r="AB191" s="8">
        <f>[2]หน้าผ้า!AR200</f>
        <v>0</v>
      </c>
      <c r="AC191" s="8">
        <f>[2]หน้าผ้า!AS200</f>
        <v>0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>
        <f>[3]หน้าผ้า!DC203</f>
        <v>0</v>
      </c>
      <c r="AH191" s="1">
        <f>[2]หน้าผ้า!DL200</f>
        <v>0</v>
      </c>
      <c r="AI191" s="1">
        <f>[2]หน้าผ้า!DM200</f>
        <v>0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0</v>
      </c>
      <c r="AP191" s="3">
        <f>[2]หน้าผ้า!DP200</f>
        <v>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>
        <f>[2]หน้าผ้า!EC200</f>
        <v>0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>
        <f>[2]หน้าผ้า!BZ200</f>
        <v>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0</v>
      </c>
      <c r="F192" s="9">
        <f>[2]หน้าผ้า!H201</f>
        <v>0</v>
      </c>
      <c r="G192" s="9">
        <f>[2]หน้าผ้า!I201</f>
        <v>0</v>
      </c>
      <c r="H192" s="9">
        <f>[2]หน้าผ้า!J201</f>
        <v>0</v>
      </c>
      <c r="I192" s="9">
        <f>[2]หน้าผ้า!L201</f>
        <v>0</v>
      </c>
      <c r="J192" s="9">
        <f>[2]หน้าผ้า!M201</f>
        <v>0</v>
      </c>
      <c r="K192" s="9">
        <f>[2]หน้าผ้า!N201</f>
        <v>0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>
        <f>[2]หน้าผ้า!AO201</f>
        <v>0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>
        <f>[3]หน้าผ้า!DC204</f>
        <v>0</v>
      </c>
      <c r="AH192" s="1">
        <f>[2]หน้าผ้า!DL201</f>
        <v>0</v>
      </c>
      <c r="AI192" s="1">
        <f>[2]หน้าผ้า!DM201</f>
        <v>0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>
        <f>[2]หน้าผ้า!BZ201</f>
        <v>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0</v>
      </c>
      <c r="F193" s="9">
        <f>[2]หน้าผ้า!H202</f>
        <v>0</v>
      </c>
      <c r="G193" s="9">
        <f>[2]หน้าผ้า!I202</f>
        <v>0</v>
      </c>
      <c r="H193" s="9">
        <f>[2]หน้าผ้า!J202</f>
        <v>0</v>
      </c>
      <c r="I193" s="9">
        <f>[2]หน้าผ้า!L202</f>
        <v>0</v>
      </c>
      <c r="J193" s="9">
        <f>[2]หน้าผ้า!M202</f>
        <v>0</v>
      </c>
      <c r="K193" s="9">
        <f>[2]หน้าผ้า!N202</f>
        <v>0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>
        <f>[2]หน้าผ้า!AO202</f>
        <v>0</v>
      </c>
      <c r="AA193" s="8">
        <f>[2]หน้าผ้า!AQ202</f>
        <v>0</v>
      </c>
      <c r="AB193" s="8">
        <f>[2]หน้าผ้า!AR202</f>
        <v>0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>
        <f>[3]หน้าผ้า!DC205</f>
        <v>0</v>
      </c>
      <c r="AH193" s="1">
        <f>[2]หน้าผ้า!DL202</f>
        <v>0</v>
      </c>
      <c r="AI193" s="1">
        <f>[2]หน้าผ้า!DM202</f>
        <v>0</v>
      </c>
      <c r="AJ193" s="3">
        <f>[2]หน้าผ้า!DN202</f>
        <v>0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0</v>
      </c>
      <c r="AP193" s="3">
        <f>[2]หน้าผ้า!DP202</f>
        <v>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>
        <f>[2]หน้าผ้า!EC202</f>
        <v>0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>
        <f>[2]หน้าผ้า!BZ202</f>
        <v>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>
        <f>[2]หน้าผ้า!F203</f>
        <v>0</v>
      </c>
      <c r="E194" s="9">
        <f>[2]หน้าผ้า!G203</f>
        <v>0</v>
      </c>
      <c r="F194" s="9">
        <f>[2]หน้าผ้า!H203</f>
        <v>0</v>
      </c>
      <c r="G194" s="9">
        <f>[2]หน้าผ้า!I203</f>
        <v>0</v>
      </c>
      <c r="H194" s="9">
        <f>[2]หน้าผ้า!J203</f>
        <v>0</v>
      </c>
      <c r="I194" s="9">
        <f>[2]หน้าผ้า!L203</f>
        <v>0</v>
      </c>
      <c r="J194" s="9">
        <f>[2]หน้าผ้า!M203</f>
        <v>0</v>
      </c>
      <c r="K194" s="9">
        <f>[2]หน้าผ้า!N203</f>
        <v>0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>
        <f>[2]หน้าผ้า!AO203</f>
        <v>0</v>
      </c>
      <c r="AA194" s="8">
        <f>[2]หน้าผ้า!AQ203</f>
        <v>0</v>
      </c>
      <c r="AB194" s="8">
        <f>[2]หน้าผ้า!AR203</f>
        <v>0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>
        <f>[3]หน้าผ้า!DC206</f>
        <v>0</v>
      </c>
      <c r="AH194" s="1">
        <f>[2]หน้าผ้า!DL203</f>
        <v>0</v>
      </c>
      <c r="AI194" s="1">
        <f>[2]หน้าผ้า!DM203</f>
        <v>0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0</v>
      </c>
      <c r="AP194" s="3">
        <f>[2]หน้าผ้า!DP203</f>
        <v>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>
        <f>[2]หน้าผ้า!EC203</f>
        <v>0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>
        <f>[2]หน้าผ้า!BZ203</f>
        <v>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0</v>
      </c>
      <c r="F195" s="9">
        <f>[2]หน้าผ้า!H204</f>
        <v>0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0</v>
      </c>
      <c r="J195" s="9">
        <f>[2]หน้าผ้า!M204</f>
        <v>0</v>
      </c>
      <c r="K195" s="9">
        <f>[2]หน้าผ้า!N204</f>
        <v>0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>
        <f>[2]หน้าผ้า!AO204</f>
        <v>0</v>
      </c>
      <c r="AA195" s="8">
        <f>[2]หน้าผ้า!AQ204</f>
        <v>0</v>
      </c>
      <c r="AB195" s="8">
        <f>[2]หน้าผ้า!AR204</f>
        <v>0</v>
      </c>
      <c r="AC195" s="8">
        <f>[2]หน้าผ้า!AS204</f>
        <v>0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>
        <f>[3]หน้าผ้า!DC207</f>
        <v>0</v>
      </c>
      <c r="AH195" s="1">
        <f>[2]หน้าผ้า!DL204</f>
        <v>0</v>
      </c>
      <c r="AI195" s="1">
        <f>[2]หน้าผ้า!DM204</f>
        <v>0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>
        <f>[2]หน้าผ้า!BZ204</f>
        <v>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0</v>
      </c>
      <c r="F196" s="9">
        <f>[2]หน้าผ้า!H205</f>
        <v>0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0</v>
      </c>
      <c r="J196" s="9">
        <f>[2]หน้าผ้า!M205</f>
        <v>0</v>
      </c>
      <c r="K196" s="9">
        <f>[2]หน้าผ้า!N205</f>
        <v>0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>
        <f>[2]หน้าผ้า!AO205</f>
        <v>0</v>
      </c>
      <c r="AA196" s="8">
        <f>[2]หน้าผ้า!AQ205</f>
        <v>0</v>
      </c>
      <c r="AB196" s="8">
        <f>[2]หน้าผ้า!AR205</f>
        <v>0</v>
      </c>
      <c r="AC196" s="8">
        <f>[2]หน้าผ้า!AS205</f>
        <v>0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>
        <f>[3]หน้าผ้า!DC208</f>
        <v>0</v>
      </c>
      <c r="AH196" s="1">
        <f>[2]หน้าผ้า!DL205</f>
        <v>0</v>
      </c>
      <c r="AI196" s="1">
        <f>[2]หน้าผ้า!DM205</f>
        <v>0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>
        <f>[2]หน้าผ้า!BZ205</f>
        <v>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0</v>
      </c>
      <c r="F197" s="9">
        <f>[2]หน้าผ้า!H206</f>
        <v>0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0</v>
      </c>
      <c r="J197" s="9">
        <f>[2]หน้าผ้า!M206</f>
        <v>0</v>
      </c>
      <c r="K197" s="9">
        <f>[2]หน้าผ้า!N206</f>
        <v>0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>
        <f>[2]หน้าผ้า!AO206</f>
        <v>0</v>
      </c>
      <c r="AA197" s="8">
        <f>[2]หน้าผ้า!AQ206</f>
        <v>0</v>
      </c>
      <c r="AB197" s="8">
        <f>[2]หน้าผ้า!AR206</f>
        <v>0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>
        <f>[3]หน้าผ้า!DC209</f>
        <v>0</v>
      </c>
      <c r="AH197" s="1">
        <f>[2]หน้าผ้า!DL206</f>
        <v>0</v>
      </c>
      <c r="AI197" s="1">
        <f>[2]หน้าผ้า!DM206</f>
        <v>0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>
        <f>[2]หน้าผ้า!BZ206</f>
        <v>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0</v>
      </c>
      <c r="F198" s="9">
        <f>[2]หน้าผ้า!H207</f>
        <v>0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0</v>
      </c>
      <c r="J198" s="9">
        <f>[2]หน้าผ้า!M207</f>
        <v>0</v>
      </c>
      <c r="K198" s="9">
        <f>[2]หน้าผ้า!N207</f>
        <v>0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>
        <f>[2]หน้าผ้า!AO207</f>
        <v>0</v>
      </c>
      <c r="AA198" s="8">
        <f>[2]หน้าผ้า!AQ207</f>
        <v>0</v>
      </c>
      <c r="AB198" s="8">
        <f>[2]หน้าผ้า!AR207</f>
        <v>0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>
        <f>[3]หน้าผ้า!DC210</f>
        <v>0</v>
      </c>
      <c r="AH198" s="1">
        <f>[2]หน้าผ้า!DL207</f>
        <v>0</v>
      </c>
      <c r="AI198" s="1">
        <f>[2]หน้าผ้า!DM207</f>
        <v>0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0</v>
      </c>
      <c r="AP198" s="3">
        <f>[2]หน้าผ้า!DP207</f>
        <v>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>
        <f>[2]หน้าผ้า!BZ207</f>
        <v>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0</v>
      </c>
      <c r="F199" s="9">
        <f>[2]หน้าผ้า!H208</f>
        <v>0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0</v>
      </c>
      <c r="J199" s="9">
        <f>[2]หน้าผ้า!M208</f>
        <v>0</v>
      </c>
      <c r="K199" s="9">
        <f>[2]หน้าผ้า!N208</f>
        <v>0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>
        <f>[2]หน้าผ้า!AO208</f>
        <v>0</v>
      </c>
      <c r="AA199" s="8">
        <f>[2]หน้าผ้า!AQ208</f>
        <v>0</v>
      </c>
      <c r="AB199" s="8">
        <f>[2]หน้าผ้า!AR208</f>
        <v>0</v>
      </c>
      <c r="AC199" s="8">
        <f>[2]หน้าผ้า!AS208</f>
        <v>0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>
        <f>[3]หน้าผ้า!DC211</f>
        <v>0</v>
      </c>
      <c r="AH199" s="1">
        <f>[2]หน้าผ้า!DL208</f>
        <v>0</v>
      </c>
      <c r="AI199" s="1">
        <f>[2]หน้าผ้า!DM208</f>
        <v>0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>
        <f>[2]หน้าผ้า!BZ208</f>
        <v>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0</v>
      </c>
      <c r="F200" s="9">
        <f>[2]หน้าผ้า!H209</f>
        <v>0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0</v>
      </c>
      <c r="J200" s="9">
        <f>[2]หน้าผ้า!M209</f>
        <v>0</v>
      </c>
      <c r="K200" s="9">
        <f>[2]หน้าผ้า!N209</f>
        <v>0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>
        <f>[2]หน้าผ้า!AO209</f>
        <v>0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>
        <f>[3]หน้าผ้า!DC212</f>
        <v>0</v>
      </c>
      <c r="AH200" s="1">
        <f>[2]หน้าผ้า!DL209</f>
        <v>0</v>
      </c>
      <c r="AI200" s="1">
        <f>[2]หน้าผ้า!DM209</f>
        <v>0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>
        <f>[2]หน้าผ้า!BZ209</f>
        <v>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0</v>
      </c>
      <c r="F201" s="9">
        <f>[2]หน้าผ้า!H210</f>
        <v>0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0</v>
      </c>
      <c r="J201" s="9">
        <f>[2]หน้าผ้า!M210</f>
        <v>0</v>
      </c>
      <c r="K201" s="9">
        <f>[2]หน้าผ้า!N210</f>
        <v>0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>
        <f>[2]หน้าผ้า!AO210</f>
        <v>0</v>
      </c>
      <c r="AA201" s="8">
        <f>[2]หน้าผ้า!AQ210</f>
        <v>0</v>
      </c>
      <c r="AB201" s="8">
        <f>[2]หน้าผ้า!AR210</f>
        <v>0</v>
      </c>
      <c r="AC201" s="8">
        <f>[2]หน้าผ้า!AS210</f>
        <v>0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>
        <f>[3]หน้าผ้า!DC213</f>
        <v>0</v>
      </c>
      <c r="AH201" s="1">
        <f>[2]หน้าผ้า!DL210</f>
        <v>0</v>
      </c>
      <c r="AI201" s="1">
        <f>[2]หน้าผ้า!DM210</f>
        <v>0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>
        <f>[2]หน้าผ้า!BZ210</f>
        <v>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0</v>
      </c>
      <c r="F202" s="9">
        <f>[2]หน้าผ้า!H211</f>
        <v>0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0</v>
      </c>
      <c r="J202" s="9">
        <f>[2]หน้าผ้า!M211</f>
        <v>0</v>
      </c>
      <c r="K202" s="9">
        <f>[2]หน้าผ้า!N211</f>
        <v>0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>
        <f>[2]หน้าผ้า!AO211</f>
        <v>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>
        <f>[3]หน้าผ้า!DC214</f>
        <v>0</v>
      </c>
      <c r="AH202" s="1">
        <f>[2]หน้าผ้า!DL211</f>
        <v>0</v>
      </c>
      <c r="AI202" s="1">
        <f>[2]หน้าผ้า!DM211</f>
        <v>0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>
        <f>[2]หน้าผ้า!BZ211</f>
        <v>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0</v>
      </c>
      <c r="F203" s="9">
        <f>[2]หน้าผ้า!H212</f>
        <v>0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0</v>
      </c>
      <c r="J203" s="9">
        <f>[2]หน้าผ้า!M212</f>
        <v>0</v>
      </c>
      <c r="K203" s="9">
        <f>[2]หน้าผ้า!N212</f>
        <v>0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>
        <f>[2]หน้าผ้า!AO212</f>
        <v>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>
        <f>[3]หน้าผ้า!DC215</f>
        <v>0</v>
      </c>
      <c r="AH203" s="1">
        <f>[2]หน้าผ้า!DL212</f>
        <v>0</v>
      </c>
      <c r="AI203" s="1">
        <f>[2]หน้าผ้า!DM212</f>
        <v>0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>
        <f>[2]หน้าผ้า!BZ212</f>
        <v>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0</v>
      </c>
      <c r="J204" s="9">
        <f>[2]หน้าผ้า!M213</f>
        <v>0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>
        <f>[3]หน้าผ้า!DC216</f>
        <v>0</v>
      </c>
      <c r="AH204" s="1">
        <f>[2]หน้าผ้า!DL213</f>
        <v>0</v>
      </c>
      <c r="AI204" s="1">
        <f>[2]หน้าผ้า!DM213</f>
        <v>0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0</v>
      </c>
      <c r="AP204" s="3">
        <f>[2]หน้าผ้า!DP213</f>
        <v>0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>
        <f>[2]หน้าผ้า!EC213</f>
        <v>0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0</v>
      </c>
      <c r="J205" s="9">
        <f>[2]หน้าผ้า!M214</f>
        <v>0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>
        <f>[2]หน้าผ้า!DL214</f>
        <v>0</v>
      </c>
      <c r="AI205" s="1">
        <f>[2]หน้าผ้า!DM214</f>
        <v>0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0</v>
      </c>
      <c r="F206" s="9" t="str">
        <f>[2]หน้าผ้า!H215</f>
        <v xml:space="preserve"> 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>
        <f>[2]หน้าผ้า!M215</f>
        <v>0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>
        <f>[2]หน้าผ้า!DL215</f>
        <v>0</v>
      </c>
      <c r="AI206" s="1">
        <f>[2]หน้าผ้า!DM215</f>
        <v>0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0</v>
      </c>
      <c r="AP206" s="3">
        <f>[2]หน้าผ้า!DP215</f>
        <v>0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>
        <f>[2]หน้าผ้า!EC215</f>
        <v>0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0</v>
      </c>
      <c r="J207" s="9">
        <f>[2]หน้าผ้า!M216</f>
        <v>0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>
        <f>[2]หน้าผ้า!DL216</f>
        <v>0</v>
      </c>
      <c r="AI207" s="1">
        <f>[2]หน้าผ้า!DM216</f>
        <v>0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>
        <f>[2]หน้าผ้า!M217</f>
        <v>0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>
        <f>[2]หน้าผ้า!DL217</f>
        <v>0</v>
      </c>
      <c r="AI208" s="1">
        <f>[2]หน้าผ้า!DM217</f>
        <v>0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>
        <f>[2]หน้าผ้า!M218</f>
        <v>0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>
        <f>[2]หน้าผ้า!DL218</f>
        <v>0</v>
      </c>
      <c r="AI209" s="1">
        <f>[2]หน้าผ้า!DM218</f>
        <v>0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>
        <f>[2]หน้าผ้า!M219</f>
        <v>0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>
        <f>[2]หน้าผ้า!DL219</f>
        <v>0</v>
      </c>
      <c r="AI210" s="1">
        <f>[2]หน้าผ้า!DM219</f>
        <v>0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>
        <f>[2]หน้าผ้า!DL220</f>
        <v>0</v>
      </c>
      <c r="AI211" s="1">
        <f>[2]หน้าผ้า!DM220</f>
        <v>0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>
        <f>[2]หน้าผ้า!DL221</f>
        <v>0</v>
      </c>
      <c r="AI212" s="1">
        <f>[2]หน้าผ้า!DM221</f>
        <v>0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>
        <f>[2]หน้าผ้า!DL222</f>
        <v>0</v>
      </c>
      <c r="AI213" s="1">
        <f>[2]หน้าผ้า!DM222</f>
        <v>0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>
        <f>[2]หน้าผ้า!DL223</f>
        <v>0</v>
      </c>
      <c r="AI214" s="1">
        <f>[2]หน้าผ้า!DM223</f>
        <v>0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>
        <f>[2]หน้าผ้า!DL224</f>
        <v>0</v>
      </c>
      <c r="AI215" s="1">
        <f>[2]หน้าผ้า!DM224</f>
        <v>0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>
        <f>[2]หน้าผ้า!DL225</f>
        <v>0</v>
      </c>
      <c r="AI216" s="1">
        <f>[2]หน้าผ้า!DM225</f>
        <v>0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G10" sqref="G10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151</v>
      </c>
    </row>
    <row r="3" spans="1:13" x14ac:dyDescent="0.2">
      <c r="A3" s="57" t="s">
        <v>29</v>
      </c>
      <c r="B3" t="s">
        <v>151</v>
      </c>
    </row>
    <row r="4" spans="1:13" x14ac:dyDescent="0.2">
      <c r="A4" s="57" t="s">
        <v>42</v>
      </c>
      <c r="B4" t="s">
        <v>169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3" ht="20.25" customHeight="1" x14ac:dyDescent="0.2">
      <c r="A7" t="s">
        <v>234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172</v>
      </c>
      <c r="B8" s="59">
        <v>310000</v>
      </c>
      <c r="C8" s="59">
        <v>183067.5</v>
      </c>
      <c r="D8" s="59">
        <v>270000</v>
      </c>
      <c r="E8" s="59">
        <v>238272.63432500002</v>
      </c>
      <c r="F8" s="59">
        <v>49091.734325000005</v>
      </c>
      <c r="G8" s="59">
        <v>189180.90000000002</v>
      </c>
      <c r="H8" s="59">
        <f t="shared" ref="H8:H28" si="0">+J8-I8</f>
        <v>189180.90000000002</v>
      </c>
      <c r="J8" s="59">
        <f t="shared" ref="J8:J28" si="1">G8</f>
        <v>189180.90000000002</v>
      </c>
    </row>
    <row r="9" spans="1:13" ht="20.25" customHeight="1" x14ac:dyDescent="0.2">
      <c r="A9" t="s">
        <v>112</v>
      </c>
      <c r="B9" s="59">
        <v>10080</v>
      </c>
      <c r="C9" s="59">
        <v>9351.2999999999993</v>
      </c>
      <c r="D9" s="59">
        <v>8906</v>
      </c>
      <c r="E9" s="59">
        <v>8833.594219999999</v>
      </c>
      <c r="F9" s="59">
        <v>4960</v>
      </c>
      <c r="G9" s="59">
        <v>3873.594219999999</v>
      </c>
      <c r="H9" s="59">
        <f t="shared" si="0"/>
        <v>3873.594219999999</v>
      </c>
      <c r="J9" s="59">
        <f t="shared" si="1"/>
        <v>3873.594219999999</v>
      </c>
    </row>
    <row r="10" spans="1:13" ht="20.25" customHeight="1" x14ac:dyDescent="0.2">
      <c r="A10" t="s">
        <v>168</v>
      </c>
      <c r="B10" s="59">
        <v>150000</v>
      </c>
      <c r="C10" s="59">
        <v>107711.1</v>
      </c>
      <c r="D10" s="59">
        <v>124767</v>
      </c>
      <c r="E10" s="59">
        <v>93272.119462500006</v>
      </c>
      <c r="F10" s="59">
        <v>19189</v>
      </c>
      <c r="G10" s="59">
        <v>74083.119462500006</v>
      </c>
      <c r="H10" s="59">
        <f t="shared" si="0"/>
        <v>74083.119462500006</v>
      </c>
      <c r="J10" s="59">
        <f t="shared" si="1"/>
        <v>74083.119462500006</v>
      </c>
    </row>
    <row r="11" spans="1:13" ht="20.25" customHeight="1" x14ac:dyDescent="0.2">
      <c r="A11" t="s">
        <v>81</v>
      </c>
      <c r="B11" s="59">
        <v>121513</v>
      </c>
      <c r="C11" s="59">
        <v>31504.2</v>
      </c>
      <c r="D11" s="59">
        <v>101433</v>
      </c>
      <c r="E11" s="59">
        <v>32467.188050000004</v>
      </c>
      <c r="F11" s="59">
        <v>32467.188050000004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80</v>
      </c>
      <c r="B12" s="59">
        <v>295986</v>
      </c>
      <c r="C12" s="59">
        <v>271515.3</v>
      </c>
      <c r="D12" s="59">
        <v>279113</v>
      </c>
      <c r="E12" s="59">
        <v>276049.29550000001</v>
      </c>
      <c r="F12" s="59">
        <v>102708.5855</v>
      </c>
      <c r="G12" s="59">
        <v>173340.71000000002</v>
      </c>
      <c r="H12" s="59">
        <f t="shared" si="0"/>
        <v>173340.71000000002</v>
      </c>
      <c r="J12" s="59">
        <f t="shared" si="1"/>
        <v>173340.71000000002</v>
      </c>
      <c r="K12" s="58">
        <v>40000</v>
      </c>
      <c r="L12" s="58">
        <f>+K5*K12</f>
        <v>360000</v>
      </c>
      <c r="M12" s="59">
        <f>+L12-J12</f>
        <v>186659.28999999998</v>
      </c>
    </row>
    <row r="13" spans="1:13" ht="20.25" customHeight="1" x14ac:dyDescent="0.2">
      <c r="A13" t="s">
        <v>120</v>
      </c>
      <c r="B13" s="59">
        <v>107000</v>
      </c>
      <c r="C13" s="59">
        <v>112350</v>
      </c>
      <c r="D13" s="59">
        <v>107000</v>
      </c>
      <c r="E13" s="59">
        <v>115517.93000000002</v>
      </c>
      <c r="F13" s="59">
        <v>115517.93000000002</v>
      </c>
      <c r="G13" s="59">
        <v>0</v>
      </c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A14" t="s">
        <v>83</v>
      </c>
      <c r="B14" s="59">
        <v>60000</v>
      </c>
      <c r="C14" s="59">
        <v>63000</v>
      </c>
      <c r="D14" s="59">
        <v>60000</v>
      </c>
      <c r="E14" s="59">
        <v>59512.200000000004</v>
      </c>
      <c r="F14" s="59">
        <v>42784.100000000006</v>
      </c>
      <c r="G14" s="59">
        <v>16728.100000000002</v>
      </c>
      <c r="H14" s="59">
        <f t="shared" si="0"/>
        <v>16728.100000000002</v>
      </c>
      <c r="J14" s="59">
        <f t="shared" si="1"/>
        <v>16728.100000000002</v>
      </c>
      <c r="K14" s="58"/>
      <c r="L14" s="58"/>
    </row>
    <row r="15" spans="1:13" ht="20.25" customHeight="1" x14ac:dyDescent="0.2">
      <c r="A15" t="s">
        <v>84</v>
      </c>
      <c r="B15" s="59">
        <v>17000</v>
      </c>
      <c r="C15" s="59">
        <v>12600</v>
      </c>
      <c r="D15" s="59">
        <v>12000</v>
      </c>
      <c r="E15" s="59">
        <v>14249.400000000001</v>
      </c>
      <c r="F15" s="59">
        <v>0</v>
      </c>
      <c r="G15" s="59">
        <v>14249.400000000001</v>
      </c>
      <c r="H15" s="59">
        <f t="shared" si="0"/>
        <v>14249.400000000001</v>
      </c>
      <c r="J15" s="59">
        <f t="shared" si="1"/>
        <v>14249.400000000001</v>
      </c>
      <c r="K15" s="58">
        <v>20000</v>
      </c>
      <c r="L15" s="58">
        <f>+K15*K5</f>
        <v>180000</v>
      </c>
      <c r="M15" s="59">
        <f>+L15-J15</f>
        <v>165750.6</v>
      </c>
    </row>
    <row r="16" spans="1:13" ht="20.25" customHeight="1" x14ac:dyDescent="0.2">
      <c r="A16" t="s">
        <v>197</v>
      </c>
      <c r="B16" s="59">
        <v>10000</v>
      </c>
      <c r="C16" s="59">
        <v>0</v>
      </c>
      <c r="D16" s="59">
        <v>10000</v>
      </c>
      <c r="E16" s="59">
        <v>12433.3</v>
      </c>
      <c r="F16" s="59">
        <v>12433.3</v>
      </c>
      <c r="G16" s="59">
        <v>0</v>
      </c>
      <c r="H16" s="59">
        <f t="shared" si="0"/>
        <v>0</v>
      </c>
      <c r="J16" s="59">
        <f t="shared" si="1"/>
        <v>0</v>
      </c>
    </row>
    <row r="17" spans="1:13" ht="20.25" customHeight="1" x14ac:dyDescent="0.2">
      <c r="A17" t="s">
        <v>88</v>
      </c>
      <c r="B17" s="59">
        <v>90000</v>
      </c>
      <c r="C17" s="59">
        <v>21551.25</v>
      </c>
      <c r="D17" s="59">
        <v>40000</v>
      </c>
      <c r="E17" s="59">
        <v>45445.265662499995</v>
      </c>
      <c r="F17" s="59">
        <v>0</v>
      </c>
      <c r="G17" s="59">
        <v>45445.265662499995</v>
      </c>
      <c r="H17" s="59">
        <f t="shared" si="0"/>
        <v>45445.265662499995</v>
      </c>
      <c r="J17" s="59">
        <f t="shared" si="1"/>
        <v>45445.265662499995</v>
      </c>
    </row>
    <row r="18" spans="1:13" ht="20.25" customHeight="1" x14ac:dyDescent="0.2">
      <c r="A18" t="s">
        <v>127</v>
      </c>
      <c r="B18" s="59">
        <v>68000</v>
      </c>
      <c r="C18" s="59">
        <v>52500</v>
      </c>
      <c r="D18" s="59">
        <v>55000</v>
      </c>
      <c r="E18" s="59">
        <v>66147.95</v>
      </c>
      <c r="F18" s="59">
        <v>15130</v>
      </c>
      <c r="G18" s="59">
        <v>51017.95</v>
      </c>
      <c r="H18" s="59">
        <f t="shared" si="0"/>
        <v>51017.95</v>
      </c>
      <c r="J18" s="59">
        <f t="shared" si="1"/>
        <v>51017.95</v>
      </c>
    </row>
    <row r="19" spans="1:13" ht="20.25" customHeight="1" x14ac:dyDescent="0.2">
      <c r="A19" t="s">
        <v>96</v>
      </c>
      <c r="B19" s="59">
        <v>1244579</v>
      </c>
      <c r="C19" s="59">
        <v>865150.65</v>
      </c>
      <c r="D19" s="59">
        <v>1073219</v>
      </c>
      <c r="E19" s="59">
        <v>962200.87722000014</v>
      </c>
      <c r="F19" s="59">
        <v>394281.83787500003</v>
      </c>
      <c r="G19" s="59">
        <v>567919.03934500006</v>
      </c>
      <c r="H19" s="59">
        <v>0</v>
      </c>
      <c r="I19" s="59">
        <v>54000</v>
      </c>
      <c r="J19" s="59">
        <f t="shared" si="1"/>
        <v>567919.03934500006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1620119.9165650001</v>
      </c>
    </row>
    <row r="29" spans="1:13" ht="20.25" customHeight="1" x14ac:dyDescent="0.2">
      <c r="C29"/>
      <c r="H29" s="59">
        <f>SUM(H7:H28)</f>
        <v>567919.03934500006</v>
      </c>
      <c r="I29" s="59">
        <f t="shared" ref="I29:J29" si="2">SUM(I7:I28)</f>
        <v>54000</v>
      </c>
      <c r="J29" s="59">
        <f t="shared" si="2"/>
        <v>1135838.0786900001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48273118.344325006</v>
      </c>
      <c r="K32" s="58">
        <f>+J32/1000</f>
        <v>48273.118344325005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657919.03934500006</v>
      </c>
      <c r="J35" s="59"/>
      <c r="K35" s="59">
        <f>+K32+K33</f>
        <v>56823.118344325005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232</v>
      </c>
      <c r="B37" s="58">
        <v>1565717</v>
      </c>
      <c r="C37"/>
      <c r="D37" s="59"/>
      <c r="H37">
        <v>15</v>
      </c>
      <c r="I37" s="58">
        <f>+H35/H37</f>
        <v>43861.26928966667</v>
      </c>
    </row>
    <row r="38" spans="1:14" ht="20.25" customHeight="1" x14ac:dyDescent="0.2">
      <c r="C38"/>
      <c r="N38" s="59">
        <f>+H35+N36</f>
        <v>1363141.0393449999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C29" sqref="C29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151</v>
      </c>
    </row>
    <row r="3" spans="1:11" x14ac:dyDescent="0.2">
      <c r="A3" s="57" t="s">
        <v>29</v>
      </c>
      <c r="B3" t="s">
        <v>151</v>
      </c>
    </row>
    <row r="4" spans="1:11" x14ac:dyDescent="0.2">
      <c r="A4" s="57" t="s">
        <v>42</v>
      </c>
      <c r="B4" t="s">
        <v>169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1" ht="16.5" customHeight="1" x14ac:dyDescent="0.2">
      <c r="A7" t="s">
        <v>379</v>
      </c>
      <c r="B7" s="59">
        <v>15000</v>
      </c>
      <c r="C7" s="59">
        <v>5250</v>
      </c>
      <c r="D7" s="59">
        <v>5000</v>
      </c>
      <c r="E7" s="59">
        <v>3702.0499999999997</v>
      </c>
      <c r="F7" s="59">
        <v>3702.0499999999997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234</v>
      </c>
      <c r="B8" s="59">
        <v>5000</v>
      </c>
      <c r="C8" s="59">
        <v>0</v>
      </c>
      <c r="D8" s="59">
        <v>5000</v>
      </c>
      <c r="E8" s="59">
        <v>0</v>
      </c>
      <c r="F8" s="59">
        <v>0</v>
      </c>
      <c r="G8" s="59">
        <v>0</v>
      </c>
      <c r="I8" s="59">
        <f t="shared" ref="I8:I25" si="0">+K8-J8</f>
        <v>0</v>
      </c>
      <c r="K8" s="59">
        <f t="shared" ref="K8:K25" si="1">G8</f>
        <v>0</v>
      </c>
    </row>
    <row r="9" spans="1:11" ht="16.5" customHeight="1" x14ac:dyDescent="0.2">
      <c r="A9" t="s">
        <v>417</v>
      </c>
      <c r="B9" s="59">
        <v>5000</v>
      </c>
      <c r="C9" s="59">
        <v>5250</v>
      </c>
      <c r="D9" s="59">
        <v>5000</v>
      </c>
      <c r="E9" s="59">
        <v>3841.7500000000005</v>
      </c>
      <c r="F9" s="59">
        <v>3841.7500000000005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172</v>
      </c>
      <c r="B10" s="59">
        <v>170000</v>
      </c>
      <c r="C10" s="59">
        <v>36067.5</v>
      </c>
      <c r="D10" s="59">
        <v>130000</v>
      </c>
      <c r="E10" s="59">
        <v>107234.03432500002</v>
      </c>
      <c r="F10" s="59">
        <v>49091.734325000005</v>
      </c>
      <c r="G10" s="59">
        <v>58142.30000000001</v>
      </c>
      <c r="I10" s="59">
        <f t="shared" si="0"/>
        <v>58142.30000000001</v>
      </c>
      <c r="K10" s="59">
        <f t="shared" si="1"/>
        <v>58142.30000000001</v>
      </c>
    </row>
    <row r="11" spans="1:11" ht="16.5" customHeight="1" x14ac:dyDescent="0.2">
      <c r="A11" t="s">
        <v>112</v>
      </c>
      <c r="B11" s="59">
        <v>10080</v>
      </c>
      <c r="C11" s="59">
        <v>9351.2999999999993</v>
      </c>
      <c r="D11" s="59">
        <v>8906</v>
      </c>
      <c r="E11" s="59">
        <v>8833.594219999999</v>
      </c>
      <c r="F11" s="59">
        <v>4960</v>
      </c>
      <c r="G11" s="59">
        <v>3873.594219999999</v>
      </c>
      <c r="I11" s="59">
        <f t="shared" si="0"/>
        <v>3873.594219999999</v>
      </c>
      <c r="K11" s="59">
        <f t="shared" si="1"/>
        <v>3873.594219999999</v>
      </c>
    </row>
    <row r="12" spans="1:11" ht="16.5" customHeight="1" x14ac:dyDescent="0.2">
      <c r="A12" t="s">
        <v>168</v>
      </c>
      <c r="B12" s="59">
        <v>90000</v>
      </c>
      <c r="C12" s="59">
        <v>44955.75</v>
      </c>
      <c r="D12" s="59">
        <v>65000</v>
      </c>
      <c r="E12" s="59">
        <v>39566.005132500002</v>
      </c>
      <c r="F12" s="59">
        <v>19189</v>
      </c>
      <c r="G12" s="59">
        <v>20377.005132500002</v>
      </c>
      <c r="I12" s="59">
        <f t="shared" si="0"/>
        <v>20377.005132500002</v>
      </c>
      <c r="K12" s="59">
        <f t="shared" si="1"/>
        <v>20377.005132500002</v>
      </c>
    </row>
    <row r="13" spans="1:11" ht="16.5" customHeight="1" x14ac:dyDescent="0.2">
      <c r="A13" t="s">
        <v>81</v>
      </c>
      <c r="B13" s="59">
        <v>121513</v>
      </c>
      <c r="C13" s="59">
        <v>31504.2</v>
      </c>
      <c r="D13" s="59">
        <v>101433</v>
      </c>
      <c r="E13" s="59">
        <v>32467.188050000004</v>
      </c>
      <c r="F13" s="59">
        <v>32467.188050000004</v>
      </c>
      <c r="G13" s="59">
        <v>0</v>
      </c>
      <c r="I13" s="59">
        <f t="shared" si="0"/>
        <v>0</v>
      </c>
      <c r="K13" s="59">
        <f t="shared" si="1"/>
        <v>0</v>
      </c>
    </row>
    <row r="14" spans="1:11" ht="16.5" customHeight="1" x14ac:dyDescent="0.2">
      <c r="A14" t="s">
        <v>80</v>
      </c>
      <c r="B14" s="59">
        <v>155986</v>
      </c>
      <c r="C14" s="59">
        <v>124515.3</v>
      </c>
      <c r="D14" s="59">
        <v>139113</v>
      </c>
      <c r="E14" s="59">
        <v>127687.8955</v>
      </c>
      <c r="F14" s="59">
        <v>102708.5855</v>
      </c>
      <c r="G14" s="59">
        <v>24979.309999999998</v>
      </c>
      <c r="I14" s="59">
        <f t="shared" si="0"/>
        <v>24979.309999999998</v>
      </c>
      <c r="K14" s="59">
        <f t="shared" si="1"/>
        <v>24979.309999999998</v>
      </c>
    </row>
    <row r="15" spans="1:11" ht="16.5" customHeight="1" x14ac:dyDescent="0.2">
      <c r="A15" t="s">
        <v>120</v>
      </c>
      <c r="B15" s="59">
        <v>7000</v>
      </c>
      <c r="C15" s="59">
        <v>7350</v>
      </c>
      <c r="D15" s="59">
        <v>7000</v>
      </c>
      <c r="E15" s="59">
        <v>7948.93</v>
      </c>
      <c r="F15" s="59">
        <v>7948.93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84</v>
      </c>
      <c r="B16" s="59">
        <v>17000</v>
      </c>
      <c r="C16" s="59">
        <v>12600</v>
      </c>
      <c r="D16" s="59">
        <v>12000</v>
      </c>
      <c r="E16" s="59">
        <v>14249.400000000001</v>
      </c>
      <c r="F16" s="59">
        <v>0</v>
      </c>
      <c r="G16" s="59">
        <v>14249.400000000001</v>
      </c>
      <c r="I16" s="59">
        <f t="shared" si="0"/>
        <v>14249.400000000001</v>
      </c>
      <c r="K16" s="59">
        <f t="shared" si="1"/>
        <v>14249.400000000001</v>
      </c>
    </row>
    <row r="17" spans="1:11" ht="16.5" customHeight="1" x14ac:dyDescent="0.2">
      <c r="A17" t="s">
        <v>459</v>
      </c>
      <c r="B17" s="59">
        <v>10000</v>
      </c>
      <c r="C17" s="59">
        <v>10500</v>
      </c>
      <c r="D17" s="59">
        <v>10000</v>
      </c>
      <c r="E17" s="59">
        <v>12433.3</v>
      </c>
      <c r="F17" s="59">
        <v>7225</v>
      </c>
      <c r="G17" s="59">
        <v>5208.2999999999993</v>
      </c>
      <c r="I17" s="59">
        <v>0</v>
      </c>
      <c r="J17" s="59">
        <v>54000</v>
      </c>
      <c r="K17" s="59">
        <f t="shared" si="1"/>
        <v>5208.2999999999993</v>
      </c>
    </row>
    <row r="18" spans="1:11" ht="16.5" customHeight="1" x14ac:dyDescent="0.2">
      <c r="A18" t="s">
        <v>88</v>
      </c>
      <c r="B18" s="59">
        <v>90000</v>
      </c>
      <c r="C18" s="59">
        <v>21551.25</v>
      </c>
      <c r="D18" s="72">
        <v>40000</v>
      </c>
      <c r="E18" s="59">
        <v>45445.265662499995</v>
      </c>
      <c r="F18" s="59">
        <v>0</v>
      </c>
      <c r="G18" s="59">
        <v>45445.265662499995</v>
      </c>
      <c r="I18" s="59">
        <f t="shared" si="0"/>
        <v>45445.265662499995</v>
      </c>
      <c r="K18" s="59">
        <f t="shared" si="1"/>
        <v>45445.265662499995</v>
      </c>
    </row>
    <row r="19" spans="1:11" ht="16.5" customHeight="1" x14ac:dyDescent="0.2">
      <c r="A19" t="s">
        <v>127</v>
      </c>
      <c r="B19" s="59">
        <v>13000</v>
      </c>
      <c r="C19" s="59">
        <v>0</v>
      </c>
      <c r="D19" s="59">
        <v>0</v>
      </c>
      <c r="E19" s="59">
        <v>0</v>
      </c>
      <c r="F19" s="59">
        <v>0</v>
      </c>
      <c r="G19" s="59">
        <v>0</v>
      </c>
      <c r="I19" s="59">
        <f t="shared" si="0"/>
        <v>0</v>
      </c>
      <c r="K19" s="59">
        <f t="shared" si="1"/>
        <v>0</v>
      </c>
    </row>
    <row r="20" spans="1:11" ht="16.5" customHeight="1" x14ac:dyDescent="0.2">
      <c r="A20" t="s">
        <v>96</v>
      </c>
      <c r="B20" s="59">
        <v>709579</v>
      </c>
      <c r="C20" s="59">
        <v>308895.3</v>
      </c>
      <c r="D20" s="59">
        <v>528452</v>
      </c>
      <c r="E20" s="59">
        <v>403409.41289000004</v>
      </c>
      <c r="F20" s="59">
        <v>231134.23787499999</v>
      </c>
      <c r="G20" s="59">
        <v>172275.17501499999</v>
      </c>
      <c r="I20" s="59">
        <f t="shared" si="0"/>
        <v>172275.17501499999</v>
      </c>
      <c r="K20" s="59">
        <f t="shared" si="1"/>
        <v>172275.17501499999</v>
      </c>
    </row>
    <row r="21" spans="1:11" ht="16.5" customHeight="1" x14ac:dyDescent="0.2">
      <c r="C21"/>
      <c r="I21" s="59">
        <f t="shared" si="0"/>
        <v>0</v>
      </c>
      <c r="K21" s="59">
        <f t="shared" si="1"/>
        <v>0</v>
      </c>
    </row>
    <row r="22" spans="1:11" ht="16.5" customHeight="1" x14ac:dyDescent="0.2">
      <c r="C22"/>
      <c r="I22" s="59">
        <f t="shared" si="0"/>
        <v>0</v>
      </c>
      <c r="K22" s="59">
        <f t="shared" si="1"/>
        <v>0</v>
      </c>
    </row>
    <row r="23" spans="1:11" ht="16.5" customHeight="1" x14ac:dyDescent="0.2">
      <c r="C23"/>
      <c r="I23" s="59">
        <f t="shared" si="0"/>
        <v>0</v>
      </c>
      <c r="K23" s="59">
        <f t="shared" si="1"/>
        <v>0</v>
      </c>
    </row>
    <row r="24" spans="1:11" ht="16.5" customHeight="1" x14ac:dyDescent="0.2">
      <c r="C24"/>
      <c r="I24" s="59">
        <f t="shared" si="0"/>
        <v>0</v>
      </c>
      <c r="K24" s="59">
        <f t="shared" si="1"/>
        <v>0</v>
      </c>
    </row>
    <row r="25" spans="1:11" ht="16.5" customHeight="1" x14ac:dyDescent="0.2">
      <c r="C25"/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I26" s="59">
        <f>SUM(I7:I25)</f>
        <v>339342.05002999998</v>
      </c>
      <c r="J26" s="59">
        <f t="shared" ref="J26:K26" si="2">SUM(J7:J25)</f>
        <v>54000</v>
      </c>
      <c r="K26" s="59">
        <f t="shared" si="2"/>
        <v>344550.35002999997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40000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528452</v>
      </c>
      <c r="E36" s="59"/>
      <c r="F36" s="59"/>
      <c r="G36" s="59"/>
    </row>
    <row r="37" spans="1:11" ht="20.25" customHeight="1" x14ac:dyDescent="0.2">
      <c r="A37" t="s">
        <v>245</v>
      </c>
      <c r="B37" s="58">
        <v>887615</v>
      </c>
      <c r="C37"/>
    </row>
    <row r="38" spans="1:11" ht="20.25" customHeight="1" x14ac:dyDescent="0.2">
      <c r="A38" t="s">
        <v>175</v>
      </c>
      <c r="B38" s="65">
        <f>++B25+B37</f>
        <v>887615</v>
      </c>
      <c r="C38"/>
    </row>
    <row r="39" spans="1:11" ht="20.25" customHeight="1" x14ac:dyDescent="0.2">
      <c r="A39" t="s">
        <v>135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180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C10" sqref="C10"/>
    </sheetView>
  </sheetViews>
  <sheetFormatPr defaultRowHeight="14.25" x14ac:dyDescent="0.2"/>
  <cols>
    <col min="1" max="1" width="35.375" customWidth="1"/>
    <col min="2" max="2" width="20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151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80</v>
      </c>
      <c r="B5" t="s">
        <v>107</v>
      </c>
      <c r="C5" s="59">
        <v>4000</v>
      </c>
      <c r="D5" s="59">
        <v>0</v>
      </c>
      <c r="E5" s="59">
        <v>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B6" t="s">
        <v>79</v>
      </c>
      <c r="C6" s="59">
        <v>5000</v>
      </c>
      <c r="D6" s="59">
        <v>0</v>
      </c>
      <c r="E6" s="59">
        <v>527</v>
      </c>
      <c r="F6" s="59">
        <v>0</v>
      </c>
      <c r="G6" s="59">
        <v>0</v>
      </c>
      <c r="H6" s="59">
        <f t="shared" ref="H6:H65" si="0">G6</f>
        <v>0</v>
      </c>
    </row>
    <row r="7" spans="1:11" ht="20.25" customHeight="1" x14ac:dyDescent="0.2">
      <c r="A7" s="61" t="s">
        <v>153</v>
      </c>
      <c r="B7" s="61"/>
      <c r="C7" s="62">
        <v>9000</v>
      </c>
      <c r="D7" s="62">
        <v>0</v>
      </c>
      <c r="E7" s="62">
        <v>527</v>
      </c>
      <c r="F7" s="62">
        <v>0</v>
      </c>
      <c r="G7" s="62">
        <v>0</v>
      </c>
      <c r="H7" s="59">
        <f t="shared" si="0"/>
        <v>0</v>
      </c>
    </row>
    <row r="8" spans="1:11" ht="20.25" customHeight="1" x14ac:dyDescent="0.2">
      <c r="A8" t="s">
        <v>120</v>
      </c>
      <c r="B8" t="s">
        <v>107</v>
      </c>
      <c r="C8" s="59">
        <v>3000</v>
      </c>
      <c r="D8" s="59">
        <v>3150</v>
      </c>
      <c r="E8" s="59">
        <v>3000</v>
      </c>
      <c r="F8" s="59">
        <v>3310.89</v>
      </c>
      <c r="G8" s="59">
        <v>0</v>
      </c>
      <c r="H8" s="59">
        <f t="shared" si="0"/>
        <v>0</v>
      </c>
    </row>
    <row r="9" spans="1:11" ht="20.25" customHeight="1" x14ac:dyDescent="0.2">
      <c r="A9" s="61" t="s">
        <v>186</v>
      </c>
      <c r="B9" s="61"/>
      <c r="C9" s="62">
        <v>3000</v>
      </c>
      <c r="D9" s="62">
        <v>3150</v>
      </c>
      <c r="E9" s="62">
        <v>3000</v>
      </c>
      <c r="F9" s="62">
        <v>3310.89</v>
      </c>
      <c r="G9" s="62">
        <v>0</v>
      </c>
      <c r="H9" s="59">
        <f t="shared" si="0"/>
        <v>0</v>
      </c>
    </row>
    <row r="10" spans="1:11" ht="20.25" customHeight="1" x14ac:dyDescent="0.2">
      <c r="A10" t="s">
        <v>84</v>
      </c>
      <c r="B10" t="s">
        <v>179</v>
      </c>
      <c r="C10" s="59">
        <v>4000</v>
      </c>
      <c r="D10" s="59">
        <v>4200</v>
      </c>
      <c r="E10" s="59">
        <v>4000</v>
      </c>
      <c r="F10" s="59">
        <v>0</v>
      </c>
      <c r="G10" s="59">
        <v>4749.8</v>
      </c>
      <c r="H10" s="59">
        <f t="shared" si="0"/>
        <v>4749.8</v>
      </c>
    </row>
    <row r="11" spans="1:11" ht="20.25" customHeight="1" x14ac:dyDescent="0.2">
      <c r="A11" s="61" t="s">
        <v>190</v>
      </c>
      <c r="B11" s="61"/>
      <c r="C11" s="62">
        <v>4000</v>
      </c>
      <c r="D11" s="62">
        <v>4200</v>
      </c>
      <c r="E11" s="62">
        <v>4000</v>
      </c>
      <c r="F11" s="62">
        <v>0</v>
      </c>
      <c r="G11" s="62">
        <v>4749.8</v>
      </c>
      <c r="H11" s="59">
        <f t="shared" si="0"/>
        <v>4749.8</v>
      </c>
    </row>
    <row r="12" spans="1:11" ht="20.25" customHeight="1" x14ac:dyDescent="0.2">
      <c r="A12" t="s">
        <v>96</v>
      </c>
      <c r="C12" s="59">
        <v>16000</v>
      </c>
      <c r="D12" s="59">
        <v>7350</v>
      </c>
      <c r="E12" s="59">
        <v>7527</v>
      </c>
      <c r="F12" s="59">
        <v>3310.89</v>
      </c>
      <c r="G12" s="59">
        <v>4749.8</v>
      </c>
      <c r="H12" s="59">
        <f t="shared" si="0"/>
        <v>4749.8</v>
      </c>
      <c r="I12" s="66"/>
    </row>
    <row r="13" spans="1:11" ht="20.25" customHeight="1" x14ac:dyDescent="0.2">
      <c r="C13"/>
      <c r="H13" s="59">
        <f t="shared" si="0"/>
        <v>0</v>
      </c>
    </row>
    <row r="14" spans="1:11" ht="20.25" customHeight="1" x14ac:dyDescent="0.2">
      <c r="C14"/>
      <c r="H14" s="59">
        <f t="shared" si="0"/>
        <v>0</v>
      </c>
    </row>
    <row r="15" spans="1:11" ht="20.25" customHeight="1" x14ac:dyDescent="0.2">
      <c r="C15"/>
      <c r="H15" s="59">
        <f t="shared" si="0"/>
        <v>0</v>
      </c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>
        <f t="shared" si="0"/>
        <v>0</v>
      </c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>
        <f t="shared" si="0"/>
        <v>0</v>
      </c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>
        <f t="shared" si="0"/>
        <v>0</v>
      </c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>
        <f t="shared" si="0"/>
        <v>0</v>
      </c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>
        <f t="shared" si="0"/>
        <v>0</v>
      </c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14249.400000000001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13" sqref="D13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172</v>
      </c>
      <c r="B5" t="s">
        <v>73</v>
      </c>
      <c r="C5" s="59">
        <v>140000</v>
      </c>
      <c r="D5" s="59">
        <v>147000</v>
      </c>
      <c r="E5" s="59">
        <v>140000</v>
      </c>
      <c r="F5" s="59">
        <v>131038.6</v>
      </c>
      <c r="G5" s="59">
        <v>0</v>
      </c>
      <c r="H5" s="59">
        <v>131038.6</v>
      </c>
      <c r="I5" s="59"/>
    </row>
    <row r="6" spans="1:11" ht="20.25" customHeight="1" x14ac:dyDescent="0.2">
      <c r="A6" s="61" t="s">
        <v>227</v>
      </c>
      <c r="B6" s="61"/>
      <c r="C6" s="62">
        <v>140000</v>
      </c>
      <c r="D6" s="62">
        <v>147000</v>
      </c>
      <c r="E6" s="62">
        <v>140000</v>
      </c>
      <c r="F6" s="62">
        <v>131038.6</v>
      </c>
      <c r="G6" s="62">
        <v>0</v>
      </c>
      <c r="H6" s="62">
        <v>131038.6</v>
      </c>
    </row>
    <row r="7" spans="1:11" ht="20.25" customHeight="1" x14ac:dyDescent="0.2">
      <c r="A7" t="s">
        <v>168</v>
      </c>
      <c r="B7" t="s">
        <v>204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B8" t="s">
        <v>237</v>
      </c>
      <c r="C8" s="59">
        <v>40000</v>
      </c>
      <c r="D8" s="59">
        <v>42000</v>
      </c>
      <c r="E8" s="59">
        <v>40000</v>
      </c>
      <c r="F8" s="59">
        <v>35204.400000000001</v>
      </c>
      <c r="G8" s="59">
        <v>0</v>
      </c>
      <c r="H8" s="59">
        <v>35204.400000000001</v>
      </c>
      <c r="J8" s="59"/>
      <c r="K8" s="59"/>
    </row>
    <row r="9" spans="1:11" ht="20.25" customHeight="1" x14ac:dyDescent="0.2">
      <c r="A9" s="61" t="s">
        <v>228</v>
      </c>
      <c r="B9" s="61"/>
      <c r="C9" s="62">
        <v>60000</v>
      </c>
      <c r="D9" s="62">
        <v>62755.350000000006</v>
      </c>
      <c r="E9" s="62">
        <v>59767</v>
      </c>
      <c r="F9" s="62">
        <v>53706.114330000004</v>
      </c>
      <c r="G9" s="62">
        <v>0</v>
      </c>
      <c r="H9" s="62">
        <v>53706.114330000004</v>
      </c>
      <c r="I9" s="59"/>
    </row>
    <row r="10" spans="1:11" ht="20.25" customHeight="1" x14ac:dyDescent="0.2">
      <c r="A10" t="s">
        <v>80</v>
      </c>
      <c r="B10" t="s">
        <v>97</v>
      </c>
      <c r="C10" s="59">
        <v>20000</v>
      </c>
      <c r="D10" s="59">
        <v>21000</v>
      </c>
      <c r="E10" s="59">
        <v>20000</v>
      </c>
      <c r="F10" s="59">
        <v>21513.800000000003</v>
      </c>
      <c r="G10" s="59">
        <v>0</v>
      </c>
      <c r="H10" s="59">
        <v>21513.800000000003</v>
      </c>
    </row>
    <row r="11" spans="1:11" ht="20.25" customHeight="1" x14ac:dyDescent="0.2">
      <c r="B11" t="s">
        <v>139</v>
      </c>
      <c r="C11" s="59">
        <v>100000</v>
      </c>
      <c r="D11" s="59">
        <v>105000</v>
      </c>
      <c r="E11" s="59">
        <v>100000</v>
      </c>
      <c r="F11" s="59">
        <v>104775.00000000001</v>
      </c>
      <c r="G11" s="59">
        <v>0</v>
      </c>
      <c r="H11" s="59">
        <v>104775.00000000001</v>
      </c>
      <c r="I11" s="59"/>
    </row>
    <row r="12" spans="1:11" ht="20.25" customHeight="1" x14ac:dyDescent="0.2">
      <c r="B12" t="s">
        <v>79</v>
      </c>
      <c r="C12" s="59">
        <v>20000</v>
      </c>
      <c r="D12" s="59">
        <v>21000</v>
      </c>
      <c r="E12" s="59">
        <v>20000</v>
      </c>
      <c r="F12" s="59">
        <v>22072.6</v>
      </c>
      <c r="G12" s="59">
        <v>0</v>
      </c>
      <c r="H12" s="59">
        <v>22072.6</v>
      </c>
      <c r="I12" s="59"/>
    </row>
    <row r="13" spans="1:11" ht="20.25" customHeight="1" x14ac:dyDescent="0.2">
      <c r="A13" s="61" t="s">
        <v>153</v>
      </c>
      <c r="B13" s="61"/>
      <c r="C13" s="62">
        <v>140000</v>
      </c>
      <c r="D13" s="62">
        <v>147000</v>
      </c>
      <c r="E13" s="62">
        <v>140000</v>
      </c>
      <c r="F13" s="62">
        <v>148361.40000000002</v>
      </c>
      <c r="G13" s="62">
        <v>0</v>
      </c>
      <c r="H13" s="62">
        <v>148361.40000000002</v>
      </c>
    </row>
    <row r="14" spans="1:11" ht="20.25" customHeight="1" x14ac:dyDescent="0.2">
      <c r="A14" t="s">
        <v>120</v>
      </c>
      <c r="B14" t="s">
        <v>111</v>
      </c>
      <c r="C14" s="59">
        <v>100000</v>
      </c>
      <c r="D14" s="59">
        <v>105000</v>
      </c>
      <c r="E14" s="59">
        <v>100000</v>
      </c>
      <c r="F14" s="59">
        <v>107569.00000000001</v>
      </c>
      <c r="G14" s="59">
        <v>107569.00000000001</v>
      </c>
      <c r="H14" s="59">
        <v>0</v>
      </c>
      <c r="I14" s="59"/>
    </row>
    <row r="15" spans="1:11" ht="20.25" customHeight="1" x14ac:dyDescent="0.2">
      <c r="A15" s="61" t="s">
        <v>186</v>
      </c>
      <c r="B15" s="61"/>
      <c r="C15" s="62">
        <v>100000</v>
      </c>
      <c r="D15" s="62">
        <v>105000</v>
      </c>
      <c r="E15" s="62">
        <v>100000</v>
      </c>
      <c r="F15" s="62">
        <v>107569.00000000001</v>
      </c>
      <c r="G15" s="62">
        <v>107569.00000000001</v>
      </c>
      <c r="H15" s="62">
        <v>0</v>
      </c>
    </row>
    <row r="16" spans="1:11" ht="20.25" customHeight="1" x14ac:dyDescent="0.2">
      <c r="A16" t="s">
        <v>83</v>
      </c>
      <c r="B16" t="s">
        <v>216</v>
      </c>
      <c r="C16" s="59">
        <v>30000</v>
      </c>
      <c r="D16" s="59">
        <v>31500</v>
      </c>
      <c r="E16" s="59">
        <v>30000</v>
      </c>
      <c r="F16" s="59">
        <v>29756.100000000002</v>
      </c>
      <c r="G16" s="59">
        <v>29756.100000000002</v>
      </c>
      <c r="H16" s="59">
        <v>0</v>
      </c>
      <c r="I16" s="59"/>
    </row>
    <row r="17" spans="1:9" ht="20.25" customHeight="1" x14ac:dyDescent="0.2">
      <c r="B17" t="s">
        <v>221</v>
      </c>
      <c r="C17" s="59">
        <v>30000</v>
      </c>
      <c r="D17" s="59">
        <v>31500</v>
      </c>
      <c r="E17" s="59">
        <v>30000</v>
      </c>
      <c r="F17" s="59">
        <v>29756.100000000002</v>
      </c>
      <c r="G17" s="59">
        <v>13028</v>
      </c>
      <c r="H17" s="59">
        <v>16728.100000000002</v>
      </c>
      <c r="I17" s="59"/>
    </row>
    <row r="18" spans="1:9" ht="20.25" customHeight="1" x14ac:dyDescent="0.2">
      <c r="A18" s="61" t="s">
        <v>230</v>
      </c>
      <c r="B18" s="61"/>
      <c r="C18" s="62">
        <v>60000</v>
      </c>
      <c r="D18" s="62">
        <v>63000</v>
      </c>
      <c r="E18" s="62">
        <v>60000</v>
      </c>
      <c r="F18" s="62">
        <v>59512.200000000004</v>
      </c>
      <c r="G18" s="62">
        <v>42784.100000000006</v>
      </c>
      <c r="H18" s="62">
        <v>16728.100000000002</v>
      </c>
      <c r="I18" s="59"/>
    </row>
    <row r="19" spans="1:9" ht="20.25" customHeight="1" x14ac:dyDescent="0.2">
      <c r="A19" t="s">
        <v>197</v>
      </c>
      <c r="B19" t="s">
        <v>109</v>
      </c>
      <c r="C19" s="59">
        <v>10000</v>
      </c>
      <c r="D19" s="59">
        <v>0</v>
      </c>
      <c r="E19" s="59">
        <v>10000</v>
      </c>
      <c r="F19" s="59">
        <v>12433.3</v>
      </c>
      <c r="G19" s="59">
        <v>12433.3</v>
      </c>
      <c r="H19" s="59">
        <v>0</v>
      </c>
      <c r="I19" s="59"/>
    </row>
    <row r="20" spans="1:9" ht="20.25" customHeight="1" x14ac:dyDescent="0.2">
      <c r="A20" s="61" t="s">
        <v>200</v>
      </c>
      <c r="B20" s="61"/>
      <c r="C20" s="62">
        <v>10000</v>
      </c>
      <c r="D20" s="62">
        <v>0</v>
      </c>
      <c r="E20" s="62">
        <v>10000</v>
      </c>
      <c r="F20" s="62">
        <v>12433.3</v>
      </c>
      <c r="G20" s="62">
        <v>12433.3</v>
      </c>
      <c r="H20" s="62">
        <v>0</v>
      </c>
      <c r="I20" s="59"/>
    </row>
    <row r="21" spans="1:9" ht="20.25" customHeight="1" x14ac:dyDescent="0.2">
      <c r="A21" t="s">
        <v>127</v>
      </c>
      <c r="B21" t="s">
        <v>109</v>
      </c>
      <c r="C21" s="59">
        <v>5000</v>
      </c>
      <c r="D21" s="59">
        <v>0</v>
      </c>
      <c r="E21" s="59">
        <v>5000</v>
      </c>
      <c r="F21" s="59">
        <v>6775.4500000000007</v>
      </c>
      <c r="G21" s="59">
        <v>0</v>
      </c>
      <c r="H21" s="59">
        <v>6775.4500000000007</v>
      </c>
      <c r="I21" s="59"/>
    </row>
    <row r="22" spans="1:9" ht="20.25" customHeight="1" x14ac:dyDescent="0.2">
      <c r="A22" s="61" t="s">
        <v>231</v>
      </c>
      <c r="B22" s="61"/>
      <c r="C22" s="62">
        <v>5000</v>
      </c>
      <c r="D22" s="62">
        <v>0</v>
      </c>
      <c r="E22" s="62">
        <v>5000</v>
      </c>
      <c r="F22" s="62">
        <v>6775.4500000000007</v>
      </c>
      <c r="G22" s="62">
        <v>0</v>
      </c>
      <c r="H22" s="62">
        <v>6775.4500000000007</v>
      </c>
      <c r="I22" s="59"/>
    </row>
    <row r="23" spans="1:9" ht="20.25" customHeight="1" x14ac:dyDescent="0.2">
      <c r="A23" t="s">
        <v>96</v>
      </c>
      <c r="C23" s="59">
        <v>515000</v>
      </c>
      <c r="D23" s="59">
        <v>524755.35</v>
      </c>
      <c r="E23" s="59">
        <v>514767</v>
      </c>
      <c r="F23" s="59">
        <v>519396.06432999996</v>
      </c>
      <c r="G23" s="59">
        <v>162786.4</v>
      </c>
      <c r="H23" s="59">
        <v>356609.66433</v>
      </c>
      <c r="I23" s="59"/>
    </row>
    <row r="24" spans="1:9" ht="20.25" customHeight="1" x14ac:dyDescent="0.2">
      <c r="C24"/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13" zoomScale="85" zoomScaleNormal="85" workbookViewId="0">
      <selection activeCell="K25" sqref="K25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151</v>
      </c>
    </row>
    <row r="2" spans="1:17" x14ac:dyDescent="0.2">
      <c r="A2" s="57" t="s">
        <v>29</v>
      </c>
      <c r="B2" t="s">
        <v>151</v>
      </c>
      <c r="D2">
        <v>12</v>
      </c>
      <c r="I2" t="s">
        <v>207</v>
      </c>
      <c r="J2" t="s">
        <v>212</v>
      </c>
      <c r="K2" t="s">
        <v>206</v>
      </c>
      <c r="P2" t="s">
        <v>208</v>
      </c>
    </row>
    <row r="4" spans="1:17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7" ht="20.25" customHeight="1" x14ac:dyDescent="0.2">
      <c r="A5" t="s">
        <v>172</v>
      </c>
      <c r="B5" t="s">
        <v>73</v>
      </c>
      <c r="C5" s="59">
        <v>215000</v>
      </c>
      <c r="D5" s="59">
        <v>57750</v>
      </c>
      <c r="E5" s="59">
        <v>155000</v>
      </c>
      <c r="F5" s="59">
        <v>99396.550000000017</v>
      </c>
      <c r="G5" s="59">
        <v>99396.550000000017</v>
      </c>
      <c r="H5" s="59">
        <v>0</v>
      </c>
      <c r="I5" s="59">
        <f>H5</f>
        <v>0</v>
      </c>
    </row>
    <row r="6" spans="1:17" ht="20.25" customHeight="1" x14ac:dyDescent="0.2">
      <c r="A6" s="61" t="s">
        <v>227</v>
      </c>
      <c r="B6" s="61"/>
      <c r="C6" s="62">
        <v>215000</v>
      </c>
      <c r="D6" s="62">
        <v>57750</v>
      </c>
      <c r="E6" s="62">
        <v>155000</v>
      </c>
      <c r="F6" s="62">
        <v>99396.550000000017</v>
      </c>
      <c r="G6" s="62">
        <v>99396.550000000017</v>
      </c>
      <c r="H6" s="62">
        <v>0</v>
      </c>
      <c r="I6" s="59"/>
    </row>
    <row r="7" spans="1:17" ht="20.25" customHeight="1" x14ac:dyDescent="0.2">
      <c r="A7" t="s">
        <v>112</v>
      </c>
      <c r="B7" t="s">
        <v>139</v>
      </c>
      <c r="C7" s="59">
        <v>10080</v>
      </c>
      <c r="D7" s="59">
        <v>10584</v>
      </c>
      <c r="E7" s="59">
        <v>10080</v>
      </c>
      <c r="F7" s="59">
        <v>10138.867200000001</v>
      </c>
      <c r="G7" s="59">
        <v>5139.8424000000005</v>
      </c>
      <c r="H7" s="59">
        <v>4999.0247999999992</v>
      </c>
      <c r="I7" s="59">
        <f t="shared" ref="I7:I68" si="0">H7</f>
        <v>4999.0247999999992</v>
      </c>
      <c r="J7" s="59"/>
    </row>
    <row r="8" spans="1:17" ht="20.25" customHeight="1" x14ac:dyDescent="0.2">
      <c r="A8" s="61" t="s">
        <v>279</v>
      </c>
      <c r="B8" s="61"/>
      <c r="C8" s="62">
        <v>10080</v>
      </c>
      <c r="D8" s="62">
        <v>10584</v>
      </c>
      <c r="E8" s="62">
        <v>10080</v>
      </c>
      <c r="F8" s="62">
        <v>10138.867200000001</v>
      </c>
      <c r="G8" s="62">
        <v>5139.8424000000005</v>
      </c>
      <c r="H8" s="62">
        <v>4999.0247999999992</v>
      </c>
      <c r="I8" s="59">
        <f t="shared" si="0"/>
        <v>4999.0247999999992</v>
      </c>
      <c r="J8" s="59"/>
    </row>
    <row r="9" spans="1:17" ht="20.25" customHeight="1" x14ac:dyDescent="0.2">
      <c r="A9" t="s">
        <v>168</v>
      </c>
      <c r="B9" t="s">
        <v>278</v>
      </c>
      <c r="C9" s="59">
        <v>5800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228</v>
      </c>
      <c r="B10" s="61"/>
      <c r="C10" s="62">
        <v>5800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138</v>
      </c>
      <c r="B11" t="s">
        <v>342</v>
      </c>
      <c r="C11" s="59">
        <v>5000</v>
      </c>
      <c r="D11" s="59">
        <v>0</v>
      </c>
      <c r="E11" s="59">
        <v>0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A12" s="61" t="s">
        <v>349</v>
      </c>
      <c r="B12" s="61"/>
      <c r="C12" s="62">
        <v>5000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59">
        <f t="shared" si="0"/>
        <v>0</v>
      </c>
    </row>
    <row r="13" spans="1:17" ht="20.25" customHeight="1" x14ac:dyDescent="0.2">
      <c r="A13" t="s">
        <v>81</v>
      </c>
      <c r="B13" t="s">
        <v>85</v>
      </c>
      <c r="C13" s="59">
        <v>103000</v>
      </c>
      <c r="D13" s="59">
        <v>0</v>
      </c>
      <c r="E13" s="59">
        <v>2000</v>
      </c>
      <c r="F13" s="59">
        <v>0</v>
      </c>
      <c r="G13" s="59">
        <v>0</v>
      </c>
      <c r="H13" s="59">
        <v>0</v>
      </c>
      <c r="I13" s="59"/>
    </row>
    <row r="14" spans="1:17" ht="20.25" customHeight="1" x14ac:dyDescent="0.2">
      <c r="B14" t="s">
        <v>139</v>
      </c>
      <c r="C14" s="59">
        <v>80393</v>
      </c>
      <c r="D14" s="59">
        <v>21155.4</v>
      </c>
      <c r="E14" s="59">
        <v>50393</v>
      </c>
      <c r="F14" s="59">
        <v>22144.982062499999</v>
      </c>
      <c r="G14" s="59">
        <v>22144.982062499999</v>
      </c>
      <c r="H14" s="59">
        <v>0</v>
      </c>
      <c r="I14" s="59">
        <f t="shared" si="0"/>
        <v>0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229</v>
      </c>
      <c r="B15" s="61"/>
      <c r="C15" s="62">
        <v>183393</v>
      </c>
      <c r="D15" s="62">
        <v>21155.4</v>
      </c>
      <c r="E15" s="62">
        <v>52393</v>
      </c>
      <c r="F15" s="62">
        <v>22144.982062499999</v>
      </c>
      <c r="G15" s="62">
        <v>22144.982062499999</v>
      </c>
      <c r="H15" s="62">
        <v>0</v>
      </c>
      <c r="I15" s="59"/>
    </row>
    <row r="16" spans="1:17" ht="20.25" customHeight="1" x14ac:dyDescent="0.2">
      <c r="A16" t="s">
        <v>80</v>
      </c>
      <c r="B16" t="s">
        <v>139</v>
      </c>
      <c r="C16" s="59">
        <v>91933</v>
      </c>
      <c r="D16" s="59">
        <v>86964.150000000009</v>
      </c>
      <c r="E16" s="59">
        <v>91933</v>
      </c>
      <c r="F16" s="59">
        <v>87478.166737500011</v>
      </c>
      <c r="G16" s="59">
        <v>42098.067837500006</v>
      </c>
      <c r="H16" s="59">
        <v>45380.098900000005</v>
      </c>
      <c r="I16" s="59">
        <f t="shared" si="0"/>
        <v>45380.098900000005</v>
      </c>
    </row>
    <row r="17" spans="1:17" ht="20.25" customHeight="1" x14ac:dyDescent="0.2">
      <c r="B17" t="s">
        <v>107</v>
      </c>
      <c r="C17" s="59">
        <v>14000</v>
      </c>
      <c r="D17" s="59">
        <v>0</v>
      </c>
      <c r="E17" s="59">
        <v>10000</v>
      </c>
      <c r="F17" s="59">
        <v>0</v>
      </c>
      <c r="G17" s="59">
        <v>0</v>
      </c>
      <c r="H17" s="59">
        <v>0</v>
      </c>
      <c r="I17" s="59">
        <f t="shared" si="0"/>
        <v>0</v>
      </c>
    </row>
    <row r="18" spans="1:17" ht="20.25" customHeight="1" x14ac:dyDescent="0.2">
      <c r="B18" t="s">
        <v>267</v>
      </c>
      <c r="C18" s="59">
        <v>20000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f t="shared" si="0"/>
        <v>0</v>
      </c>
      <c r="K18" s="59"/>
      <c r="L18" s="59"/>
      <c r="M18" s="59"/>
    </row>
    <row r="19" spans="1:17" ht="20.25" customHeight="1" x14ac:dyDescent="0.2">
      <c r="B19" t="s">
        <v>351</v>
      </c>
      <c r="C19" s="59">
        <v>8000</v>
      </c>
      <c r="D19" s="59">
        <v>8400</v>
      </c>
      <c r="E19" s="59">
        <v>8000</v>
      </c>
      <c r="F19" s="59">
        <v>8605.52</v>
      </c>
      <c r="G19" s="59">
        <v>8605.52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153</v>
      </c>
      <c r="B20" s="61"/>
      <c r="C20" s="62">
        <v>133933</v>
      </c>
      <c r="D20" s="62">
        <v>95364.150000000009</v>
      </c>
      <c r="E20" s="62">
        <v>109933</v>
      </c>
      <c r="F20" s="62">
        <v>96083.686737500015</v>
      </c>
      <c r="G20" s="62">
        <v>50703.587837500003</v>
      </c>
      <c r="H20" s="62">
        <v>45380.098900000005</v>
      </c>
      <c r="I20" s="59">
        <f t="shared" si="0"/>
        <v>45380.098900000005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120</v>
      </c>
      <c r="B21" t="s">
        <v>280</v>
      </c>
      <c r="C21" s="59">
        <v>5000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B22" t="s">
        <v>303</v>
      </c>
      <c r="C22" s="59">
        <v>30000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B23" t="s">
        <v>171</v>
      </c>
      <c r="C23" s="59">
        <v>5000</v>
      </c>
      <c r="D23" s="59">
        <v>5250</v>
      </c>
      <c r="E23" s="59">
        <v>5000</v>
      </c>
      <c r="F23" s="59">
        <v>5378.4500000000007</v>
      </c>
      <c r="G23" s="59">
        <v>5378.4500000000007</v>
      </c>
      <c r="H23" s="59">
        <v>0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186</v>
      </c>
      <c r="B24" s="61"/>
      <c r="C24" s="62">
        <v>40000</v>
      </c>
      <c r="D24" s="62">
        <v>5250</v>
      </c>
      <c r="E24" s="62">
        <v>5000</v>
      </c>
      <c r="F24" s="62">
        <v>5378.4500000000007</v>
      </c>
      <c r="G24" s="62">
        <v>5378.4500000000007</v>
      </c>
      <c r="H24" s="62">
        <v>0</v>
      </c>
      <c r="I24" s="59">
        <f t="shared" si="0"/>
        <v>0</v>
      </c>
    </row>
    <row r="25" spans="1:17" ht="20.25" customHeight="1" x14ac:dyDescent="0.2">
      <c r="A25" t="s">
        <v>130</v>
      </c>
      <c r="B25" t="s">
        <v>171</v>
      </c>
      <c r="C25" s="59">
        <v>15000</v>
      </c>
      <c r="D25" s="59">
        <v>0</v>
      </c>
      <c r="E25" s="59">
        <v>15000</v>
      </c>
      <c r="F25" s="59">
        <v>16554.45</v>
      </c>
      <c r="G25" s="59">
        <v>16554.45</v>
      </c>
      <c r="H25" s="59">
        <v>0</v>
      </c>
      <c r="I25" s="59"/>
    </row>
    <row r="26" spans="1:17" ht="20.25" customHeight="1" x14ac:dyDescent="0.2">
      <c r="A26" s="61" t="s">
        <v>247</v>
      </c>
      <c r="B26" s="61"/>
      <c r="C26" s="62">
        <v>15000</v>
      </c>
      <c r="D26" s="62">
        <v>0</v>
      </c>
      <c r="E26" s="62">
        <v>15000</v>
      </c>
      <c r="F26" s="62">
        <v>16554.45</v>
      </c>
      <c r="G26" s="62">
        <v>16554.45</v>
      </c>
      <c r="H26" s="62">
        <v>0</v>
      </c>
      <c r="I26" s="59">
        <f t="shared" si="0"/>
        <v>0</v>
      </c>
    </row>
    <row r="27" spans="1:17" ht="20.25" customHeight="1" x14ac:dyDescent="0.2">
      <c r="A27" t="s">
        <v>321</v>
      </c>
      <c r="B27" t="s">
        <v>320</v>
      </c>
      <c r="C27" s="59">
        <v>10000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/>
    </row>
    <row r="28" spans="1:17" ht="20.25" customHeight="1" x14ac:dyDescent="0.2">
      <c r="A28" s="61" t="s">
        <v>323</v>
      </c>
      <c r="B28" s="61"/>
      <c r="C28" s="62">
        <v>10000</v>
      </c>
      <c r="D28" s="62">
        <v>0</v>
      </c>
      <c r="E28" s="62">
        <v>0</v>
      </c>
      <c r="F28" s="62">
        <v>0</v>
      </c>
      <c r="G28" s="62">
        <v>0</v>
      </c>
      <c r="H28" s="62">
        <v>0</v>
      </c>
      <c r="I28" s="59">
        <f t="shared" si="0"/>
        <v>0</v>
      </c>
    </row>
    <row r="29" spans="1:17" ht="20.25" customHeight="1" x14ac:dyDescent="0.2">
      <c r="A29" t="s">
        <v>213</v>
      </c>
      <c r="B29" t="s">
        <v>338</v>
      </c>
      <c r="C29" s="59">
        <v>10000</v>
      </c>
      <c r="D29" s="59">
        <v>1560.3</v>
      </c>
      <c r="E29" s="59">
        <v>1500</v>
      </c>
      <c r="F29" s="59">
        <v>1678.3991070000002</v>
      </c>
      <c r="G29" s="59">
        <v>0</v>
      </c>
      <c r="H29" s="59">
        <v>1678.3991070000002</v>
      </c>
      <c r="I29" s="59">
        <f t="shared" si="0"/>
        <v>1678.3991070000002</v>
      </c>
    </row>
    <row r="30" spans="1:17" ht="20.25" customHeight="1" x14ac:dyDescent="0.2">
      <c r="A30" s="61" t="s">
        <v>339</v>
      </c>
      <c r="B30" s="61"/>
      <c r="C30" s="62">
        <v>10000</v>
      </c>
      <c r="D30" s="62">
        <v>1560.3</v>
      </c>
      <c r="E30" s="62">
        <v>1500</v>
      </c>
      <c r="F30" s="62">
        <v>1678.3991070000002</v>
      </c>
      <c r="G30" s="62">
        <v>0</v>
      </c>
      <c r="H30" s="62">
        <v>1678.3991070000002</v>
      </c>
      <c r="I30" s="59">
        <f t="shared" si="0"/>
        <v>1678.3991070000002</v>
      </c>
    </row>
    <row r="31" spans="1:17" ht="20.25" customHeight="1" x14ac:dyDescent="0.2">
      <c r="A31" t="s">
        <v>83</v>
      </c>
      <c r="B31" t="s">
        <v>216</v>
      </c>
      <c r="C31" s="59">
        <v>30000</v>
      </c>
      <c r="D31" s="59">
        <v>31500</v>
      </c>
      <c r="E31" s="59">
        <v>30000</v>
      </c>
      <c r="F31" s="59">
        <v>29756.100000000002</v>
      </c>
      <c r="G31" s="59">
        <v>29756.100000000002</v>
      </c>
      <c r="H31" s="59">
        <v>0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302</v>
      </c>
      <c r="C32" s="59">
        <v>10000</v>
      </c>
      <c r="D32" s="59">
        <v>0</v>
      </c>
      <c r="E32" s="59">
        <v>5000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B33" t="s">
        <v>354</v>
      </c>
      <c r="C33" s="59">
        <v>5000</v>
      </c>
      <c r="D33" s="59">
        <v>5250</v>
      </c>
      <c r="E33" s="59">
        <v>5000</v>
      </c>
      <c r="F33" s="59">
        <v>4959.3500000000004</v>
      </c>
      <c r="G33" s="59">
        <v>4959.3500000000004</v>
      </c>
      <c r="H33" s="59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s="61" t="s">
        <v>230</v>
      </c>
      <c r="B34" s="61"/>
      <c r="C34" s="62">
        <v>45000</v>
      </c>
      <c r="D34" s="62">
        <v>36750</v>
      </c>
      <c r="E34" s="62">
        <v>40000</v>
      </c>
      <c r="F34" s="62">
        <v>34715.450000000004</v>
      </c>
      <c r="G34" s="62">
        <v>34715.450000000004</v>
      </c>
      <c r="H34" s="62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A35" t="s">
        <v>84</v>
      </c>
      <c r="B35" t="s">
        <v>179</v>
      </c>
      <c r="C35" s="59">
        <v>8000</v>
      </c>
      <c r="D35" s="59">
        <v>8400</v>
      </c>
      <c r="E35" s="59">
        <v>8000</v>
      </c>
      <c r="F35" s="59">
        <v>9499.6</v>
      </c>
      <c r="G35" s="59">
        <v>1765</v>
      </c>
      <c r="H35" s="59">
        <v>7734.6</v>
      </c>
      <c r="I35" s="59">
        <f t="shared" si="0"/>
        <v>7734.6</v>
      </c>
    </row>
    <row r="36" spans="1:16" ht="20.25" customHeight="1" x14ac:dyDescent="0.2">
      <c r="A36" s="61" t="s">
        <v>190</v>
      </c>
      <c r="B36" s="61"/>
      <c r="C36" s="62">
        <v>8000</v>
      </c>
      <c r="D36" s="62">
        <v>8400</v>
      </c>
      <c r="E36" s="62">
        <v>8000</v>
      </c>
      <c r="F36" s="62">
        <v>9499.6</v>
      </c>
      <c r="G36" s="62">
        <v>1765</v>
      </c>
      <c r="H36" s="62">
        <v>7734.6</v>
      </c>
      <c r="I36" s="59">
        <f t="shared" si="0"/>
        <v>7734.6</v>
      </c>
    </row>
    <row r="37" spans="1:16" ht="20.25" customHeight="1" x14ac:dyDescent="0.2">
      <c r="A37" t="s">
        <v>197</v>
      </c>
      <c r="B37" t="s">
        <v>322</v>
      </c>
      <c r="C37" s="59">
        <v>10000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200</v>
      </c>
      <c r="B38" s="61"/>
      <c r="C38" s="62">
        <v>10000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127</v>
      </c>
      <c r="B39" t="s">
        <v>147</v>
      </c>
      <c r="C39" s="59">
        <v>53000</v>
      </c>
      <c r="D39" s="59">
        <v>52500</v>
      </c>
      <c r="E39" s="59">
        <v>50000</v>
      </c>
      <c r="F39" s="59">
        <v>59372.5</v>
      </c>
      <c r="G39" s="59">
        <v>59372.5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A40" s="61" t="s">
        <v>231</v>
      </c>
      <c r="B40" s="61"/>
      <c r="C40" s="62">
        <v>53000</v>
      </c>
      <c r="D40" s="62">
        <v>52500</v>
      </c>
      <c r="E40" s="62">
        <v>50000</v>
      </c>
      <c r="F40" s="62">
        <v>59372.5</v>
      </c>
      <c r="G40" s="62">
        <v>59372.5</v>
      </c>
      <c r="H40" s="62">
        <v>0</v>
      </c>
      <c r="I40" s="59">
        <f t="shared" si="0"/>
        <v>0</v>
      </c>
    </row>
    <row r="41" spans="1:16" ht="20.25" customHeight="1" x14ac:dyDescent="0.2">
      <c r="A41" t="s">
        <v>286</v>
      </c>
      <c r="B41" t="s">
        <v>354</v>
      </c>
      <c r="C41" s="59">
        <v>15000</v>
      </c>
      <c r="D41" s="59">
        <v>15750</v>
      </c>
      <c r="E41" s="59">
        <v>15000</v>
      </c>
      <c r="F41" s="59">
        <v>14878.050000000001</v>
      </c>
      <c r="G41" s="59">
        <v>0</v>
      </c>
      <c r="H41" s="59">
        <v>14878.050000000001</v>
      </c>
      <c r="I41" s="59"/>
    </row>
    <row r="42" spans="1:16" ht="20.25" customHeight="1" x14ac:dyDescent="0.2">
      <c r="A42" s="61" t="s">
        <v>340</v>
      </c>
      <c r="B42" s="61"/>
      <c r="C42" s="62">
        <v>15000</v>
      </c>
      <c r="D42" s="62">
        <v>15750</v>
      </c>
      <c r="E42" s="62">
        <v>15000</v>
      </c>
      <c r="F42" s="62">
        <v>14878.050000000001</v>
      </c>
      <c r="G42" s="62">
        <v>0</v>
      </c>
      <c r="H42" s="62">
        <v>14878.050000000001</v>
      </c>
      <c r="I42" s="59">
        <f t="shared" si="0"/>
        <v>14878.050000000001</v>
      </c>
    </row>
    <row r="43" spans="1:16" ht="20.25" customHeight="1" x14ac:dyDescent="0.2">
      <c r="A43" t="s">
        <v>96</v>
      </c>
      <c r="C43" s="59">
        <v>759206</v>
      </c>
      <c r="D43" s="59">
        <v>305063.84999999998</v>
      </c>
      <c r="E43" s="59">
        <v>461906</v>
      </c>
      <c r="F43" s="59">
        <v>369840.98510699999</v>
      </c>
      <c r="G43" s="59">
        <v>295170.81230000005</v>
      </c>
      <c r="H43" s="59">
        <v>74670.172806999995</v>
      </c>
      <c r="I43" s="59"/>
    </row>
    <row r="44" spans="1:16" ht="20.25" customHeight="1" x14ac:dyDescent="0.2">
      <c r="C44"/>
      <c r="I44" s="59">
        <f t="shared" si="0"/>
        <v>0</v>
      </c>
    </row>
    <row r="45" spans="1:16" ht="20.25" customHeight="1" x14ac:dyDescent="0.2">
      <c r="C45"/>
      <c r="I45" s="59">
        <f t="shared" si="0"/>
        <v>0</v>
      </c>
    </row>
    <row r="46" spans="1:16" ht="20.25" customHeight="1" x14ac:dyDescent="0.2">
      <c r="C46"/>
      <c r="I46" s="69"/>
      <c r="J46" s="69">
        <v>74000</v>
      </c>
    </row>
    <row r="47" spans="1:16" ht="20.25" customHeight="1" x14ac:dyDescent="0.2">
      <c r="C47"/>
      <c r="I47" s="59">
        <f t="shared" si="0"/>
        <v>0</v>
      </c>
    </row>
    <row r="48" spans="1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  <c r="M51">
        <v>102.14</v>
      </c>
    </row>
    <row r="52" spans="3:16" ht="20.25" customHeight="1" x14ac:dyDescent="0.2">
      <c r="C52"/>
      <c r="I52" s="59">
        <f t="shared" si="0"/>
        <v>0</v>
      </c>
      <c r="M52">
        <v>3300</v>
      </c>
    </row>
    <row r="53" spans="3:16" ht="20.25" customHeight="1" x14ac:dyDescent="0.2">
      <c r="C53"/>
      <c r="I53" s="59"/>
      <c r="M53">
        <f>+M52/M51</f>
        <v>32.308596044644602</v>
      </c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>
        <v>114.47</v>
      </c>
    </row>
    <row r="56" spans="3:16" ht="20.25" customHeight="1" x14ac:dyDescent="0.2">
      <c r="C56"/>
      <c r="I56" s="69">
        <f>H56-J56</f>
        <v>-166000</v>
      </c>
      <c r="J56" s="69">
        <v>166000</v>
      </c>
      <c r="M56">
        <f>+M55*32.2</f>
        <v>3685.9340000000002</v>
      </c>
    </row>
    <row r="57" spans="3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-31537.704385999969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-31537.704385999969</v>
      </c>
      <c r="J79">
        <v>16</v>
      </c>
      <c r="K79" s="58">
        <f>+I79*0.9779</f>
        <v>-30840.721119069371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-1971.106524124998</v>
      </c>
      <c r="K81" s="58">
        <f>+K79*85</f>
        <v>-2621461.2951208963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-2621.4612951208965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9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164</v>
      </c>
      <c r="B122">
        <v>20700</v>
      </c>
      <c r="C122" s="58">
        <v>424374</v>
      </c>
    </row>
    <row r="123" spans="1:9" x14ac:dyDescent="0.2">
      <c r="A123" s="64" t="s">
        <v>164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17" sqref="E17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151</v>
      </c>
    </row>
    <row r="3" spans="1:12" x14ac:dyDescent="0.2">
      <c r="A3" s="57" t="s">
        <v>29</v>
      </c>
      <c r="B3" t="s">
        <v>63</v>
      </c>
    </row>
    <row r="4" spans="1:12" x14ac:dyDescent="0.2">
      <c r="A4" s="57" t="s">
        <v>42</v>
      </c>
      <c r="B4" t="s">
        <v>169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2" ht="20.25" customHeight="1" x14ac:dyDescent="0.2">
      <c r="A7" t="s">
        <v>112</v>
      </c>
      <c r="B7" s="59">
        <v>503</v>
      </c>
      <c r="C7" s="59">
        <v>0</v>
      </c>
      <c r="D7" s="59">
        <v>503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80</v>
      </c>
      <c r="B8" s="59">
        <v>31638</v>
      </c>
      <c r="C8" s="59">
        <v>24402</v>
      </c>
      <c r="D8" s="59">
        <v>28033</v>
      </c>
      <c r="E8" s="59">
        <v>25634.949999999997</v>
      </c>
      <c r="F8" s="59">
        <v>0</v>
      </c>
      <c r="G8" s="59">
        <v>25634.949999999997</v>
      </c>
    </row>
    <row r="9" spans="1:12" ht="20.25" customHeight="1" x14ac:dyDescent="0.2">
      <c r="A9" t="s">
        <v>120</v>
      </c>
      <c r="B9" s="59">
        <v>52000</v>
      </c>
      <c r="C9" s="59">
        <v>54106.5</v>
      </c>
      <c r="D9" s="59">
        <v>51530</v>
      </c>
      <c r="E9" s="59">
        <v>56618.5939</v>
      </c>
      <c r="F9" s="59">
        <v>56618.5939</v>
      </c>
      <c r="G9" s="59">
        <v>0</v>
      </c>
    </row>
    <row r="10" spans="1:12" ht="20.25" customHeight="1" x14ac:dyDescent="0.2">
      <c r="A10" t="s">
        <v>99</v>
      </c>
      <c r="B10" s="59">
        <v>437878</v>
      </c>
      <c r="C10" s="59">
        <v>458196.9</v>
      </c>
      <c r="D10" s="59">
        <v>436378</v>
      </c>
      <c r="E10" s="59">
        <v>469407.45082000003</v>
      </c>
      <c r="F10" s="59">
        <v>14846</v>
      </c>
      <c r="G10" s="59">
        <v>454561.45082000003</v>
      </c>
    </row>
    <row r="11" spans="1:12" ht="20.25" customHeight="1" x14ac:dyDescent="0.2">
      <c r="A11" t="s">
        <v>213</v>
      </c>
      <c r="B11" s="59">
        <v>1000</v>
      </c>
      <c r="C11" s="59">
        <v>0</v>
      </c>
      <c r="D11" s="59">
        <v>1000</v>
      </c>
      <c r="E11" s="59">
        <v>1159.5100000000002</v>
      </c>
      <c r="F11" s="59">
        <v>1159.5100000000002</v>
      </c>
      <c r="G11" s="59">
        <v>0</v>
      </c>
      <c r="L11">
        <f>76*2500</f>
        <v>190000</v>
      </c>
    </row>
    <row r="12" spans="1:12" ht="20.25" customHeight="1" x14ac:dyDescent="0.2">
      <c r="A12" t="s">
        <v>96</v>
      </c>
      <c r="B12" s="59">
        <v>523019</v>
      </c>
      <c r="C12" s="59">
        <v>536705.4</v>
      </c>
      <c r="D12" s="59">
        <v>517444</v>
      </c>
      <c r="E12" s="59">
        <v>552820.50472000008</v>
      </c>
      <c r="F12" s="59">
        <v>72624.103900000002</v>
      </c>
      <c r="G12" s="59">
        <v>480196.40082000004</v>
      </c>
    </row>
    <row r="13" spans="1:12" ht="20.25" customHeight="1" x14ac:dyDescent="0.2">
      <c r="C13"/>
    </row>
    <row r="14" spans="1:12" ht="20.25" customHeight="1" x14ac:dyDescent="0.2">
      <c r="C14"/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223</v>
      </c>
      <c r="B37" s="58">
        <v>1287052</v>
      </c>
      <c r="C37"/>
      <c r="G37" s="59"/>
    </row>
    <row r="38" spans="1:9" ht="20.25" customHeight="1" x14ac:dyDescent="0.2">
      <c r="A38" t="s">
        <v>175</v>
      </c>
      <c r="B38" s="65">
        <f>++B22+B37</f>
        <v>1287052</v>
      </c>
      <c r="C38"/>
      <c r="G38" s="59"/>
    </row>
    <row r="39" spans="1:9" ht="20.25" customHeight="1" x14ac:dyDescent="0.2">
      <c r="A39" t="s">
        <v>135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180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D18" sqref="D18"/>
    </sheetView>
  </sheetViews>
  <sheetFormatPr defaultRowHeight="14.25" x14ac:dyDescent="0.2"/>
  <cols>
    <col min="1" max="1" width="35.375" customWidth="1"/>
    <col min="2" max="2" width="19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151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172</v>
      </c>
      <c r="B5" t="s">
        <v>73</v>
      </c>
      <c r="C5" s="59">
        <v>215000</v>
      </c>
      <c r="D5" s="59">
        <v>57750</v>
      </c>
      <c r="E5" s="59">
        <v>155000</v>
      </c>
      <c r="F5" s="59">
        <v>99396.550000000017</v>
      </c>
      <c r="G5" s="59">
        <v>0</v>
      </c>
      <c r="H5" s="59">
        <f>G5</f>
        <v>0</v>
      </c>
    </row>
    <row r="6" spans="1:11" ht="20.25" customHeight="1" x14ac:dyDescent="0.2">
      <c r="A6" s="61" t="s">
        <v>227</v>
      </c>
      <c r="B6" s="61"/>
      <c r="C6" s="62">
        <v>215000</v>
      </c>
      <c r="D6" s="62">
        <v>57750</v>
      </c>
      <c r="E6" s="62">
        <v>155000</v>
      </c>
      <c r="F6" s="62">
        <v>99396.550000000017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168</v>
      </c>
      <c r="B7" t="s">
        <v>278</v>
      </c>
      <c r="C7" s="59">
        <v>5800</v>
      </c>
      <c r="D7" s="59">
        <v>0</v>
      </c>
      <c r="E7" s="59">
        <v>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228</v>
      </c>
      <c r="B8" s="61"/>
      <c r="C8" s="62">
        <v>5800</v>
      </c>
      <c r="D8" s="62">
        <v>0</v>
      </c>
      <c r="E8" s="62">
        <v>0</v>
      </c>
      <c r="F8" s="62">
        <v>0</v>
      </c>
      <c r="G8" s="62">
        <v>0</v>
      </c>
      <c r="H8" s="59"/>
    </row>
    <row r="9" spans="1:11" ht="20.25" customHeight="1" x14ac:dyDescent="0.2">
      <c r="A9" t="s">
        <v>81</v>
      </c>
      <c r="B9" t="s">
        <v>85</v>
      </c>
      <c r="C9" s="59">
        <v>103000</v>
      </c>
      <c r="D9" s="59">
        <v>0</v>
      </c>
      <c r="E9" s="59">
        <v>2000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139</v>
      </c>
      <c r="C10" s="59">
        <v>393</v>
      </c>
      <c r="D10" s="59">
        <v>412.65000000000003</v>
      </c>
      <c r="E10" s="59">
        <v>393</v>
      </c>
      <c r="F10" s="59">
        <v>411.76575000000003</v>
      </c>
      <c r="G10" s="59">
        <v>0</v>
      </c>
      <c r="H10" s="59">
        <f t="shared" si="0"/>
        <v>0</v>
      </c>
    </row>
    <row r="11" spans="1:11" ht="20.25" customHeight="1" x14ac:dyDescent="0.2">
      <c r="A11" s="61" t="s">
        <v>229</v>
      </c>
      <c r="B11" s="61"/>
      <c r="C11" s="62">
        <v>103393</v>
      </c>
      <c r="D11" s="62">
        <v>412.65000000000003</v>
      </c>
      <c r="E11" s="62">
        <v>2393</v>
      </c>
      <c r="F11" s="62">
        <v>411.76575000000003</v>
      </c>
      <c r="G11" s="62">
        <v>0</v>
      </c>
      <c r="H11" s="59"/>
    </row>
    <row r="12" spans="1:11" ht="20.25" customHeight="1" x14ac:dyDescent="0.2">
      <c r="A12" t="s">
        <v>80</v>
      </c>
      <c r="B12" t="s">
        <v>139</v>
      </c>
      <c r="C12" s="59">
        <v>1693</v>
      </c>
      <c r="D12" s="59">
        <v>1644.3</v>
      </c>
      <c r="E12" s="59">
        <v>1693</v>
      </c>
      <c r="F12" s="59">
        <v>0</v>
      </c>
      <c r="G12" s="59">
        <v>1640.7765000000002</v>
      </c>
      <c r="H12" s="59">
        <f t="shared" si="0"/>
        <v>1640.7765000000002</v>
      </c>
      <c r="I12" s="66"/>
    </row>
    <row r="13" spans="1:11" ht="20.25" customHeight="1" x14ac:dyDescent="0.2">
      <c r="B13" t="s">
        <v>107</v>
      </c>
      <c r="C13" s="59">
        <v>14000</v>
      </c>
      <c r="D13" s="59">
        <v>0</v>
      </c>
      <c r="E13" s="59">
        <v>10000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B14" t="s">
        <v>267</v>
      </c>
      <c r="C14" s="59">
        <v>20000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</row>
    <row r="15" spans="1:11" ht="20.25" customHeight="1" x14ac:dyDescent="0.2">
      <c r="A15" s="61" t="s">
        <v>153</v>
      </c>
      <c r="B15" s="61"/>
      <c r="C15" s="62">
        <v>35693</v>
      </c>
      <c r="D15" s="62">
        <v>1644.3</v>
      </c>
      <c r="E15" s="62">
        <v>11693</v>
      </c>
      <c r="F15" s="62">
        <v>0</v>
      </c>
      <c r="G15" s="62">
        <v>1640.7765000000002</v>
      </c>
      <c r="H15" s="59"/>
      <c r="I15" s="63"/>
      <c r="J15" s="63"/>
      <c r="K15" s="60"/>
    </row>
    <row r="16" spans="1:11" ht="20.25" customHeight="1" x14ac:dyDescent="0.2">
      <c r="A16" t="s">
        <v>120</v>
      </c>
      <c r="B16" t="s">
        <v>280</v>
      </c>
      <c r="C16" s="59">
        <v>5000</v>
      </c>
      <c r="D16" s="59">
        <v>0</v>
      </c>
      <c r="E16" s="59">
        <v>0</v>
      </c>
      <c r="F16" s="59">
        <v>0</v>
      </c>
      <c r="G16" s="59">
        <v>0</v>
      </c>
      <c r="H16" s="59">
        <f t="shared" si="0"/>
        <v>0</v>
      </c>
    </row>
    <row r="17" spans="1:8" ht="20.25" customHeight="1" x14ac:dyDescent="0.2">
      <c r="B17" t="s">
        <v>303</v>
      </c>
      <c r="C17" s="59">
        <v>30000</v>
      </c>
      <c r="D17" s="59">
        <v>0</v>
      </c>
      <c r="E17" s="59">
        <v>0</v>
      </c>
      <c r="F17" s="59">
        <v>0</v>
      </c>
      <c r="G17" s="59">
        <v>0</v>
      </c>
      <c r="H17" s="59"/>
    </row>
    <row r="18" spans="1:8" ht="20.25" customHeight="1" x14ac:dyDescent="0.2">
      <c r="A18" s="61" t="s">
        <v>186</v>
      </c>
      <c r="B18" s="61"/>
      <c r="C18" s="62">
        <v>35000</v>
      </c>
      <c r="D18" s="62">
        <v>0</v>
      </c>
      <c r="E18" s="62">
        <v>0</v>
      </c>
      <c r="F18" s="62">
        <v>0</v>
      </c>
      <c r="G18" s="62">
        <v>0</v>
      </c>
      <c r="H18" s="59">
        <f t="shared" si="0"/>
        <v>0</v>
      </c>
    </row>
    <row r="19" spans="1:8" ht="20.25" customHeight="1" x14ac:dyDescent="0.2">
      <c r="A19" t="s">
        <v>321</v>
      </c>
      <c r="B19" t="s">
        <v>320</v>
      </c>
      <c r="C19" s="59">
        <v>10000</v>
      </c>
      <c r="D19" s="59">
        <v>0</v>
      </c>
      <c r="E19" s="59">
        <v>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323</v>
      </c>
      <c r="B20" s="61"/>
      <c r="C20" s="62">
        <v>10000</v>
      </c>
      <c r="D20" s="62">
        <v>0</v>
      </c>
      <c r="E20" s="62">
        <v>0</v>
      </c>
      <c r="F20" s="62">
        <v>0</v>
      </c>
      <c r="G20" s="62">
        <v>0</v>
      </c>
      <c r="H20" s="59">
        <f t="shared" si="0"/>
        <v>0</v>
      </c>
    </row>
    <row r="21" spans="1:8" ht="20.25" customHeight="1" x14ac:dyDescent="0.2">
      <c r="A21" t="s">
        <v>83</v>
      </c>
      <c r="B21" t="s">
        <v>302</v>
      </c>
      <c r="C21" s="59">
        <v>10000</v>
      </c>
      <c r="D21" s="59">
        <v>0</v>
      </c>
      <c r="E21" s="59">
        <v>5000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230</v>
      </c>
      <c r="B22" s="61"/>
      <c r="C22" s="62">
        <v>10000</v>
      </c>
      <c r="D22" s="62">
        <v>0</v>
      </c>
      <c r="E22" s="62">
        <v>5000</v>
      </c>
      <c r="F22" s="62">
        <v>0</v>
      </c>
      <c r="G22" s="62">
        <v>0</v>
      </c>
      <c r="H22" s="59"/>
    </row>
    <row r="23" spans="1:8" ht="20.25" customHeight="1" x14ac:dyDescent="0.2">
      <c r="A23" t="s">
        <v>197</v>
      </c>
      <c r="B23" t="s">
        <v>322</v>
      </c>
      <c r="C23" s="59">
        <v>10000</v>
      </c>
      <c r="D23" s="59">
        <v>0</v>
      </c>
      <c r="E23" s="59">
        <v>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A24" s="61" t="s">
        <v>200</v>
      </c>
      <c r="B24" s="61"/>
      <c r="C24" s="62">
        <v>10000</v>
      </c>
      <c r="D24" s="62">
        <v>0</v>
      </c>
      <c r="E24" s="62">
        <v>0</v>
      </c>
      <c r="F24" s="62">
        <v>0</v>
      </c>
      <c r="G24" s="62">
        <v>0</v>
      </c>
      <c r="H24" s="59"/>
    </row>
    <row r="25" spans="1:8" ht="20.25" customHeight="1" x14ac:dyDescent="0.2">
      <c r="A25" t="s">
        <v>127</v>
      </c>
      <c r="B25" t="s">
        <v>147</v>
      </c>
      <c r="C25" s="59">
        <v>53000</v>
      </c>
      <c r="D25" s="59">
        <v>52500</v>
      </c>
      <c r="E25" s="59">
        <v>50000</v>
      </c>
      <c r="F25" s="59">
        <v>59372.5</v>
      </c>
      <c r="G25" s="59">
        <v>0</v>
      </c>
      <c r="H25" s="59">
        <f t="shared" si="0"/>
        <v>0</v>
      </c>
    </row>
    <row r="26" spans="1:8" ht="20.25" customHeight="1" x14ac:dyDescent="0.2">
      <c r="A26" s="61" t="s">
        <v>231</v>
      </c>
      <c r="B26" s="61"/>
      <c r="C26" s="62">
        <v>53000</v>
      </c>
      <c r="D26" s="62">
        <v>52500</v>
      </c>
      <c r="E26" s="62">
        <v>50000</v>
      </c>
      <c r="F26" s="62">
        <v>59372.5</v>
      </c>
      <c r="G26" s="62">
        <v>0</v>
      </c>
      <c r="H26" s="59"/>
    </row>
    <row r="27" spans="1:8" ht="20.25" customHeight="1" x14ac:dyDescent="0.2">
      <c r="A27" t="s">
        <v>96</v>
      </c>
      <c r="C27" s="59">
        <v>477886</v>
      </c>
      <c r="D27" s="59">
        <v>112306.95000000001</v>
      </c>
      <c r="E27" s="59">
        <v>224086</v>
      </c>
      <c r="F27" s="59">
        <v>159180.81575000001</v>
      </c>
      <c r="G27" s="59">
        <v>1640.7765000000002</v>
      </c>
      <c r="H27" s="59">
        <f t="shared" si="0"/>
        <v>1640.7765000000002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3281.5530000000003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F27" sqref="F27"/>
    </sheetView>
  </sheetViews>
  <sheetFormatPr defaultRowHeight="14.25" x14ac:dyDescent="0.2"/>
  <cols>
    <col min="1" max="1" width="35.375" customWidth="1"/>
    <col min="2" max="2" width="15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83</v>
      </c>
      <c r="B5" t="s">
        <v>216</v>
      </c>
      <c r="C5" s="59">
        <v>30000</v>
      </c>
      <c r="D5" s="59">
        <v>31500</v>
      </c>
      <c r="E5" s="59">
        <v>30000</v>
      </c>
      <c r="F5" s="59">
        <v>29756.100000000002</v>
      </c>
      <c r="G5" s="59">
        <v>29756.100000000002</v>
      </c>
      <c r="H5" s="59">
        <v>0</v>
      </c>
      <c r="I5" s="59"/>
    </row>
    <row r="6" spans="1:11" ht="20.25" customHeight="1" x14ac:dyDescent="0.2">
      <c r="A6" s="61" t="s">
        <v>230</v>
      </c>
      <c r="B6" s="61"/>
      <c r="C6" s="62">
        <v>30000</v>
      </c>
      <c r="D6" s="62">
        <v>31500</v>
      </c>
      <c r="E6" s="62">
        <v>30000</v>
      </c>
      <c r="F6" s="62">
        <v>29756.100000000002</v>
      </c>
      <c r="G6" s="62">
        <v>29756.100000000002</v>
      </c>
      <c r="H6" s="62">
        <v>0</v>
      </c>
    </row>
    <row r="7" spans="1:11" ht="20.25" customHeight="1" x14ac:dyDescent="0.2">
      <c r="A7" t="s">
        <v>84</v>
      </c>
      <c r="B7" t="s">
        <v>179</v>
      </c>
      <c r="C7" s="59">
        <v>8000</v>
      </c>
      <c r="D7" s="59">
        <v>8400</v>
      </c>
      <c r="E7" s="59">
        <v>8000</v>
      </c>
      <c r="F7" s="59">
        <v>9499.6</v>
      </c>
      <c r="G7" s="59">
        <v>1765</v>
      </c>
      <c r="H7" s="59">
        <v>7734.6</v>
      </c>
      <c r="I7" s="59"/>
      <c r="J7" s="59"/>
      <c r="K7" s="59"/>
    </row>
    <row r="8" spans="1:11" ht="20.25" customHeight="1" x14ac:dyDescent="0.2">
      <c r="A8" s="61" t="s">
        <v>190</v>
      </c>
      <c r="B8" s="61"/>
      <c r="C8" s="62">
        <v>8000</v>
      </c>
      <c r="D8" s="62">
        <v>8400</v>
      </c>
      <c r="E8" s="62">
        <v>8000</v>
      </c>
      <c r="F8" s="62">
        <v>9499.6</v>
      </c>
      <c r="G8" s="62">
        <v>1765</v>
      </c>
      <c r="H8" s="62">
        <v>7734.6</v>
      </c>
      <c r="J8" s="59"/>
      <c r="K8" s="59"/>
    </row>
    <row r="9" spans="1:11" ht="20.25" customHeight="1" x14ac:dyDescent="0.2">
      <c r="A9" t="s">
        <v>96</v>
      </c>
      <c r="C9" s="59">
        <v>38000</v>
      </c>
      <c r="D9" s="59">
        <v>39900</v>
      </c>
      <c r="E9" s="59">
        <v>38000</v>
      </c>
      <c r="F9" s="59">
        <v>39255.700000000004</v>
      </c>
      <c r="G9" s="59">
        <v>31521.100000000002</v>
      </c>
      <c r="H9" s="59">
        <v>7734.6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7734.6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166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6652-97B9-4AC4-97B6-62AADBEC4F69}">
  <sheetPr>
    <tabColor rgb="FF92D050"/>
  </sheetPr>
  <dimension ref="A3:N18"/>
  <sheetViews>
    <sheetView workbookViewId="0">
      <selection activeCell="M34" sqref="M34"/>
    </sheetView>
  </sheetViews>
  <sheetFormatPr defaultRowHeight="12.75" x14ac:dyDescent="0.2"/>
  <cols>
    <col min="1" max="1" width="15.25" style="73" bestFit="1" customWidth="1"/>
    <col min="2" max="2" width="6.125" style="73" bestFit="1" customWidth="1"/>
    <col min="3" max="3" width="5.625" style="73" bestFit="1" customWidth="1"/>
    <col min="4" max="5" width="7" style="73" bestFit="1" customWidth="1"/>
    <col min="6" max="6" width="6.125" style="73" bestFit="1" customWidth="1"/>
    <col min="7" max="11" width="6.5" style="73" bestFit="1" customWidth="1"/>
    <col min="12" max="12" width="7" style="73" bestFit="1" customWidth="1"/>
    <col min="13" max="13" width="7.375" style="73" bestFit="1" customWidth="1"/>
    <col min="14" max="14" width="10.25" style="73" bestFit="1" customWidth="1"/>
    <col min="15" max="15" width="13.5" style="73" bestFit="1" customWidth="1"/>
    <col min="16" max="16" width="13.375" style="73" bestFit="1" customWidth="1"/>
    <col min="17" max="16384" width="9" style="73"/>
  </cols>
  <sheetData>
    <row r="3" spans="1:14" x14ac:dyDescent="0.2">
      <c r="A3" s="75" t="s">
        <v>140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</row>
    <row r="4" spans="1:14" s="74" customFormat="1" x14ac:dyDescent="0.2">
      <c r="A4" s="76" t="s">
        <v>423</v>
      </c>
      <c r="B4" s="76">
        <v>45901</v>
      </c>
      <c r="C4" s="76">
        <v>45903</v>
      </c>
      <c r="D4" s="76">
        <v>45904</v>
      </c>
      <c r="E4" s="76">
        <v>45905</v>
      </c>
      <c r="F4" s="76">
        <v>45907</v>
      </c>
      <c r="G4" s="76">
        <v>45910</v>
      </c>
      <c r="H4" s="76">
        <v>45912</v>
      </c>
      <c r="I4" s="76">
        <v>45914</v>
      </c>
      <c r="J4" s="76">
        <v>45917</v>
      </c>
      <c r="K4" s="76">
        <v>45921</v>
      </c>
      <c r="L4" s="76">
        <v>45925</v>
      </c>
      <c r="M4" s="76">
        <v>45940</v>
      </c>
      <c r="N4" s="76" t="s">
        <v>96</v>
      </c>
    </row>
    <row r="5" spans="1:14" x14ac:dyDescent="0.2">
      <c r="A5" s="75" t="s">
        <v>379</v>
      </c>
      <c r="B5" s="77">
        <v>3702</v>
      </c>
      <c r="C5" s="77"/>
      <c r="D5" s="77">
        <v>7404.0999999999995</v>
      </c>
      <c r="E5" s="77"/>
      <c r="F5" s="77"/>
      <c r="G5" s="77"/>
      <c r="H5" s="77"/>
      <c r="I5" s="77"/>
      <c r="J5" s="77"/>
      <c r="K5" s="77"/>
      <c r="L5" s="77"/>
      <c r="M5" s="77"/>
      <c r="N5" s="77">
        <f>SUM(B5:M5)</f>
        <v>11106.099999999999</v>
      </c>
    </row>
    <row r="6" spans="1:14" x14ac:dyDescent="0.2">
      <c r="A6" s="75" t="s">
        <v>234</v>
      </c>
      <c r="B6" s="77"/>
      <c r="C6" s="77">
        <v>0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>
        <f t="shared" ref="N6:N17" si="0">SUM(B6:M6)</f>
        <v>0</v>
      </c>
    </row>
    <row r="7" spans="1:14" x14ac:dyDescent="0.2">
      <c r="A7" s="75" t="s">
        <v>417</v>
      </c>
      <c r="B7" s="77"/>
      <c r="C7" s="77"/>
      <c r="D7" s="77"/>
      <c r="E7" s="77"/>
      <c r="F7" s="77">
        <v>3841.7500000000005</v>
      </c>
      <c r="G7" s="77"/>
      <c r="H7" s="77"/>
      <c r="I7" s="77"/>
      <c r="J7" s="77"/>
      <c r="K7" s="77"/>
      <c r="L7" s="77"/>
      <c r="M7" s="77"/>
      <c r="N7" s="77">
        <f t="shared" si="0"/>
        <v>3841.7500000000005</v>
      </c>
    </row>
    <row r="8" spans="1:14" x14ac:dyDescent="0.2">
      <c r="A8" s="75" t="s">
        <v>172</v>
      </c>
      <c r="B8" s="77">
        <v>0</v>
      </c>
      <c r="C8" s="77"/>
      <c r="D8" s="77">
        <v>4679.9500000000007</v>
      </c>
      <c r="E8" s="77"/>
      <c r="F8" s="77"/>
      <c r="G8" s="77"/>
      <c r="H8" s="77"/>
      <c r="I8" s="77"/>
      <c r="J8" s="77"/>
      <c r="K8" s="77"/>
      <c r="L8" s="77"/>
      <c r="M8" s="77"/>
      <c r="N8" s="77">
        <f t="shared" si="0"/>
        <v>4679.9500000000007</v>
      </c>
    </row>
    <row r="9" spans="1:14" x14ac:dyDescent="0.2">
      <c r="A9" s="75" t="s">
        <v>112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>
        <f t="shared" si="0"/>
        <v>0</v>
      </c>
    </row>
    <row r="10" spans="1:14" x14ac:dyDescent="0.2">
      <c r="A10" s="75" t="s">
        <v>168</v>
      </c>
      <c r="B10" s="77"/>
      <c r="C10" s="77"/>
      <c r="D10" s="77"/>
      <c r="E10" s="77">
        <v>55162.899999999994</v>
      </c>
      <c r="F10" s="77"/>
      <c r="G10" s="77"/>
      <c r="H10" s="77"/>
      <c r="I10" s="77"/>
      <c r="J10" s="77"/>
      <c r="K10" s="77"/>
      <c r="L10" s="77"/>
      <c r="M10" s="77"/>
      <c r="N10" s="77">
        <f t="shared" si="0"/>
        <v>55162.899999999994</v>
      </c>
    </row>
    <row r="11" spans="1:14" x14ac:dyDescent="0.2">
      <c r="A11" s="75" t="s">
        <v>81</v>
      </c>
      <c r="B11" s="77">
        <v>0</v>
      </c>
      <c r="C11" s="77">
        <v>0</v>
      </c>
      <c r="D11" s="77"/>
      <c r="E11" s="77"/>
      <c r="F11" s="77"/>
      <c r="G11" s="77">
        <v>0</v>
      </c>
      <c r="H11" s="77"/>
      <c r="I11" s="77">
        <v>0</v>
      </c>
      <c r="J11" s="77">
        <v>0</v>
      </c>
      <c r="K11" s="77">
        <v>0</v>
      </c>
      <c r="L11" s="77"/>
      <c r="M11" s="77"/>
      <c r="N11" s="77">
        <f t="shared" si="0"/>
        <v>0</v>
      </c>
    </row>
    <row r="12" spans="1:14" x14ac:dyDescent="0.2">
      <c r="A12" s="75" t="s">
        <v>80</v>
      </c>
      <c r="B12" s="77"/>
      <c r="C12" s="77">
        <v>0</v>
      </c>
      <c r="D12" s="77">
        <v>0</v>
      </c>
      <c r="E12" s="77">
        <v>0</v>
      </c>
      <c r="F12" s="77"/>
      <c r="G12" s="77"/>
      <c r="H12" s="77"/>
      <c r="I12" s="77"/>
      <c r="J12" s="77">
        <v>0</v>
      </c>
      <c r="K12" s="77"/>
      <c r="L12" s="77">
        <v>4599.67</v>
      </c>
      <c r="M12" s="77"/>
      <c r="N12" s="77">
        <f t="shared" si="0"/>
        <v>4599.67</v>
      </c>
    </row>
    <row r="13" spans="1:14" x14ac:dyDescent="0.2">
      <c r="A13" s="75" t="s">
        <v>120</v>
      </c>
      <c r="B13" s="77"/>
      <c r="C13" s="77">
        <v>0</v>
      </c>
      <c r="D13" s="77"/>
      <c r="E13" s="77"/>
      <c r="F13" s="77"/>
      <c r="G13" s="77"/>
      <c r="H13" s="77"/>
      <c r="I13" s="77"/>
      <c r="J13" s="77"/>
      <c r="K13" s="77">
        <v>0</v>
      </c>
      <c r="L13" s="77"/>
      <c r="M13" s="77"/>
      <c r="N13" s="77">
        <f t="shared" si="0"/>
        <v>0</v>
      </c>
    </row>
    <row r="14" spans="1:14" x14ac:dyDescent="0.2">
      <c r="A14" s="75" t="s">
        <v>411</v>
      </c>
      <c r="B14" s="77"/>
      <c r="C14" s="77"/>
      <c r="D14" s="77">
        <v>0</v>
      </c>
      <c r="E14" s="77"/>
      <c r="F14" s="77"/>
      <c r="G14" s="77"/>
      <c r="H14" s="77"/>
      <c r="I14" s="77"/>
      <c r="J14" s="77"/>
      <c r="K14" s="77"/>
      <c r="L14" s="77"/>
      <c r="M14" s="77"/>
      <c r="N14" s="77">
        <f t="shared" si="0"/>
        <v>0</v>
      </c>
    </row>
    <row r="15" spans="1:14" x14ac:dyDescent="0.2">
      <c r="A15" s="75" t="s">
        <v>84</v>
      </c>
      <c r="B15" s="77">
        <v>1621</v>
      </c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>
        <f t="shared" si="0"/>
        <v>1621</v>
      </c>
    </row>
    <row r="16" spans="1:14" x14ac:dyDescent="0.2">
      <c r="A16" s="75" t="s">
        <v>88</v>
      </c>
      <c r="B16" s="77"/>
      <c r="C16" s="77">
        <v>0</v>
      </c>
      <c r="D16" s="77">
        <v>0</v>
      </c>
      <c r="E16" s="77"/>
      <c r="F16" s="77"/>
      <c r="G16" s="77"/>
      <c r="H16" s="77">
        <v>0</v>
      </c>
      <c r="I16" s="77"/>
      <c r="J16" s="77"/>
      <c r="K16" s="77"/>
      <c r="L16" s="77">
        <v>37299.899999999994</v>
      </c>
      <c r="M16" s="77">
        <v>12433.3</v>
      </c>
      <c r="N16" s="77">
        <f t="shared" si="0"/>
        <v>49733.2</v>
      </c>
    </row>
    <row r="17" spans="1:14" x14ac:dyDescent="0.2">
      <c r="A17" s="75" t="s">
        <v>127</v>
      </c>
      <c r="B17" s="77"/>
      <c r="C17" s="77"/>
      <c r="D17" s="77">
        <v>0</v>
      </c>
      <c r="E17" s="77"/>
      <c r="F17" s="77"/>
      <c r="G17" s="77"/>
      <c r="H17" s="77"/>
      <c r="I17" s="77"/>
      <c r="J17" s="77"/>
      <c r="K17" s="77"/>
      <c r="L17" s="77"/>
      <c r="M17" s="77"/>
      <c r="N17" s="77">
        <f t="shared" si="0"/>
        <v>0</v>
      </c>
    </row>
    <row r="18" spans="1:14" x14ac:dyDescent="0.2">
      <c r="A18" s="75" t="s">
        <v>96</v>
      </c>
      <c r="B18" s="77">
        <f>SUM(B5:B17)</f>
        <v>5323</v>
      </c>
      <c r="C18" s="77">
        <f t="shared" ref="C18:N18" si="1">SUM(C5:C17)</f>
        <v>0</v>
      </c>
      <c r="D18" s="77">
        <f t="shared" si="1"/>
        <v>12084.05</v>
      </c>
      <c r="E18" s="77">
        <f t="shared" si="1"/>
        <v>55162.899999999994</v>
      </c>
      <c r="F18" s="77">
        <f t="shared" si="1"/>
        <v>3841.7500000000005</v>
      </c>
      <c r="G18" s="77">
        <f t="shared" si="1"/>
        <v>0</v>
      </c>
      <c r="H18" s="77">
        <f t="shared" si="1"/>
        <v>0</v>
      </c>
      <c r="I18" s="77">
        <f t="shared" si="1"/>
        <v>0</v>
      </c>
      <c r="J18" s="77">
        <f t="shared" si="1"/>
        <v>0</v>
      </c>
      <c r="K18" s="77">
        <f t="shared" si="1"/>
        <v>0</v>
      </c>
      <c r="L18" s="77">
        <f t="shared" si="1"/>
        <v>41899.569999999992</v>
      </c>
      <c r="M18" s="77">
        <f t="shared" si="1"/>
        <v>12433.3</v>
      </c>
      <c r="N18" s="77">
        <f t="shared" si="1"/>
        <v>130744.56999999999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A8E8-C9B8-47A7-818B-69246230AD25}">
  <sheetPr>
    <tabColor rgb="FFFFFF00"/>
  </sheetPr>
  <dimension ref="A1:BD140"/>
  <sheetViews>
    <sheetView tabSelected="1" zoomScale="80" zoomScaleNormal="80" workbookViewId="0">
      <selection activeCell="Q54" sqref="Q5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45909</v>
      </c>
      <c r="E3" s="80" t="s">
        <v>52</v>
      </c>
      <c r="F3" s="80"/>
      <c r="G3" s="81">
        <v>9.48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45909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45901</v>
      </c>
      <c r="B12" s="14" t="s">
        <v>426</v>
      </c>
      <c r="C12" s="9" t="s">
        <v>415</v>
      </c>
      <c r="D12" s="13" t="s">
        <v>437</v>
      </c>
      <c r="E12" s="9">
        <v>18</v>
      </c>
      <c r="F12" s="9">
        <v>26</v>
      </c>
      <c r="G12" s="9" t="s">
        <v>60</v>
      </c>
      <c r="H12" s="9" t="s">
        <v>66</v>
      </c>
      <c r="I12" s="9">
        <v>65</v>
      </c>
      <c r="J12" s="9" t="s">
        <v>57</v>
      </c>
      <c r="K12" s="9">
        <v>5</v>
      </c>
      <c r="L12" s="9" t="s">
        <v>91</v>
      </c>
      <c r="M12" s="10">
        <v>19</v>
      </c>
      <c r="N12" s="9">
        <v>29</v>
      </c>
      <c r="O12" s="9">
        <v>40</v>
      </c>
      <c r="P12" s="10">
        <v>67.968380191999998</v>
      </c>
      <c r="Q12" s="10">
        <v>0</v>
      </c>
      <c r="R12" s="10">
        <v>67.968380191999998</v>
      </c>
      <c r="S12" s="9" t="s">
        <v>67</v>
      </c>
      <c r="T12" s="12">
        <v>45912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417</v>
      </c>
      <c r="AA12" s="8">
        <v>3841.7500000000005</v>
      </c>
      <c r="AB12" s="8">
        <v>3841.7500000000005</v>
      </c>
      <c r="AC12" s="8">
        <v>0</v>
      </c>
      <c r="AD12" s="8">
        <v>3841.7500000000005</v>
      </c>
      <c r="AE12" s="8">
        <v>0</v>
      </c>
      <c r="AF12" s="8">
        <v>0</v>
      </c>
      <c r="AG12" s="1" t="s">
        <v>119</v>
      </c>
      <c r="AH12" s="1" t="s">
        <v>68</v>
      </c>
      <c r="AI12" s="1">
        <v>4</v>
      </c>
      <c r="AJ12" s="3">
        <v>45912</v>
      </c>
      <c r="AK12" s="3">
        <v>45908</v>
      </c>
      <c r="AL12" s="3">
        <v>45902</v>
      </c>
      <c r="AM12" s="3">
        <v>45909</v>
      </c>
      <c r="AN12" s="3">
        <v>45910</v>
      </c>
      <c r="AO12" s="3">
        <v>45910</v>
      </c>
      <c r="AP12" s="3">
        <v>45907</v>
      </c>
      <c r="AQ12" s="3">
        <v>45911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3841.7500000000005</v>
      </c>
      <c r="AB13" s="8">
        <v>3841.7500000000005</v>
      </c>
      <c r="AC13" s="8">
        <v>0</v>
      </c>
      <c r="AD13" s="8">
        <v>3841.7500000000005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408</v>
      </c>
      <c r="C14" s="9" t="s">
        <v>136</v>
      </c>
      <c r="D14" s="13" t="s">
        <v>199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45911</v>
      </c>
      <c r="U14" s="11">
        <v>40000</v>
      </c>
      <c r="V14" s="10">
        <v>37000</v>
      </c>
      <c r="W14" s="10">
        <v>3000</v>
      </c>
      <c r="X14" s="10">
        <v>42806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45911</v>
      </c>
      <c r="AK14" s="3">
        <v>0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45898</v>
      </c>
      <c r="B15" s="14" t="s">
        <v>407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45917</v>
      </c>
      <c r="U15" s="11">
        <v>50000</v>
      </c>
      <c r="V15" s="10">
        <v>2344</v>
      </c>
      <c r="W15" s="10">
        <v>47656</v>
      </c>
      <c r="X15" s="10">
        <v>28455</v>
      </c>
      <c r="Y15" s="10">
        <v>22622.25</v>
      </c>
      <c r="Z15" s="9" t="s">
        <v>168</v>
      </c>
      <c r="AA15" s="8">
        <v>19910.068447499998</v>
      </c>
      <c r="AB15" s="8">
        <v>19910.068447499998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45917</v>
      </c>
      <c r="AK15" s="3">
        <v>0</v>
      </c>
      <c r="AL15" s="3">
        <v>45908</v>
      </c>
      <c r="AM15" s="3">
        <v>45915</v>
      </c>
      <c r="AN15" s="3">
        <v>45916</v>
      </c>
      <c r="AO15" s="3">
        <v>45916</v>
      </c>
      <c r="AP15" s="3">
        <v>45912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135</v>
      </c>
      <c r="B16" s="14" t="s">
        <v>135</v>
      </c>
      <c r="C16" s="9" t="s">
        <v>237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4291</v>
      </c>
      <c r="AC16" s="8">
        <v>30913.4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2244.9998044444446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73616.182777499998</v>
      </c>
      <c r="AB18" s="8">
        <v>24201.068447499998</v>
      </c>
      <c r="AC18" s="8">
        <v>49415.114330000004</v>
      </c>
      <c r="AD18" s="8">
        <v>0</v>
      </c>
      <c r="AE18" s="8">
        <v>0</v>
      </c>
      <c r="AF18" s="8" t="s">
        <v>58</v>
      </c>
      <c r="AG18" s="1" t="s">
        <v>117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45904</v>
      </c>
      <c r="B19" s="14" t="s">
        <v>446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447</v>
      </c>
      <c r="T19" s="12">
        <v>45915</v>
      </c>
      <c r="U19" s="11">
        <v>20000</v>
      </c>
      <c r="V19" s="10">
        <v>5000</v>
      </c>
      <c r="W19" s="10">
        <v>15000</v>
      </c>
      <c r="X19" s="10">
        <v>0</v>
      </c>
      <c r="Y19" s="10">
        <v>0</v>
      </c>
      <c r="Z19" s="9" t="s">
        <v>172</v>
      </c>
      <c r="AA19" s="8">
        <v>14039.85</v>
      </c>
      <c r="AB19" s="8">
        <v>14039.85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77</v>
      </c>
      <c r="AI19" s="1">
        <v>1</v>
      </c>
      <c r="AJ19" s="3">
        <v>45915</v>
      </c>
      <c r="AK19" s="3">
        <v>0</v>
      </c>
      <c r="AL19" s="3">
        <v>0</v>
      </c>
      <c r="AM19" s="3">
        <v>0</v>
      </c>
      <c r="AN19" s="3">
        <v>0</v>
      </c>
      <c r="AO19" s="3">
        <v>45914</v>
      </c>
      <c r="AP19" s="3">
        <v>45910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45904</v>
      </c>
      <c r="B20" s="14" t="s">
        <v>448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45915</v>
      </c>
      <c r="U20" s="11">
        <v>20000</v>
      </c>
      <c r="V20" s="10">
        <v>0</v>
      </c>
      <c r="W20" s="10">
        <v>20000</v>
      </c>
      <c r="X20" s="10">
        <v>0</v>
      </c>
      <c r="Y20" s="10">
        <v>0</v>
      </c>
      <c r="Z20" s="9" t="s">
        <v>172</v>
      </c>
      <c r="AA20" s="8">
        <v>18719.800000000003</v>
      </c>
      <c r="AB20" s="8">
        <v>18719.800000000003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77</v>
      </c>
      <c r="AI20" s="1">
        <v>1</v>
      </c>
      <c r="AJ20" s="3">
        <v>45915</v>
      </c>
      <c r="AK20" s="3">
        <v>0</v>
      </c>
      <c r="AL20" s="3">
        <v>0</v>
      </c>
      <c r="AM20" s="3">
        <v>0</v>
      </c>
      <c r="AN20" s="3">
        <v>0</v>
      </c>
      <c r="AO20" s="3">
        <v>45914</v>
      </c>
      <c r="AP20" s="3">
        <v>45910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462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117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386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117</v>
      </c>
      <c r="AH24" s="1" t="s">
        <v>74</v>
      </c>
      <c r="AI24" s="1">
        <v>2</v>
      </c>
      <c r="AJ24" s="3">
        <v>45916</v>
      </c>
      <c r="AK24" s="3">
        <v>0</v>
      </c>
      <c r="AL24" s="3">
        <v>45907</v>
      </c>
      <c r="AM24" s="3">
        <v>45914</v>
      </c>
      <c r="AN24" s="3">
        <v>45915</v>
      </c>
      <c r="AO24" s="3">
        <v>45915</v>
      </c>
      <c r="AP24" s="3">
        <v>45911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467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463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118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45905</v>
      </c>
      <c r="B28" s="14" t="s">
        <v>461</v>
      </c>
      <c r="C28" s="9" t="s">
        <v>73</v>
      </c>
      <c r="D28" s="13" t="s">
        <v>282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45918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466</v>
      </c>
      <c r="AG28" s="1" t="s">
        <v>61</v>
      </c>
      <c r="AH28" s="1" t="s">
        <v>74</v>
      </c>
      <c r="AI28" s="1">
        <v>2</v>
      </c>
      <c r="AJ28" s="3">
        <v>45918</v>
      </c>
      <c r="AK28" s="3">
        <v>0</v>
      </c>
      <c r="AL28" s="3">
        <v>45909</v>
      </c>
      <c r="AM28" s="3">
        <v>45916</v>
      </c>
      <c r="AN28" s="3">
        <v>45917</v>
      </c>
      <c r="AO28" s="3">
        <v>45917</v>
      </c>
      <c r="AP28" s="3">
        <v>45913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352.51463377777782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0</v>
      </c>
      <c r="AC29" s="8">
        <v>18719.800000000003</v>
      </c>
      <c r="AD29" s="8">
        <v>0</v>
      </c>
      <c r="AE29" s="8">
        <v>0</v>
      </c>
      <c r="AF29" s="8">
        <v>0</v>
      </c>
      <c r="AG29" s="1" t="s">
        <v>115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1410.0585351111113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45924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>
        <v>0</v>
      </c>
      <c r="AG30" s="1" t="s">
        <v>115</v>
      </c>
      <c r="AH30" s="1" t="s">
        <v>77</v>
      </c>
      <c r="AI30" s="1">
        <v>1</v>
      </c>
      <c r="AJ30" s="3">
        <v>45924</v>
      </c>
      <c r="AK30" s="3">
        <v>0</v>
      </c>
      <c r="AL30" s="3">
        <v>0</v>
      </c>
      <c r="AM30" s="3">
        <v>0</v>
      </c>
      <c r="AN30" s="3">
        <v>0</v>
      </c>
      <c r="AO30" s="3">
        <v>45923</v>
      </c>
      <c r="AP30" s="3">
        <v>45919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1410.0585351111113</v>
      </c>
    </row>
    <row r="31" spans="1:56" ht="27.75" customHeight="1" x14ac:dyDescent="0.45">
      <c r="A31" s="3" t="s">
        <v>135</v>
      </c>
      <c r="B31" s="14" t="s">
        <v>135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45930</v>
      </c>
      <c r="U31" s="11">
        <v>140000</v>
      </c>
      <c r="V31" s="10">
        <v>0</v>
      </c>
      <c r="W31" s="10">
        <v>140000</v>
      </c>
      <c r="X31" s="10">
        <v>0</v>
      </c>
      <c r="Y31" s="10">
        <v>147000</v>
      </c>
      <c r="Z31" s="9" t="s">
        <v>172</v>
      </c>
      <c r="AA31" s="8">
        <v>131038.6</v>
      </c>
      <c r="AB31" s="8">
        <v>0</v>
      </c>
      <c r="AC31" s="8">
        <v>131038.6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45930</v>
      </c>
      <c r="AK31" s="3">
        <v>0</v>
      </c>
      <c r="AL31" s="3">
        <v>45921</v>
      </c>
      <c r="AM31" s="3">
        <v>45928</v>
      </c>
      <c r="AN31" s="3">
        <v>45929</v>
      </c>
      <c r="AO31" s="3">
        <v>45929</v>
      </c>
      <c r="AP31" s="3">
        <v>45925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9870.4097457777771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172</v>
      </c>
      <c r="AA32" s="8">
        <v>205917.80000000002</v>
      </c>
      <c r="AB32" s="8">
        <v>32759.65</v>
      </c>
      <c r="AC32" s="8">
        <v>173158.15000000002</v>
      </c>
      <c r="AD32" s="8">
        <v>0</v>
      </c>
      <c r="AE32" s="8">
        <v>0</v>
      </c>
      <c r="AF32" s="8" t="s">
        <v>58</v>
      </c>
      <c r="AG32" s="1" t="s">
        <v>116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7.75" customHeight="1" x14ac:dyDescent="0.45">
      <c r="A33" s="3">
        <v>45905</v>
      </c>
      <c r="B33" s="14" t="s">
        <v>470</v>
      </c>
      <c r="C33" s="9" t="s">
        <v>139</v>
      </c>
      <c r="D33" s="13" t="s">
        <v>250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196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108</v>
      </c>
      <c r="T33" s="12">
        <v>45920</v>
      </c>
      <c r="U33" s="11">
        <v>5040</v>
      </c>
      <c r="V33" s="10">
        <v>0</v>
      </c>
      <c r="W33" s="10">
        <v>5040</v>
      </c>
      <c r="X33" s="10">
        <v>0</v>
      </c>
      <c r="Y33" s="10">
        <v>5292</v>
      </c>
      <c r="Z33" s="9" t="s">
        <v>112</v>
      </c>
      <c r="AA33" s="8">
        <v>4999.0247999999992</v>
      </c>
      <c r="AB33" s="8">
        <v>4999.0247999999992</v>
      </c>
      <c r="AC33" s="8">
        <v>0</v>
      </c>
      <c r="AD33" s="8">
        <v>0</v>
      </c>
      <c r="AE33" s="8">
        <v>4999.0247999999992</v>
      </c>
      <c r="AF33" s="8">
        <v>0</v>
      </c>
      <c r="AG33" s="1" t="s">
        <v>115</v>
      </c>
      <c r="AH33" s="1" t="s">
        <v>75</v>
      </c>
      <c r="AI33" s="1">
        <v>4</v>
      </c>
      <c r="AJ33" s="3">
        <v>45920</v>
      </c>
      <c r="AK33" s="3">
        <v>45916</v>
      </c>
      <c r="AL33" s="3">
        <v>45909</v>
      </c>
      <c r="AM33" s="3">
        <v>45917</v>
      </c>
      <c r="AN33" s="3">
        <v>45918</v>
      </c>
      <c r="AO33" s="3">
        <v>45919</v>
      </c>
      <c r="AP33" s="3">
        <v>45915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191</v>
      </c>
      <c r="BD33" s="56">
        <v>0</v>
      </c>
    </row>
    <row r="34" spans="1:56" ht="27.75" customHeight="1" x14ac:dyDescent="0.45">
      <c r="A34" s="3">
        <v>45905</v>
      </c>
      <c r="B34" s="14" t="s">
        <v>470</v>
      </c>
      <c r="C34" s="9" t="s">
        <v>139</v>
      </c>
      <c r="D34" s="13" t="s">
        <v>449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196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108</v>
      </c>
      <c r="T34" s="12">
        <v>45920</v>
      </c>
      <c r="U34" s="11">
        <v>5040</v>
      </c>
      <c r="V34" s="10">
        <v>1174</v>
      </c>
      <c r="W34" s="10">
        <v>3866</v>
      </c>
      <c r="X34" s="10">
        <v>0</v>
      </c>
      <c r="Y34" s="10">
        <v>4059.3</v>
      </c>
      <c r="Z34" s="9" t="s">
        <v>112</v>
      </c>
      <c r="AA34" s="8">
        <v>3834.5694199999998</v>
      </c>
      <c r="AB34" s="8">
        <v>1956</v>
      </c>
      <c r="AC34" s="8">
        <v>1878.5694199999998</v>
      </c>
      <c r="AD34" s="8">
        <v>0</v>
      </c>
      <c r="AE34" s="8">
        <v>3834.5694199999998</v>
      </c>
      <c r="AF34" s="8">
        <v>0</v>
      </c>
      <c r="AG34" s="1" t="s">
        <v>115</v>
      </c>
      <c r="AH34" s="1" t="s">
        <v>75</v>
      </c>
      <c r="AI34" s="1">
        <v>4</v>
      </c>
      <c r="AJ34" s="3">
        <v>45920</v>
      </c>
      <c r="AK34" s="3">
        <v>45916</v>
      </c>
      <c r="AL34" s="3">
        <v>45909</v>
      </c>
      <c r="AM34" s="3">
        <v>45917</v>
      </c>
      <c r="AN34" s="3">
        <v>45918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191</v>
      </c>
      <c r="BD34" s="56">
        <v>158.63475102222222</v>
      </c>
    </row>
    <row r="35" spans="1:56" ht="27.75" customHeight="1" x14ac:dyDescent="0.45">
      <c r="A35" s="3">
        <v>45796</v>
      </c>
      <c r="B35" s="14" t="s">
        <v>255</v>
      </c>
      <c r="C35" s="9" t="s">
        <v>139</v>
      </c>
      <c r="D35" s="13" t="s">
        <v>250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196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108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191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112</v>
      </c>
      <c r="AA36" s="8">
        <v>8833.594219999999</v>
      </c>
      <c r="AB36" s="8">
        <v>6955.0247999999992</v>
      </c>
      <c r="AC36" s="8">
        <v>1878.5694199999998</v>
      </c>
      <c r="AD36" s="8">
        <v>0</v>
      </c>
      <c r="AE36" s="8">
        <v>8833.594219999999</v>
      </c>
      <c r="AF36" s="8" t="s">
        <v>58</v>
      </c>
      <c r="AG36" s="1" t="s">
        <v>115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192</v>
      </c>
      <c r="BD36" s="56">
        <v>0</v>
      </c>
    </row>
    <row r="37" spans="1:56" ht="27.75" customHeight="1" x14ac:dyDescent="0.45">
      <c r="A37" s="3">
        <v>45782</v>
      </c>
      <c r="B37" s="14" t="s">
        <v>249</v>
      </c>
      <c r="C37" s="9" t="s">
        <v>79</v>
      </c>
      <c r="D37" s="13" t="s">
        <v>243</v>
      </c>
      <c r="E37" s="9">
        <v>20</v>
      </c>
      <c r="F37" s="9">
        <v>38</v>
      </c>
      <c r="G37" s="9" t="s">
        <v>60</v>
      </c>
      <c r="H37" s="9" t="s">
        <v>66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67</v>
      </c>
      <c r="T37" s="12">
        <v>45909</v>
      </c>
      <c r="U37" s="11">
        <v>5000</v>
      </c>
      <c r="V37" s="10">
        <v>4473</v>
      </c>
      <c r="W37" s="10">
        <v>527</v>
      </c>
      <c r="X37" s="10">
        <v>5200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116</v>
      </c>
      <c r="AH37" s="1" t="s">
        <v>75</v>
      </c>
      <c r="AI37" s="1">
        <v>4</v>
      </c>
      <c r="AJ37" s="3">
        <v>45909</v>
      </c>
      <c r="AK37" s="3">
        <v>45905</v>
      </c>
      <c r="AL37" s="3">
        <v>45898</v>
      </c>
      <c r="AM37" s="3">
        <v>45906</v>
      </c>
      <c r="AN37" s="3">
        <v>45907</v>
      </c>
      <c r="AO37" s="3">
        <v>45908</v>
      </c>
      <c r="AP37" s="3">
        <v>45904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0</v>
      </c>
    </row>
    <row r="38" spans="1:56" ht="27.75" customHeight="1" x14ac:dyDescent="0.45">
      <c r="A38" s="3">
        <v>45902</v>
      </c>
      <c r="B38" s="14" t="s">
        <v>439</v>
      </c>
      <c r="C38" s="9" t="s">
        <v>267</v>
      </c>
      <c r="D38" s="13" t="s">
        <v>429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45910</v>
      </c>
      <c r="U38" s="11">
        <v>8000</v>
      </c>
      <c r="V38" s="10">
        <v>8000</v>
      </c>
      <c r="W38" s="10">
        <v>0</v>
      </c>
      <c r="X38" s="10">
        <v>20753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75</v>
      </c>
      <c r="AI38" s="1">
        <v>4</v>
      </c>
      <c r="AJ38" s="3">
        <v>45910</v>
      </c>
      <c r="AK38" s="3">
        <v>45906</v>
      </c>
      <c r="AL38" s="3">
        <v>45899</v>
      </c>
      <c r="AM38" s="3">
        <v>45907</v>
      </c>
      <c r="AN38" s="3">
        <v>45908</v>
      </c>
      <c r="AO38" s="3">
        <v>45909</v>
      </c>
      <c r="AP38" s="3">
        <v>45905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45902</v>
      </c>
      <c r="B39" s="14" t="s">
        <v>438</v>
      </c>
      <c r="C39" s="9" t="s">
        <v>267</v>
      </c>
      <c r="D39" s="13" t="s">
        <v>431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45910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80</v>
      </c>
      <c r="AA39" s="8">
        <v>10756.900000000001</v>
      </c>
      <c r="AB39" s="8">
        <v>10756.900000000001</v>
      </c>
      <c r="AC39" s="8">
        <v>0</v>
      </c>
      <c r="AD39" s="8">
        <v>0</v>
      </c>
      <c r="AE39" s="8">
        <v>10756.900000000001</v>
      </c>
      <c r="AF39" s="8">
        <v>0</v>
      </c>
      <c r="AG39" s="1" t="s">
        <v>116</v>
      </c>
      <c r="AH39" s="1" t="s">
        <v>75</v>
      </c>
      <c r="AI39" s="1">
        <v>4</v>
      </c>
      <c r="AJ39" s="3">
        <v>45910</v>
      </c>
      <c r="AK39" s="3">
        <v>45906</v>
      </c>
      <c r="AL39" s="3">
        <v>45899</v>
      </c>
      <c r="AM39" s="3">
        <v>45907</v>
      </c>
      <c r="AN39" s="3">
        <v>45908</v>
      </c>
      <c r="AO39" s="3">
        <v>45909</v>
      </c>
      <c r="AP39" s="3">
        <v>45905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45902</v>
      </c>
      <c r="B40" s="14" t="s">
        <v>440</v>
      </c>
      <c r="C40" s="9" t="s">
        <v>267</v>
      </c>
      <c r="D40" s="13" t="s">
        <v>433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45910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80</v>
      </c>
      <c r="AA40" s="8">
        <v>10756.900000000001</v>
      </c>
      <c r="AB40" s="8">
        <v>10756.900000000001</v>
      </c>
      <c r="AC40" s="8">
        <v>0</v>
      </c>
      <c r="AD40" s="8">
        <v>0</v>
      </c>
      <c r="AE40" s="8">
        <v>10756.900000000001</v>
      </c>
      <c r="AF40" s="8">
        <v>0</v>
      </c>
      <c r="AG40" s="1" t="s">
        <v>116</v>
      </c>
      <c r="AH40" s="1" t="s">
        <v>75</v>
      </c>
      <c r="AI40" s="1">
        <v>4</v>
      </c>
      <c r="AJ40" s="3">
        <v>45910</v>
      </c>
      <c r="AK40" s="3">
        <v>45906</v>
      </c>
      <c r="AL40" s="3">
        <v>45899</v>
      </c>
      <c r="AM40" s="3">
        <v>45907</v>
      </c>
      <c r="AN40" s="3">
        <v>45908</v>
      </c>
      <c r="AO40" s="3">
        <v>45909</v>
      </c>
      <c r="AP40" s="3">
        <v>45905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45902</v>
      </c>
      <c r="B41" s="14" t="s">
        <v>438</v>
      </c>
      <c r="C41" s="9" t="s">
        <v>267</v>
      </c>
      <c r="D41" s="13" t="s">
        <v>428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45912</v>
      </c>
      <c r="U41" s="11">
        <v>20500</v>
      </c>
      <c r="V41" s="10">
        <v>400</v>
      </c>
      <c r="W41" s="10">
        <v>20100</v>
      </c>
      <c r="X41" s="10">
        <v>0</v>
      </c>
      <c r="Y41" s="10">
        <v>21105</v>
      </c>
      <c r="Z41" s="9" t="s">
        <v>80</v>
      </c>
      <c r="AA41" s="8">
        <v>21621.369000000002</v>
      </c>
      <c r="AB41" s="8">
        <v>21621.369000000002</v>
      </c>
      <c r="AC41" s="8">
        <v>0</v>
      </c>
      <c r="AD41" s="8">
        <v>0</v>
      </c>
      <c r="AE41" s="8">
        <v>21621.369000000002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45912</v>
      </c>
      <c r="AK41" s="3">
        <v>45908</v>
      </c>
      <c r="AL41" s="3">
        <v>45901</v>
      </c>
      <c r="AM41" s="3">
        <v>45909</v>
      </c>
      <c r="AN41" s="3">
        <v>45910</v>
      </c>
      <c r="AO41" s="3">
        <v>45911</v>
      </c>
      <c r="AP41" s="3">
        <v>45907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45902</v>
      </c>
      <c r="B42" s="14" t="s">
        <v>440</v>
      </c>
      <c r="C42" s="9" t="s">
        <v>267</v>
      </c>
      <c r="D42" s="13" t="s">
        <v>434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45912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80</v>
      </c>
      <c r="AA42" s="8">
        <v>5378.4500000000007</v>
      </c>
      <c r="AB42" s="8">
        <v>5378.4500000000007</v>
      </c>
      <c r="AC42" s="8">
        <v>0</v>
      </c>
      <c r="AD42" s="8">
        <v>0</v>
      </c>
      <c r="AE42" s="8">
        <v>5378.4500000000007</v>
      </c>
      <c r="AF42" s="8">
        <v>0</v>
      </c>
      <c r="AG42" s="1" t="s">
        <v>116</v>
      </c>
      <c r="AH42" s="1" t="s">
        <v>75</v>
      </c>
      <c r="AI42" s="1">
        <v>4</v>
      </c>
      <c r="AJ42" s="3">
        <v>45912</v>
      </c>
      <c r="AK42" s="3">
        <v>45908</v>
      </c>
      <c r="AL42" s="3">
        <v>45901</v>
      </c>
      <c r="AM42" s="3">
        <v>45909</v>
      </c>
      <c r="AN42" s="3">
        <v>45910</v>
      </c>
      <c r="AO42" s="3">
        <v>45911</v>
      </c>
      <c r="AP42" s="3">
        <v>45907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45902</v>
      </c>
      <c r="B43" s="14" t="s">
        <v>440</v>
      </c>
      <c r="C43" s="9" t="s">
        <v>267</v>
      </c>
      <c r="D43" s="13" t="s">
        <v>435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45912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80</v>
      </c>
      <c r="AA43" s="8">
        <v>5378.4500000000007</v>
      </c>
      <c r="AB43" s="8">
        <v>5378.4500000000007</v>
      </c>
      <c r="AC43" s="8">
        <v>0</v>
      </c>
      <c r="AD43" s="8">
        <v>0</v>
      </c>
      <c r="AE43" s="8">
        <v>5378.4500000000007</v>
      </c>
      <c r="AF43" s="8">
        <v>0</v>
      </c>
      <c r="AG43" s="1" t="s">
        <v>116</v>
      </c>
      <c r="AH43" s="1" t="s">
        <v>75</v>
      </c>
      <c r="AI43" s="1">
        <v>4</v>
      </c>
      <c r="AJ43" s="3">
        <v>45912</v>
      </c>
      <c r="AK43" s="3">
        <v>45908</v>
      </c>
      <c r="AL43" s="3">
        <v>45901</v>
      </c>
      <c r="AM43" s="3">
        <v>45909</v>
      </c>
      <c r="AN43" s="3">
        <v>45910</v>
      </c>
      <c r="AO43" s="3">
        <v>45911</v>
      </c>
      <c r="AP43" s="3">
        <v>45907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45905</v>
      </c>
      <c r="B44" s="14" t="s">
        <v>471</v>
      </c>
      <c r="C44" s="9" t="s">
        <v>139</v>
      </c>
      <c r="D44" s="13" t="s">
        <v>451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45919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45919</v>
      </c>
      <c r="AK44" s="3">
        <v>45915</v>
      </c>
      <c r="AL44" s="3">
        <v>45908</v>
      </c>
      <c r="AM44" s="3">
        <v>45916</v>
      </c>
      <c r="AN44" s="3">
        <v>45917</v>
      </c>
      <c r="AO44" s="3">
        <v>45918</v>
      </c>
      <c r="AP44" s="3">
        <v>45914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45905</v>
      </c>
      <c r="B45" s="14" t="s">
        <v>471</v>
      </c>
      <c r="C45" s="9" t="s">
        <v>139</v>
      </c>
      <c r="D45" s="13" t="s">
        <v>306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45919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>
        <v>45919</v>
      </c>
      <c r="AK45" s="3">
        <v>45915</v>
      </c>
      <c r="AL45" s="3">
        <v>45908</v>
      </c>
      <c r="AM45" s="3">
        <v>45916</v>
      </c>
      <c r="AN45" s="3">
        <v>45917</v>
      </c>
      <c r="AO45" s="3">
        <v>45918</v>
      </c>
      <c r="AP45" s="3">
        <v>45914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45905</v>
      </c>
      <c r="B46" s="14" t="s">
        <v>472</v>
      </c>
      <c r="C46" s="9" t="s">
        <v>139</v>
      </c>
      <c r="D46" s="13" t="s">
        <v>251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45920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0</v>
      </c>
      <c r="AE46" s="8">
        <v>5280.6600000000008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45920</v>
      </c>
      <c r="AK46" s="3">
        <v>45916</v>
      </c>
      <c r="AL46" s="3">
        <v>45909</v>
      </c>
      <c r="AM46" s="3">
        <v>45917</v>
      </c>
      <c r="AN46" s="3">
        <v>45918</v>
      </c>
      <c r="AO46" s="3">
        <v>45919</v>
      </c>
      <c r="AP46" s="3">
        <v>45915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45796</v>
      </c>
      <c r="B47" s="14" t="s">
        <v>256</v>
      </c>
      <c r="C47" s="9" t="s">
        <v>139</v>
      </c>
      <c r="D47" s="13" t="s">
        <v>251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45920</v>
      </c>
      <c r="U47" s="11">
        <v>366</v>
      </c>
      <c r="V47" s="10">
        <v>0</v>
      </c>
      <c r="W47" s="10">
        <v>366</v>
      </c>
      <c r="X47" s="10">
        <v>0</v>
      </c>
      <c r="Y47" s="10">
        <v>384.3</v>
      </c>
      <c r="Z47" s="9" t="s">
        <v>80</v>
      </c>
      <c r="AA47" s="8">
        <v>383.47650000000004</v>
      </c>
      <c r="AB47" s="8">
        <v>383.47650000000004</v>
      </c>
      <c r="AC47" s="8">
        <v>0</v>
      </c>
      <c r="AD47" s="8">
        <v>0</v>
      </c>
      <c r="AE47" s="8">
        <v>383.47650000000004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472</v>
      </c>
      <c r="C48" s="9" t="s">
        <v>139</v>
      </c>
      <c r="D48" s="13" t="s">
        <v>452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45920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438</v>
      </c>
      <c r="C49" s="9" t="s">
        <v>267</v>
      </c>
      <c r="D49" s="13" t="s">
        <v>430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45920</v>
      </c>
      <c r="U49" s="11">
        <v>20000</v>
      </c>
      <c r="V49" s="10">
        <v>0</v>
      </c>
      <c r="W49" s="10">
        <v>20000</v>
      </c>
      <c r="X49" s="10">
        <v>20630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45873</v>
      </c>
      <c r="B50" s="14" t="s">
        <v>308</v>
      </c>
      <c r="C50" s="9" t="s">
        <v>107</v>
      </c>
      <c r="D50" s="13" t="s">
        <v>309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45922</v>
      </c>
      <c r="U50" s="11">
        <v>4000</v>
      </c>
      <c r="V50" s="10">
        <v>4000</v>
      </c>
      <c r="W50" s="10">
        <v>0</v>
      </c>
      <c r="X50" s="10">
        <v>4130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307</v>
      </c>
      <c r="AG50" s="1" t="s">
        <v>116</v>
      </c>
      <c r="AH50" s="1" t="s">
        <v>75</v>
      </c>
      <c r="AI50" s="1">
        <v>4</v>
      </c>
      <c r="AJ50" s="3">
        <v>45922</v>
      </c>
      <c r="AK50" s="3">
        <v>45918</v>
      </c>
      <c r="AL50" s="3">
        <v>45911</v>
      </c>
      <c r="AM50" s="3">
        <v>45919</v>
      </c>
      <c r="AN50" s="3">
        <v>45920</v>
      </c>
      <c r="AO50" s="3">
        <v>45921</v>
      </c>
      <c r="AP50" s="3">
        <v>45917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424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45908</v>
      </c>
      <c r="B51" s="14" t="s">
        <v>128</v>
      </c>
      <c r="C51" s="9" t="s">
        <v>259</v>
      </c>
      <c r="D51" s="13" t="s">
        <v>260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45922</v>
      </c>
      <c r="U51" s="11">
        <v>8000</v>
      </c>
      <c r="V51" s="10">
        <v>0</v>
      </c>
      <c r="W51" s="10">
        <v>8000</v>
      </c>
      <c r="X51" s="10">
        <v>0</v>
      </c>
      <c r="Y51" s="10">
        <v>8400</v>
      </c>
      <c r="Z51" s="9" t="s">
        <v>80</v>
      </c>
      <c r="AA51" s="8">
        <v>7934.96</v>
      </c>
      <c r="AB51" s="8">
        <v>7934.96</v>
      </c>
      <c r="AC51" s="8">
        <v>0</v>
      </c>
      <c r="AD51" s="8">
        <v>0</v>
      </c>
      <c r="AE51" s="8">
        <v>7934.96</v>
      </c>
      <c r="AF51" s="8">
        <v>0</v>
      </c>
      <c r="AG51" s="1" t="s">
        <v>116</v>
      </c>
      <c r="AH51" s="1">
        <v>0</v>
      </c>
      <c r="AI51" s="1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45908</v>
      </c>
      <c r="B52" s="14" t="s">
        <v>128</v>
      </c>
      <c r="C52" s="9" t="s">
        <v>259</v>
      </c>
      <c r="D52" s="13" t="s">
        <v>358</v>
      </c>
      <c r="E52" s="9">
        <v>20</v>
      </c>
      <c r="F52" s="9">
        <v>34</v>
      </c>
      <c r="G52" s="9" t="s">
        <v>60</v>
      </c>
      <c r="H52" s="9" t="s">
        <v>66</v>
      </c>
      <c r="I52" s="9">
        <v>95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45922</v>
      </c>
      <c r="U52" s="11">
        <v>8000</v>
      </c>
      <c r="V52" s="10">
        <v>0</v>
      </c>
      <c r="W52" s="10">
        <v>8000</v>
      </c>
      <c r="X52" s="10">
        <v>0</v>
      </c>
      <c r="Y52" s="10">
        <v>8400</v>
      </c>
      <c r="Z52" s="9" t="s">
        <v>80</v>
      </c>
      <c r="AA52" s="8">
        <v>7934.96</v>
      </c>
      <c r="AB52" s="8">
        <v>7000</v>
      </c>
      <c r="AC52" s="8">
        <v>934.96</v>
      </c>
      <c r="AD52" s="8">
        <v>0</v>
      </c>
      <c r="AE52" s="8">
        <v>7934.96</v>
      </c>
      <c r="AF52" s="8">
        <v>0</v>
      </c>
      <c r="AG52" s="1" t="s">
        <v>116</v>
      </c>
      <c r="AH52" s="1">
        <v>0</v>
      </c>
      <c r="AI52" s="1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70.641422222222232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432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45923</v>
      </c>
      <c r="U53" s="11">
        <v>10000</v>
      </c>
      <c r="V53" s="10">
        <v>0</v>
      </c>
      <c r="W53" s="10">
        <v>10000</v>
      </c>
      <c r="X53" s="10">
        <v>6200</v>
      </c>
      <c r="Y53" s="10">
        <f>10500-6200</f>
        <v>4300</v>
      </c>
      <c r="Z53" s="9" t="s">
        <v>80</v>
      </c>
      <c r="AA53" s="8">
        <v>4300</v>
      </c>
      <c r="AB53" s="8">
        <v>4300</v>
      </c>
      <c r="AC53" s="8">
        <v>0</v>
      </c>
      <c r="AD53" s="8">
        <v>0</v>
      </c>
      <c r="AE53" s="8">
        <v>4300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45923</v>
      </c>
      <c r="AK53" s="3">
        <v>45919</v>
      </c>
      <c r="AL53" s="3">
        <v>45912</v>
      </c>
      <c r="AM53" s="3">
        <v>45920</v>
      </c>
      <c r="AN53" s="3">
        <v>45921</v>
      </c>
      <c r="AO53" s="3">
        <v>45922</v>
      </c>
      <c r="AP53" s="3">
        <v>45918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363</v>
      </c>
      <c r="C55" s="9" t="s">
        <v>79</v>
      </c>
      <c r="D55" s="13" t="s">
        <v>364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3227.07</v>
      </c>
      <c r="AB55" s="8">
        <v>3227.07</v>
      </c>
      <c r="AC55" s="8">
        <v>0</v>
      </c>
      <c r="AD55" s="8">
        <v>3227.07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45891</v>
      </c>
      <c r="B56" s="14" t="s">
        <v>389</v>
      </c>
      <c r="C56" s="9" t="s">
        <v>79</v>
      </c>
      <c r="D56" s="13" t="s">
        <v>390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0</v>
      </c>
      <c r="W56" s="10">
        <v>9000</v>
      </c>
      <c r="X56" s="10">
        <v>0</v>
      </c>
      <c r="Y56" s="10">
        <v>9450</v>
      </c>
      <c r="Z56" s="9" t="s">
        <v>80</v>
      </c>
      <c r="AA56" s="8">
        <v>9932.67</v>
      </c>
      <c r="AB56" s="8">
        <v>9932.67</v>
      </c>
      <c r="AC56" s="8">
        <v>0</v>
      </c>
      <c r="AD56" s="8">
        <v>9932.67</v>
      </c>
      <c r="AE56" s="8">
        <v>0</v>
      </c>
      <c r="AF56" s="8">
        <v>0</v>
      </c>
      <c r="AG56" s="1" t="s">
        <v>61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45891</v>
      </c>
      <c r="B57" s="14" t="s">
        <v>391</v>
      </c>
      <c r="C57" s="9" t="s">
        <v>79</v>
      </c>
      <c r="D57" s="13" t="s">
        <v>392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0</v>
      </c>
      <c r="W57" s="10">
        <v>4000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61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45891</v>
      </c>
      <c r="B58" s="14" t="s">
        <v>393</v>
      </c>
      <c r="C58" s="9" t="s">
        <v>79</v>
      </c>
      <c r="D58" s="13" t="s">
        <v>394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0</v>
      </c>
      <c r="W58" s="10">
        <v>9000</v>
      </c>
      <c r="X58" s="10">
        <v>0</v>
      </c>
      <c r="Y58" s="10">
        <v>9450</v>
      </c>
      <c r="Z58" s="9" t="s">
        <v>80</v>
      </c>
      <c r="AA58" s="8">
        <v>9932.67</v>
      </c>
      <c r="AB58" s="8">
        <v>9932.67</v>
      </c>
      <c r="AC58" s="8">
        <v>0</v>
      </c>
      <c r="AD58" s="8">
        <v>9932.67</v>
      </c>
      <c r="AE58" s="8">
        <v>0</v>
      </c>
      <c r="AF58" s="8">
        <v>0</v>
      </c>
      <c r="AG58" s="1" t="s">
        <v>61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 t="s">
        <v>135</v>
      </c>
      <c r="B59" s="14" t="s">
        <v>135</v>
      </c>
      <c r="C59" s="9" t="s">
        <v>139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45930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80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7916.333333333333</v>
      </c>
    </row>
    <row r="60" spans="1:56" ht="27.75" customHeight="1" x14ac:dyDescent="0.45">
      <c r="A60" s="3" t="s">
        <v>135</v>
      </c>
      <c r="B60" s="14" t="s">
        <v>135</v>
      </c>
      <c r="C60" s="9" t="s">
        <v>79</v>
      </c>
      <c r="D60" s="13" t="s">
        <v>61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1667.7075555555555</v>
      </c>
    </row>
    <row r="61" spans="1:56" ht="27.75" customHeight="1" x14ac:dyDescent="0.45">
      <c r="A61" s="3" t="s">
        <v>135</v>
      </c>
      <c r="B61" s="14" t="s">
        <v>135</v>
      </c>
      <c r="C61" s="9" t="s">
        <v>97</v>
      </c>
      <c r="D61" s="13" t="s">
        <v>61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0</v>
      </c>
      <c r="AC61" s="8">
        <v>21513.800000000003</v>
      </c>
      <c r="AD61" s="8">
        <v>0</v>
      </c>
      <c r="AE61" s="8">
        <v>21513.800000000003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1625.4871111111113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45887</v>
      </c>
      <c r="B64" s="14" t="s">
        <v>345</v>
      </c>
      <c r="C64" s="9" t="s">
        <v>139</v>
      </c>
      <c r="D64" s="13" t="s">
        <v>224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 t="s">
        <v>63</v>
      </c>
      <c r="U64" s="11">
        <v>104</v>
      </c>
      <c r="V64" s="10">
        <v>0</v>
      </c>
      <c r="W64" s="10">
        <v>104</v>
      </c>
      <c r="X64" s="10">
        <v>11230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395</v>
      </c>
      <c r="C65" s="9" t="s">
        <v>79</v>
      </c>
      <c r="D65" s="13" t="s">
        <v>310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115</v>
      </c>
      <c r="AH65" s="1" t="s">
        <v>75</v>
      </c>
      <c r="AI65" s="1">
        <v>5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134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250.15613333333337</v>
      </c>
    </row>
    <row r="66" spans="1:56" ht="27.75" customHeight="1" x14ac:dyDescent="0.45">
      <c r="A66" s="3">
        <v>45892</v>
      </c>
      <c r="B66" s="14" t="s">
        <v>365</v>
      </c>
      <c r="C66" s="9" t="s">
        <v>79</v>
      </c>
      <c r="D66" s="13" t="s">
        <v>220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0</v>
      </c>
      <c r="AC66" s="8">
        <v>6621.78</v>
      </c>
      <c r="AD66" s="8">
        <v>0</v>
      </c>
      <c r="AE66" s="8">
        <v>6621.78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500.31226666666674</v>
      </c>
    </row>
    <row r="67" spans="1:56" ht="27.75" customHeight="1" x14ac:dyDescent="0.45">
      <c r="A67" s="3">
        <v>45796</v>
      </c>
      <c r="B67" s="14" t="s">
        <v>258</v>
      </c>
      <c r="C67" s="9" t="s">
        <v>139</v>
      </c>
      <c r="D67" s="13" t="s">
        <v>145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 t="s">
        <v>63</v>
      </c>
      <c r="U67" s="11">
        <v>240</v>
      </c>
      <c r="V67" s="10">
        <v>0</v>
      </c>
      <c r="W67" s="10">
        <v>240</v>
      </c>
      <c r="X67" s="10">
        <v>0</v>
      </c>
      <c r="Y67" s="10">
        <v>252</v>
      </c>
      <c r="Z67" s="9" t="s">
        <v>80</v>
      </c>
      <c r="AA67" s="8">
        <v>251.46</v>
      </c>
      <c r="AB67" s="8">
        <v>0</v>
      </c>
      <c r="AC67" s="8">
        <v>251.46</v>
      </c>
      <c r="AD67" s="8">
        <v>0</v>
      </c>
      <c r="AE67" s="8">
        <v>251.46</v>
      </c>
      <c r="AF67" s="8">
        <v>0</v>
      </c>
      <c r="AG67" s="1" t="s">
        <v>61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254</v>
      </c>
      <c r="AZ67" s="2">
        <v>0</v>
      </c>
      <c r="BA67" s="2">
        <v>0</v>
      </c>
      <c r="BB67" s="2">
        <v>0</v>
      </c>
      <c r="BC67" s="1" t="s">
        <v>104</v>
      </c>
      <c r="BD67" s="56">
        <v>18.999199999999998</v>
      </c>
    </row>
    <row r="68" spans="1:56" ht="27.75" customHeight="1" x14ac:dyDescent="0.45">
      <c r="A68" s="3">
        <v>45876</v>
      </c>
      <c r="B68" s="14" t="s">
        <v>328</v>
      </c>
      <c r="C68" s="9" t="s">
        <v>107</v>
      </c>
      <c r="D68" s="13" t="s">
        <v>314</v>
      </c>
      <c r="E68" s="9">
        <v>20</v>
      </c>
      <c r="F68" s="9">
        <v>40</v>
      </c>
      <c r="G68" s="9" t="s">
        <v>60</v>
      </c>
      <c r="H68" s="9" t="s">
        <v>66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3075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45877</v>
      </c>
      <c r="B69" s="14" t="s">
        <v>318</v>
      </c>
      <c r="C69" s="9" t="s">
        <v>79</v>
      </c>
      <c r="D69" s="13" t="s">
        <v>319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7000</v>
      </c>
      <c r="V69" s="10">
        <v>0</v>
      </c>
      <c r="W69" s="10">
        <v>7000</v>
      </c>
      <c r="X69" s="10">
        <v>0</v>
      </c>
      <c r="Y69" s="10">
        <v>7350</v>
      </c>
      <c r="Z69" s="9" t="s">
        <v>80</v>
      </c>
      <c r="AA69" s="8">
        <v>7725.41</v>
      </c>
      <c r="AB69" s="8">
        <v>0</v>
      </c>
      <c r="AC69" s="8">
        <v>7725.41</v>
      </c>
      <c r="AD69" s="8">
        <v>0</v>
      </c>
      <c r="AE69" s="8">
        <v>7725.41</v>
      </c>
      <c r="AF69" s="8">
        <v>0</v>
      </c>
      <c r="AG69" s="1" t="s">
        <v>115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583.69764444444445</v>
      </c>
    </row>
    <row r="70" spans="1:56" ht="27.75" customHeight="1" x14ac:dyDescent="0.45">
      <c r="A70" s="3" t="s">
        <v>135</v>
      </c>
      <c r="B70" s="14" t="s">
        <v>135</v>
      </c>
      <c r="C70" s="9" t="s">
        <v>270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80</v>
      </c>
      <c r="AA70" s="8">
        <v>110363</v>
      </c>
      <c r="AB70" s="8">
        <v>0</v>
      </c>
      <c r="AC70" s="8">
        <v>110363</v>
      </c>
      <c r="AD70" s="8">
        <v>0</v>
      </c>
      <c r="AE70" s="8">
        <v>110363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8338.5377777777776</v>
      </c>
    </row>
    <row r="71" spans="1:56" ht="27.75" customHeight="1" x14ac:dyDescent="0.45">
      <c r="A71" s="3">
        <v>45825</v>
      </c>
      <c r="B71" s="14" t="s">
        <v>269</v>
      </c>
      <c r="C71" s="9" t="s">
        <v>139</v>
      </c>
      <c r="D71" s="13" t="s">
        <v>239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246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894</v>
      </c>
      <c r="V71" s="10">
        <v>525</v>
      </c>
      <c r="W71" s="10">
        <v>369</v>
      </c>
      <c r="X71" s="10">
        <v>6000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45796</v>
      </c>
      <c r="B72" s="14" t="s">
        <v>257</v>
      </c>
      <c r="C72" s="9" t="s">
        <v>139</v>
      </c>
      <c r="D72" s="13" t="s">
        <v>253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302</v>
      </c>
      <c r="V72" s="10">
        <v>0</v>
      </c>
      <c r="W72" s="10">
        <v>302</v>
      </c>
      <c r="X72" s="10">
        <v>5300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45782</v>
      </c>
      <c r="B73" s="14" t="s">
        <v>249</v>
      </c>
      <c r="C73" s="9" t="s">
        <v>79</v>
      </c>
      <c r="D73" s="13" t="s">
        <v>243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416.92688888888887</v>
      </c>
    </row>
    <row r="74" spans="1:56" ht="27.75" customHeight="1" x14ac:dyDescent="0.45">
      <c r="A74" s="3">
        <v>45798</v>
      </c>
      <c r="B74" s="14" t="s">
        <v>263</v>
      </c>
      <c r="C74" s="9" t="s">
        <v>107</v>
      </c>
      <c r="D74" s="13" t="s">
        <v>261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117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416.92688888888887</v>
      </c>
    </row>
    <row r="75" spans="1:56" ht="27.75" customHeight="1" x14ac:dyDescent="0.45">
      <c r="A75" s="3">
        <v>45674</v>
      </c>
      <c r="B75" s="14" t="s">
        <v>226</v>
      </c>
      <c r="C75" s="9" t="s">
        <v>139</v>
      </c>
      <c r="D75" s="13" t="s">
        <v>225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196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152</v>
      </c>
      <c r="V75" s="10">
        <v>0</v>
      </c>
      <c r="W75" s="10">
        <v>152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5987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235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45611</v>
      </c>
      <c r="B76" s="14" t="s">
        <v>195</v>
      </c>
      <c r="C76" s="9" t="s">
        <v>139</v>
      </c>
      <c r="D76" s="13" t="s">
        <v>194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117</v>
      </c>
      <c r="V76" s="10">
        <v>0</v>
      </c>
      <c r="W76" s="10">
        <v>117</v>
      </c>
      <c r="X76" s="10">
        <v>10065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117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45523</v>
      </c>
      <c r="B77" s="14" t="s">
        <v>178</v>
      </c>
      <c r="C77" s="9" t="s">
        <v>139</v>
      </c>
      <c r="D77" s="13" t="s">
        <v>176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1260</v>
      </c>
      <c r="V77" s="10">
        <v>0</v>
      </c>
      <c r="W77" s="10">
        <v>1260</v>
      </c>
      <c r="X77" s="10">
        <v>11095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117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45523</v>
      </c>
      <c r="B78" s="14" t="s">
        <v>178</v>
      </c>
      <c r="C78" s="9" t="s">
        <v>139</v>
      </c>
      <c r="D78" s="13" t="s">
        <v>177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89</v>
      </c>
      <c r="V78" s="10">
        <v>0</v>
      </c>
      <c r="W78" s="10">
        <v>89</v>
      </c>
      <c r="X78" s="10">
        <v>11180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45799</v>
      </c>
      <c r="B79" s="14" t="s">
        <v>264</v>
      </c>
      <c r="C79" s="9" t="s">
        <v>259</v>
      </c>
      <c r="D79" s="13" t="s">
        <v>260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132</v>
      </c>
      <c r="U79" s="11">
        <v>4000</v>
      </c>
      <c r="V79" s="10">
        <v>2840</v>
      </c>
      <c r="W79" s="10">
        <v>1160</v>
      </c>
      <c r="X79" s="10">
        <v>8450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210</v>
      </c>
      <c r="AG79" s="1" t="s">
        <v>115</v>
      </c>
      <c r="AH79" s="1" t="s">
        <v>75</v>
      </c>
      <c r="AI79" s="1">
        <v>4</v>
      </c>
      <c r="AJ79" s="3" t="s">
        <v>132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45799</v>
      </c>
      <c r="B80" s="14" t="s">
        <v>264</v>
      </c>
      <c r="C80" s="9" t="s">
        <v>259</v>
      </c>
      <c r="D80" s="13" t="s">
        <v>358</v>
      </c>
      <c r="E80" s="9">
        <v>20</v>
      </c>
      <c r="F80" s="9">
        <v>34</v>
      </c>
      <c r="G80" s="9" t="s">
        <v>60</v>
      </c>
      <c r="H80" s="9" t="s">
        <v>66</v>
      </c>
      <c r="I80" s="9">
        <v>95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132</v>
      </c>
      <c r="U80" s="11">
        <v>4000</v>
      </c>
      <c r="V80" s="10">
        <v>2654</v>
      </c>
      <c r="W80" s="10">
        <v>1346</v>
      </c>
      <c r="X80" s="10">
        <v>4000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210</v>
      </c>
      <c r="AG80" s="1" t="s">
        <v>115</v>
      </c>
      <c r="AH80" s="1" t="s">
        <v>75</v>
      </c>
      <c r="AI80" s="1">
        <v>4</v>
      </c>
      <c r="AJ80" s="3" t="s">
        <v>132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45741</v>
      </c>
      <c r="B81" s="14" t="s">
        <v>242</v>
      </c>
      <c r="C81" s="9" t="s">
        <v>107</v>
      </c>
      <c r="D81" s="13" t="s">
        <v>241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132</v>
      </c>
      <c r="U81" s="11">
        <v>4000</v>
      </c>
      <c r="V81" s="10">
        <v>3867</v>
      </c>
      <c r="W81" s="10">
        <v>133</v>
      </c>
      <c r="X81" s="10">
        <v>4200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132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244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45720</v>
      </c>
      <c r="B82" s="14" t="s">
        <v>128</v>
      </c>
      <c r="C82" s="9" t="s">
        <v>107</v>
      </c>
      <c r="D82" s="13" t="s">
        <v>209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132</v>
      </c>
      <c r="U82" s="11">
        <v>4000</v>
      </c>
      <c r="V82" s="10">
        <v>4010</v>
      </c>
      <c r="W82" s="10">
        <v>0</v>
      </c>
      <c r="X82" s="10">
        <v>4470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132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45720</v>
      </c>
      <c r="B83" s="14" t="s">
        <v>128</v>
      </c>
      <c r="C83" s="9" t="s">
        <v>107</v>
      </c>
      <c r="D83" s="13" t="s">
        <v>219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132</v>
      </c>
      <c r="U83" s="11">
        <v>3000</v>
      </c>
      <c r="V83" s="10">
        <v>3065</v>
      </c>
      <c r="W83" s="10">
        <v>0</v>
      </c>
      <c r="X83" s="10">
        <v>3300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45541</v>
      </c>
      <c r="B84" s="14" t="s">
        <v>182</v>
      </c>
      <c r="C84" s="9" t="s">
        <v>107</v>
      </c>
      <c r="D84" s="13" t="s">
        <v>183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132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184</v>
      </c>
      <c r="AG84" s="1" t="s">
        <v>61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 t="s">
        <v>222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45581</v>
      </c>
      <c r="B85" s="14" t="s">
        <v>187</v>
      </c>
      <c r="C85" s="9" t="s">
        <v>107</v>
      </c>
      <c r="D85" s="13" t="s">
        <v>188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3000</v>
      </c>
      <c r="V85" s="10">
        <v>3194</v>
      </c>
      <c r="W85" s="10">
        <v>0</v>
      </c>
      <c r="X85" s="10">
        <v>5632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38</v>
      </c>
      <c r="G86" s="9">
        <v>0</v>
      </c>
      <c r="H86" s="9">
        <v>0</v>
      </c>
      <c r="I86" s="9">
        <v>84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80</v>
      </c>
      <c r="AA86" s="8">
        <v>426813.53550000011</v>
      </c>
      <c r="AB86" s="8">
        <v>138208.33550000004</v>
      </c>
      <c r="AC86" s="8">
        <v>288605.20000000007</v>
      </c>
      <c r="AD86" s="8">
        <v>33569.909999999996</v>
      </c>
      <c r="AE86" s="8">
        <v>393243.62550000014</v>
      </c>
      <c r="AF86" s="8" t="s">
        <v>58</v>
      </c>
      <c r="AG86" s="1" t="s">
        <v>115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 t="s">
        <v>135</v>
      </c>
      <c r="B87" s="14" t="s">
        <v>135</v>
      </c>
      <c r="C87" s="9" t="s">
        <v>270</v>
      </c>
      <c r="D87" s="13" t="s">
        <v>61</v>
      </c>
      <c r="E87" s="9">
        <v>20</v>
      </c>
      <c r="F87" s="9">
        <v>39</v>
      </c>
      <c r="G87" s="9" t="s">
        <v>60</v>
      </c>
      <c r="H87" s="9">
        <v>0</v>
      </c>
      <c r="I87" s="9">
        <v>84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271</v>
      </c>
      <c r="AA87" s="8">
        <v>113157.00000000001</v>
      </c>
      <c r="AB87" s="8">
        <v>99888</v>
      </c>
      <c r="AC87" s="8">
        <v>13269.000000000015</v>
      </c>
      <c r="AD87" s="8">
        <v>0</v>
      </c>
      <c r="AE87" s="8">
        <v>0</v>
      </c>
      <c r="AF87" s="8">
        <v>0</v>
      </c>
      <c r="AG87" s="1" t="s">
        <v>115</v>
      </c>
      <c r="AH87" s="1" t="s">
        <v>74</v>
      </c>
      <c r="AI87" s="1">
        <v>2</v>
      </c>
      <c r="AJ87" s="3" t="s">
        <v>63</v>
      </c>
      <c r="AK87" s="3">
        <v>0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272</v>
      </c>
      <c r="BD87" s="56">
        <v>1045.3023333333344</v>
      </c>
    </row>
    <row r="88" spans="1:56" ht="27.75" customHeight="1" x14ac:dyDescent="0.45">
      <c r="A88" s="3">
        <v>0</v>
      </c>
      <c r="B88" s="14">
        <v>0</v>
      </c>
      <c r="C88" s="9">
        <v>0</v>
      </c>
      <c r="D88" s="13">
        <v>0</v>
      </c>
      <c r="E88" s="9">
        <v>20</v>
      </c>
      <c r="F88" s="9">
        <v>38</v>
      </c>
      <c r="G88" s="9">
        <v>0</v>
      </c>
      <c r="H88" s="9">
        <v>0</v>
      </c>
      <c r="I88" s="9">
        <v>82</v>
      </c>
      <c r="J88" s="9" t="s">
        <v>78</v>
      </c>
      <c r="K88" s="9">
        <v>2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9" t="s">
        <v>271</v>
      </c>
      <c r="AA88" s="8">
        <v>113157.00000000001</v>
      </c>
      <c r="AB88" s="8">
        <v>99888</v>
      </c>
      <c r="AC88" s="8">
        <v>13269.000000000015</v>
      </c>
      <c r="AD88" s="8">
        <v>0</v>
      </c>
      <c r="AE88" s="8">
        <v>0</v>
      </c>
      <c r="AF88" s="8" t="s">
        <v>58</v>
      </c>
      <c r="AG88" s="1" t="s">
        <v>117</v>
      </c>
      <c r="AH88" s="1">
        <v>0</v>
      </c>
      <c r="AI88" s="1" t="s">
        <v>15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273</v>
      </c>
      <c r="BD88" s="56">
        <v>0</v>
      </c>
    </row>
    <row r="89" spans="1:56" ht="27.75" customHeight="1" x14ac:dyDescent="0.45">
      <c r="A89" s="3">
        <v>45892</v>
      </c>
      <c r="B89" s="14" t="s">
        <v>366</v>
      </c>
      <c r="C89" s="9" t="s">
        <v>139</v>
      </c>
      <c r="D89" s="13" t="s">
        <v>367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45909</v>
      </c>
      <c r="U89" s="11">
        <v>10000</v>
      </c>
      <c r="V89" s="10">
        <v>10000</v>
      </c>
      <c r="W89" s="10">
        <v>0</v>
      </c>
      <c r="X89" s="10">
        <v>10696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210</v>
      </c>
      <c r="AG89" s="1" t="s">
        <v>117</v>
      </c>
      <c r="AH89" s="1" t="s">
        <v>74</v>
      </c>
      <c r="AI89" s="1">
        <v>2</v>
      </c>
      <c r="AJ89" s="3">
        <v>45909</v>
      </c>
      <c r="AK89" s="3">
        <v>0</v>
      </c>
      <c r="AL89" s="3">
        <v>45900</v>
      </c>
      <c r="AM89" s="3">
        <v>45907</v>
      </c>
      <c r="AN89" s="3">
        <v>45908</v>
      </c>
      <c r="AO89" s="3">
        <v>45908</v>
      </c>
      <c r="AP89" s="3">
        <v>45904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45887</v>
      </c>
      <c r="B90" s="14" t="s">
        <v>347</v>
      </c>
      <c r="C90" s="9" t="s">
        <v>139</v>
      </c>
      <c r="D90" s="13" t="s">
        <v>332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196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45915</v>
      </c>
      <c r="U90" s="11">
        <v>9153</v>
      </c>
      <c r="V90" s="10">
        <v>0</v>
      </c>
      <c r="W90" s="10">
        <v>9153</v>
      </c>
      <c r="X90" s="10">
        <v>18825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210</v>
      </c>
      <c r="AG90" s="1" t="s">
        <v>117</v>
      </c>
      <c r="AH90" s="1" t="s">
        <v>74</v>
      </c>
      <c r="AI90" s="1">
        <v>2</v>
      </c>
      <c r="AJ90" s="3">
        <v>45915</v>
      </c>
      <c r="AK90" s="3">
        <v>0</v>
      </c>
      <c r="AL90" s="3">
        <v>45906</v>
      </c>
      <c r="AM90" s="3">
        <v>45913</v>
      </c>
      <c r="AN90" s="3">
        <v>45914</v>
      </c>
      <c r="AO90" s="3">
        <v>45914</v>
      </c>
      <c r="AP90" s="3">
        <v>45910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 t="s">
        <v>333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45887</v>
      </c>
      <c r="B91" s="14" t="s">
        <v>348</v>
      </c>
      <c r="C91" s="9" t="s">
        <v>139</v>
      </c>
      <c r="D91" s="13" t="s">
        <v>268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196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45919</v>
      </c>
      <c r="U91" s="11">
        <v>17360</v>
      </c>
      <c r="V91" s="10">
        <v>10080</v>
      </c>
      <c r="W91" s="10">
        <v>7280</v>
      </c>
      <c r="X91" s="10">
        <v>40982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210</v>
      </c>
      <c r="AG91" s="1" t="s">
        <v>116</v>
      </c>
      <c r="AH91" s="1" t="s">
        <v>74</v>
      </c>
      <c r="AI91" s="1">
        <v>2</v>
      </c>
      <c r="AJ91" s="3">
        <v>45919</v>
      </c>
      <c r="AK91" s="3">
        <v>0</v>
      </c>
      <c r="AL91" s="3">
        <v>45910</v>
      </c>
      <c r="AM91" s="3">
        <v>45917</v>
      </c>
      <c r="AN91" s="3">
        <v>45918</v>
      </c>
      <c r="AO91" s="3">
        <v>45918</v>
      </c>
      <c r="AP91" s="3">
        <v>45914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 t="s">
        <v>334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45887</v>
      </c>
      <c r="B92" s="14" t="s">
        <v>348</v>
      </c>
      <c r="C92" s="9" t="s">
        <v>139</v>
      </c>
      <c r="D92" s="13" t="s">
        <v>268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196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45922</v>
      </c>
      <c r="U92" s="11">
        <v>30000</v>
      </c>
      <c r="V92" s="10">
        <v>0</v>
      </c>
      <c r="W92" s="10">
        <v>30000</v>
      </c>
      <c r="X92" s="10">
        <v>31000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119</v>
      </c>
      <c r="AH92" s="1" t="s">
        <v>74</v>
      </c>
      <c r="AI92" s="1">
        <v>2</v>
      </c>
      <c r="AJ92" s="3">
        <v>45922</v>
      </c>
      <c r="AK92" s="3">
        <v>0</v>
      </c>
      <c r="AL92" s="3">
        <v>45913</v>
      </c>
      <c r="AM92" s="3">
        <v>45920</v>
      </c>
      <c r="AN92" s="3">
        <v>45921</v>
      </c>
      <c r="AO92" s="3">
        <v>45921</v>
      </c>
      <c r="AP92" s="3">
        <v>45917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 t="s">
        <v>334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45887</v>
      </c>
      <c r="B93" s="14" t="s">
        <v>348</v>
      </c>
      <c r="C93" s="9" t="s">
        <v>139</v>
      </c>
      <c r="D93" s="13" t="s">
        <v>268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45926</v>
      </c>
      <c r="U93" s="11">
        <v>20000</v>
      </c>
      <c r="V93" s="10">
        <v>0</v>
      </c>
      <c r="W93" s="10">
        <v>20000</v>
      </c>
      <c r="X93" s="10">
        <v>20056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61</v>
      </c>
      <c r="AH93" s="1" t="s">
        <v>74</v>
      </c>
      <c r="AI93" s="1">
        <v>2</v>
      </c>
      <c r="AJ93" s="3">
        <v>45926</v>
      </c>
      <c r="AK93" s="3">
        <v>0</v>
      </c>
      <c r="AL93" s="3">
        <v>45917</v>
      </c>
      <c r="AM93" s="3">
        <v>45924</v>
      </c>
      <c r="AN93" s="3">
        <v>45925</v>
      </c>
      <c r="AO93" s="3">
        <v>45925</v>
      </c>
      <c r="AP93" s="3">
        <v>45921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334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45905</v>
      </c>
      <c r="B94" s="14" t="s">
        <v>473</v>
      </c>
      <c r="C94" s="9" t="s">
        <v>474</v>
      </c>
      <c r="D94" s="13" t="s">
        <v>475</v>
      </c>
      <c r="E94" s="9">
        <v>20</v>
      </c>
      <c r="F94" s="9">
        <v>34</v>
      </c>
      <c r="G94" s="9" t="s">
        <v>60</v>
      </c>
      <c r="H94" s="9">
        <v>0</v>
      </c>
      <c r="I94" s="9">
        <v>70</v>
      </c>
      <c r="J94" s="9" t="s">
        <v>57</v>
      </c>
      <c r="K94" s="9">
        <v>5</v>
      </c>
      <c r="L94" s="9" t="s">
        <v>92</v>
      </c>
      <c r="M94" s="10">
        <v>21</v>
      </c>
      <c r="N94" s="9">
        <v>37</v>
      </c>
      <c r="O94" s="9">
        <v>40</v>
      </c>
      <c r="P94" s="10">
        <v>95.846517983999988</v>
      </c>
      <c r="Q94" s="10">
        <v>0</v>
      </c>
      <c r="R94" s="10">
        <v>95.846517983999988</v>
      </c>
      <c r="S94" s="9" t="s">
        <v>67</v>
      </c>
      <c r="T94" s="12">
        <v>45912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4959.3500000000004</v>
      </c>
      <c r="AB94" s="8">
        <v>4959.3500000000004</v>
      </c>
      <c r="AC94" s="8">
        <v>0</v>
      </c>
      <c r="AD94" s="8">
        <v>0</v>
      </c>
      <c r="AE94" s="8">
        <v>0</v>
      </c>
      <c r="AF94" s="8" t="s">
        <v>476</v>
      </c>
      <c r="AG94" s="1" t="s">
        <v>115</v>
      </c>
      <c r="AH94" s="1" t="s">
        <v>72</v>
      </c>
      <c r="AI94" s="1">
        <v>3</v>
      </c>
      <c r="AJ94" s="3">
        <v>45912</v>
      </c>
      <c r="AK94" s="3">
        <v>0</v>
      </c>
      <c r="AL94" s="3">
        <v>45902</v>
      </c>
      <c r="AM94" s="3">
        <v>45909</v>
      </c>
      <c r="AN94" s="3">
        <v>45910</v>
      </c>
      <c r="AO94" s="3">
        <v>45910</v>
      </c>
      <c r="AP94" s="3">
        <v>45907</v>
      </c>
      <c r="AQ94" s="3">
        <v>45911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45905</v>
      </c>
      <c r="B95" s="14" t="s">
        <v>477</v>
      </c>
      <c r="C95" s="9" t="s">
        <v>139</v>
      </c>
      <c r="D95" s="13" t="s">
        <v>332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196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45918</v>
      </c>
      <c r="U95" s="11">
        <v>30000</v>
      </c>
      <c r="V95" s="10">
        <v>0</v>
      </c>
      <c r="W95" s="10">
        <v>30000</v>
      </c>
      <c r="X95" s="10">
        <v>19678</v>
      </c>
      <c r="Y95" s="10">
        <v>10838.1</v>
      </c>
      <c r="Z95" s="9" t="s">
        <v>81</v>
      </c>
      <c r="AA95" s="8">
        <v>11355.619275000001</v>
      </c>
      <c r="AB95" s="8">
        <v>11355.619275000001</v>
      </c>
      <c r="AC95" s="8">
        <v>0</v>
      </c>
      <c r="AD95" s="8">
        <v>0</v>
      </c>
      <c r="AE95" s="8">
        <v>0</v>
      </c>
      <c r="AF95" s="8" t="s">
        <v>210</v>
      </c>
      <c r="AG95" s="1" t="s">
        <v>115</v>
      </c>
      <c r="AH95" s="1" t="s">
        <v>74</v>
      </c>
      <c r="AI95" s="1">
        <v>2</v>
      </c>
      <c r="AJ95" s="3">
        <v>45918</v>
      </c>
      <c r="AK95" s="3">
        <v>0</v>
      </c>
      <c r="AL95" s="3">
        <v>45909</v>
      </c>
      <c r="AM95" s="3">
        <v>45916</v>
      </c>
      <c r="AN95" s="3">
        <v>45917</v>
      </c>
      <c r="AO95" s="3">
        <v>45917</v>
      </c>
      <c r="AP95" s="3">
        <v>45913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 t="s">
        <v>468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 t="s">
        <v>135</v>
      </c>
      <c r="B96" s="14" t="s">
        <v>135</v>
      </c>
      <c r="C96" s="9" t="s">
        <v>139</v>
      </c>
      <c r="D96" s="13" t="s">
        <v>61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290000</v>
      </c>
      <c r="V96" s="10">
        <v>0</v>
      </c>
      <c r="W96" s="10">
        <v>290000</v>
      </c>
      <c r="X96" s="10">
        <v>0</v>
      </c>
      <c r="Y96" s="10">
        <v>304500</v>
      </c>
      <c r="Z96" s="9" t="s">
        <v>81</v>
      </c>
      <c r="AA96" s="8">
        <v>303847.5</v>
      </c>
      <c r="AB96" s="8">
        <v>72336</v>
      </c>
      <c r="AC96" s="8">
        <v>231511.5</v>
      </c>
      <c r="AD96" s="8">
        <v>0</v>
      </c>
      <c r="AE96" s="8">
        <v>0</v>
      </c>
      <c r="AF96" s="8" t="s">
        <v>210</v>
      </c>
      <c r="AG96" s="1" t="s">
        <v>115</v>
      </c>
      <c r="AH96" s="1" t="s">
        <v>74</v>
      </c>
      <c r="AI96" s="1">
        <v>2</v>
      </c>
      <c r="AJ96" s="3" t="s">
        <v>63</v>
      </c>
      <c r="AK96" s="3">
        <v>0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17697.768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37</v>
      </c>
      <c r="G97" s="9">
        <v>0</v>
      </c>
      <c r="H97" s="9">
        <v>0</v>
      </c>
      <c r="I97" s="9">
        <v>80</v>
      </c>
      <c r="J97" s="9" t="s">
        <v>57</v>
      </c>
      <c r="K97" s="9">
        <v>3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81</v>
      </c>
      <c r="AA97" s="8">
        <v>320162.46927499998</v>
      </c>
      <c r="AB97" s="8">
        <v>88650.969274999996</v>
      </c>
      <c r="AC97" s="8">
        <v>231511.5</v>
      </c>
      <c r="AD97" s="8">
        <v>0</v>
      </c>
      <c r="AE97" s="8">
        <v>0</v>
      </c>
      <c r="AF97" s="8" t="s">
        <v>58</v>
      </c>
      <c r="AG97" s="1" t="s">
        <v>115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45904</v>
      </c>
      <c r="B98" s="14" t="s">
        <v>443</v>
      </c>
      <c r="C98" s="9" t="s">
        <v>454</v>
      </c>
      <c r="D98" s="13" t="s">
        <v>445</v>
      </c>
      <c r="E98" s="9">
        <v>21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45911</v>
      </c>
      <c r="U98" s="11">
        <v>4000</v>
      </c>
      <c r="V98" s="10">
        <v>0</v>
      </c>
      <c r="W98" s="10">
        <v>4000</v>
      </c>
      <c r="X98" s="10">
        <v>4340</v>
      </c>
      <c r="Y98" s="10">
        <v>0</v>
      </c>
      <c r="Z98" s="9" t="s">
        <v>120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68</v>
      </c>
      <c r="AI98" s="1">
        <v>4</v>
      </c>
      <c r="AJ98" s="3">
        <v>45911</v>
      </c>
      <c r="AK98" s="3">
        <v>45907</v>
      </c>
      <c r="AL98" s="3">
        <v>45901</v>
      </c>
      <c r="AM98" s="3">
        <v>45908</v>
      </c>
      <c r="AN98" s="3">
        <v>45909</v>
      </c>
      <c r="AO98" s="3">
        <v>45909</v>
      </c>
      <c r="AP98" s="3">
        <v>45906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121</v>
      </c>
      <c r="BD98" s="56">
        <v>0</v>
      </c>
    </row>
    <row r="99" spans="1:56" ht="27.75" customHeight="1" x14ac:dyDescent="0.45">
      <c r="A99" s="3">
        <v>45876</v>
      </c>
      <c r="B99" s="14" t="s">
        <v>336</v>
      </c>
      <c r="C99" s="9" t="s">
        <v>107</v>
      </c>
      <c r="D99" s="13" t="s">
        <v>316</v>
      </c>
      <c r="E99" s="9">
        <v>21</v>
      </c>
      <c r="F99" s="9">
        <v>38</v>
      </c>
      <c r="G99" s="9" t="s">
        <v>60</v>
      </c>
      <c r="H99" s="9" t="s">
        <v>66</v>
      </c>
      <c r="I99" s="9">
        <v>102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65.13122457599998</v>
      </c>
      <c r="Q99" s="10">
        <v>0</v>
      </c>
      <c r="R99" s="10">
        <v>65.13122457599998</v>
      </c>
      <c r="S99" s="9" t="s">
        <v>67</v>
      </c>
      <c r="T99" s="12">
        <v>45926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120</v>
      </c>
      <c r="AA99" s="8">
        <v>3310.89</v>
      </c>
      <c r="AB99" s="8">
        <v>3310.89</v>
      </c>
      <c r="AC99" s="8">
        <v>0</v>
      </c>
      <c r="AD99" s="8">
        <v>3310.89</v>
      </c>
      <c r="AE99" s="8">
        <v>0</v>
      </c>
      <c r="AF99" s="8">
        <v>0</v>
      </c>
      <c r="AG99" s="1" t="s">
        <v>116</v>
      </c>
      <c r="AH99" s="1" t="s">
        <v>68</v>
      </c>
      <c r="AI99" s="1">
        <v>4</v>
      </c>
      <c r="AJ99" s="3">
        <v>45926</v>
      </c>
      <c r="AK99" s="3">
        <v>45922</v>
      </c>
      <c r="AL99" s="3">
        <v>45916</v>
      </c>
      <c r="AM99" s="3">
        <v>45923</v>
      </c>
      <c r="AN99" s="3">
        <v>45924</v>
      </c>
      <c r="AO99" s="3">
        <v>45924</v>
      </c>
      <c r="AP99" s="3">
        <v>45921</v>
      </c>
      <c r="AQ99" s="3">
        <v>45925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121</v>
      </c>
      <c r="BD99" s="56">
        <v>0</v>
      </c>
    </row>
    <row r="100" spans="1:56" ht="27.75" customHeight="1" x14ac:dyDescent="0.45">
      <c r="A100" s="3" t="s">
        <v>135</v>
      </c>
      <c r="B100" s="14" t="s">
        <v>135</v>
      </c>
      <c r="C100" s="9" t="s">
        <v>111</v>
      </c>
      <c r="D100" s="13" t="s">
        <v>61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45930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120</v>
      </c>
      <c r="AA100" s="8">
        <v>107569.00000000001</v>
      </c>
      <c r="AB100" s="8">
        <v>107569.00000000001</v>
      </c>
      <c r="AC100" s="8">
        <v>0</v>
      </c>
      <c r="AD100" s="8">
        <v>107569.00000000001</v>
      </c>
      <c r="AE100" s="8">
        <v>0</v>
      </c>
      <c r="AF100" s="8">
        <v>0</v>
      </c>
      <c r="AG100" s="1" t="s">
        <v>116</v>
      </c>
      <c r="AH100" s="1" t="s">
        <v>68</v>
      </c>
      <c r="AI100" s="1">
        <v>4</v>
      </c>
      <c r="AJ100" s="3">
        <v>45930</v>
      </c>
      <c r="AK100" s="3">
        <v>45926</v>
      </c>
      <c r="AL100" s="3">
        <v>45920</v>
      </c>
      <c r="AM100" s="3">
        <v>45927</v>
      </c>
      <c r="AN100" s="3">
        <v>45928</v>
      </c>
      <c r="AO100" s="3">
        <v>45928</v>
      </c>
      <c r="AP100" s="3">
        <v>45925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121</v>
      </c>
      <c r="BD100" s="56">
        <v>0</v>
      </c>
    </row>
    <row r="101" spans="1:56" ht="27.75" customHeight="1" x14ac:dyDescent="0.45">
      <c r="A101" s="3">
        <v>45631</v>
      </c>
      <c r="B101" s="14" t="s">
        <v>203</v>
      </c>
      <c r="C101" s="9" t="s">
        <v>109</v>
      </c>
      <c r="D101" s="13" t="s">
        <v>144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120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116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218</v>
      </c>
      <c r="AZ101" s="2">
        <v>0</v>
      </c>
      <c r="BA101" s="2">
        <v>0</v>
      </c>
      <c r="BB101" s="2">
        <v>0</v>
      </c>
      <c r="BC101" s="1" t="s">
        <v>121</v>
      </c>
      <c r="BD101" s="56">
        <v>0</v>
      </c>
    </row>
    <row r="102" spans="1:56" ht="27.75" customHeight="1" x14ac:dyDescent="0.45">
      <c r="A102" s="3">
        <v>45631</v>
      </c>
      <c r="B102" s="14" t="s">
        <v>202</v>
      </c>
      <c r="C102" s="9" t="s">
        <v>109</v>
      </c>
      <c r="D102" s="13" t="s">
        <v>144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9000</v>
      </c>
      <c r="V102" s="10">
        <v>0</v>
      </c>
      <c r="W102" s="10">
        <v>9000</v>
      </c>
      <c r="X102" s="10">
        <v>0</v>
      </c>
      <c r="Y102" s="10">
        <v>9450</v>
      </c>
      <c r="Z102" s="9" t="s">
        <v>120</v>
      </c>
      <c r="AA102" s="8">
        <v>9681.2100000000009</v>
      </c>
      <c r="AB102" s="8">
        <v>9681.2100000000009</v>
      </c>
      <c r="AC102" s="8">
        <v>0</v>
      </c>
      <c r="AD102" s="8">
        <v>0</v>
      </c>
      <c r="AE102" s="8">
        <v>9681.2100000000009</v>
      </c>
      <c r="AF102" s="8">
        <v>0</v>
      </c>
      <c r="AG102" s="1" t="s">
        <v>116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217</v>
      </c>
      <c r="AZ102" s="2">
        <v>0</v>
      </c>
      <c r="BA102" s="2">
        <v>0</v>
      </c>
      <c r="BB102" s="2">
        <v>0</v>
      </c>
      <c r="BC102" s="1" t="s">
        <v>121</v>
      </c>
      <c r="BD102" s="56">
        <v>0</v>
      </c>
    </row>
    <row r="103" spans="1:56" ht="27.75" customHeight="1" x14ac:dyDescent="0.45">
      <c r="A103" s="3">
        <v>45896</v>
      </c>
      <c r="B103" s="14" t="s">
        <v>400</v>
      </c>
      <c r="C103" s="9" t="s">
        <v>107</v>
      </c>
      <c r="D103" s="13" t="s">
        <v>401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120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116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121</v>
      </c>
      <c r="BD103" s="56">
        <v>0</v>
      </c>
    </row>
    <row r="104" spans="1:56" ht="27.75" customHeight="1" x14ac:dyDescent="0.45">
      <c r="A104" s="3">
        <v>45896</v>
      </c>
      <c r="B104" s="14" t="s">
        <v>402</v>
      </c>
      <c r="C104" s="9" t="s">
        <v>107</v>
      </c>
      <c r="D104" s="13" t="s">
        <v>313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120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5518.15</v>
      </c>
      <c r="AF104" s="8">
        <v>0</v>
      </c>
      <c r="AG104" s="1" t="s">
        <v>116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121</v>
      </c>
      <c r="BD104" s="56">
        <v>0</v>
      </c>
    </row>
    <row r="105" spans="1:56" ht="27.75" customHeight="1" x14ac:dyDescent="0.45">
      <c r="A105" s="3">
        <v>45896</v>
      </c>
      <c r="B105" s="14" t="s">
        <v>403</v>
      </c>
      <c r="C105" s="9" t="s">
        <v>107</v>
      </c>
      <c r="D105" s="13" t="s">
        <v>404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120</v>
      </c>
      <c r="AA105" s="8">
        <v>3310.89</v>
      </c>
      <c r="AB105" s="8">
        <v>3310.89</v>
      </c>
      <c r="AC105" s="8">
        <v>0</v>
      </c>
      <c r="AD105" s="8">
        <v>0</v>
      </c>
      <c r="AE105" s="8">
        <v>3310.89</v>
      </c>
      <c r="AF105" s="8">
        <v>0</v>
      </c>
      <c r="AG105" s="1" t="s">
        <v>116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>
        <v>45876</v>
      </c>
      <c r="B106" s="14" t="s">
        <v>335</v>
      </c>
      <c r="C106" s="9" t="s">
        <v>107</v>
      </c>
      <c r="D106" s="13" t="s">
        <v>315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42</v>
      </c>
      <c r="O106" s="9">
        <v>40</v>
      </c>
      <c r="P106" s="10">
        <v>68.387785804799989</v>
      </c>
      <c r="Q106" s="10">
        <v>0</v>
      </c>
      <c r="R106" s="10">
        <v>68.387785804799989</v>
      </c>
      <c r="S106" s="9" t="s">
        <v>71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120</v>
      </c>
      <c r="AA106" s="8">
        <v>3478.5300000000007</v>
      </c>
      <c r="AB106" s="8">
        <v>3478.5300000000007</v>
      </c>
      <c r="AC106" s="8">
        <v>0</v>
      </c>
      <c r="AD106" s="8">
        <v>0</v>
      </c>
      <c r="AE106" s="8">
        <v>3478.5300000000007</v>
      </c>
      <c r="AF106" s="8">
        <v>0</v>
      </c>
      <c r="AG106" s="1" t="s">
        <v>116</v>
      </c>
      <c r="AH106" s="1" t="s">
        <v>68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 t="e">
        <v>#VALUE!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337</v>
      </c>
      <c r="C107" s="9" t="s">
        <v>107</v>
      </c>
      <c r="D107" s="13" t="s">
        <v>317</v>
      </c>
      <c r="E107" s="9">
        <v>21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113.97964300799998</v>
      </c>
      <c r="Q107" s="10">
        <v>0</v>
      </c>
      <c r="R107" s="10">
        <v>113.97964300799998</v>
      </c>
      <c r="S107" s="9" t="s">
        <v>71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120</v>
      </c>
      <c r="AA107" s="8">
        <v>5797.55</v>
      </c>
      <c r="AB107" s="8">
        <v>5797.55</v>
      </c>
      <c r="AC107" s="8">
        <v>0</v>
      </c>
      <c r="AD107" s="8">
        <v>0</v>
      </c>
      <c r="AE107" s="8">
        <v>5797.55</v>
      </c>
      <c r="AF107" s="8">
        <v>0</v>
      </c>
      <c r="AG107" s="1" t="s">
        <v>116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109</v>
      </c>
      <c r="D108" s="13" t="s">
        <v>144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120</v>
      </c>
      <c r="AA108" s="8">
        <v>10756.900000000001</v>
      </c>
      <c r="AB108" s="8">
        <v>10756.900000000001</v>
      </c>
      <c r="AC108" s="8">
        <v>0</v>
      </c>
      <c r="AD108" s="8">
        <v>0</v>
      </c>
      <c r="AE108" s="8">
        <v>10756.900000000001</v>
      </c>
      <c r="AF108" s="8">
        <v>0</v>
      </c>
      <c r="AG108" s="1" t="s">
        <v>116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45854</v>
      </c>
      <c r="B109" s="14" t="s">
        <v>295</v>
      </c>
      <c r="C109" s="9" t="s">
        <v>79</v>
      </c>
      <c r="D109" s="13" t="s">
        <v>296</v>
      </c>
      <c r="E109" s="9">
        <v>21</v>
      </c>
      <c r="F109" s="9">
        <v>38</v>
      </c>
      <c r="G109" s="9" t="s">
        <v>60</v>
      </c>
      <c r="H109" s="9" t="s">
        <v>76</v>
      </c>
      <c r="I109" s="9">
        <v>102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3310.89</v>
      </c>
      <c r="AB109" s="8">
        <v>3310.89</v>
      </c>
      <c r="AC109" s="8">
        <v>0</v>
      </c>
      <c r="AD109" s="8">
        <v>0</v>
      </c>
      <c r="AE109" s="8">
        <v>3310.89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45854</v>
      </c>
      <c r="B110" s="14" t="s">
        <v>297</v>
      </c>
      <c r="C110" s="9" t="s">
        <v>79</v>
      </c>
      <c r="D110" s="13" t="s">
        <v>298</v>
      </c>
      <c r="E110" s="9">
        <v>21</v>
      </c>
      <c r="F110" s="9">
        <v>38</v>
      </c>
      <c r="G110" s="9" t="s">
        <v>60</v>
      </c>
      <c r="H110" s="9" t="s">
        <v>76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65.13122457599998</v>
      </c>
      <c r="Q110" s="10">
        <v>0</v>
      </c>
      <c r="R110" s="10">
        <v>65.13122457599998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120</v>
      </c>
      <c r="AA110" s="8">
        <v>3310.89</v>
      </c>
      <c r="AB110" s="8">
        <v>3310.89</v>
      </c>
      <c r="AC110" s="8">
        <v>0</v>
      </c>
      <c r="AD110" s="8">
        <v>0</v>
      </c>
      <c r="AE110" s="8">
        <v>3310.89</v>
      </c>
      <c r="AF110" s="8">
        <v>0</v>
      </c>
      <c r="AG110" s="1" t="s">
        <v>115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45826</v>
      </c>
      <c r="B111" s="14" t="s">
        <v>274</v>
      </c>
      <c r="C111" s="9" t="s">
        <v>107</v>
      </c>
      <c r="D111" s="13" t="s">
        <v>262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163.47937368575995</v>
      </c>
      <c r="Q111" s="10">
        <v>0</v>
      </c>
      <c r="R111" s="10">
        <v>163.47937368575995</v>
      </c>
      <c r="S111" s="9" t="s">
        <v>67</v>
      </c>
      <c r="T111" s="12" t="s">
        <v>63</v>
      </c>
      <c r="U111" s="11">
        <v>8000</v>
      </c>
      <c r="V111" s="10">
        <v>470</v>
      </c>
      <c r="W111" s="10">
        <v>7530</v>
      </c>
      <c r="X111" s="10">
        <v>0</v>
      </c>
      <c r="Y111" s="10">
        <v>7906.5</v>
      </c>
      <c r="Z111" s="9" t="s">
        <v>120</v>
      </c>
      <c r="AA111" s="8">
        <v>8310.3338999999996</v>
      </c>
      <c r="AB111" s="8">
        <v>8310.3338999999996</v>
      </c>
      <c r="AC111" s="8">
        <v>0</v>
      </c>
      <c r="AD111" s="8">
        <v>0</v>
      </c>
      <c r="AE111" s="8">
        <v>8310.3338999999996</v>
      </c>
      <c r="AF111" s="8">
        <v>0</v>
      </c>
      <c r="AG111" s="1" t="s">
        <v>115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45066</v>
      </c>
      <c r="B112" s="14" t="s">
        <v>126</v>
      </c>
      <c r="C112" s="9" t="s">
        <v>79</v>
      </c>
      <c r="D112" s="13" t="s">
        <v>125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21</v>
      </c>
      <c r="F113" s="9">
        <v>37</v>
      </c>
      <c r="G113" s="9">
        <v>0</v>
      </c>
      <c r="H113" s="9">
        <v>0</v>
      </c>
      <c r="I113" s="9">
        <v>74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 t="s">
        <v>82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120</v>
      </c>
      <c r="AA113" s="8">
        <v>190395.31390000004</v>
      </c>
      <c r="AB113" s="8">
        <v>190395.31390000004</v>
      </c>
      <c r="AC113" s="8">
        <v>0</v>
      </c>
      <c r="AD113" s="8">
        <v>110879.89000000001</v>
      </c>
      <c r="AE113" s="8">
        <v>79515.423899999994</v>
      </c>
      <c r="AF113" s="8" t="s">
        <v>58</v>
      </c>
      <c r="AG113" s="1" t="s">
        <v>61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122</v>
      </c>
      <c r="BD113" s="56">
        <v>0</v>
      </c>
    </row>
    <row r="114" spans="1:56" ht="27.75" customHeight="1" x14ac:dyDescent="0.45">
      <c r="A114" s="3" t="s">
        <v>135</v>
      </c>
      <c r="B114" s="14" t="s">
        <v>135</v>
      </c>
      <c r="C114" s="9" t="s">
        <v>216</v>
      </c>
      <c r="D114" s="13" t="s">
        <v>216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45930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83</v>
      </c>
      <c r="AA114" s="8">
        <v>29756.100000000002</v>
      </c>
      <c r="AB114" s="8">
        <v>29756.100000000002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74</v>
      </c>
      <c r="AI114" s="1">
        <v>2</v>
      </c>
      <c r="AJ114" s="3">
        <v>45930</v>
      </c>
      <c r="AK114" s="3">
        <v>0</v>
      </c>
      <c r="AL114" s="3">
        <v>45921</v>
      </c>
      <c r="AM114" s="3">
        <v>45928</v>
      </c>
      <c r="AN114" s="3">
        <v>45929</v>
      </c>
      <c r="AO114" s="3">
        <v>45929</v>
      </c>
      <c r="AP114" s="3">
        <v>45925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45">
      <c r="A115" s="3" t="s">
        <v>135</v>
      </c>
      <c r="B115" s="14" t="s">
        <v>135</v>
      </c>
      <c r="C115" s="9" t="s">
        <v>221</v>
      </c>
      <c r="D115" s="13" t="s">
        <v>61</v>
      </c>
      <c r="E115" s="9">
        <v>23</v>
      </c>
      <c r="F115" s="9">
        <v>34</v>
      </c>
      <c r="G115" s="9" t="s">
        <v>60</v>
      </c>
      <c r="H115" s="9">
        <v>0</v>
      </c>
      <c r="I115" s="9">
        <v>68</v>
      </c>
      <c r="J115" s="9" t="s">
        <v>57</v>
      </c>
      <c r="K115" s="9">
        <v>5</v>
      </c>
      <c r="L115" s="9" t="s">
        <v>92</v>
      </c>
      <c r="M115" s="10">
        <v>24</v>
      </c>
      <c r="N115" s="9">
        <v>37</v>
      </c>
      <c r="O115" s="9">
        <v>50</v>
      </c>
      <c r="P115" s="10">
        <v>821.54158271999995</v>
      </c>
      <c r="Q115" s="10">
        <v>0</v>
      </c>
      <c r="R115" s="10">
        <v>821.54158271999995</v>
      </c>
      <c r="S115" s="9" t="s">
        <v>123</v>
      </c>
      <c r="T115" s="12">
        <v>45930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83</v>
      </c>
      <c r="AA115" s="8">
        <v>29756.100000000002</v>
      </c>
      <c r="AB115" s="8">
        <v>18178</v>
      </c>
      <c r="AC115" s="8">
        <v>11578.100000000002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72</v>
      </c>
      <c r="AI115" s="1">
        <v>3</v>
      </c>
      <c r="AJ115" s="3">
        <v>45930</v>
      </c>
      <c r="AK115" s="3">
        <v>0</v>
      </c>
      <c r="AL115" s="3">
        <v>45920</v>
      </c>
      <c r="AM115" s="3">
        <v>45927</v>
      </c>
      <c r="AN115" s="3">
        <v>45928</v>
      </c>
      <c r="AO115" s="3">
        <v>45928</v>
      </c>
      <c r="AP115" s="3">
        <v>45925</v>
      </c>
      <c r="AQ115" s="3">
        <v>45929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865.46297500000014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60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83</v>
      </c>
      <c r="AA116" s="8">
        <v>59512.200000000004</v>
      </c>
      <c r="AB116" s="8">
        <v>47934.100000000006</v>
      </c>
      <c r="AC116" s="8">
        <v>11578.100000000002</v>
      </c>
      <c r="AD116" s="8">
        <v>0</v>
      </c>
      <c r="AE116" s="8">
        <v>0</v>
      </c>
      <c r="AF116" s="8" t="s">
        <v>58</v>
      </c>
      <c r="AG116" s="1" t="s">
        <v>115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45">
      <c r="A117" s="3">
        <v>45727</v>
      </c>
      <c r="B117" s="14" t="s">
        <v>240</v>
      </c>
      <c r="C117" s="9" t="s">
        <v>111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196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213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215</v>
      </c>
      <c r="AG117" s="1" t="s">
        <v>115</v>
      </c>
      <c r="AH117" s="1" t="s">
        <v>146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143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213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214</v>
      </c>
      <c r="BD118" s="56">
        <v>0</v>
      </c>
    </row>
    <row r="119" spans="1:56" ht="27.75" customHeight="1" x14ac:dyDescent="0.45">
      <c r="A119" s="3">
        <v>45908</v>
      </c>
      <c r="B119" s="14" t="s">
        <v>128</v>
      </c>
      <c r="C119" s="9" t="s">
        <v>320</v>
      </c>
      <c r="D119" s="13" t="s">
        <v>59</v>
      </c>
      <c r="E119" s="9">
        <v>23</v>
      </c>
      <c r="F119" s="9">
        <v>35</v>
      </c>
      <c r="G119" s="9" t="s">
        <v>482</v>
      </c>
      <c r="H119" s="9">
        <v>0</v>
      </c>
      <c r="I119" s="9">
        <v>90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45922</v>
      </c>
      <c r="U119" s="11">
        <v>10000</v>
      </c>
      <c r="V119" s="10">
        <v>0</v>
      </c>
      <c r="W119" s="10">
        <v>10000</v>
      </c>
      <c r="X119" s="10">
        <v>0</v>
      </c>
      <c r="Y119" s="10">
        <v>0</v>
      </c>
      <c r="Z119" s="9" t="s">
        <v>483</v>
      </c>
      <c r="AA119" s="8">
        <v>10198.1</v>
      </c>
      <c r="AB119" s="8">
        <v>0</v>
      </c>
      <c r="AC119" s="8">
        <v>10198.1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77</v>
      </c>
      <c r="AI119" s="1">
        <v>1</v>
      </c>
      <c r="AJ119" s="3">
        <v>45922</v>
      </c>
      <c r="AK119" s="3">
        <v>0</v>
      </c>
      <c r="AL119" s="3">
        <v>0</v>
      </c>
      <c r="AM119" s="3">
        <v>0</v>
      </c>
      <c r="AN119" s="3">
        <v>0</v>
      </c>
      <c r="AO119" s="3">
        <v>45921</v>
      </c>
      <c r="AP119" s="3">
        <v>45917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484</v>
      </c>
      <c r="BD119" s="56">
        <v>939.58494666666661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34</v>
      </c>
      <c r="G120" s="9">
        <v>0</v>
      </c>
      <c r="H120" s="9">
        <v>0</v>
      </c>
      <c r="I120" s="9">
        <v>90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483</v>
      </c>
      <c r="AA120" s="8">
        <v>10198.1</v>
      </c>
      <c r="AB120" s="8">
        <v>0</v>
      </c>
      <c r="AC120" s="8">
        <v>10198.1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485</v>
      </c>
      <c r="BD120" s="56">
        <v>0</v>
      </c>
    </row>
    <row r="121" spans="1:56" ht="27.75" customHeight="1" x14ac:dyDescent="0.45">
      <c r="A121" s="3">
        <v>45601</v>
      </c>
      <c r="B121" s="14" t="s">
        <v>193</v>
      </c>
      <c r="C121" s="9" t="s">
        <v>93</v>
      </c>
      <c r="D121" s="13" t="s">
        <v>142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3207.7128103679997</v>
      </c>
      <c r="Q121" s="10">
        <v>0</v>
      </c>
      <c r="R121" s="10">
        <v>3207.7128103679997</v>
      </c>
      <c r="S121" s="9" t="s">
        <v>299</v>
      </c>
      <c r="T121" s="12" t="s">
        <v>63</v>
      </c>
      <c r="U121" s="11">
        <v>100000</v>
      </c>
      <c r="V121" s="10">
        <v>1500</v>
      </c>
      <c r="W121" s="10">
        <v>98500</v>
      </c>
      <c r="X121" s="10">
        <v>0</v>
      </c>
      <c r="Y121" s="10">
        <v>103425</v>
      </c>
      <c r="Z121" s="9" t="s">
        <v>99</v>
      </c>
      <c r="AA121" s="8">
        <v>105955.465</v>
      </c>
      <c r="AB121" s="8">
        <v>18859</v>
      </c>
      <c r="AC121" s="8">
        <v>87096.464999999997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72</v>
      </c>
      <c r="AI121" s="1">
        <v>3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113</v>
      </c>
      <c r="BD121" s="56">
        <v>11157.371681512501</v>
      </c>
    </row>
    <row r="122" spans="1:56" ht="27.75" customHeight="1" x14ac:dyDescent="0.45">
      <c r="A122" s="3">
        <v>45601</v>
      </c>
      <c r="B122" s="14" t="s">
        <v>193</v>
      </c>
      <c r="C122" s="9" t="s">
        <v>93</v>
      </c>
      <c r="D122" s="13" t="s">
        <v>142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11003.203948644863</v>
      </c>
      <c r="Q122" s="10">
        <v>0</v>
      </c>
      <c r="R122" s="10">
        <v>11003.203948644863</v>
      </c>
      <c r="S122" s="9" t="s">
        <v>299</v>
      </c>
      <c r="T122" s="12" t="s">
        <v>63</v>
      </c>
      <c r="U122" s="11">
        <v>337878</v>
      </c>
      <c r="V122" s="10">
        <v>0</v>
      </c>
      <c r="W122" s="10">
        <v>337878</v>
      </c>
      <c r="X122" s="10">
        <v>0</v>
      </c>
      <c r="Y122" s="10">
        <v>354771.9</v>
      </c>
      <c r="Z122" s="9" t="s">
        <v>99</v>
      </c>
      <c r="AA122" s="8">
        <v>363451.98582000006</v>
      </c>
      <c r="AB122" s="8">
        <v>0</v>
      </c>
      <c r="AC122" s="8">
        <v>363451.98582000006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72</v>
      </c>
      <c r="AI122" s="1">
        <v>3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113</v>
      </c>
      <c r="BD122" s="56">
        <v>46559.511849046357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37</v>
      </c>
      <c r="G123" s="9">
        <v>0</v>
      </c>
      <c r="H123" s="9">
        <v>0</v>
      </c>
      <c r="I123" s="9">
        <v>128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99</v>
      </c>
      <c r="AA123" s="8">
        <v>469407.45082000003</v>
      </c>
      <c r="AB123" s="8">
        <v>18859</v>
      </c>
      <c r="AC123" s="8">
        <v>450548.45082000003</v>
      </c>
      <c r="AD123" s="8">
        <v>0</v>
      </c>
      <c r="AE123" s="8">
        <v>0</v>
      </c>
      <c r="AF123" s="8" t="s">
        <v>58</v>
      </c>
      <c r="AG123" s="1" t="s">
        <v>115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114</v>
      </c>
      <c r="BD123" s="56">
        <v>0</v>
      </c>
    </row>
    <row r="124" spans="1:56" ht="27.75" customHeight="1" x14ac:dyDescent="0.45">
      <c r="A124" s="3">
        <v>45894</v>
      </c>
      <c r="B124" s="14" t="s">
        <v>374</v>
      </c>
      <c r="C124" s="9" t="s">
        <v>137</v>
      </c>
      <c r="D124" s="13" t="s">
        <v>59</v>
      </c>
      <c r="E124" s="9">
        <v>26</v>
      </c>
      <c r="F124" s="9">
        <v>39</v>
      </c>
      <c r="G124" s="9" t="s">
        <v>60</v>
      </c>
      <c r="H124" s="9">
        <v>0</v>
      </c>
      <c r="I124" s="9">
        <v>93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123</v>
      </c>
      <c r="T124" s="12">
        <v>45910</v>
      </c>
      <c r="U124" s="11">
        <v>5000</v>
      </c>
      <c r="V124" s="10">
        <v>5000</v>
      </c>
      <c r="W124" s="10">
        <v>0</v>
      </c>
      <c r="X124" s="10">
        <v>0</v>
      </c>
      <c r="Y124" s="10">
        <v>0</v>
      </c>
      <c r="Z124" s="9" t="s">
        <v>84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77</v>
      </c>
      <c r="AI124" s="1">
        <v>1</v>
      </c>
      <c r="AJ124" s="3">
        <v>45910</v>
      </c>
      <c r="AK124" s="3">
        <v>0</v>
      </c>
      <c r="AL124" s="3">
        <v>0</v>
      </c>
      <c r="AM124" s="3">
        <v>0</v>
      </c>
      <c r="AN124" s="3">
        <v>0</v>
      </c>
      <c r="AO124" s="3">
        <v>45909</v>
      </c>
      <c r="AP124" s="3">
        <v>45905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45906</v>
      </c>
      <c r="B125" s="14" t="s">
        <v>478</v>
      </c>
      <c r="C125" s="9" t="s">
        <v>179</v>
      </c>
      <c r="D125" s="13" t="s">
        <v>479</v>
      </c>
      <c r="E125" s="9">
        <v>26</v>
      </c>
      <c r="F125" s="9">
        <v>41</v>
      </c>
      <c r="G125" s="9" t="s">
        <v>60</v>
      </c>
      <c r="H125" s="9">
        <v>0</v>
      </c>
      <c r="I125" s="9">
        <v>97</v>
      </c>
      <c r="J125" s="9" t="s">
        <v>57</v>
      </c>
      <c r="K125" s="9">
        <v>5</v>
      </c>
      <c r="L125" s="9" t="s">
        <v>91</v>
      </c>
      <c r="M125" s="10">
        <v>27</v>
      </c>
      <c r="N125" s="9">
        <v>43</v>
      </c>
      <c r="O125" s="9">
        <v>40</v>
      </c>
      <c r="P125" s="10">
        <v>114.57174504959998</v>
      </c>
      <c r="Q125" s="10">
        <v>0</v>
      </c>
      <c r="R125" s="10">
        <v>114.57174504959998</v>
      </c>
      <c r="S125" s="9" t="s">
        <v>185</v>
      </c>
      <c r="T125" s="12">
        <v>45919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84</v>
      </c>
      <c r="AA125" s="8">
        <v>4749.8</v>
      </c>
      <c r="AB125" s="8">
        <v>0</v>
      </c>
      <c r="AC125" s="8">
        <v>4749.8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45919</v>
      </c>
      <c r="AK125" s="3">
        <v>0</v>
      </c>
      <c r="AL125" s="3">
        <v>45909</v>
      </c>
      <c r="AM125" s="3">
        <v>45916</v>
      </c>
      <c r="AN125" s="3">
        <v>45917</v>
      </c>
      <c r="AO125" s="3">
        <v>45917</v>
      </c>
      <c r="AP125" s="3">
        <v>45914</v>
      </c>
      <c r="AQ125" s="3">
        <v>45918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383.51996222222226</v>
      </c>
    </row>
    <row r="126" spans="1:56" ht="27.75" customHeight="1" x14ac:dyDescent="0.45">
      <c r="A126" s="3">
        <v>45906</v>
      </c>
      <c r="B126" s="14" t="s">
        <v>478</v>
      </c>
      <c r="C126" s="9" t="s">
        <v>179</v>
      </c>
      <c r="D126" s="13" t="s">
        <v>480</v>
      </c>
      <c r="E126" s="9">
        <v>26</v>
      </c>
      <c r="F126" s="9">
        <v>41</v>
      </c>
      <c r="G126" s="9" t="s">
        <v>60</v>
      </c>
      <c r="H126" s="9">
        <v>0</v>
      </c>
      <c r="I126" s="9">
        <v>97</v>
      </c>
      <c r="J126" s="9" t="s">
        <v>57</v>
      </c>
      <c r="K126" s="9">
        <v>5</v>
      </c>
      <c r="L126" s="9" t="s">
        <v>91</v>
      </c>
      <c r="M126" s="10">
        <v>27</v>
      </c>
      <c r="N126" s="9">
        <v>43</v>
      </c>
      <c r="O126" s="9">
        <v>40</v>
      </c>
      <c r="P126" s="10">
        <v>114.57174504959998</v>
      </c>
      <c r="Q126" s="10">
        <v>0</v>
      </c>
      <c r="R126" s="10">
        <v>114.57174504959998</v>
      </c>
      <c r="S126" s="9" t="s">
        <v>185</v>
      </c>
      <c r="T126" s="12">
        <v>45919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84</v>
      </c>
      <c r="AA126" s="8">
        <v>4749.8</v>
      </c>
      <c r="AB126" s="8">
        <v>0</v>
      </c>
      <c r="AC126" s="8">
        <v>4749.8</v>
      </c>
      <c r="AD126" s="8">
        <v>0</v>
      </c>
      <c r="AE126" s="8">
        <v>0</v>
      </c>
      <c r="AF126" s="8">
        <v>0</v>
      </c>
      <c r="AG126" s="1" t="s">
        <v>116</v>
      </c>
      <c r="AH126" s="1" t="s">
        <v>72</v>
      </c>
      <c r="AI126" s="1">
        <v>3</v>
      </c>
      <c r="AJ126" s="3">
        <v>45919</v>
      </c>
      <c r="AK126" s="3">
        <v>0</v>
      </c>
      <c r="AL126" s="3">
        <v>45909</v>
      </c>
      <c r="AM126" s="3">
        <v>45916</v>
      </c>
      <c r="AN126" s="3">
        <v>45917</v>
      </c>
      <c r="AO126" s="3">
        <v>45917</v>
      </c>
      <c r="AP126" s="3">
        <v>45914</v>
      </c>
      <c r="AQ126" s="3">
        <v>45918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383.51996222222226</v>
      </c>
    </row>
    <row r="127" spans="1:56" ht="27.75" customHeight="1" x14ac:dyDescent="0.45">
      <c r="A127" s="3">
        <v>45906</v>
      </c>
      <c r="B127" s="14" t="s">
        <v>128</v>
      </c>
      <c r="C127" s="9" t="s">
        <v>179</v>
      </c>
      <c r="D127" s="13" t="s">
        <v>481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114.57174504959998</v>
      </c>
      <c r="Q127" s="10">
        <v>0</v>
      </c>
      <c r="R127" s="10">
        <v>114.57174504959998</v>
      </c>
      <c r="S127" s="9" t="s">
        <v>185</v>
      </c>
      <c r="T127" s="12">
        <v>45919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84</v>
      </c>
      <c r="AA127" s="8">
        <v>4749.8</v>
      </c>
      <c r="AB127" s="8">
        <v>0</v>
      </c>
      <c r="AC127" s="8">
        <v>4749.8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>
        <v>45919</v>
      </c>
      <c r="AK127" s="3">
        <v>0</v>
      </c>
      <c r="AL127" s="3">
        <v>45909</v>
      </c>
      <c r="AM127" s="3">
        <v>45916</v>
      </c>
      <c r="AN127" s="3">
        <v>45917</v>
      </c>
      <c r="AO127" s="3">
        <v>45917</v>
      </c>
      <c r="AP127" s="3">
        <v>45914</v>
      </c>
      <c r="AQ127" s="3">
        <v>45918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383.51996222222226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14249.400000000001</v>
      </c>
      <c r="AB128" s="8">
        <v>0</v>
      </c>
      <c r="AC128" s="8">
        <v>14249.400000000001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45904</v>
      </c>
      <c r="B129" s="14" t="s">
        <v>455</v>
      </c>
      <c r="C129" s="9" t="s">
        <v>456</v>
      </c>
      <c r="D129" s="13" t="s">
        <v>457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458</v>
      </c>
      <c r="T129" s="12">
        <v>45912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459</v>
      </c>
      <c r="AA129" s="8">
        <v>12433.3</v>
      </c>
      <c r="AB129" s="8">
        <v>11491</v>
      </c>
      <c r="AC129" s="8">
        <v>942.29999999999927</v>
      </c>
      <c r="AD129" s="8">
        <v>0</v>
      </c>
      <c r="AE129" s="8">
        <v>12433.3</v>
      </c>
      <c r="AF129" s="8" t="s">
        <v>460</v>
      </c>
      <c r="AG129" s="1" t="s">
        <v>115</v>
      </c>
      <c r="AH129" s="1" t="s">
        <v>75</v>
      </c>
      <c r="AI129" s="1">
        <v>4</v>
      </c>
      <c r="AJ129" s="3">
        <v>45912</v>
      </c>
      <c r="AK129" s="3">
        <v>45908</v>
      </c>
      <c r="AL129" s="3">
        <v>45901</v>
      </c>
      <c r="AM129" s="3">
        <v>45909</v>
      </c>
      <c r="AN129" s="3">
        <v>45910</v>
      </c>
      <c r="AO129" s="3">
        <v>45911</v>
      </c>
      <c r="AP129" s="3">
        <v>45907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450</v>
      </c>
      <c r="BD129" s="56">
        <v>84.660419999999945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459</v>
      </c>
      <c r="AA130" s="8">
        <v>12433.3</v>
      </c>
      <c r="AB130" s="8">
        <v>11491</v>
      </c>
      <c r="AC130" s="8">
        <v>942.29999999999927</v>
      </c>
      <c r="AD130" s="8">
        <v>0</v>
      </c>
      <c r="AE130" s="8">
        <v>12433.3</v>
      </c>
      <c r="AF130" s="8" t="s">
        <v>58</v>
      </c>
      <c r="AG130" s="1" t="s">
        <v>118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450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109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>
        <v>45925</v>
      </c>
      <c r="U131" s="11">
        <v>10000</v>
      </c>
      <c r="V131" s="10">
        <v>0</v>
      </c>
      <c r="W131" s="10">
        <v>10000</v>
      </c>
      <c r="X131" s="10">
        <v>0</v>
      </c>
      <c r="Y131" s="10">
        <v>0</v>
      </c>
      <c r="Z131" s="9" t="s">
        <v>197</v>
      </c>
      <c r="AA131" s="8">
        <v>12433.3</v>
      </c>
      <c r="AB131" s="8">
        <v>12433.3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45925</v>
      </c>
      <c r="AK131" s="3">
        <v>0</v>
      </c>
      <c r="AL131" s="3">
        <v>0</v>
      </c>
      <c r="AM131" s="3">
        <v>0</v>
      </c>
      <c r="AN131" s="3">
        <v>0</v>
      </c>
      <c r="AO131" s="3">
        <v>45924</v>
      </c>
      <c r="AP131" s="3">
        <v>45920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197</v>
      </c>
      <c r="AA132" s="8">
        <v>12433.3</v>
      </c>
      <c r="AB132" s="8">
        <v>12433.3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116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198</v>
      </c>
      <c r="BD132" s="56">
        <v>0</v>
      </c>
    </row>
    <row r="133" spans="1:56" ht="27.75" customHeight="1" x14ac:dyDescent="0.45">
      <c r="A133" s="3">
        <v>45898</v>
      </c>
      <c r="B133" s="14" t="s">
        <v>414</v>
      </c>
      <c r="C133" s="9" t="s">
        <v>109</v>
      </c>
      <c r="D133" s="13" t="s">
        <v>59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>
        <v>45917</v>
      </c>
      <c r="U133" s="11">
        <v>15000</v>
      </c>
      <c r="V133" s="10">
        <v>0</v>
      </c>
      <c r="W133" s="10">
        <v>15000</v>
      </c>
      <c r="X133" s="10">
        <v>0</v>
      </c>
      <c r="Y133" s="10">
        <v>0</v>
      </c>
      <c r="Z133" s="9" t="s">
        <v>88</v>
      </c>
      <c r="AA133" s="8">
        <v>18649.949999999997</v>
      </c>
      <c r="AB133" s="8">
        <v>4658</v>
      </c>
      <c r="AC133" s="8">
        <v>13991.949999999997</v>
      </c>
      <c r="AD133" s="8">
        <v>0</v>
      </c>
      <c r="AE133" s="8">
        <v>18649.949999999997</v>
      </c>
      <c r="AF133" s="8">
        <v>0</v>
      </c>
      <c r="AG133" s="1" t="s">
        <v>115</v>
      </c>
      <c r="AH133" s="1" t="s">
        <v>146</v>
      </c>
      <c r="AI133" s="1">
        <v>2</v>
      </c>
      <c r="AJ133" s="3">
        <v>45917</v>
      </c>
      <c r="AK133" s="3">
        <v>45915</v>
      </c>
      <c r="AL133" s="3">
        <v>0</v>
      </c>
      <c r="AM133" s="3">
        <v>0</v>
      </c>
      <c r="AN133" s="3">
        <v>0</v>
      </c>
      <c r="AO133" s="3">
        <v>45916</v>
      </c>
      <c r="AP133" s="3">
        <v>45912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143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1443.0364433333332</v>
      </c>
    </row>
    <row r="134" spans="1:56" ht="27.75" customHeight="1" x14ac:dyDescent="0.45">
      <c r="A134" s="3">
        <v>45901</v>
      </c>
      <c r="B134" s="14" t="s">
        <v>421</v>
      </c>
      <c r="C134" s="9" t="s">
        <v>109</v>
      </c>
      <c r="D134" s="13" t="s">
        <v>144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>
        <v>45930</v>
      </c>
      <c r="U134" s="11">
        <v>30000</v>
      </c>
      <c r="V134" s="10">
        <v>5000</v>
      </c>
      <c r="W134" s="10">
        <v>25000</v>
      </c>
      <c r="X134" s="10">
        <v>9475</v>
      </c>
      <c r="Y134" s="10">
        <v>21551.25</v>
      </c>
      <c r="Z134" s="9" t="s">
        <v>88</v>
      </c>
      <c r="AA134" s="8">
        <v>26795.315662500001</v>
      </c>
      <c r="AB134" s="8">
        <v>0</v>
      </c>
      <c r="AC134" s="8">
        <v>26795.315662500001</v>
      </c>
      <c r="AD134" s="8">
        <v>0</v>
      </c>
      <c r="AE134" s="8">
        <v>26795.315662500001</v>
      </c>
      <c r="AF134" s="8">
        <v>0</v>
      </c>
      <c r="AG134" s="1" t="s">
        <v>115</v>
      </c>
      <c r="AH134" s="1" t="s">
        <v>75</v>
      </c>
      <c r="AI134" s="1">
        <v>4</v>
      </c>
      <c r="AJ134" s="3">
        <v>45930</v>
      </c>
      <c r="AK134" s="3">
        <v>45926</v>
      </c>
      <c r="AL134" s="3">
        <v>45919</v>
      </c>
      <c r="AM134" s="3">
        <v>45927</v>
      </c>
      <c r="AN134" s="3">
        <v>45928</v>
      </c>
      <c r="AO134" s="3">
        <v>45929</v>
      </c>
      <c r="AP134" s="3">
        <v>45925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2763.4902219925007</v>
      </c>
    </row>
    <row r="135" spans="1:56" ht="27.75" customHeight="1" x14ac:dyDescent="0.45">
      <c r="A135" s="3">
        <v>45901</v>
      </c>
      <c r="B135" s="14" t="s">
        <v>422</v>
      </c>
      <c r="C135" s="9" t="s">
        <v>109</v>
      </c>
      <c r="D135" s="13" t="s">
        <v>144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45945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88</v>
      </c>
      <c r="AA135" s="8">
        <v>12433.3</v>
      </c>
      <c r="AB135" s="8">
        <v>0</v>
      </c>
      <c r="AC135" s="8">
        <v>12433.3</v>
      </c>
      <c r="AD135" s="8">
        <v>0</v>
      </c>
      <c r="AE135" s="8">
        <v>12433.3</v>
      </c>
      <c r="AF135" s="8">
        <v>0</v>
      </c>
      <c r="AG135" s="1" t="s">
        <v>115</v>
      </c>
      <c r="AH135" s="1" t="s">
        <v>75</v>
      </c>
      <c r="AI135" s="1">
        <v>4</v>
      </c>
      <c r="AJ135" s="3">
        <v>45945</v>
      </c>
      <c r="AK135" s="3">
        <v>45941</v>
      </c>
      <c r="AL135" s="3">
        <v>45934</v>
      </c>
      <c r="AM135" s="3">
        <v>45942</v>
      </c>
      <c r="AN135" s="3">
        <v>45943</v>
      </c>
      <c r="AO135" s="3">
        <v>45944</v>
      </c>
      <c r="AP135" s="3">
        <v>45940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1282.2876733333333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120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88</v>
      </c>
      <c r="AA136" s="8">
        <v>57878.565662499997</v>
      </c>
      <c r="AB136" s="8">
        <v>4658</v>
      </c>
      <c r="AC136" s="8">
        <v>53220.565662499997</v>
      </c>
      <c r="AD136" s="8">
        <v>0</v>
      </c>
      <c r="AE136" s="8">
        <v>57878.565662499997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45">
      <c r="A137" s="3">
        <v>45895</v>
      </c>
      <c r="B137" s="14" t="s">
        <v>375</v>
      </c>
      <c r="C137" s="9" t="s">
        <v>147</v>
      </c>
      <c r="D137" s="13" t="s">
        <v>148</v>
      </c>
      <c r="E137" s="9">
        <v>28</v>
      </c>
      <c r="F137" s="9">
        <v>41</v>
      </c>
      <c r="G137" s="9" t="s">
        <v>60</v>
      </c>
      <c r="H137" s="9">
        <v>0</v>
      </c>
      <c r="I137" s="9">
        <v>120</v>
      </c>
      <c r="J137" s="9" t="s">
        <v>78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45916</v>
      </c>
      <c r="U137" s="11">
        <v>13000</v>
      </c>
      <c r="V137" s="10">
        <v>13000</v>
      </c>
      <c r="W137" s="10">
        <v>0</v>
      </c>
      <c r="X137" s="10">
        <v>53544</v>
      </c>
      <c r="Y137" s="10">
        <v>0</v>
      </c>
      <c r="Z137" s="9" t="s">
        <v>127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74</v>
      </c>
      <c r="AI137" s="1">
        <v>2</v>
      </c>
      <c r="AJ137" s="3">
        <v>45916</v>
      </c>
      <c r="AK137" s="3">
        <v>0</v>
      </c>
      <c r="AL137" s="3">
        <v>45907</v>
      </c>
      <c r="AM137" s="3">
        <v>45914</v>
      </c>
      <c r="AN137" s="3">
        <v>45915</v>
      </c>
      <c r="AO137" s="3">
        <v>45915</v>
      </c>
      <c r="AP137" s="3">
        <v>45911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469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45909</v>
      </c>
      <c r="B138" s="14" t="s">
        <v>128</v>
      </c>
      <c r="C138" s="9" t="s">
        <v>147</v>
      </c>
      <c r="D138" s="13" t="s">
        <v>148</v>
      </c>
      <c r="E138" s="9">
        <v>28</v>
      </c>
      <c r="F138" s="9">
        <v>41</v>
      </c>
      <c r="G138" s="9" t="s">
        <v>60</v>
      </c>
      <c r="H138" s="9">
        <v>0</v>
      </c>
      <c r="I138" s="9">
        <v>120</v>
      </c>
      <c r="J138" s="9" t="s">
        <v>78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45922</v>
      </c>
      <c r="U138" s="11">
        <v>50000</v>
      </c>
      <c r="V138" s="10">
        <v>0</v>
      </c>
      <c r="W138" s="10">
        <v>50000</v>
      </c>
      <c r="X138" s="10">
        <v>0</v>
      </c>
      <c r="Y138" s="10">
        <v>52500</v>
      </c>
      <c r="Z138" s="9" t="s">
        <v>127</v>
      </c>
      <c r="AA138" s="8">
        <v>59372.5</v>
      </c>
      <c r="AB138" s="8">
        <v>16630</v>
      </c>
      <c r="AC138" s="8">
        <v>42742.5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45922</v>
      </c>
      <c r="AK138" s="3">
        <v>0</v>
      </c>
      <c r="AL138" s="3">
        <v>45913</v>
      </c>
      <c r="AM138" s="3">
        <v>45920</v>
      </c>
      <c r="AN138" s="3">
        <v>45921</v>
      </c>
      <c r="AO138" s="3">
        <v>45921</v>
      </c>
      <c r="AP138" s="3">
        <v>45917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 t="s">
        <v>486</v>
      </c>
      <c r="AZ138" s="2">
        <v>0</v>
      </c>
      <c r="BA138" s="2">
        <v>0</v>
      </c>
      <c r="BB138" s="2">
        <v>0</v>
      </c>
      <c r="BC138" s="1" t="s">
        <v>104</v>
      </c>
      <c r="BD138" s="56">
        <v>4803.7820833333326</v>
      </c>
    </row>
    <row r="139" spans="1:56" ht="27.75" customHeight="1" x14ac:dyDescent="0.45">
      <c r="A139" s="3" t="s">
        <v>135</v>
      </c>
      <c r="B139" s="14" t="s">
        <v>135</v>
      </c>
      <c r="C139" s="9" t="s">
        <v>109</v>
      </c>
      <c r="D139" s="13" t="s">
        <v>59</v>
      </c>
      <c r="E139" s="9">
        <v>28</v>
      </c>
      <c r="F139" s="9">
        <v>47</v>
      </c>
      <c r="G139" s="9" t="s">
        <v>60</v>
      </c>
      <c r="H139" s="9" t="s">
        <v>66</v>
      </c>
      <c r="I139" s="9">
        <v>180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45925</v>
      </c>
      <c r="U139" s="11">
        <v>5000</v>
      </c>
      <c r="V139" s="10">
        <v>0</v>
      </c>
      <c r="W139" s="10">
        <v>5000</v>
      </c>
      <c r="X139" s="10">
        <v>0</v>
      </c>
      <c r="Y139" s="10">
        <v>0</v>
      </c>
      <c r="Z139" s="9" t="s">
        <v>127</v>
      </c>
      <c r="AA139" s="8">
        <v>6775.4500000000007</v>
      </c>
      <c r="AB139" s="8">
        <v>0</v>
      </c>
      <c r="AC139" s="8">
        <v>6775.4500000000007</v>
      </c>
      <c r="AD139" s="8">
        <v>0</v>
      </c>
      <c r="AE139" s="8">
        <v>6775.4500000000007</v>
      </c>
      <c r="AF139" s="8">
        <v>0</v>
      </c>
      <c r="AG139" s="1">
        <v>0</v>
      </c>
      <c r="AH139" s="1" t="s">
        <v>146</v>
      </c>
      <c r="AI139" s="1">
        <v>2</v>
      </c>
      <c r="AJ139" s="3">
        <v>45925</v>
      </c>
      <c r="AK139" s="3">
        <v>45923</v>
      </c>
      <c r="AL139" s="3">
        <v>0</v>
      </c>
      <c r="AM139" s="3">
        <v>0</v>
      </c>
      <c r="AN139" s="3">
        <v>0</v>
      </c>
      <c r="AO139" s="3">
        <v>45924</v>
      </c>
      <c r="AP139" s="3">
        <v>45920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761.48529722222236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28</v>
      </c>
      <c r="F140" s="9">
        <v>43</v>
      </c>
      <c r="G140" s="9">
        <v>0</v>
      </c>
      <c r="H140" s="9">
        <v>0</v>
      </c>
      <c r="I140" s="9">
        <v>130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127</v>
      </c>
      <c r="AA140" s="8">
        <v>66147.95</v>
      </c>
      <c r="AB140" s="8">
        <v>16630</v>
      </c>
      <c r="AC140" s="8">
        <v>49517.95</v>
      </c>
      <c r="AD140" s="8">
        <v>0</v>
      </c>
      <c r="AE140" s="8">
        <v>6775.4500000000007</v>
      </c>
      <c r="AF140" s="8" t="s">
        <v>58</v>
      </c>
      <c r="AG140" s="1">
        <v>0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149</v>
      </c>
      <c r="BD140" s="56">
        <v>0</v>
      </c>
    </row>
  </sheetData>
  <autoFilter ref="A5:BD14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0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7438-D925-4DF2-AC9B-901E646C70B5}">
  <sheetPr>
    <tabColor rgb="FFFFFF00"/>
  </sheetPr>
  <dimension ref="A1:BD148"/>
  <sheetViews>
    <sheetView topLeftCell="A5" zoomScale="80" zoomScaleNormal="80" workbookViewId="0">
      <selection activeCell="U16" sqref="U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45908</v>
      </c>
      <c r="E3" s="80" t="s">
        <v>52</v>
      </c>
      <c r="F3" s="80"/>
      <c r="G3" s="81">
        <v>9.4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45909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119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25000</v>
      </c>
      <c r="W16" s="10">
        <v>15000</v>
      </c>
      <c r="X16" s="10">
        <v>42806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45898</v>
      </c>
      <c r="B17" s="14" t="s">
        <v>407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7185</v>
      </c>
      <c r="Y17" s="10">
        <v>44955.75</v>
      </c>
      <c r="Z17" s="9" t="s">
        <v>168</v>
      </c>
      <c r="AA17" s="8">
        <v>39566.005132500002</v>
      </c>
      <c r="AB17" s="8">
        <v>19189</v>
      </c>
      <c r="AC17" s="8">
        <v>20377.005132500002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1479.823394955778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93272.119462500006</v>
      </c>
      <c r="AB20" s="8">
        <v>19189</v>
      </c>
      <c r="AC20" s="8">
        <v>74083.119462500006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275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301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45898</v>
      </c>
      <c r="B26" s="14" t="s">
        <v>383</v>
      </c>
      <c r="C26" s="9" t="s">
        <v>73</v>
      </c>
      <c r="D26" s="13" t="s">
        <v>293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45909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118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45898</v>
      </c>
      <c r="B27" s="14" t="s">
        <v>383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45898</v>
      </c>
      <c r="B28" s="14" t="s">
        <v>383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45905</v>
      </c>
      <c r="B31" s="14" t="s">
        <v>461</v>
      </c>
      <c r="C31" s="9" t="s">
        <v>73</v>
      </c>
      <c r="D31" s="13" t="s">
        <v>462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45916</v>
      </c>
      <c r="U31" s="11">
        <v>5000</v>
      </c>
      <c r="V31" s="10">
        <v>0</v>
      </c>
      <c r="W31" s="10">
        <v>5000</v>
      </c>
      <c r="X31" s="10">
        <v>650</v>
      </c>
      <c r="Y31" s="10">
        <v>4567.5</v>
      </c>
      <c r="Z31" s="9" t="s">
        <v>172</v>
      </c>
      <c r="AA31" s="8">
        <v>4275.134325</v>
      </c>
      <c r="AB31" s="8">
        <v>4275.134325</v>
      </c>
      <c r="AC31" s="8">
        <v>0</v>
      </c>
      <c r="AD31" s="8">
        <v>0</v>
      </c>
      <c r="AE31" s="8">
        <v>0</v>
      </c>
      <c r="AF31" s="8" t="s">
        <v>463</v>
      </c>
      <c r="AG31" s="1" t="s">
        <v>117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45905</v>
      </c>
      <c r="B32" s="14" t="s">
        <v>461</v>
      </c>
      <c r="C32" s="9" t="s">
        <v>73</v>
      </c>
      <c r="D32" s="13" t="s">
        <v>464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45916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463</v>
      </c>
      <c r="AG32" s="1" t="s">
        <v>117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45905</v>
      </c>
      <c r="B33" s="14" t="s">
        <v>461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7377</v>
      </c>
      <c r="AC33" s="8">
        <v>1982.9000000000015</v>
      </c>
      <c r="AD33" s="8">
        <v>0</v>
      </c>
      <c r="AE33" s="8">
        <v>0</v>
      </c>
      <c r="AF33" s="8" t="s">
        <v>463</v>
      </c>
      <c r="AG33" s="1" t="s">
        <v>116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149.36084088888899</v>
      </c>
    </row>
    <row r="34" spans="1:56" ht="27.75" customHeight="1" x14ac:dyDescent="0.45">
      <c r="A34" s="3">
        <v>45905</v>
      </c>
      <c r="B34" s="14" t="s">
        <v>461</v>
      </c>
      <c r="C34" s="9" t="s">
        <v>73</v>
      </c>
      <c r="D34" s="13" t="s">
        <v>465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45916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463</v>
      </c>
      <c r="AG34" s="1" t="s">
        <v>116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45905</v>
      </c>
      <c r="B35" s="14" t="s">
        <v>461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116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45905</v>
      </c>
      <c r="B36" s="14" t="s">
        <v>461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463</v>
      </c>
      <c r="AG36" s="1" t="s">
        <v>118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45905</v>
      </c>
      <c r="B37" s="14" t="s">
        <v>461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466</v>
      </c>
      <c r="AG37" s="1" t="s">
        <v>118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45905</v>
      </c>
      <c r="B38" s="14" t="s">
        <v>461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45904</v>
      </c>
      <c r="B39" s="14" t="s">
        <v>446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115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115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172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9870.4097457777771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238272.63432500002</v>
      </c>
      <c r="AB42" s="8">
        <v>49091.734325000005</v>
      </c>
      <c r="AC42" s="8">
        <v>189180.90000000002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4960</v>
      </c>
      <c r="AC43" s="8">
        <v>39.024799999999232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3.2954275555554911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323.80808435555559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4960</v>
      </c>
      <c r="AC46" s="8">
        <v>3873.594219999999</v>
      </c>
      <c r="AD46" s="8">
        <v>0</v>
      </c>
      <c r="AE46" s="8">
        <v>8833.594219999999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45782</v>
      </c>
      <c r="B47" s="14" t="s">
        <v>249</v>
      </c>
      <c r="C47" s="9" t="s">
        <v>79</v>
      </c>
      <c r="D47" s="13" t="s">
        <v>243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471</v>
      </c>
      <c r="C48" s="9" t="s">
        <v>139</v>
      </c>
      <c r="D48" s="13" t="s">
        <v>451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45919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115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306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10477.5</v>
      </c>
      <c r="AB49" s="8">
        <v>10477.5</v>
      </c>
      <c r="AC49" s="8">
        <v>0</v>
      </c>
      <c r="AD49" s="8">
        <v>0</v>
      </c>
      <c r="AE49" s="8">
        <v>10477.5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472</v>
      </c>
      <c r="C50" s="9" t="s">
        <v>139</v>
      </c>
      <c r="D50" s="13" t="s">
        <v>251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80</v>
      </c>
      <c r="AA50" s="8">
        <v>5280.6600000000008</v>
      </c>
      <c r="AB50" s="8">
        <v>5280.6600000000008</v>
      </c>
      <c r="AC50" s="8">
        <v>0</v>
      </c>
      <c r="AD50" s="8">
        <v>0</v>
      </c>
      <c r="AE50" s="8">
        <v>5280.6600000000008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45796</v>
      </c>
      <c r="B51" s="14" t="s">
        <v>256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366</v>
      </c>
      <c r="V51" s="10">
        <v>0</v>
      </c>
      <c r="W51" s="10">
        <v>366</v>
      </c>
      <c r="X51" s="10">
        <v>0</v>
      </c>
      <c r="Y51" s="10">
        <v>384.3</v>
      </c>
      <c r="Z51" s="9" t="s">
        <v>80</v>
      </c>
      <c r="AA51" s="8">
        <v>383.47650000000004</v>
      </c>
      <c r="AB51" s="8">
        <v>383.47650000000004</v>
      </c>
      <c r="AC51" s="8">
        <v>0</v>
      </c>
      <c r="AD51" s="8">
        <v>0</v>
      </c>
      <c r="AE51" s="8">
        <v>383.47650000000004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45905</v>
      </c>
      <c r="B52" s="14" t="s">
        <v>472</v>
      </c>
      <c r="C52" s="9" t="s">
        <v>139</v>
      </c>
      <c r="D52" s="13" t="s">
        <v>452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80</v>
      </c>
      <c r="AA52" s="8">
        <v>5280.6600000000008</v>
      </c>
      <c r="AB52" s="8">
        <v>5280.6600000000008</v>
      </c>
      <c r="AC52" s="8">
        <v>0</v>
      </c>
      <c r="AD52" s="8">
        <v>0</v>
      </c>
      <c r="AE52" s="8">
        <v>5280.6600000000008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45873</v>
      </c>
      <c r="B53" s="14" t="s">
        <v>308</v>
      </c>
      <c r="C53" s="9" t="s">
        <v>107</v>
      </c>
      <c r="D53" s="13" t="s">
        <v>309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45922</v>
      </c>
      <c r="U53" s="11">
        <v>4000</v>
      </c>
      <c r="V53" s="10">
        <v>4000</v>
      </c>
      <c r="W53" s="10">
        <v>0</v>
      </c>
      <c r="X53" s="10">
        <v>4130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307</v>
      </c>
      <c r="AG53" s="1" t="s">
        <v>115</v>
      </c>
      <c r="AH53" s="1" t="s">
        <v>75</v>
      </c>
      <c r="AI53" s="1">
        <v>4</v>
      </c>
      <c r="AJ53" s="3">
        <v>45922</v>
      </c>
      <c r="AK53" s="3">
        <v>45918</v>
      </c>
      <c r="AL53" s="3">
        <v>45911</v>
      </c>
      <c r="AM53" s="3">
        <v>45919</v>
      </c>
      <c r="AN53" s="3">
        <v>45920</v>
      </c>
      <c r="AO53" s="3">
        <v>45921</v>
      </c>
      <c r="AP53" s="3">
        <v>45917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424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45902</v>
      </c>
      <c r="B55" s="14" t="s">
        <v>438</v>
      </c>
      <c r="C55" s="9" t="s">
        <v>267</v>
      </c>
      <c r="D55" s="13" t="s">
        <v>428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20500</v>
      </c>
      <c r="V55" s="10">
        <v>400</v>
      </c>
      <c r="W55" s="10">
        <v>20100</v>
      </c>
      <c r="X55" s="10">
        <v>0</v>
      </c>
      <c r="Y55" s="10">
        <v>21105</v>
      </c>
      <c r="Z55" s="9" t="s">
        <v>80</v>
      </c>
      <c r="AA55" s="8">
        <v>21621.369000000002</v>
      </c>
      <c r="AB55" s="8">
        <v>21621.369000000002</v>
      </c>
      <c r="AC55" s="8">
        <v>0</v>
      </c>
      <c r="AD55" s="8">
        <v>0</v>
      </c>
      <c r="AE55" s="8">
        <v>21621.369000000002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45902</v>
      </c>
      <c r="B56" s="14" t="s">
        <v>439</v>
      </c>
      <c r="C56" s="9" t="s">
        <v>267</v>
      </c>
      <c r="D56" s="13" t="s">
        <v>429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8000</v>
      </c>
      <c r="V56" s="10">
        <v>8000</v>
      </c>
      <c r="W56" s="10">
        <v>0</v>
      </c>
      <c r="X56" s="10">
        <v>20753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438</v>
      </c>
      <c r="C57" s="9" t="s">
        <v>267</v>
      </c>
      <c r="D57" s="13" t="s">
        <v>430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20000</v>
      </c>
      <c r="V57" s="10">
        <v>0</v>
      </c>
      <c r="W57" s="10">
        <v>20000</v>
      </c>
      <c r="X57" s="10">
        <v>20630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438</v>
      </c>
      <c r="C58" s="9" t="s">
        <v>267</v>
      </c>
      <c r="D58" s="13" t="s">
        <v>431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439</v>
      </c>
      <c r="C59" s="9" t="s">
        <v>267</v>
      </c>
      <c r="D59" s="13" t="s">
        <v>432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440</v>
      </c>
      <c r="C60" s="9" t="s">
        <v>267</v>
      </c>
      <c r="D60" s="13" t="s">
        <v>433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440</v>
      </c>
      <c r="C61" s="9" t="s">
        <v>267</v>
      </c>
      <c r="D61" s="13" t="s">
        <v>434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5378.4500000000007</v>
      </c>
      <c r="AB61" s="8">
        <v>5378.4500000000007</v>
      </c>
      <c r="AC61" s="8">
        <v>0</v>
      </c>
      <c r="AD61" s="8">
        <v>0</v>
      </c>
      <c r="AE61" s="8">
        <v>5378.4500000000007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440</v>
      </c>
      <c r="C62" s="9" t="s">
        <v>267</v>
      </c>
      <c r="D62" s="13" t="s">
        <v>435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5378.4500000000007</v>
      </c>
      <c r="AB62" s="8">
        <v>4679</v>
      </c>
      <c r="AC62" s="8">
        <v>699.45000000000073</v>
      </c>
      <c r="AD62" s="8">
        <v>0</v>
      </c>
      <c r="AE62" s="8">
        <v>5378.4500000000007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52.847333333333388</v>
      </c>
    </row>
    <row r="63" spans="1:56" ht="27.75" customHeight="1" x14ac:dyDescent="0.45">
      <c r="A63" s="3">
        <v>45892</v>
      </c>
      <c r="B63" s="14" t="s">
        <v>363</v>
      </c>
      <c r="C63" s="9" t="s">
        <v>79</v>
      </c>
      <c r="D63" s="13" t="s">
        <v>364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3227.07</v>
      </c>
      <c r="AB63" s="8">
        <v>3227.07</v>
      </c>
      <c r="AC63" s="8">
        <v>0</v>
      </c>
      <c r="AD63" s="8">
        <v>3227.07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45891</v>
      </c>
      <c r="B64" s="14" t="s">
        <v>389</v>
      </c>
      <c r="C64" s="9" t="s">
        <v>79</v>
      </c>
      <c r="D64" s="13" t="s">
        <v>390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9000</v>
      </c>
      <c r="V64" s="10">
        <v>0</v>
      </c>
      <c r="W64" s="10">
        <v>9000</v>
      </c>
      <c r="X64" s="10">
        <v>0</v>
      </c>
      <c r="Y64" s="10">
        <v>9450</v>
      </c>
      <c r="Z64" s="9" t="s">
        <v>80</v>
      </c>
      <c r="AA64" s="8">
        <v>9932.67</v>
      </c>
      <c r="AB64" s="8">
        <v>0</v>
      </c>
      <c r="AC64" s="8">
        <v>9932.67</v>
      </c>
      <c r="AD64" s="8">
        <v>0</v>
      </c>
      <c r="AE64" s="8">
        <v>9932.67</v>
      </c>
      <c r="AF64" s="8">
        <v>0</v>
      </c>
      <c r="AG64" s="1" t="s">
        <v>61</v>
      </c>
      <c r="AH64" s="1" t="s">
        <v>75</v>
      </c>
      <c r="AI64" s="1">
        <v>5</v>
      </c>
      <c r="AJ64" s="3">
        <v>45930</v>
      </c>
      <c r="AK64" s="3">
        <v>45925</v>
      </c>
      <c r="AL64" s="3">
        <v>45918</v>
      </c>
      <c r="AM64" s="3">
        <v>45926</v>
      </c>
      <c r="AN64" s="3">
        <v>45927</v>
      </c>
      <c r="AO64" s="3">
        <v>45928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750.46839999999997</v>
      </c>
    </row>
    <row r="65" spans="1:56" ht="27.75" customHeight="1" x14ac:dyDescent="0.45">
      <c r="A65" s="3">
        <v>45891</v>
      </c>
      <c r="B65" s="14" t="s">
        <v>391</v>
      </c>
      <c r="C65" s="9" t="s">
        <v>79</v>
      </c>
      <c r="D65" s="13" t="s">
        <v>392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80</v>
      </c>
      <c r="AA65" s="8">
        <v>4414.5199999999995</v>
      </c>
      <c r="AB65" s="8">
        <v>0</v>
      </c>
      <c r="AC65" s="8">
        <v>4414.5199999999995</v>
      </c>
      <c r="AD65" s="8">
        <v>0</v>
      </c>
      <c r="AE65" s="8">
        <v>4414.5199999999995</v>
      </c>
      <c r="AF65" s="8">
        <v>0</v>
      </c>
      <c r="AG65" s="1" t="s">
        <v>61</v>
      </c>
      <c r="AH65" s="1" t="s">
        <v>75</v>
      </c>
      <c r="AI65" s="1">
        <v>5</v>
      </c>
      <c r="AJ65" s="3">
        <v>45930</v>
      </c>
      <c r="AK65" s="3">
        <v>45925</v>
      </c>
      <c r="AL65" s="3">
        <v>45918</v>
      </c>
      <c r="AM65" s="3">
        <v>45926</v>
      </c>
      <c r="AN65" s="3">
        <v>45927</v>
      </c>
      <c r="AO65" s="3">
        <v>45928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333.54151111111111</v>
      </c>
    </row>
    <row r="66" spans="1:56" ht="27.75" customHeight="1" x14ac:dyDescent="0.45">
      <c r="A66" s="3">
        <v>45891</v>
      </c>
      <c r="B66" s="14" t="s">
        <v>393</v>
      </c>
      <c r="C66" s="9" t="s">
        <v>79</v>
      </c>
      <c r="D66" s="13" t="s">
        <v>394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750.46839999999997</v>
      </c>
    </row>
    <row r="67" spans="1:56" ht="27.75" customHeight="1" x14ac:dyDescent="0.45">
      <c r="A67" s="3" t="s">
        <v>135</v>
      </c>
      <c r="B67" s="14" t="s">
        <v>135</v>
      </c>
      <c r="C67" s="9" t="s">
        <v>139</v>
      </c>
      <c r="D67" s="13" t="s">
        <v>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45930</v>
      </c>
      <c r="U67" s="11">
        <v>100000</v>
      </c>
      <c r="V67" s="10">
        <v>0</v>
      </c>
      <c r="W67" s="10">
        <v>100000</v>
      </c>
      <c r="X67" s="10">
        <v>0</v>
      </c>
      <c r="Y67" s="10">
        <v>105000</v>
      </c>
      <c r="Z67" s="9" t="s">
        <v>80</v>
      </c>
      <c r="AA67" s="8">
        <v>104775.00000000001</v>
      </c>
      <c r="AB67" s="8">
        <v>0</v>
      </c>
      <c r="AC67" s="8">
        <v>104775.00000000001</v>
      </c>
      <c r="AD67" s="8">
        <v>0</v>
      </c>
      <c r="AE67" s="8">
        <v>104775.00000000001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7916.333333333333</v>
      </c>
    </row>
    <row r="68" spans="1:56" ht="27.75" customHeight="1" x14ac:dyDescent="0.45">
      <c r="A68" s="3" t="s">
        <v>135</v>
      </c>
      <c r="B68" s="14" t="s">
        <v>135</v>
      </c>
      <c r="C68" s="9" t="s">
        <v>79</v>
      </c>
      <c r="D68" s="13" t="s">
        <v>61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22072.6</v>
      </c>
      <c r="AB68" s="8">
        <v>0</v>
      </c>
      <c r="AC68" s="8">
        <v>22072.6</v>
      </c>
      <c r="AD68" s="8">
        <v>0</v>
      </c>
      <c r="AE68" s="8">
        <v>22072.6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1667.7075555555555</v>
      </c>
    </row>
    <row r="69" spans="1:56" ht="27.75" customHeight="1" x14ac:dyDescent="0.45">
      <c r="A69" s="3" t="s">
        <v>135</v>
      </c>
      <c r="B69" s="14" t="s">
        <v>135</v>
      </c>
      <c r="C69" s="9" t="s">
        <v>97</v>
      </c>
      <c r="D69" s="13" t="s">
        <v>61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0</v>
      </c>
      <c r="AC69" s="8">
        <v>21513.800000000003</v>
      </c>
      <c r="AD69" s="8">
        <v>0</v>
      </c>
      <c r="AE69" s="8">
        <v>21513.800000000003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1625.4871111111113</v>
      </c>
    </row>
    <row r="70" spans="1:56" ht="27.75" customHeight="1" x14ac:dyDescent="0.45">
      <c r="A70" s="3">
        <v>45892</v>
      </c>
      <c r="B70" s="14" t="s">
        <v>360</v>
      </c>
      <c r="C70" s="9" t="s">
        <v>139</v>
      </c>
      <c r="D70" s="13" t="s">
        <v>329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640</v>
      </c>
      <c r="V70" s="10">
        <v>0</v>
      </c>
      <c r="W70" s="10">
        <v>640</v>
      </c>
      <c r="X70" s="10">
        <v>6000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370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45892</v>
      </c>
      <c r="B71" s="14" t="s">
        <v>362</v>
      </c>
      <c r="C71" s="9" t="s">
        <v>139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1840</v>
      </c>
      <c r="V71" s="10">
        <v>80</v>
      </c>
      <c r="W71" s="10">
        <v>1760</v>
      </c>
      <c r="X71" s="10">
        <v>10650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45887</v>
      </c>
      <c r="B72" s="14" t="s">
        <v>345</v>
      </c>
      <c r="C72" s="9" t="s">
        <v>139</v>
      </c>
      <c r="D72" s="13" t="s">
        <v>224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395</v>
      </c>
      <c r="C73" s="9" t="s">
        <v>79</v>
      </c>
      <c r="D73" s="13" t="s">
        <v>310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115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250.15613333333337</v>
      </c>
    </row>
    <row r="74" spans="1:56" ht="27.75" customHeight="1" x14ac:dyDescent="0.45">
      <c r="A74" s="3">
        <v>45892</v>
      </c>
      <c r="B74" s="14" t="s">
        <v>365</v>
      </c>
      <c r="C74" s="9" t="s">
        <v>79</v>
      </c>
      <c r="D74" s="13" t="s">
        <v>220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500.31226666666674</v>
      </c>
    </row>
    <row r="75" spans="1:56" ht="27.75" customHeight="1" x14ac:dyDescent="0.45">
      <c r="A75" s="3">
        <v>45796</v>
      </c>
      <c r="B75" s="14" t="s">
        <v>258</v>
      </c>
      <c r="C75" s="9" t="s">
        <v>139</v>
      </c>
      <c r="D75" s="13" t="s">
        <v>145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254</v>
      </c>
      <c r="AZ75" s="2">
        <v>0</v>
      </c>
      <c r="BA75" s="2">
        <v>0</v>
      </c>
      <c r="BB75" s="2">
        <v>0</v>
      </c>
      <c r="BC75" s="1" t="s">
        <v>104</v>
      </c>
      <c r="BD75" s="56">
        <v>18.999199999999998</v>
      </c>
    </row>
    <row r="76" spans="1:56" ht="27.75" customHeight="1" x14ac:dyDescent="0.45">
      <c r="A76" s="3">
        <v>45876</v>
      </c>
      <c r="B76" s="14" t="s">
        <v>328</v>
      </c>
      <c r="C76" s="9" t="s">
        <v>107</v>
      </c>
      <c r="D76" s="13" t="s">
        <v>314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583.69764444444445</v>
      </c>
    </row>
    <row r="78" spans="1:56" ht="27.75" customHeight="1" x14ac:dyDescent="0.45">
      <c r="A78" s="3" t="s">
        <v>135</v>
      </c>
      <c r="B78" s="14" t="s">
        <v>135</v>
      </c>
      <c r="C78" s="9" t="s">
        <v>270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8338.5377777777776</v>
      </c>
    </row>
    <row r="79" spans="1:56" ht="27.75" customHeight="1" x14ac:dyDescent="0.45">
      <c r="A79" s="3">
        <v>45825</v>
      </c>
      <c r="B79" s="14" t="s">
        <v>269</v>
      </c>
      <c r="C79" s="9" t="s">
        <v>139</v>
      </c>
      <c r="D79" s="13" t="s">
        <v>239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45796</v>
      </c>
      <c r="B80" s="14" t="s">
        <v>257</v>
      </c>
      <c r="C80" s="9" t="s">
        <v>139</v>
      </c>
      <c r="D80" s="13" t="s">
        <v>253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45798</v>
      </c>
      <c r="B82" s="14" t="s">
        <v>263</v>
      </c>
      <c r="C82" s="9" t="s">
        <v>107</v>
      </c>
      <c r="D82" s="13" t="s">
        <v>261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45674</v>
      </c>
      <c r="B83" s="14" t="s">
        <v>226</v>
      </c>
      <c r="C83" s="9" t="s">
        <v>139</v>
      </c>
      <c r="D83" s="13" t="s">
        <v>225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235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45611</v>
      </c>
      <c r="B84" s="14" t="s">
        <v>195</v>
      </c>
      <c r="C84" s="9" t="s">
        <v>139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260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358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45741</v>
      </c>
      <c r="B89" s="14" t="s">
        <v>242</v>
      </c>
      <c r="C89" s="9" t="s">
        <v>107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244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209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219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45541</v>
      </c>
      <c r="B92" s="14" t="s">
        <v>182</v>
      </c>
      <c r="C92" s="9" t="s">
        <v>107</v>
      </c>
      <c r="D92" s="13" t="s">
        <v>183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184</v>
      </c>
      <c r="AG92" s="1" t="s">
        <v>61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222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45581</v>
      </c>
      <c r="B93" s="14" t="s">
        <v>187</v>
      </c>
      <c r="C93" s="9" t="s">
        <v>107</v>
      </c>
      <c r="D93" s="13" t="s">
        <v>188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415358.13550000009</v>
      </c>
      <c r="AB94" s="8">
        <v>102708.5855</v>
      </c>
      <c r="AC94" s="8">
        <v>312649.55000000005</v>
      </c>
      <c r="AD94" s="8">
        <v>3227.07</v>
      </c>
      <c r="AE94" s="8">
        <v>412131.06550000008</v>
      </c>
      <c r="AF94" s="8" t="s">
        <v>58</v>
      </c>
      <c r="AG94" s="1" t="s">
        <v>115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 t="s">
        <v>135</v>
      </c>
      <c r="B95" s="14" t="s">
        <v>135</v>
      </c>
      <c r="C95" s="9" t="s">
        <v>270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271</v>
      </c>
      <c r="AA95" s="8">
        <v>113157.00000000001</v>
      </c>
      <c r="AB95" s="8">
        <v>93788</v>
      </c>
      <c r="AC95" s="8">
        <v>19369.000000000015</v>
      </c>
      <c r="AD95" s="8">
        <v>0</v>
      </c>
      <c r="AE95" s="8">
        <v>0</v>
      </c>
      <c r="AF95" s="8">
        <v>0</v>
      </c>
      <c r="AG95" s="1" t="s">
        <v>115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272</v>
      </c>
      <c r="BD95" s="56">
        <v>1525.8467777777792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271</v>
      </c>
      <c r="AA96" s="8">
        <v>113157.00000000001</v>
      </c>
      <c r="AB96" s="8">
        <v>93788</v>
      </c>
      <c r="AC96" s="8">
        <v>19369.000000000015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273</v>
      </c>
      <c r="BD96" s="56">
        <v>0</v>
      </c>
    </row>
    <row r="97" spans="1:56" ht="27.75" customHeight="1" x14ac:dyDescent="0.45">
      <c r="A97" s="3">
        <v>45892</v>
      </c>
      <c r="B97" s="14" t="s">
        <v>366</v>
      </c>
      <c r="C97" s="9" t="s">
        <v>139</v>
      </c>
      <c r="D97" s="13" t="s">
        <v>367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45909</v>
      </c>
      <c r="U97" s="11">
        <v>10000</v>
      </c>
      <c r="V97" s="10">
        <v>10000</v>
      </c>
      <c r="W97" s="10">
        <v>0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117</v>
      </c>
      <c r="AH97" s="1" t="s">
        <v>74</v>
      </c>
      <c r="AI97" s="1">
        <v>2</v>
      </c>
      <c r="AJ97" s="3">
        <v>45909</v>
      </c>
      <c r="AK97" s="3">
        <v>0</v>
      </c>
      <c r="AL97" s="3">
        <v>45900</v>
      </c>
      <c r="AM97" s="3">
        <v>45907</v>
      </c>
      <c r="AN97" s="3">
        <v>45908</v>
      </c>
      <c r="AO97" s="3">
        <v>45908</v>
      </c>
      <c r="AP97" s="3">
        <v>45904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347</v>
      </c>
      <c r="C98" s="9" t="s">
        <v>139</v>
      </c>
      <c r="D98" s="13" t="s">
        <v>332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117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333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45919</v>
      </c>
      <c r="U99" s="11">
        <v>17360</v>
      </c>
      <c r="V99" s="10">
        <v>10080</v>
      </c>
      <c r="W99" s="10">
        <v>7280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119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4996</v>
      </c>
      <c r="Y103" s="10">
        <v>26254.2</v>
      </c>
      <c r="Z103" s="9" t="s">
        <v>81</v>
      </c>
      <c r="AA103" s="8">
        <v>27507.838050000006</v>
      </c>
      <c r="AB103" s="8">
        <v>27507.838050000006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65301</v>
      </c>
      <c r="AC104" s="8">
        <v>238546.5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18235.554666666663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336314.68805</v>
      </c>
      <c r="AB105" s="8">
        <v>97768.188049999997</v>
      </c>
      <c r="AC105" s="8">
        <v>238546.5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45904</v>
      </c>
      <c r="B106" s="14" t="s">
        <v>443</v>
      </c>
      <c r="C106" s="9" t="s">
        <v>454</v>
      </c>
      <c r="D106" s="13" t="s">
        <v>445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45911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120</v>
      </c>
      <c r="AA106" s="8">
        <v>4638.0400000000009</v>
      </c>
      <c r="AB106" s="8">
        <v>4638.0400000000009</v>
      </c>
      <c r="AC106" s="8">
        <v>0</v>
      </c>
      <c r="AD106" s="8">
        <v>4638.0400000000009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45911</v>
      </c>
      <c r="AK106" s="3">
        <v>45907</v>
      </c>
      <c r="AL106" s="3">
        <v>45901</v>
      </c>
      <c r="AM106" s="3">
        <v>45908</v>
      </c>
      <c r="AN106" s="3">
        <v>45909</v>
      </c>
      <c r="AO106" s="3">
        <v>45909</v>
      </c>
      <c r="AP106" s="3">
        <v>45906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336</v>
      </c>
      <c r="C107" s="9" t="s">
        <v>107</v>
      </c>
      <c r="D107" s="13" t="s">
        <v>316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45926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45926</v>
      </c>
      <c r="AK107" s="3">
        <v>45922</v>
      </c>
      <c r="AL107" s="3">
        <v>45916</v>
      </c>
      <c r="AM107" s="3">
        <v>45923</v>
      </c>
      <c r="AN107" s="3">
        <v>45924</v>
      </c>
      <c r="AO107" s="3">
        <v>45924</v>
      </c>
      <c r="AP107" s="3">
        <v>45921</v>
      </c>
      <c r="AQ107" s="3">
        <v>45925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111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45930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120</v>
      </c>
      <c r="AA108" s="8">
        <v>107569.00000000001</v>
      </c>
      <c r="AB108" s="8">
        <v>107569.00000000001</v>
      </c>
      <c r="AC108" s="8">
        <v>0</v>
      </c>
      <c r="AD108" s="8">
        <v>107569.00000000001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45930</v>
      </c>
      <c r="AK108" s="3">
        <v>45926</v>
      </c>
      <c r="AL108" s="3">
        <v>45920</v>
      </c>
      <c r="AM108" s="3">
        <v>45927</v>
      </c>
      <c r="AN108" s="3">
        <v>45928</v>
      </c>
      <c r="AO108" s="3">
        <v>45928</v>
      </c>
      <c r="AP108" s="3">
        <v>45925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45631</v>
      </c>
      <c r="B109" s="14" t="s">
        <v>203</v>
      </c>
      <c r="C109" s="9" t="s">
        <v>109</v>
      </c>
      <c r="D109" s="13" t="s">
        <v>144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120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218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202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120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217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45896</v>
      </c>
      <c r="B111" s="14" t="s">
        <v>400</v>
      </c>
      <c r="C111" s="9" t="s">
        <v>107</v>
      </c>
      <c r="D111" s="13" t="s">
        <v>401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120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402</v>
      </c>
      <c r="C112" s="9" t="s">
        <v>107</v>
      </c>
      <c r="D112" s="13" t="s">
        <v>313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403</v>
      </c>
      <c r="C113" s="9" t="s">
        <v>107</v>
      </c>
      <c r="D113" s="13" t="s">
        <v>404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337</v>
      </c>
      <c r="C115" s="9" t="s">
        <v>107</v>
      </c>
      <c r="D115" s="13" t="s">
        <v>317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120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 t="s">
        <v>135</v>
      </c>
      <c r="B116" s="14" t="s">
        <v>135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120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45854</v>
      </c>
      <c r="B117" s="14" t="s">
        <v>295</v>
      </c>
      <c r="C117" s="9" t="s">
        <v>79</v>
      </c>
      <c r="D117" s="13" t="s">
        <v>296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297</v>
      </c>
      <c r="C118" s="9" t="s">
        <v>79</v>
      </c>
      <c r="D118" s="13" t="s">
        <v>298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115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45826</v>
      </c>
      <c r="B119" s="14" t="s">
        <v>274</v>
      </c>
      <c r="C119" s="9" t="s">
        <v>107</v>
      </c>
      <c r="D119" s="13" t="s">
        <v>262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120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45066</v>
      </c>
      <c r="B120" s="14" t="s">
        <v>126</v>
      </c>
      <c r="C120" s="9" t="s">
        <v>79</v>
      </c>
      <c r="D120" s="13" t="s">
        <v>125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120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216</v>
      </c>
      <c r="D122" s="13" t="s">
        <v>216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221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92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123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13028</v>
      </c>
      <c r="AC123" s="8">
        <v>16728.100000000002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1250.4254749999998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42784.100000000006</v>
      </c>
      <c r="AC124" s="8">
        <v>16728.100000000002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45727</v>
      </c>
      <c r="B125" s="14" t="s">
        <v>240</v>
      </c>
      <c r="C125" s="9" t="s">
        <v>111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213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215</v>
      </c>
      <c r="AG125" s="1" t="s">
        <v>115</v>
      </c>
      <c r="AH125" s="1" t="s">
        <v>146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143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213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214</v>
      </c>
      <c r="BD126" s="56">
        <v>0</v>
      </c>
    </row>
    <row r="127" spans="1:56" ht="27.75" customHeight="1" x14ac:dyDescent="0.45">
      <c r="A127" s="3">
        <v>45601</v>
      </c>
      <c r="B127" s="14" t="s">
        <v>193</v>
      </c>
      <c r="C127" s="9" t="s">
        <v>93</v>
      </c>
      <c r="D127" s="13" t="s">
        <v>142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299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99</v>
      </c>
      <c r="AA127" s="8">
        <v>105955.465</v>
      </c>
      <c r="AB127" s="8">
        <v>14846</v>
      </c>
      <c r="AC127" s="8">
        <v>91109.464999999997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113</v>
      </c>
      <c r="BD127" s="56">
        <v>11671.451472901386</v>
      </c>
    </row>
    <row r="128" spans="1:56" ht="27.75" customHeight="1" x14ac:dyDescent="0.45">
      <c r="A128" s="3">
        <v>45601</v>
      </c>
      <c r="B128" s="14" t="s">
        <v>193</v>
      </c>
      <c r="C128" s="9" t="s">
        <v>93</v>
      </c>
      <c r="D128" s="13" t="s">
        <v>142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299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99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113</v>
      </c>
      <c r="BD128" s="56">
        <v>46559.511849046357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99</v>
      </c>
      <c r="AA129" s="8">
        <v>469407.45082000003</v>
      </c>
      <c r="AB129" s="8">
        <v>14846</v>
      </c>
      <c r="AC129" s="8">
        <v>454561.45082000003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114</v>
      </c>
      <c r="BD129" s="56">
        <v>0</v>
      </c>
    </row>
    <row r="130" spans="1:56" ht="27.75" customHeight="1" x14ac:dyDescent="0.45">
      <c r="A130" s="3">
        <v>45894</v>
      </c>
      <c r="B130" s="14" t="s">
        <v>374</v>
      </c>
      <c r="C130" s="9" t="s">
        <v>137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123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>
        <v>45906</v>
      </c>
      <c r="B131" s="14" t="s">
        <v>478</v>
      </c>
      <c r="C131" s="9" t="s">
        <v>179</v>
      </c>
      <c r="D131" s="13" t="s">
        <v>479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91</v>
      </c>
      <c r="M131" s="10">
        <v>27</v>
      </c>
      <c r="N131" s="9">
        <v>43</v>
      </c>
      <c r="O131" s="9">
        <v>40</v>
      </c>
      <c r="P131" s="10">
        <v>114.57174504959998</v>
      </c>
      <c r="Q131" s="10">
        <v>0</v>
      </c>
      <c r="R131" s="10">
        <v>114.57174504959998</v>
      </c>
      <c r="S131" s="9" t="s">
        <v>185</v>
      </c>
      <c r="T131" s="12">
        <v>45919</v>
      </c>
      <c r="U131" s="11">
        <v>4000</v>
      </c>
      <c r="V131" s="10">
        <v>0</v>
      </c>
      <c r="W131" s="10">
        <v>4000</v>
      </c>
      <c r="X131" s="10">
        <v>0</v>
      </c>
      <c r="Y131" s="10">
        <v>4200</v>
      </c>
      <c r="Z131" s="9" t="s">
        <v>84</v>
      </c>
      <c r="AA131" s="8">
        <v>4749.8</v>
      </c>
      <c r="AB131" s="8">
        <v>0</v>
      </c>
      <c r="AC131" s="8">
        <v>4749.8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>
        <v>45919</v>
      </c>
      <c r="AK131" s="3">
        <v>0</v>
      </c>
      <c r="AL131" s="3">
        <v>45909</v>
      </c>
      <c r="AM131" s="3">
        <v>45916</v>
      </c>
      <c r="AN131" s="3">
        <v>45917</v>
      </c>
      <c r="AO131" s="3">
        <v>45917</v>
      </c>
      <c r="AP131" s="3">
        <v>45914</v>
      </c>
      <c r="AQ131" s="3">
        <v>45918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383.51996222222226</v>
      </c>
    </row>
    <row r="132" spans="1:56" ht="27.75" customHeight="1" x14ac:dyDescent="0.45">
      <c r="A132" s="3">
        <v>45906</v>
      </c>
      <c r="B132" s="14" t="s">
        <v>478</v>
      </c>
      <c r="C132" s="9" t="s">
        <v>179</v>
      </c>
      <c r="D132" s="13" t="s">
        <v>480</v>
      </c>
      <c r="E132" s="9">
        <v>26</v>
      </c>
      <c r="F132" s="9">
        <v>41</v>
      </c>
      <c r="G132" s="9" t="s">
        <v>60</v>
      </c>
      <c r="H132" s="9">
        <v>0</v>
      </c>
      <c r="I132" s="9">
        <v>97</v>
      </c>
      <c r="J132" s="9" t="s">
        <v>57</v>
      </c>
      <c r="K132" s="9">
        <v>5</v>
      </c>
      <c r="L132" s="9" t="s">
        <v>91</v>
      </c>
      <c r="M132" s="10">
        <v>27</v>
      </c>
      <c r="N132" s="9">
        <v>43</v>
      </c>
      <c r="O132" s="9">
        <v>40</v>
      </c>
      <c r="P132" s="10">
        <v>114.57174504959998</v>
      </c>
      <c r="Q132" s="10">
        <v>0</v>
      </c>
      <c r="R132" s="10">
        <v>114.57174504959998</v>
      </c>
      <c r="S132" s="9" t="s">
        <v>185</v>
      </c>
      <c r="T132" s="12">
        <v>45919</v>
      </c>
      <c r="U132" s="11">
        <v>4000</v>
      </c>
      <c r="V132" s="10">
        <v>0</v>
      </c>
      <c r="W132" s="10">
        <v>4000</v>
      </c>
      <c r="X132" s="10">
        <v>0</v>
      </c>
      <c r="Y132" s="10">
        <v>4200</v>
      </c>
      <c r="Z132" s="9" t="s">
        <v>84</v>
      </c>
      <c r="AA132" s="8">
        <v>4749.8</v>
      </c>
      <c r="AB132" s="8">
        <v>0</v>
      </c>
      <c r="AC132" s="8">
        <v>4749.8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72</v>
      </c>
      <c r="AI132" s="1">
        <v>3</v>
      </c>
      <c r="AJ132" s="3">
        <v>45919</v>
      </c>
      <c r="AK132" s="3">
        <v>0</v>
      </c>
      <c r="AL132" s="3">
        <v>45909</v>
      </c>
      <c r="AM132" s="3">
        <v>45916</v>
      </c>
      <c r="AN132" s="3">
        <v>45917</v>
      </c>
      <c r="AO132" s="3">
        <v>45917</v>
      </c>
      <c r="AP132" s="3">
        <v>45914</v>
      </c>
      <c r="AQ132" s="3">
        <v>45918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383.51996222222226</v>
      </c>
    </row>
    <row r="133" spans="1:56" ht="27.75" customHeight="1" x14ac:dyDescent="0.45">
      <c r="A133" s="3">
        <v>45906</v>
      </c>
      <c r="B133" s="14" t="s">
        <v>128</v>
      </c>
      <c r="C133" s="9" t="s">
        <v>179</v>
      </c>
      <c r="D133" s="13" t="s">
        <v>481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114.57174504959998</v>
      </c>
      <c r="Q133" s="10">
        <v>0</v>
      </c>
      <c r="R133" s="10">
        <v>114.57174504959998</v>
      </c>
      <c r="S133" s="9" t="s">
        <v>185</v>
      </c>
      <c r="T133" s="12">
        <v>45919</v>
      </c>
      <c r="U133" s="11">
        <v>4000</v>
      </c>
      <c r="V133" s="10">
        <v>0</v>
      </c>
      <c r="W133" s="10">
        <v>4000</v>
      </c>
      <c r="X133" s="10">
        <v>0</v>
      </c>
      <c r="Y133" s="10">
        <v>4200</v>
      </c>
      <c r="Z133" s="9" t="s">
        <v>84</v>
      </c>
      <c r="AA133" s="8">
        <v>4749.8</v>
      </c>
      <c r="AB133" s="8">
        <v>0</v>
      </c>
      <c r="AC133" s="8">
        <v>4749.8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>
        <v>45919</v>
      </c>
      <c r="AK133" s="3">
        <v>0</v>
      </c>
      <c r="AL133" s="3">
        <v>45909</v>
      </c>
      <c r="AM133" s="3">
        <v>45916</v>
      </c>
      <c r="AN133" s="3">
        <v>45917</v>
      </c>
      <c r="AO133" s="3">
        <v>45917</v>
      </c>
      <c r="AP133" s="3">
        <v>45914</v>
      </c>
      <c r="AQ133" s="3">
        <v>45918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383.51996222222226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14249.400000000001</v>
      </c>
      <c r="AB134" s="8">
        <v>0</v>
      </c>
      <c r="AC134" s="8">
        <v>14249.400000000001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45904</v>
      </c>
      <c r="B135" s="14" t="s">
        <v>455</v>
      </c>
      <c r="C135" s="9" t="s">
        <v>456</v>
      </c>
      <c r="D135" s="13" t="s">
        <v>457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140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458</v>
      </c>
      <c r="T135" s="12">
        <v>45912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459</v>
      </c>
      <c r="AA135" s="8">
        <v>12433.3</v>
      </c>
      <c r="AB135" s="8">
        <v>7225</v>
      </c>
      <c r="AC135" s="8">
        <v>5208.2999999999993</v>
      </c>
      <c r="AD135" s="8">
        <v>0</v>
      </c>
      <c r="AE135" s="8">
        <v>12433.3</v>
      </c>
      <c r="AF135" s="8" t="s">
        <v>460</v>
      </c>
      <c r="AG135" s="1" t="s">
        <v>115</v>
      </c>
      <c r="AH135" s="1" t="s">
        <v>75</v>
      </c>
      <c r="AI135" s="1">
        <v>4</v>
      </c>
      <c r="AJ135" s="3">
        <v>45912</v>
      </c>
      <c r="AK135" s="3">
        <v>45908</v>
      </c>
      <c r="AL135" s="3">
        <v>45901</v>
      </c>
      <c r="AM135" s="3">
        <v>45909</v>
      </c>
      <c r="AN135" s="3">
        <v>45910</v>
      </c>
      <c r="AO135" s="3">
        <v>45911</v>
      </c>
      <c r="AP135" s="3">
        <v>45907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450</v>
      </c>
      <c r="BD135" s="56">
        <v>467.9368199999999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100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459</v>
      </c>
      <c r="AA136" s="8">
        <v>12433.3</v>
      </c>
      <c r="AB136" s="8">
        <v>7225</v>
      </c>
      <c r="AC136" s="8">
        <v>5208.2999999999993</v>
      </c>
      <c r="AD136" s="8">
        <v>0</v>
      </c>
      <c r="AE136" s="8">
        <v>12433.3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450</v>
      </c>
      <c r="BD136" s="56">
        <v>0</v>
      </c>
    </row>
    <row r="137" spans="1:56" ht="27.75" customHeight="1" x14ac:dyDescent="0.45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197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197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198</v>
      </c>
      <c r="BD138" s="56">
        <v>0</v>
      </c>
    </row>
    <row r="139" spans="1:56" ht="27.75" customHeight="1" x14ac:dyDescent="0.45">
      <c r="A139" s="3">
        <v>45901</v>
      </c>
      <c r="B139" s="14" t="s">
        <v>420</v>
      </c>
      <c r="C139" s="9" t="s">
        <v>109</v>
      </c>
      <c r="D139" s="13" t="s">
        <v>144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45909</v>
      </c>
      <c r="U139" s="11">
        <v>30000</v>
      </c>
      <c r="V139" s="10">
        <v>30000</v>
      </c>
      <c r="W139" s="10">
        <v>0</v>
      </c>
      <c r="X139" s="10">
        <v>32730</v>
      </c>
      <c r="Y139" s="10">
        <v>0</v>
      </c>
      <c r="Z139" s="9" t="s">
        <v>88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119</v>
      </c>
      <c r="AH139" s="1" t="s">
        <v>75</v>
      </c>
      <c r="AI139" s="1">
        <v>4</v>
      </c>
      <c r="AJ139" s="3">
        <v>45909</v>
      </c>
      <c r="AK139" s="3">
        <v>45905</v>
      </c>
      <c r="AL139" s="3">
        <v>45898</v>
      </c>
      <c r="AM139" s="3">
        <v>45906</v>
      </c>
      <c r="AN139" s="3">
        <v>45907</v>
      </c>
      <c r="AO139" s="3">
        <v>45908</v>
      </c>
      <c r="AP139" s="3">
        <v>45904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 t="s">
        <v>436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45898</v>
      </c>
      <c r="B140" s="14" t="s">
        <v>413</v>
      </c>
      <c r="C140" s="9" t="s">
        <v>109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45909</v>
      </c>
      <c r="U140" s="11">
        <v>15000</v>
      </c>
      <c r="V140" s="10">
        <v>15000</v>
      </c>
      <c r="W140" s="10">
        <v>0</v>
      </c>
      <c r="X140" s="10">
        <v>0</v>
      </c>
      <c r="Y140" s="10">
        <v>0</v>
      </c>
      <c r="Z140" s="9" t="s">
        <v>88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146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143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45898</v>
      </c>
      <c r="B141" s="14" t="s">
        <v>414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88</v>
      </c>
      <c r="AA141" s="8">
        <v>18649.949999999997</v>
      </c>
      <c r="AB141" s="8">
        <v>0</v>
      </c>
      <c r="AC141" s="8">
        <v>18649.949999999997</v>
      </c>
      <c r="AD141" s="8">
        <v>0</v>
      </c>
      <c r="AE141" s="8">
        <v>18649.949999999997</v>
      </c>
      <c r="AF141" s="8">
        <v>0</v>
      </c>
      <c r="AG141" s="1" t="s">
        <v>115</v>
      </c>
      <c r="AH141" s="1" t="s">
        <v>146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1923.4315100000001</v>
      </c>
    </row>
    <row r="142" spans="1:56" ht="27.75" customHeight="1" x14ac:dyDescent="0.45">
      <c r="A142" s="3">
        <v>45901</v>
      </c>
      <c r="B142" s="14" t="s">
        <v>421</v>
      </c>
      <c r="C142" s="9" t="s">
        <v>109</v>
      </c>
      <c r="D142" s="13" t="s">
        <v>144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45930</v>
      </c>
      <c r="U142" s="11">
        <v>30000</v>
      </c>
      <c r="V142" s="10">
        <v>5000</v>
      </c>
      <c r="W142" s="10">
        <v>25000</v>
      </c>
      <c r="X142" s="10">
        <v>9475</v>
      </c>
      <c r="Y142" s="10">
        <v>21551.25</v>
      </c>
      <c r="Z142" s="9" t="s">
        <v>88</v>
      </c>
      <c r="AA142" s="8">
        <v>26795.315662500001</v>
      </c>
      <c r="AB142" s="8">
        <v>0</v>
      </c>
      <c r="AC142" s="8">
        <v>26795.315662500001</v>
      </c>
      <c r="AD142" s="8">
        <v>0</v>
      </c>
      <c r="AE142" s="8">
        <v>26795.315662500001</v>
      </c>
      <c r="AF142" s="8">
        <v>0</v>
      </c>
      <c r="AG142" s="1" t="s">
        <v>115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2763.4902219925007</v>
      </c>
    </row>
    <row r="143" spans="1:56" ht="27.75" customHeight="1" x14ac:dyDescent="0.45">
      <c r="A143" s="3">
        <v>45901</v>
      </c>
      <c r="B143" s="14" t="s">
        <v>422</v>
      </c>
      <c r="C143" s="9" t="s">
        <v>109</v>
      </c>
      <c r="D143" s="13" t="s">
        <v>144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88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115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1282.2876733333333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88</v>
      </c>
      <c r="AA144" s="8">
        <v>57878.565662499997</v>
      </c>
      <c r="AB144" s="8">
        <v>0</v>
      </c>
      <c r="AC144" s="8">
        <v>57878.565662499997</v>
      </c>
      <c r="AD144" s="8">
        <v>0</v>
      </c>
      <c r="AE144" s="8">
        <v>57878.565662499997</v>
      </c>
      <c r="AF144" s="8" t="s">
        <v>58</v>
      </c>
      <c r="AG144" s="1" t="s">
        <v>116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45895</v>
      </c>
      <c r="B145" s="14" t="s">
        <v>375</v>
      </c>
      <c r="C145" s="9" t="s">
        <v>147</v>
      </c>
      <c r="D145" s="13" t="s">
        <v>148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45916</v>
      </c>
      <c r="U145" s="11">
        <v>13000</v>
      </c>
      <c r="V145" s="10">
        <v>13000</v>
      </c>
      <c r="W145" s="10">
        <v>0</v>
      </c>
      <c r="X145" s="10">
        <v>53544</v>
      </c>
      <c r="Y145" s="10">
        <v>0</v>
      </c>
      <c r="Z145" s="9" t="s">
        <v>127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45916</v>
      </c>
      <c r="AK145" s="3">
        <v>0</v>
      </c>
      <c r="AL145" s="3">
        <v>45907</v>
      </c>
      <c r="AM145" s="3">
        <v>45914</v>
      </c>
      <c r="AN145" s="3">
        <v>45915</v>
      </c>
      <c r="AO145" s="3">
        <v>45915</v>
      </c>
      <c r="AP145" s="3">
        <v>45911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469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147</v>
      </c>
      <c r="D146" s="13" t="s">
        <v>148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45920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127</v>
      </c>
      <c r="AA146" s="8">
        <v>59372.5</v>
      </c>
      <c r="AB146" s="8">
        <v>15130</v>
      </c>
      <c r="AC146" s="8">
        <v>44242.5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45920</v>
      </c>
      <c r="AK146" s="3">
        <v>0</v>
      </c>
      <c r="AL146" s="3">
        <v>45911</v>
      </c>
      <c r="AM146" s="3">
        <v>45918</v>
      </c>
      <c r="AN146" s="3">
        <v>45919</v>
      </c>
      <c r="AO146" s="3">
        <v>45919</v>
      </c>
      <c r="AP146" s="3">
        <v>45915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4972.3654166666665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127</v>
      </c>
      <c r="AA147" s="8">
        <v>6775.4500000000007</v>
      </c>
      <c r="AB147" s="8">
        <v>0</v>
      </c>
      <c r="AC147" s="8">
        <v>6775.4500000000007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146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761.48529722222236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127</v>
      </c>
      <c r="AA148" s="8">
        <v>66147.95</v>
      </c>
      <c r="AB148" s="8">
        <v>15130</v>
      </c>
      <c r="AC148" s="8">
        <v>51017.95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149</v>
      </c>
      <c r="BD148" s="56">
        <v>0</v>
      </c>
    </row>
  </sheetData>
  <autoFilter ref="A5:BD14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48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00B6-F5E3-4D4B-B412-249AF416E076}">
  <sheetPr>
    <tabColor rgb="FFFFFF00"/>
  </sheetPr>
  <dimension ref="A1:BD146"/>
  <sheetViews>
    <sheetView zoomScale="80" zoomScaleNormal="80" workbookViewId="0">
      <selection activeCell="D17" sqref="D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45906</v>
      </c>
      <c r="E3" s="80" t="s">
        <v>52</v>
      </c>
      <c r="F3" s="80"/>
      <c r="G3" s="81">
        <v>10.050000000000001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1000</v>
      </c>
      <c r="W9" s="10">
        <v>4000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116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0</v>
      </c>
      <c r="W16" s="10">
        <v>40000</v>
      </c>
      <c r="X16" s="10">
        <v>42806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45898</v>
      </c>
      <c r="B17" s="14" t="s">
        <v>407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168</v>
      </c>
      <c r="AA17" s="8">
        <v>44005.499999999993</v>
      </c>
      <c r="AB17" s="8">
        <v>8610</v>
      </c>
      <c r="AC17" s="8">
        <v>35395.499999999993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2570.4998666666665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97711.614329999997</v>
      </c>
      <c r="AB20" s="8">
        <v>8610</v>
      </c>
      <c r="AC20" s="8">
        <v>89101.614329999997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275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301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45898</v>
      </c>
      <c r="B26" s="14" t="s">
        <v>383</v>
      </c>
      <c r="C26" s="9" t="s">
        <v>73</v>
      </c>
      <c r="D26" s="13" t="s">
        <v>293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45909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118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45898</v>
      </c>
      <c r="B27" s="14" t="s">
        <v>383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45898</v>
      </c>
      <c r="B28" s="14" t="s">
        <v>383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45905</v>
      </c>
      <c r="B31" s="14" t="s">
        <v>461</v>
      </c>
      <c r="C31" s="9" t="s">
        <v>73</v>
      </c>
      <c r="D31" s="13" t="s">
        <v>462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45916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463</v>
      </c>
      <c r="AG31" s="1" t="s">
        <v>116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45905</v>
      </c>
      <c r="B32" s="14" t="s">
        <v>461</v>
      </c>
      <c r="C32" s="9" t="s">
        <v>73</v>
      </c>
      <c r="D32" s="13" t="s">
        <v>464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45916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463</v>
      </c>
      <c r="AG32" s="1" t="s">
        <v>117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352.51463377777782</v>
      </c>
    </row>
    <row r="33" spans="1:56" ht="27.75" customHeight="1" x14ac:dyDescent="0.45">
      <c r="A33" s="3">
        <v>45905</v>
      </c>
      <c r="B33" s="14" t="s">
        <v>461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8832</v>
      </c>
      <c r="AC33" s="8">
        <v>527.90000000000146</v>
      </c>
      <c r="AD33" s="8">
        <v>0</v>
      </c>
      <c r="AE33" s="8">
        <v>0</v>
      </c>
      <c r="AF33" s="8" t="s">
        <v>463</v>
      </c>
      <c r="AG33" s="1" t="s">
        <v>116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39.763774222222331</v>
      </c>
    </row>
    <row r="34" spans="1:56" ht="27.75" customHeight="1" x14ac:dyDescent="0.45">
      <c r="A34" s="3">
        <v>45905</v>
      </c>
      <c r="B34" s="14" t="s">
        <v>461</v>
      </c>
      <c r="C34" s="9" t="s">
        <v>73</v>
      </c>
      <c r="D34" s="13" t="s">
        <v>465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45916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463</v>
      </c>
      <c r="AG34" s="1" t="s">
        <v>116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45905</v>
      </c>
      <c r="B35" s="14" t="s">
        <v>461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116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45905</v>
      </c>
      <c r="B36" s="14" t="s">
        <v>461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463</v>
      </c>
      <c r="AG36" s="1" t="s">
        <v>118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45905</v>
      </c>
      <c r="B37" s="14" t="s">
        <v>461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466</v>
      </c>
      <c r="AG37" s="1" t="s">
        <v>118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45905</v>
      </c>
      <c r="B38" s="14" t="s">
        <v>461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45904</v>
      </c>
      <c r="B39" s="14" t="s">
        <v>446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115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115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172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9870.4097457777771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252717.3</v>
      </c>
      <c r="AB42" s="8">
        <v>55631.5</v>
      </c>
      <c r="AC42" s="8">
        <v>197085.80000000002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2960</v>
      </c>
      <c r="AC43" s="8">
        <v>2039.0247999999992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172.18431644444436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323.80808435555559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2960</v>
      </c>
      <c r="AC46" s="8">
        <v>5873.594219999999</v>
      </c>
      <c r="AD46" s="8">
        <v>0</v>
      </c>
      <c r="AE46" s="8">
        <v>8833.594219999999</v>
      </c>
      <c r="AF46" s="8" t="s">
        <v>58</v>
      </c>
      <c r="AG46" s="1" t="s">
        <v>116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45905</v>
      </c>
      <c r="B47" s="14" t="s">
        <v>471</v>
      </c>
      <c r="C47" s="9" t="s">
        <v>139</v>
      </c>
      <c r="D47" s="13" t="s">
        <v>451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45919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80</v>
      </c>
      <c r="AA47" s="8">
        <v>5280.6600000000008</v>
      </c>
      <c r="AB47" s="8">
        <v>0</v>
      </c>
      <c r="AC47" s="8">
        <v>5280.6600000000008</v>
      </c>
      <c r="AD47" s="8">
        <v>0</v>
      </c>
      <c r="AE47" s="8">
        <v>5280.6600000000008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45919</v>
      </c>
      <c r="AK47" s="3">
        <v>45915</v>
      </c>
      <c r="AL47" s="3">
        <v>45908</v>
      </c>
      <c r="AM47" s="3">
        <v>45916</v>
      </c>
      <c r="AN47" s="3">
        <v>45917</v>
      </c>
      <c r="AO47" s="3">
        <v>45918</v>
      </c>
      <c r="AP47" s="3">
        <v>45914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398.98320000000001</v>
      </c>
    </row>
    <row r="48" spans="1:56" ht="27.75" customHeight="1" x14ac:dyDescent="0.45">
      <c r="A48" s="3">
        <v>45905</v>
      </c>
      <c r="B48" s="14" t="s">
        <v>471</v>
      </c>
      <c r="C48" s="9" t="s">
        <v>139</v>
      </c>
      <c r="D48" s="13" t="s">
        <v>306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45919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10477.5</v>
      </c>
      <c r="AB48" s="8">
        <v>0</v>
      </c>
      <c r="AC48" s="8">
        <v>10477.5</v>
      </c>
      <c r="AD48" s="8">
        <v>0</v>
      </c>
      <c r="AE48" s="8">
        <v>10477.5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791.63333333333321</v>
      </c>
    </row>
    <row r="49" spans="1:56" ht="27.75" customHeight="1" x14ac:dyDescent="0.45">
      <c r="A49" s="3">
        <v>45905</v>
      </c>
      <c r="B49" s="14" t="s">
        <v>472</v>
      </c>
      <c r="C49" s="9" t="s">
        <v>139</v>
      </c>
      <c r="D49" s="13" t="s">
        <v>251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45920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0</v>
      </c>
      <c r="AC49" s="8">
        <v>5280.6600000000008</v>
      </c>
      <c r="AD49" s="8">
        <v>0</v>
      </c>
      <c r="AE49" s="8">
        <v>5280.6600000000008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398.98320000000001</v>
      </c>
    </row>
    <row r="50" spans="1:56" ht="27.75" customHeight="1" x14ac:dyDescent="0.45">
      <c r="A50" s="3">
        <v>45796</v>
      </c>
      <c r="B50" s="14" t="s">
        <v>256</v>
      </c>
      <c r="C50" s="9" t="s">
        <v>139</v>
      </c>
      <c r="D50" s="13" t="s">
        <v>251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366</v>
      </c>
      <c r="V50" s="10">
        <v>0</v>
      </c>
      <c r="W50" s="10">
        <v>366</v>
      </c>
      <c r="X50" s="10">
        <v>0</v>
      </c>
      <c r="Y50" s="10">
        <v>384.3</v>
      </c>
      <c r="Z50" s="9" t="s">
        <v>80</v>
      </c>
      <c r="AA50" s="8">
        <v>383.47650000000004</v>
      </c>
      <c r="AB50" s="8">
        <v>0</v>
      </c>
      <c r="AC50" s="8">
        <v>383.47650000000004</v>
      </c>
      <c r="AD50" s="8">
        <v>0</v>
      </c>
      <c r="AE50" s="8">
        <v>383.47650000000004</v>
      </c>
      <c r="AF50" s="8">
        <v>0</v>
      </c>
      <c r="AG50" s="1" t="s">
        <v>117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28.973779999999994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452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0</v>
      </c>
      <c r="AC51" s="8">
        <v>5280.6600000000008</v>
      </c>
      <c r="AD51" s="8">
        <v>0</v>
      </c>
      <c r="AE51" s="8">
        <v>5280.6600000000008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398.98320000000001</v>
      </c>
    </row>
    <row r="52" spans="1:56" ht="27.75" customHeight="1" x14ac:dyDescent="0.45">
      <c r="A52" s="3">
        <v>45892</v>
      </c>
      <c r="B52" s="14" t="s">
        <v>360</v>
      </c>
      <c r="C52" s="9" t="s">
        <v>139</v>
      </c>
      <c r="D52" s="13" t="s">
        <v>329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640</v>
      </c>
      <c r="V52" s="10">
        <v>0</v>
      </c>
      <c r="W52" s="10">
        <v>640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370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45892</v>
      </c>
      <c r="B53" s="14" t="s">
        <v>362</v>
      </c>
      <c r="C53" s="9" t="s">
        <v>139</v>
      </c>
      <c r="D53" s="13" t="s">
        <v>131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1840</v>
      </c>
      <c r="V53" s="10">
        <v>80</v>
      </c>
      <c r="W53" s="10">
        <v>1760</v>
      </c>
      <c r="X53" s="10">
        <v>10650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45782</v>
      </c>
      <c r="B54" s="14" t="s">
        <v>249</v>
      </c>
      <c r="C54" s="9" t="s">
        <v>79</v>
      </c>
      <c r="D54" s="13" t="s">
        <v>243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45909</v>
      </c>
      <c r="U54" s="11">
        <v>5000</v>
      </c>
      <c r="V54" s="10">
        <v>4473</v>
      </c>
      <c r="W54" s="10">
        <v>527</v>
      </c>
      <c r="X54" s="10">
        <v>5200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45909</v>
      </c>
      <c r="AK54" s="3">
        <v>45905</v>
      </c>
      <c r="AL54" s="3">
        <v>45898</v>
      </c>
      <c r="AM54" s="3">
        <v>45906</v>
      </c>
      <c r="AN54" s="3">
        <v>45907</v>
      </c>
      <c r="AO54" s="3">
        <v>45908</v>
      </c>
      <c r="AP54" s="3">
        <v>45904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45873</v>
      </c>
      <c r="B55" s="14" t="s">
        <v>308</v>
      </c>
      <c r="C55" s="9" t="s">
        <v>107</v>
      </c>
      <c r="D55" s="13" t="s">
        <v>309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45922</v>
      </c>
      <c r="U55" s="11">
        <v>4000</v>
      </c>
      <c r="V55" s="10">
        <v>0</v>
      </c>
      <c r="W55" s="10">
        <v>4000</v>
      </c>
      <c r="X55" s="10">
        <v>4130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307</v>
      </c>
      <c r="AG55" s="1" t="s">
        <v>117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45896</v>
      </c>
      <c r="B56" s="14" t="s">
        <v>396</v>
      </c>
      <c r="C56" s="9" t="s">
        <v>79</v>
      </c>
      <c r="D56" s="13" t="s">
        <v>397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45926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8829.0399999999991</v>
      </c>
      <c r="AB56" s="8">
        <v>8829.0399999999991</v>
      </c>
      <c r="AC56" s="8">
        <v>0</v>
      </c>
      <c r="AD56" s="8">
        <v>0</v>
      </c>
      <c r="AE56" s="8">
        <v>8829.0399999999991</v>
      </c>
      <c r="AF56" s="8">
        <v>0</v>
      </c>
      <c r="AG56" s="1" t="s">
        <v>116</v>
      </c>
      <c r="AH56" s="1" t="s">
        <v>75</v>
      </c>
      <c r="AI56" s="1">
        <v>5</v>
      </c>
      <c r="AJ56" s="3">
        <v>45926</v>
      </c>
      <c r="AK56" s="3">
        <v>45921</v>
      </c>
      <c r="AL56" s="3">
        <v>45914</v>
      </c>
      <c r="AM56" s="3">
        <v>45922</v>
      </c>
      <c r="AN56" s="3">
        <v>45923</v>
      </c>
      <c r="AO56" s="3">
        <v>45924</v>
      </c>
      <c r="AP56" s="3">
        <v>45921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438</v>
      </c>
      <c r="C57" s="9" t="s">
        <v>267</v>
      </c>
      <c r="D57" s="13" t="s">
        <v>428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20500</v>
      </c>
      <c r="V57" s="10">
        <v>400</v>
      </c>
      <c r="W57" s="10">
        <v>20100</v>
      </c>
      <c r="X57" s="10">
        <v>0</v>
      </c>
      <c r="Y57" s="10">
        <v>21105</v>
      </c>
      <c r="Z57" s="9" t="s">
        <v>80</v>
      </c>
      <c r="AA57" s="8">
        <v>21621.369000000002</v>
      </c>
      <c r="AB57" s="8">
        <v>21621.369000000002</v>
      </c>
      <c r="AC57" s="8">
        <v>0</v>
      </c>
      <c r="AD57" s="8">
        <v>0</v>
      </c>
      <c r="AE57" s="8">
        <v>21621.369000000002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439</v>
      </c>
      <c r="C58" s="9" t="s">
        <v>267</v>
      </c>
      <c r="D58" s="13" t="s">
        <v>429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8000</v>
      </c>
      <c r="V58" s="10">
        <v>0</v>
      </c>
      <c r="W58" s="10">
        <v>8000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438</v>
      </c>
      <c r="C59" s="9" t="s">
        <v>267</v>
      </c>
      <c r="D59" s="13" t="s">
        <v>430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80</v>
      </c>
      <c r="AA59" s="8">
        <v>21513.800000000003</v>
      </c>
      <c r="AB59" s="8">
        <v>21513.800000000003</v>
      </c>
      <c r="AC59" s="8">
        <v>0</v>
      </c>
      <c r="AD59" s="8">
        <v>0</v>
      </c>
      <c r="AE59" s="8">
        <v>21513.800000000003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438</v>
      </c>
      <c r="C60" s="9" t="s">
        <v>267</v>
      </c>
      <c r="D60" s="13" t="s">
        <v>431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439</v>
      </c>
      <c r="C61" s="9" t="s">
        <v>267</v>
      </c>
      <c r="D61" s="13" t="s">
        <v>432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10756.900000000001</v>
      </c>
      <c r="AB61" s="8">
        <v>10756.900000000001</v>
      </c>
      <c r="AC61" s="8">
        <v>0</v>
      </c>
      <c r="AD61" s="8">
        <v>0</v>
      </c>
      <c r="AE61" s="8">
        <v>10756.900000000001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440</v>
      </c>
      <c r="C62" s="9" t="s">
        <v>267</v>
      </c>
      <c r="D62" s="13" t="s">
        <v>433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10756.900000000001</v>
      </c>
      <c r="AB62" s="8">
        <v>5732</v>
      </c>
      <c r="AC62" s="8">
        <v>5024.9000000000015</v>
      </c>
      <c r="AD62" s="8">
        <v>0</v>
      </c>
      <c r="AE62" s="8">
        <v>10756.900000000001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379.6591111111112</v>
      </c>
    </row>
    <row r="63" spans="1:56" ht="27.75" customHeight="1" x14ac:dyDescent="0.45">
      <c r="A63" s="3">
        <v>45902</v>
      </c>
      <c r="B63" s="14" t="s">
        <v>440</v>
      </c>
      <c r="C63" s="9" t="s">
        <v>267</v>
      </c>
      <c r="D63" s="13" t="s">
        <v>434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5378.4500000000007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406.37177777777782</v>
      </c>
    </row>
    <row r="64" spans="1:56" ht="27.75" customHeight="1" x14ac:dyDescent="0.45">
      <c r="A64" s="3">
        <v>45902</v>
      </c>
      <c r="B64" s="14" t="s">
        <v>440</v>
      </c>
      <c r="C64" s="9" t="s">
        <v>267</v>
      </c>
      <c r="D64" s="13" t="s">
        <v>435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406.37177777777782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3227.07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750.46839999999997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>
        <v>0</v>
      </c>
      <c r="AG67" s="1" t="s">
        <v>61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333.54151111111111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0</v>
      </c>
      <c r="AC68" s="8">
        <v>9932.67</v>
      </c>
      <c r="AD68" s="8">
        <v>0</v>
      </c>
      <c r="AE68" s="8">
        <v>9932.67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750.46839999999997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45930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45930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>
        <v>45887</v>
      </c>
      <c r="B72" s="14" t="s">
        <v>345</v>
      </c>
      <c r="C72" s="9" t="s">
        <v>139</v>
      </c>
      <c r="D72" s="13" t="s">
        <v>224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395</v>
      </c>
      <c r="C73" s="9" t="s">
        <v>79</v>
      </c>
      <c r="D73" s="13" t="s">
        <v>310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115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250.15613333333337</v>
      </c>
    </row>
    <row r="74" spans="1:56" ht="27.75" customHeight="1" x14ac:dyDescent="0.45">
      <c r="A74" s="3">
        <v>45892</v>
      </c>
      <c r="B74" s="14" t="s">
        <v>365</v>
      </c>
      <c r="C74" s="9" t="s">
        <v>79</v>
      </c>
      <c r="D74" s="13" t="s">
        <v>220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500.31226666666674</v>
      </c>
    </row>
    <row r="75" spans="1:56" ht="27.75" customHeight="1" x14ac:dyDescent="0.45">
      <c r="A75" s="3">
        <v>45796</v>
      </c>
      <c r="B75" s="14" t="s">
        <v>258</v>
      </c>
      <c r="C75" s="9" t="s">
        <v>139</v>
      </c>
      <c r="D75" s="13" t="s">
        <v>145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254</v>
      </c>
      <c r="AZ75" s="2">
        <v>0</v>
      </c>
      <c r="BA75" s="2">
        <v>0</v>
      </c>
      <c r="BB75" s="2">
        <v>0</v>
      </c>
      <c r="BC75" s="1" t="s">
        <v>104</v>
      </c>
      <c r="BD75" s="56">
        <v>18.999199999999998</v>
      </c>
    </row>
    <row r="76" spans="1:56" ht="27.75" customHeight="1" x14ac:dyDescent="0.45">
      <c r="A76" s="3">
        <v>45876</v>
      </c>
      <c r="B76" s="14" t="s">
        <v>328</v>
      </c>
      <c r="C76" s="9" t="s">
        <v>107</v>
      </c>
      <c r="D76" s="13" t="s">
        <v>314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583.69764444444445</v>
      </c>
    </row>
    <row r="78" spans="1:56" ht="27.75" customHeight="1" x14ac:dyDescent="0.45">
      <c r="A78" s="3" t="s">
        <v>135</v>
      </c>
      <c r="B78" s="14" t="s">
        <v>135</v>
      </c>
      <c r="C78" s="9" t="s">
        <v>270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8338.5377777777776</v>
      </c>
    </row>
    <row r="79" spans="1:56" ht="27.75" customHeight="1" x14ac:dyDescent="0.45">
      <c r="A79" s="3">
        <v>45825</v>
      </c>
      <c r="B79" s="14" t="s">
        <v>269</v>
      </c>
      <c r="C79" s="9" t="s">
        <v>139</v>
      </c>
      <c r="D79" s="13" t="s">
        <v>239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45796</v>
      </c>
      <c r="B80" s="14" t="s">
        <v>257</v>
      </c>
      <c r="C80" s="9" t="s">
        <v>139</v>
      </c>
      <c r="D80" s="13" t="s">
        <v>253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45798</v>
      </c>
      <c r="B82" s="14" t="s">
        <v>263</v>
      </c>
      <c r="C82" s="9" t="s">
        <v>107</v>
      </c>
      <c r="D82" s="13" t="s">
        <v>261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45674</v>
      </c>
      <c r="B83" s="14" t="s">
        <v>226</v>
      </c>
      <c r="C83" s="9" t="s">
        <v>139</v>
      </c>
      <c r="D83" s="13" t="s">
        <v>225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235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45611</v>
      </c>
      <c r="B84" s="14" t="s">
        <v>195</v>
      </c>
      <c r="C84" s="9" t="s">
        <v>139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260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358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45741</v>
      </c>
      <c r="B89" s="14" t="s">
        <v>242</v>
      </c>
      <c r="C89" s="9" t="s">
        <v>107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244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209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219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45541</v>
      </c>
      <c r="B92" s="14" t="s">
        <v>182</v>
      </c>
      <c r="C92" s="9" t="s">
        <v>107</v>
      </c>
      <c r="D92" s="13" t="s">
        <v>183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184</v>
      </c>
      <c r="AG92" s="1" t="s">
        <v>61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222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45581</v>
      </c>
      <c r="B93" s="14" t="s">
        <v>187</v>
      </c>
      <c r="C93" s="9" t="s">
        <v>107</v>
      </c>
      <c r="D93" s="13" t="s">
        <v>188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436871.93550000008</v>
      </c>
      <c r="AB94" s="8">
        <v>82437.079000000012</v>
      </c>
      <c r="AC94" s="8">
        <v>354434.85650000011</v>
      </c>
      <c r="AD94" s="8">
        <v>3227.07</v>
      </c>
      <c r="AE94" s="8">
        <v>433644.86550000007</v>
      </c>
      <c r="AF94" s="8" t="s">
        <v>58</v>
      </c>
      <c r="AG94" s="1" t="s">
        <v>115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 t="s">
        <v>135</v>
      </c>
      <c r="B95" s="14" t="s">
        <v>135</v>
      </c>
      <c r="C95" s="9" t="s">
        <v>270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271</v>
      </c>
      <c r="AA95" s="8">
        <v>113157.00000000001</v>
      </c>
      <c r="AB95" s="8">
        <v>88878</v>
      </c>
      <c r="AC95" s="8">
        <v>24279.000000000015</v>
      </c>
      <c r="AD95" s="8">
        <v>0</v>
      </c>
      <c r="AE95" s="8">
        <v>0</v>
      </c>
      <c r="AF95" s="8">
        <v>0</v>
      </c>
      <c r="AG95" s="1" t="s">
        <v>117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272</v>
      </c>
      <c r="BD95" s="56">
        <v>1912.6456666666681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271</v>
      </c>
      <c r="AA96" s="8">
        <v>113157.00000000001</v>
      </c>
      <c r="AB96" s="8">
        <v>88878</v>
      </c>
      <c r="AC96" s="8">
        <v>24279.000000000015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273</v>
      </c>
      <c r="BD96" s="56">
        <v>0</v>
      </c>
    </row>
    <row r="97" spans="1:56" ht="27.75" customHeight="1" x14ac:dyDescent="0.45">
      <c r="A97" s="3">
        <v>45892</v>
      </c>
      <c r="B97" s="14" t="s">
        <v>366</v>
      </c>
      <c r="C97" s="9" t="s">
        <v>139</v>
      </c>
      <c r="D97" s="13" t="s">
        <v>367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45908</v>
      </c>
      <c r="U97" s="11">
        <v>10000</v>
      </c>
      <c r="V97" s="10">
        <v>1196</v>
      </c>
      <c r="W97" s="10">
        <v>8804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117</v>
      </c>
      <c r="AH97" s="1" t="s">
        <v>74</v>
      </c>
      <c r="AI97" s="1">
        <v>2</v>
      </c>
      <c r="AJ97" s="3">
        <v>45908</v>
      </c>
      <c r="AK97" s="3">
        <v>0</v>
      </c>
      <c r="AL97" s="3">
        <v>45899</v>
      </c>
      <c r="AM97" s="3">
        <v>45906</v>
      </c>
      <c r="AN97" s="3">
        <v>45907</v>
      </c>
      <c r="AO97" s="3">
        <v>45907</v>
      </c>
      <c r="AP97" s="3">
        <v>45903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347</v>
      </c>
      <c r="C98" s="9" t="s">
        <v>139</v>
      </c>
      <c r="D98" s="13" t="s">
        <v>332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117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333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45919</v>
      </c>
      <c r="U99" s="11">
        <v>17360</v>
      </c>
      <c r="V99" s="10">
        <v>0</v>
      </c>
      <c r="W99" s="10">
        <v>17360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116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0</v>
      </c>
      <c r="Y103" s="10">
        <v>31500</v>
      </c>
      <c r="Z103" s="9" t="s">
        <v>81</v>
      </c>
      <c r="AA103" s="8">
        <v>31432.500000000004</v>
      </c>
      <c r="AB103" s="8">
        <v>31432.500000000004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56257</v>
      </c>
      <c r="AC104" s="8">
        <v>247590.5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18926.918222222219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340239.35</v>
      </c>
      <c r="AB105" s="8">
        <v>92648.85</v>
      </c>
      <c r="AC105" s="8">
        <v>247590.5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336</v>
      </c>
      <c r="C106" s="9" t="s">
        <v>107</v>
      </c>
      <c r="D106" s="13" t="s">
        <v>316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45926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120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45926</v>
      </c>
      <c r="AK106" s="3">
        <v>45922</v>
      </c>
      <c r="AL106" s="3">
        <v>45916</v>
      </c>
      <c r="AM106" s="3">
        <v>45923</v>
      </c>
      <c r="AN106" s="3">
        <v>45924</v>
      </c>
      <c r="AO106" s="3">
        <v>45924</v>
      </c>
      <c r="AP106" s="3">
        <v>45921</v>
      </c>
      <c r="AQ106" s="3">
        <v>45925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45631</v>
      </c>
      <c r="B107" s="14" t="s">
        <v>203</v>
      </c>
      <c r="C107" s="9" t="s">
        <v>109</v>
      </c>
      <c r="D107" s="13" t="s">
        <v>144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16000</v>
      </c>
      <c r="V107" s="10">
        <v>0</v>
      </c>
      <c r="W107" s="10">
        <v>16000</v>
      </c>
      <c r="X107" s="10">
        <v>0</v>
      </c>
      <c r="Y107" s="10">
        <v>16800</v>
      </c>
      <c r="Z107" s="9" t="s">
        <v>120</v>
      </c>
      <c r="AA107" s="8">
        <v>17211.04</v>
      </c>
      <c r="AB107" s="8">
        <v>17211.04</v>
      </c>
      <c r="AC107" s="8">
        <v>0</v>
      </c>
      <c r="AD107" s="8">
        <v>0</v>
      </c>
      <c r="AE107" s="8">
        <v>17211.04</v>
      </c>
      <c r="AF107" s="8">
        <v>0</v>
      </c>
      <c r="AG107" s="1" t="s">
        <v>61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218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45631</v>
      </c>
      <c r="B108" s="14" t="s">
        <v>202</v>
      </c>
      <c r="C108" s="9" t="s">
        <v>109</v>
      </c>
      <c r="D108" s="13" t="s">
        <v>144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9000</v>
      </c>
      <c r="V108" s="10">
        <v>0</v>
      </c>
      <c r="W108" s="10">
        <v>9000</v>
      </c>
      <c r="X108" s="10">
        <v>0</v>
      </c>
      <c r="Y108" s="10">
        <v>9450</v>
      </c>
      <c r="Z108" s="9" t="s">
        <v>120</v>
      </c>
      <c r="AA108" s="8">
        <v>9681.2100000000009</v>
      </c>
      <c r="AB108" s="8">
        <v>9681.2100000000009</v>
      </c>
      <c r="AC108" s="8">
        <v>0</v>
      </c>
      <c r="AD108" s="8">
        <v>0</v>
      </c>
      <c r="AE108" s="8">
        <v>9681.2100000000009</v>
      </c>
      <c r="AF108" s="8">
        <v>0</v>
      </c>
      <c r="AG108" s="1" t="s">
        <v>116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217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45904</v>
      </c>
      <c r="B109" s="14" t="s">
        <v>443</v>
      </c>
      <c r="C109" s="9" t="s">
        <v>454</v>
      </c>
      <c r="D109" s="13" t="s">
        <v>445</v>
      </c>
      <c r="E109" s="9">
        <v>21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45911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120</v>
      </c>
      <c r="AA109" s="8">
        <v>4638.0400000000009</v>
      </c>
      <c r="AB109" s="8">
        <v>4638.0400000000009</v>
      </c>
      <c r="AC109" s="8">
        <v>0</v>
      </c>
      <c r="AD109" s="8">
        <v>4638.0400000000009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45911</v>
      </c>
      <c r="AK109" s="3">
        <v>45907</v>
      </c>
      <c r="AL109" s="3">
        <v>45901</v>
      </c>
      <c r="AM109" s="3">
        <v>45908</v>
      </c>
      <c r="AN109" s="3">
        <v>45909</v>
      </c>
      <c r="AO109" s="3">
        <v>45909</v>
      </c>
      <c r="AP109" s="3">
        <v>45906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 t="s">
        <v>135</v>
      </c>
      <c r="B110" s="14" t="s">
        <v>135</v>
      </c>
      <c r="C110" s="9" t="s">
        <v>111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45925</v>
      </c>
      <c r="U110" s="11">
        <v>100000</v>
      </c>
      <c r="V110" s="10">
        <v>0</v>
      </c>
      <c r="W110" s="10">
        <v>100000</v>
      </c>
      <c r="X110" s="10">
        <v>0</v>
      </c>
      <c r="Y110" s="10">
        <v>105000</v>
      </c>
      <c r="Z110" s="9" t="s">
        <v>120</v>
      </c>
      <c r="AA110" s="8">
        <v>107569.00000000001</v>
      </c>
      <c r="AB110" s="8">
        <v>107569.00000000001</v>
      </c>
      <c r="AC110" s="8">
        <v>0</v>
      </c>
      <c r="AD110" s="8">
        <v>107569.00000000001</v>
      </c>
      <c r="AE110" s="8">
        <v>0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45925</v>
      </c>
      <c r="AK110" s="3">
        <v>45921</v>
      </c>
      <c r="AL110" s="3">
        <v>45915</v>
      </c>
      <c r="AM110" s="3">
        <v>45922</v>
      </c>
      <c r="AN110" s="3">
        <v>45923</v>
      </c>
      <c r="AO110" s="3">
        <v>45923</v>
      </c>
      <c r="AP110" s="3">
        <v>45920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45896</v>
      </c>
      <c r="B111" s="14" t="s">
        <v>400</v>
      </c>
      <c r="C111" s="9" t="s">
        <v>107</v>
      </c>
      <c r="D111" s="13" t="s">
        <v>401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120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402</v>
      </c>
      <c r="C112" s="9" t="s">
        <v>107</v>
      </c>
      <c r="D112" s="13" t="s">
        <v>313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403</v>
      </c>
      <c r="C113" s="9" t="s">
        <v>107</v>
      </c>
      <c r="D113" s="13" t="s">
        <v>404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337</v>
      </c>
      <c r="C115" s="9" t="s">
        <v>107</v>
      </c>
      <c r="D115" s="13" t="s">
        <v>317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120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 t="s">
        <v>135</v>
      </c>
      <c r="B116" s="14" t="s">
        <v>135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120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45854</v>
      </c>
      <c r="B117" s="14" t="s">
        <v>295</v>
      </c>
      <c r="C117" s="9" t="s">
        <v>79</v>
      </c>
      <c r="D117" s="13" t="s">
        <v>296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297</v>
      </c>
      <c r="C118" s="9" t="s">
        <v>79</v>
      </c>
      <c r="D118" s="13" t="s">
        <v>298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115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45826</v>
      </c>
      <c r="B119" s="14" t="s">
        <v>274</v>
      </c>
      <c r="C119" s="9" t="s">
        <v>107</v>
      </c>
      <c r="D119" s="13" t="s">
        <v>262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120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45066</v>
      </c>
      <c r="B120" s="14" t="s">
        <v>126</v>
      </c>
      <c r="C120" s="9" t="s">
        <v>79</v>
      </c>
      <c r="D120" s="13" t="s">
        <v>125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120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216</v>
      </c>
      <c r="D122" s="13" t="s">
        <v>216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221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92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123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10528</v>
      </c>
      <c r="AC123" s="8">
        <v>19228.100000000002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1437.3004749999998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40284.100000000006</v>
      </c>
      <c r="AC124" s="8">
        <v>19228.100000000002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45727</v>
      </c>
      <c r="B125" s="14" t="s">
        <v>240</v>
      </c>
      <c r="C125" s="9" t="s">
        <v>111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213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215</v>
      </c>
      <c r="AG125" s="1" t="s">
        <v>115</v>
      </c>
      <c r="AH125" s="1" t="s">
        <v>146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143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213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214</v>
      </c>
      <c r="BD126" s="56">
        <v>0</v>
      </c>
    </row>
    <row r="127" spans="1:56" ht="27.75" customHeight="1" x14ac:dyDescent="0.45">
      <c r="A127" s="3">
        <v>45601</v>
      </c>
      <c r="B127" s="14" t="s">
        <v>193</v>
      </c>
      <c r="C127" s="9" t="s">
        <v>93</v>
      </c>
      <c r="D127" s="13" t="s">
        <v>142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299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99</v>
      </c>
      <c r="AA127" s="8">
        <v>105955.465</v>
      </c>
      <c r="AB127" s="8">
        <v>13611</v>
      </c>
      <c r="AC127" s="8">
        <v>92344.464999999997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113</v>
      </c>
      <c r="BD127" s="56">
        <v>11829.65943262361</v>
      </c>
    </row>
    <row r="128" spans="1:56" ht="27.75" customHeight="1" x14ac:dyDescent="0.45">
      <c r="A128" s="3">
        <v>45601</v>
      </c>
      <c r="B128" s="14" t="s">
        <v>193</v>
      </c>
      <c r="C128" s="9" t="s">
        <v>93</v>
      </c>
      <c r="D128" s="13" t="s">
        <v>142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299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99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113</v>
      </c>
      <c r="BD128" s="56">
        <v>46559.511849046357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99</v>
      </c>
      <c r="AA129" s="8">
        <v>469407.45082000003</v>
      </c>
      <c r="AB129" s="8">
        <v>13611</v>
      </c>
      <c r="AC129" s="8">
        <v>455796.45082000003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114</v>
      </c>
      <c r="BD129" s="56">
        <v>0</v>
      </c>
    </row>
    <row r="130" spans="1:56" ht="27.75" customHeight="1" x14ac:dyDescent="0.45">
      <c r="A130" s="3">
        <v>45894</v>
      </c>
      <c r="B130" s="14" t="s">
        <v>374</v>
      </c>
      <c r="C130" s="9" t="s">
        <v>137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123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179</v>
      </c>
      <c r="D131" s="13" t="s">
        <v>61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91</v>
      </c>
      <c r="M131" s="10">
        <v>27</v>
      </c>
      <c r="N131" s="9">
        <v>43</v>
      </c>
      <c r="O131" s="9">
        <v>40</v>
      </c>
      <c r="P131" s="10">
        <v>229.14349009919997</v>
      </c>
      <c r="Q131" s="10">
        <v>0</v>
      </c>
      <c r="R131" s="10">
        <v>229.14349009919997</v>
      </c>
      <c r="S131" s="9" t="s">
        <v>185</v>
      </c>
      <c r="T131" s="12">
        <v>45930</v>
      </c>
      <c r="U131" s="11">
        <v>8000</v>
      </c>
      <c r="V131" s="10">
        <v>0</v>
      </c>
      <c r="W131" s="10">
        <v>8000</v>
      </c>
      <c r="X131" s="10">
        <v>0</v>
      </c>
      <c r="Y131" s="10">
        <v>8400</v>
      </c>
      <c r="Z131" s="9" t="s">
        <v>84</v>
      </c>
      <c r="AA131" s="8">
        <v>9499.6</v>
      </c>
      <c r="AB131" s="8">
        <v>0</v>
      </c>
      <c r="AC131" s="8">
        <v>9499.6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>
        <v>45930</v>
      </c>
      <c r="AK131" s="3">
        <v>0</v>
      </c>
      <c r="AL131" s="3">
        <v>45920</v>
      </c>
      <c r="AM131" s="3">
        <v>45927</v>
      </c>
      <c r="AN131" s="3">
        <v>45928</v>
      </c>
      <c r="AO131" s="3">
        <v>45928</v>
      </c>
      <c r="AP131" s="3">
        <v>45925</v>
      </c>
      <c r="AQ131" s="3">
        <v>45929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767.03992444444452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 t="s">
        <v>60</v>
      </c>
      <c r="H132" s="9">
        <v>0</v>
      </c>
      <c r="I132" s="9">
        <v>102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84</v>
      </c>
      <c r="AA132" s="8">
        <v>9499.6</v>
      </c>
      <c r="AB132" s="8">
        <v>0</v>
      </c>
      <c r="AC132" s="8">
        <v>9499.6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45904</v>
      </c>
      <c r="B133" s="14" t="s">
        <v>455</v>
      </c>
      <c r="C133" s="9" t="s">
        <v>456</v>
      </c>
      <c r="D133" s="13" t="s">
        <v>457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140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458</v>
      </c>
      <c r="T133" s="12">
        <v>45912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459</v>
      </c>
      <c r="AA133" s="8">
        <v>12433.3</v>
      </c>
      <c r="AB133" s="8">
        <v>7225</v>
      </c>
      <c r="AC133" s="8">
        <v>5208.2999999999993</v>
      </c>
      <c r="AD133" s="8">
        <v>0</v>
      </c>
      <c r="AE133" s="8">
        <v>12433.3</v>
      </c>
      <c r="AF133" s="8" t="s">
        <v>460</v>
      </c>
      <c r="AG133" s="1" t="s">
        <v>115</v>
      </c>
      <c r="AH133" s="1" t="s">
        <v>75</v>
      </c>
      <c r="AI133" s="1">
        <v>4</v>
      </c>
      <c r="AJ133" s="3">
        <v>45912</v>
      </c>
      <c r="AK133" s="3">
        <v>45908</v>
      </c>
      <c r="AL133" s="3">
        <v>45901</v>
      </c>
      <c r="AM133" s="3">
        <v>45909</v>
      </c>
      <c r="AN133" s="3">
        <v>45910</v>
      </c>
      <c r="AO133" s="3">
        <v>45911</v>
      </c>
      <c r="AP133" s="3">
        <v>45907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450</v>
      </c>
      <c r="BD133" s="56">
        <v>467.9368199999999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>
        <v>0</v>
      </c>
      <c r="H134" s="9">
        <v>0</v>
      </c>
      <c r="I134" s="9">
        <v>100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459</v>
      </c>
      <c r="AA134" s="8">
        <v>12433.3</v>
      </c>
      <c r="AB134" s="8">
        <v>7225</v>
      </c>
      <c r="AC134" s="8">
        <v>5208.2999999999993</v>
      </c>
      <c r="AD134" s="8">
        <v>0</v>
      </c>
      <c r="AE134" s="8">
        <v>12433.3</v>
      </c>
      <c r="AF134" s="8" t="s">
        <v>58</v>
      </c>
      <c r="AG134" s="1" t="s">
        <v>118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450</v>
      </c>
      <c r="BD134" s="56">
        <v>0</v>
      </c>
    </row>
    <row r="135" spans="1:56" ht="27.75" customHeight="1" x14ac:dyDescent="0.45">
      <c r="A135" s="3" t="s">
        <v>135</v>
      </c>
      <c r="B135" s="14" t="s">
        <v>135</v>
      </c>
      <c r="C135" s="9" t="s">
        <v>109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197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197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198</v>
      </c>
      <c r="BD136" s="56">
        <v>0</v>
      </c>
    </row>
    <row r="137" spans="1:56" ht="27.75" customHeight="1" x14ac:dyDescent="0.45">
      <c r="A137" s="3">
        <v>45901</v>
      </c>
      <c r="B137" s="14" t="s">
        <v>420</v>
      </c>
      <c r="C137" s="9" t="s">
        <v>109</v>
      </c>
      <c r="D137" s="13" t="s">
        <v>144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45908</v>
      </c>
      <c r="U137" s="11">
        <v>30000</v>
      </c>
      <c r="V137" s="10">
        <v>20000</v>
      </c>
      <c r="W137" s="10">
        <v>10000</v>
      </c>
      <c r="X137" s="10">
        <v>32730</v>
      </c>
      <c r="Y137" s="10">
        <v>0</v>
      </c>
      <c r="Z137" s="9" t="s">
        <v>88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436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45898</v>
      </c>
      <c r="B138" s="14" t="s">
        <v>413</v>
      </c>
      <c r="C138" s="9" t="s">
        <v>109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45909</v>
      </c>
      <c r="U138" s="11">
        <v>15000</v>
      </c>
      <c r="V138" s="10">
        <v>10000</v>
      </c>
      <c r="W138" s="10">
        <v>5000</v>
      </c>
      <c r="X138" s="10">
        <v>0</v>
      </c>
      <c r="Y138" s="10">
        <v>0</v>
      </c>
      <c r="Z138" s="9" t="s">
        <v>88</v>
      </c>
      <c r="AA138" s="8">
        <v>6216.65</v>
      </c>
      <c r="AB138" s="8">
        <v>6216.65</v>
      </c>
      <c r="AC138" s="8">
        <v>0</v>
      </c>
      <c r="AD138" s="8">
        <v>6216.65</v>
      </c>
      <c r="AE138" s="8">
        <v>0</v>
      </c>
      <c r="AF138" s="8">
        <v>0</v>
      </c>
      <c r="AG138" s="1" t="s">
        <v>116</v>
      </c>
      <c r="AH138" s="1" t="s">
        <v>146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143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45898</v>
      </c>
      <c r="B139" s="14" t="s">
        <v>414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88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115</v>
      </c>
      <c r="AH139" s="1" t="s">
        <v>146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45901</v>
      </c>
      <c r="B140" s="14" t="s">
        <v>421</v>
      </c>
      <c r="C140" s="9" t="s">
        <v>109</v>
      </c>
      <c r="D140" s="13" t="s">
        <v>144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88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3846.8630200000002</v>
      </c>
    </row>
    <row r="141" spans="1:56" ht="27.75" customHeight="1" x14ac:dyDescent="0.45">
      <c r="A141" s="3">
        <v>45901</v>
      </c>
      <c r="B141" s="14" t="s">
        <v>422</v>
      </c>
      <c r="C141" s="9" t="s">
        <v>109</v>
      </c>
      <c r="D141" s="13" t="s">
        <v>144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88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115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1282.2876733333333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74599.799999999988</v>
      </c>
      <c r="AB142" s="8">
        <v>24866.6</v>
      </c>
      <c r="AC142" s="8">
        <v>49733.2</v>
      </c>
      <c r="AD142" s="8">
        <v>6216.65</v>
      </c>
      <c r="AE142" s="8">
        <v>68383.149999999994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45895</v>
      </c>
      <c r="B143" s="14" t="s">
        <v>375</v>
      </c>
      <c r="C143" s="9" t="s">
        <v>147</v>
      </c>
      <c r="D143" s="13" t="s">
        <v>148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13000</v>
      </c>
      <c r="W143" s="10">
        <v>0</v>
      </c>
      <c r="X143" s="10">
        <v>53544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469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147</v>
      </c>
      <c r="D144" s="13" t="s">
        <v>148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13630</v>
      </c>
      <c r="AC144" s="8">
        <v>45742.5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5140.9487500000014</v>
      </c>
    </row>
    <row r="145" spans="1:56" ht="27.75" customHeight="1" x14ac:dyDescent="0.45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146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143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761.48529722222236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13630</v>
      </c>
      <c r="AC146" s="8">
        <v>52517.95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149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F540-9950-4B55-96DB-07D48BEE978B}">
  <sheetPr>
    <tabColor rgb="FFFFFF00"/>
  </sheetPr>
  <dimension ref="A1:BD162"/>
  <sheetViews>
    <sheetView topLeftCell="A4" zoomScale="80" zoomScaleNormal="80" workbookViewId="0">
      <selection activeCell="D16" sqref="D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45905</v>
      </c>
      <c r="E3" s="80" t="s">
        <v>52</v>
      </c>
      <c r="F3" s="80"/>
      <c r="G3" s="81">
        <v>10.33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682</v>
      </c>
      <c r="AC10" s="8">
        <v>3020.0499999999997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184.69283555555555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682</v>
      </c>
      <c r="AC11" s="8">
        <v>3020.0499999999997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119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3195.7771999999995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9335</v>
      </c>
      <c r="Y17" s="10">
        <v>32198.25</v>
      </c>
      <c r="Z17" s="9" t="s">
        <v>168</v>
      </c>
      <c r="AA17" s="8">
        <v>28338.001807500001</v>
      </c>
      <c r="AB17" s="8">
        <v>24908</v>
      </c>
      <c r="AC17" s="8">
        <v>3430.0018075000007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249.09435348688899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126049.61613749999</v>
      </c>
      <c r="AB20" s="8">
        <v>24908</v>
      </c>
      <c r="AC20" s="8">
        <v>101141.61613749999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5000</v>
      </c>
      <c r="W22" s="10">
        <v>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383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117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383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380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115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383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118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383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383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45904</v>
      </c>
      <c r="B37" s="14" t="s">
        <v>446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447</v>
      </c>
      <c r="T37" s="12">
        <v>45915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172</v>
      </c>
      <c r="AA37" s="8">
        <v>18719.800000000003</v>
      </c>
      <c r="AB37" s="8">
        <v>18719.800000000003</v>
      </c>
      <c r="AC37" s="8">
        <v>0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45915</v>
      </c>
      <c r="AK37" s="3">
        <v>0</v>
      </c>
      <c r="AL37" s="3">
        <v>0</v>
      </c>
      <c r="AM37" s="3">
        <v>0</v>
      </c>
      <c r="AN37" s="3">
        <v>0</v>
      </c>
      <c r="AO37" s="3">
        <v>45914</v>
      </c>
      <c r="AP37" s="3">
        <v>45910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45904</v>
      </c>
      <c r="B38" s="14" t="s">
        <v>446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447</v>
      </c>
      <c r="T38" s="12">
        <v>45924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172</v>
      </c>
      <c r="AA38" s="8">
        <v>18719.800000000003</v>
      </c>
      <c r="AB38" s="8">
        <v>18719.800000000003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77</v>
      </c>
      <c r="AI38" s="1">
        <v>1</v>
      </c>
      <c r="AJ38" s="3">
        <v>45924</v>
      </c>
      <c r="AK38" s="3">
        <v>0</v>
      </c>
      <c r="AL38" s="3">
        <v>0</v>
      </c>
      <c r="AM38" s="3">
        <v>0</v>
      </c>
      <c r="AN38" s="3">
        <v>0</v>
      </c>
      <c r="AO38" s="3">
        <v>45923</v>
      </c>
      <c r="AP38" s="3">
        <v>45919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45904</v>
      </c>
      <c r="B39" s="14" t="s">
        <v>448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45915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12462</v>
      </c>
      <c r="AC39" s="8">
        <v>6257.8000000000029</v>
      </c>
      <c r="AD39" s="8">
        <v>0</v>
      </c>
      <c r="AE39" s="8">
        <v>0</v>
      </c>
      <c r="AF39" s="8">
        <v>0</v>
      </c>
      <c r="AG39" s="1" t="s">
        <v>116</v>
      </c>
      <c r="AH39" s="1" t="s">
        <v>77</v>
      </c>
      <c r="AI39" s="1">
        <v>1</v>
      </c>
      <c r="AJ39" s="3">
        <v>45915</v>
      </c>
      <c r="AK39" s="3">
        <v>0</v>
      </c>
      <c r="AL39" s="3">
        <v>0</v>
      </c>
      <c r="AM39" s="3">
        <v>0</v>
      </c>
      <c r="AN39" s="3">
        <v>0</v>
      </c>
      <c r="AO39" s="3">
        <v>45914</v>
      </c>
      <c r="AP39" s="3">
        <v>45910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471.36530844444462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116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>
        <v>45905</v>
      </c>
      <c r="B41" s="14" t="s">
        <v>461</v>
      </c>
      <c r="C41" s="9" t="s">
        <v>73</v>
      </c>
      <c r="D41" s="13" t="s">
        <v>462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45916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463</v>
      </c>
      <c r="AG41" s="1" t="s">
        <v>116</v>
      </c>
      <c r="AH41" s="1" t="s">
        <v>74</v>
      </c>
      <c r="AI41" s="1">
        <v>2</v>
      </c>
      <c r="AJ41" s="3">
        <v>45916</v>
      </c>
      <c r="AK41" s="3">
        <v>0</v>
      </c>
      <c r="AL41" s="3">
        <v>45907</v>
      </c>
      <c r="AM41" s="3">
        <v>45914</v>
      </c>
      <c r="AN41" s="3">
        <v>45915</v>
      </c>
      <c r="AO41" s="3">
        <v>45915</v>
      </c>
      <c r="AP41" s="3">
        <v>45911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45905</v>
      </c>
      <c r="B42" s="14" t="s">
        <v>461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45916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463</v>
      </c>
      <c r="AG42" s="1" t="s">
        <v>116</v>
      </c>
      <c r="AH42" s="1" t="s">
        <v>74</v>
      </c>
      <c r="AI42" s="1">
        <v>2</v>
      </c>
      <c r="AJ42" s="3">
        <v>45916</v>
      </c>
      <c r="AK42" s="3">
        <v>0</v>
      </c>
      <c r="AL42" s="3">
        <v>45907</v>
      </c>
      <c r="AM42" s="3">
        <v>45914</v>
      </c>
      <c r="AN42" s="3">
        <v>45915</v>
      </c>
      <c r="AO42" s="3">
        <v>45915</v>
      </c>
      <c r="AP42" s="3">
        <v>45911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352.51463377777782</v>
      </c>
    </row>
    <row r="43" spans="1:56" ht="27.75" customHeight="1" x14ac:dyDescent="0.45">
      <c r="A43" s="3">
        <v>45905</v>
      </c>
      <c r="B43" s="14" t="s">
        <v>461</v>
      </c>
      <c r="C43" s="9" t="s">
        <v>73</v>
      </c>
      <c r="D43" s="13" t="s">
        <v>386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45916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463</v>
      </c>
      <c r="AG43" s="1" t="s">
        <v>116</v>
      </c>
      <c r="AH43" s="1" t="s">
        <v>74</v>
      </c>
      <c r="AI43" s="1">
        <v>2</v>
      </c>
      <c r="AJ43" s="3">
        <v>45916</v>
      </c>
      <c r="AK43" s="3">
        <v>0</v>
      </c>
      <c r="AL43" s="3">
        <v>45907</v>
      </c>
      <c r="AM43" s="3">
        <v>45914</v>
      </c>
      <c r="AN43" s="3">
        <v>45915</v>
      </c>
      <c r="AO43" s="3">
        <v>45915</v>
      </c>
      <c r="AP43" s="3">
        <v>45911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705.02926755555563</v>
      </c>
    </row>
    <row r="44" spans="1:56" ht="27.75" customHeight="1" x14ac:dyDescent="0.45">
      <c r="A44" s="3">
        <v>45905</v>
      </c>
      <c r="B44" s="14" t="s">
        <v>461</v>
      </c>
      <c r="C44" s="9" t="s">
        <v>73</v>
      </c>
      <c r="D44" s="13" t="s">
        <v>465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45916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463</v>
      </c>
      <c r="AG44" s="1" t="s">
        <v>116</v>
      </c>
      <c r="AH44" s="1" t="s">
        <v>74</v>
      </c>
      <c r="AI44" s="1">
        <v>2</v>
      </c>
      <c r="AJ44" s="3">
        <v>45916</v>
      </c>
      <c r="AK44" s="3">
        <v>0</v>
      </c>
      <c r="AL44" s="3">
        <v>45907</v>
      </c>
      <c r="AM44" s="3">
        <v>45914</v>
      </c>
      <c r="AN44" s="3">
        <v>45915</v>
      </c>
      <c r="AO44" s="3">
        <v>45915</v>
      </c>
      <c r="AP44" s="3">
        <v>45911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45905</v>
      </c>
      <c r="B45" s="14" t="s">
        <v>461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45918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466</v>
      </c>
      <c r="AG45" s="1" t="s">
        <v>116</v>
      </c>
      <c r="AH45" s="1" t="s">
        <v>74</v>
      </c>
      <c r="AI45" s="1">
        <v>2</v>
      </c>
      <c r="AJ45" s="3">
        <v>45918</v>
      </c>
      <c r="AK45" s="3">
        <v>0</v>
      </c>
      <c r="AL45" s="3">
        <v>45909</v>
      </c>
      <c r="AM45" s="3">
        <v>45916</v>
      </c>
      <c r="AN45" s="3">
        <v>45917</v>
      </c>
      <c r="AO45" s="3">
        <v>45917</v>
      </c>
      <c r="AP45" s="3">
        <v>45913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45905</v>
      </c>
      <c r="B46" s="14" t="s">
        <v>461</v>
      </c>
      <c r="C46" s="9" t="s">
        <v>73</v>
      </c>
      <c r="D46" s="13" t="s">
        <v>467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45918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466</v>
      </c>
      <c r="AG46" s="1" t="s">
        <v>61</v>
      </c>
      <c r="AH46" s="1" t="s">
        <v>74</v>
      </c>
      <c r="AI46" s="1">
        <v>2</v>
      </c>
      <c r="AJ46" s="3">
        <v>45918</v>
      </c>
      <c r="AK46" s="3">
        <v>0</v>
      </c>
      <c r="AL46" s="3">
        <v>45909</v>
      </c>
      <c r="AM46" s="3">
        <v>45916</v>
      </c>
      <c r="AN46" s="3">
        <v>45917</v>
      </c>
      <c r="AO46" s="3">
        <v>45917</v>
      </c>
      <c r="AP46" s="3">
        <v>45913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45905</v>
      </c>
      <c r="B47" s="14" t="s">
        <v>461</v>
      </c>
      <c r="C47" s="9" t="s">
        <v>73</v>
      </c>
      <c r="D47" s="13" t="s">
        <v>288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45918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466</v>
      </c>
      <c r="AG47" s="1" t="s">
        <v>115</v>
      </c>
      <c r="AH47" s="1" t="s">
        <v>74</v>
      </c>
      <c r="AI47" s="1">
        <v>2</v>
      </c>
      <c r="AJ47" s="3">
        <v>45918</v>
      </c>
      <c r="AK47" s="3">
        <v>0</v>
      </c>
      <c r="AL47" s="3">
        <v>45909</v>
      </c>
      <c r="AM47" s="3">
        <v>45916</v>
      </c>
      <c r="AN47" s="3">
        <v>45917</v>
      </c>
      <c r="AO47" s="3">
        <v>45917</v>
      </c>
      <c r="AP47" s="3">
        <v>45913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45905</v>
      </c>
      <c r="B48" s="14" t="s">
        <v>461</v>
      </c>
      <c r="C48" s="9" t="s">
        <v>73</v>
      </c>
      <c r="D48" s="13" t="s">
        <v>282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45918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466</v>
      </c>
      <c r="AG48" s="1" t="s">
        <v>115</v>
      </c>
      <c r="AH48" s="1" t="s">
        <v>74</v>
      </c>
      <c r="AI48" s="1">
        <v>2</v>
      </c>
      <c r="AJ48" s="3">
        <v>45918</v>
      </c>
      <c r="AK48" s="3">
        <v>0</v>
      </c>
      <c r="AL48" s="3">
        <v>45909</v>
      </c>
      <c r="AM48" s="3">
        <v>45916</v>
      </c>
      <c r="AN48" s="3">
        <v>45917</v>
      </c>
      <c r="AO48" s="3">
        <v>45917</v>
      </c>
      <c r="AP48" s="3">
        <v>45913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140000</v>
      </c>
      <c r="V49" s="10">
        <v>0</v>
      </c>
      <c r="W49" s="10">
        <v>140000</v>
      </c>
      <c r="X49" s="10">
        <v>0</v>
      </c>
      <c r="Y49" s="10">
        <v>147000</v>
      </c>
      <c r="Z49" s="9" t="s">
        <v>172</v>
      </c>
      <c r="AA49" s="8">
        <v>131038.6</v>
      </c>
      <c r="AB49" s="8">
        <v>0</v>
      </c>
      <c r="AC49" s="8">
        <v>131038.6</v>
      </c>
      <c r="AD49" s="8">
        <v>0</v>
      </c>
      <c r="AE49" s="8">
        <v>0</v>
      </c>
      <c r="AF49" s="8">
        <v>0</v>
      </c>
      <c r="AG49" s="1" t="s">
        <v>116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9870.4097457777771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262077.2</v>
      </c>
      <c r="AB50" s="8">
        <v>59261.500000000007</v>
      </c>
      <c r="AC50" s="8">
        <v>202815.7</v>
      </c>
      <c r="AD50" s="8">
        <v>0</v>
      </c>
      <c r="AE50" s="8">
        <v>0</v>
      </c>
      <c r="AF50" s="8" t="s">
        <v>58</v>
      </c>
      <c r="AG50" s="1" t="s">
        <v>116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45905</v>
      </c>
      <c r="B51" s="14" t="s">
        <v>128</v>
      </c>
      <c r="C51" s="9" t="s">
        <v>139</v>
      </c>
      <c r="D51" s="13" t="s">
        <v>250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112</v>
      </c>
      <c r="AA51" s="8">
        <v>4999.0247999999992</v>
      </c>
      <c r="AB51" s="8">
        <v>2960</v>
      </c>
      <c r="AC51" s="8">
        <v>2039.0247999999992</v>
      </c>
      <c r="AD51" s="8">
        <v>0</v>
      </c>
      <c r="AE51" s="8">
        <v>4999.0247999999992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191</v>
      </c>
      <c r="BD51" s="56">
        <v>172.18431644444436</v>
      </c>
    </row>
    <row r="52" spans="1:56" ht="27.75" customHeight="1" x14ac:dyDescent="0.45">
      <c r="A52" s="3">
        <v>45905</v>
      </c>
      <c r="B52" s="14" t="s">
        <v>128</v>
      </c>
      <c r="C52" s="9" t="s">
        <v>139</v>
      </c>
      <c r="D52" s="13" t="s">
        <v>449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112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422.13987199999991</v>
      </c>
    </row>
    <row r="53" spans="1:56" ht="27.75" customHeight="1" x14ac:dyDescent="0.45">
      <c r="A53" s="3">
        <v>45796</v>
      </c>
      <c r="B53" s="14" t="s">
        <v>255</v>
      </c>
      <c r="C53" s="9" t="s">
        <v>139</v>
      </c>
      <c r="D53" s="13" t="s">
        <v>250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503</v>
      </c>
      <c r="V53" s="10">
        <v>0</v>
      </c>
      <c r="W53" s="10">
        <v>503</v>
      </c>
      <c r="X53" s="10">
        <v>5250</v>
      </c>
      <c r="Y53" s="10">
        <v>0</v>
      </c>
      <c r="Z53" s="9" t="s">
        <v>112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191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112</v>
      </c>
      <c r="AA54" s="8">
        <v>9998.0495999999985</v>
      </c>
      <c r="AB54" s="8">
        <v>2960</v>
      </c>
      <c r="AC54" s="8">
        <v>7038.0495999999985</v>
      </c>
      <c r="AD54" s="8">
        <v>0</v>
      </c>
      <c r="AE54" s="8">
        <v>9998.0495999999985</v>
      </c>
      <c r="AF54" s="8" t="s">
        <v>58</v>
      </c>
      <c r="AG54" s="1" t="s">
        <v>115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192</v>
      </c>
      <c r="BD54" s="56">
        <v>0</v>
      </c>
    </row>
    <row r="55" spans="1:56" ht="27.75" customHeight="1" x14ac:dyDescent="0.45">
      <c r="A55" s="3">
        <v>45877</v>
      </c>
      <c r="B55" s="14" t="s">
        <v>318</v>
      </c>
      <c r="C55" s="9" t="s">
        <v>79</v>
      </c>
      <c r="D55" s="13" t="s">
        <v>319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45906</v>
      </c>
      <c r="U55" s="11">
        <v>3000</v>
      </c>
      <c r="V55" s="10">
        <v>3000</v>
      </c>
      <c r="W55" s="10">
        <v>0</v>
      </c>
      <c r="X55" s="10">
        <v>3300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45906</v>
      </c>
      <c r="AK55" s="3">
        <v>45902</v>
      </c>
      <c r="AL55" s="3">
        <v>45895</v>
      </c>
      <c r="AM55" s="3">
        <v>45903</v>
      </c>
      <c r="AN55" s="3">
        <v>45904</v>
      </c>
      <c r="AO55" s="3">
        <v>45905</v>
      </c>
      <c r="AP55" s="3">
        <v>45901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45906</v>
      </c>
      <c r="U56" s="11">
        <v>3000</v>
      </c>
      <c r="V56" s="10">
        <v>3000</v>
      </c>
      <c r="W56" s="10">
        <v>0</v>
      </c>
      <c r="X56" s="10">
        <v>3300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45906</v>
      </c>
      <c r="AK56" s="3">
        <v>45902</v>
      </c>
      <c r="AL56" s="3">
        <v>45895</v>
      </c>
      <c r="AM56" s="3">
        <v>45903</v>
      </c>
      <c r="AN56" s="3">
        <v>45904</v>
      </c>
      <c r="AO56" s="3">
        <v>45905</v>
      </c>
      <c r="AP56" s="3">
        <v>45901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427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128</v>
      </c>
      <c r="C57" s="9" t="s">
        <v>139</v>
      </c>
      <c r="D57" s="13" t="s">
        <v>451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45919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5280.6600000000008</v>
      </c>
      <c r="AB57" s="8">
        <v>0</v>
      </c>
      <c r="AC57" s="8">
        <v>5280.6600000000008</v>
      </c>
      <c r="AD57" s="8">
        <v>0</v>
      </c>
      <c r="AE57" s="8">
        <v>5280.6600000000008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45919</v>
      </c>
      <c r="AK57" s="3">
        <v>45915</v>
      </c>
      <c r="AL57" s="3">
        <v>45908</v>
      </c>
      <c r="AM57" s="3">
        <v>45916</v>
      </c>
      <c r="AN57" s="3">
        <v>45917</v>
      </c>
      <c r="AO57" s="3">
        <v>45918</v>
      </c>
      <c r="AP57" s="3">
        <v>45914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398.98320000000001</v>
      </c>
    </row>
    <row r="58" spans="1:56" ht="27.75" customHeight="1" x14ac:dyDescent="0.45">
      <c r="A58" s="3">
        <v>45905</v>
      </c>
      <c r="B58" s="14" t="s">
        <v>128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10477.5</v>
      </c>
      <c r="AB58" s="8">
        <v>0</v>
      </c>
      <c r="AC58" s="8">
        <v>10477.5</v>
      </c>
      <c r="AD58" s="8">
        <v>0</v>
      </c>
      <c r="AE58" s="8">
        <v>10477.5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791.63333333333321</v>
      </c>
    </row>
    <row r="59" spans="1:56" ht="27.75" customHeight="1" x14ac:dyDescent="0.45">
      <c r="A59" s="3">
        <v>45905</v>
      </c>
      <c r="B59" s="14" t="s">
        <v>128</v>
      </c>
      <c r="C59" s="9" t="s">
        <v>139</v>
      </c>
      <c r="D59" s="13" t="s">
        <v>452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0</v>
      </c>
      <c r="AC59" s="8">
        <v>5280.6600000000008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398.98320000000001</v>
      </c>
    </row>
    <row r="60" spans="1:56" ht="27.75" customHeight="1" x14ac:dyDescent="0.45">
      <c r="A60" s="3">
        <v>45905</v>
      </c>
      <c r="B60" s="14" t="s">
        <v>128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80</v>
      </c>
      <c r="AA60" s="8">
        <v>5280.6600000000008</v>
      </c>
      <c r="AB60" s="8">
        <v>0</v>
      </c>
      <c r="AC60" s="8">
        <v>5280.6600000000008</v>
      </c>
      <c r="AD60" s="8">
        <v>0</v>
      </c>
      <c r="AE60" s="8">
        <v>5280.6600000000008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398.98320000000001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45915</v>
      </c>
      <c r="U61" s="11">
        <v>366</v>
      </c>
      <c r="V61" s="10">
        <v>0</v>
      </c>
      <c r="W61" s="10">
        <v>366</v>
      </c>
      <c r="X61" s="10">
        <v>0</v>
      </c>
      <c r="Y61" s="10">
        <v>384.3</v>
      </c>
      <c r="Z61" s="9" t="s">
        <v>80</v>
      </c>
      <c r="AA61" s="8">
        <v>383.47650000000004</v>
      </c>
      <c r="AB61" s="8">
        <v>0</v>
      </c>
      <c r="AC61" s="8">
        <v>383.47650000000004</v>
      </c>
      <c r="AD61" s="8">
        <v>0</v>
      </c>
      <c r="AE61" s="8">
        <v>383.47650000000004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45915</v>
      </c>
      <c r="AK61" s="3">
        <v>45911</v>
      </c>
      <c r="AL61" s="3">
        <v>45904</v>
      </c>
      <c r="AM61" s="3">
        <v>45912</v>
      </c>
      <c r="AN61" s="3">
        <v>45913</v>
      </c>
      <c r="AO61" s="3">
        <v>45914</v>
      </c>
      <c r="AP61" s="3">
        <v>45910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28.973779999999994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4473</v>
      </c>
      <c r="W64" s="10">
        <v>527</v>
      </c>
      <c r="X64" s="10">
        <v>5200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438</v>
      </c>
      <c r="C65" s="9" t="s">
        <v>267</v>
      </c>
      <c r="D65" s="13" t="s">
        <v>428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45906</v>
      </c>
      <c r="U65" s="11">
        <v>10000</v>
      </c>
      <c r="V65" s="10">
        <v>5000</v>
      </c>
      <c r="W65" s="10">
        <v>5000</v>
      </c>
      <c r="X65" s="10">
        <v>10908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45906</v>
      </c>
      <c r="AK65" s="3">
        <v>45902</v>
      </c>
      <c r="AL65" s="3">
        <v>45895</v>
      </c>
      <c r="AM65" s="3">
        <v>45903</v>
      </c>
      <c r="AN65" s="3">
        <v>45904</v>
      </c>
      <c r="AO65" s="3">
        <v>45905</v>
      </c>
      <c r="AP65" s="3">
        <v>45901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45902</v>
      </c>
      <c r="B66" s="14" t="s">
        <v>439</v>
      </c>
      <c r="C66" s="9" t="s">
        <v>267</v>
      </c>
      <c r="D66" s="13" t="s">
        <v>429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45906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10756.900000000001</v>
      </c>
      <c r="AB66" s="8">
        <v>10756.900000000001</v>
      </c>
      <c r="AC66" s="8">
        <v>0</v>
      </c>
      <c r="AD66" s="8">
        <v>10756.900000000001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45906</v>
      </c>
      <c r="AK66" s="3">
        <v>45902</v>
      </c>
      <c r="AL66" s="3">
        <v>45895</v>
      </c>
      <c r="AM66" s="3">
        <v>45903</v>
      </c>
      <c r="AN66" s="3">
        <v>45904</v>
      </c>
      <c r="AO66" s="3">
        <v>45905</v>
      </c>
      <c r="AP66" s="3">
        <v>45901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45902</v>
      </c>
      <c r="B67" s="14" t="s">
        <v>438</v>
      </c>
      <c r="C67" s="9" t="s">
        <v>267</v>
      </c>
      <c r="D67" s="13" t="s">
        <v>428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80</v>
      </c>
      <c r="AA67" s="8">
        <v>21513.800000000003</v>
      </c>
      <c r="AB67" s="8">
        <v>21513.800000000003</v>
      </c>
      <c r="AC67" s="8">
        <v>0</v>
      </c>
      <c r="AD67" s="8">
        <v>0</v>
      </c>
      <c r="AE67" s="8">
        <v>21513.800000000003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45902</v>
      </c>
      <c r="B68" s="14" t="s">
        <v>439</v>
      </c>
      <c r="C68" s="9" t="s">
        <v>267</v>
      </c>
      <c r="D68" s="13" t="s">
        <v>429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21513.800000000003</v>
      </c>
      <c r="AB68" s="8">
        <v>21513.800000000003</v>
      </c>
      <c r="AC68" s="8">
        <v>0</v>
      </c>
      <c r="AD68" s="8">
        <v>0</v>
      </c>
      <c r="AE68" s="8">
        <v>21513.800000000003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45902</v>
      </c>
      <c r="B69" s="14" t="s">
        <v>438</v>
      </c>
      <c r="C69" s="9" t="s">
        <v>267</v>
      </c>
      <c r="D69" s="13" t="s">
        <v>430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21513.800000000003</v>
      </c>
      <c r="AC69" s="8">
        <v>0</v>
      </c>
      <c r="AD69" s="8">
        <v>0</v>
      </c>
      <c r="AE69" s="8">
        <v>21513.800000000003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438</v>
      </c>
      <c r="C70" s="9" t="s">
        <v>267</v>
      </c>
      <c r="D70" s="13" t="s">
        <v>431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10756.900000000001</v>
      </c>
      <c r="AB70" s="8">
        <v>10756.900000000001</v>
      </c>
      <c r="AC70" s="8">
        <v>0</v>
      </c>
      <c r="AD70" s="8">
        <v>0</v>
      </c>
      <c r="AE70" s="8">
        <v>10756.900000000001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45902</v>
      </c>
      <c r="B71" s="14" t="s">
        <v>439</v>
      </c>
      <c r="C71" s="9" t="s">
        <v>267</v>
      </c>
      <c r="D71" s="13" t="s">
        <v>432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10756.900000000001</v>
      </c>
      <c r="AB71" s="8">
        <v>10756.900000000001</v>
      </c>
      <c r="AC71" s="8">
        <v>0</v>
      </c>
      <c r="AD71" s="8">
        <v>0</v>
      </c>
      <c r="AE71" s="8">
        <v>10756.900000000001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45902</v>
      </c>
      <c r="B72" s="14" t="s">
        <v>440</v>
      </c>
      <c r="C72" s="9" t="s">
        <v>267</v>
      </c>
      <c r="D72" s="13" t="s">
        <v>433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10756.900000000001</v>
      </c>
      <c r="AB72" s="8">
        <v>5732</v>
      </c>
      <c r="AC72" s="8">
        <v>5024.9000000000015</v>
      </c>
      <c r="AD72" s="8">
        <v>0</v>
      </c>
      <c r="AE72" s="8">
        <v>10756.900000000001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379.6591111111112</v>
      </c>
    </row>
    <row r="73" spans="1:56" ht="27.75" customHeight="1" x14ac:dyDescent="0.45">
      <c r="A73" s="3">
        <v>45902</v>
      </c>
      <c r="B73" s="14" t="s">
        <v>440</v>
      </c>
      <c r="C73" s="9" t="s">
        <v>267</v>
      </c>
      <c r="D73" s="13" t="s">
        <v>434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45930</v>
      </c>
      <c r="AK73" s="3">
        <v>45926</v>
      </c>
      <c r="AL73" s="3">
        <v>45919</v>
      </c>
      <c r="AM73" s="3">
        <v>45927</v>
      </c>
      <c r="AN73" s="3">
        <v>45928</v>
      </c>
      <c r="AO73" s="3">
        <v>45929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406.37177777777782</v>
      </c>
    </row>
    <row r="74" spans="1:56" ht="27.75" customHeight="1" x14ac:dyDescent="0.45">
      <c r="A74" s="3">
        <v>45902</v>
      </c>
      <c r="B74" s="14" t="s">
        <v>440</v>
      </c>
      <c r="C74" s="9" t="s">
        <v>267</v>
      </c>
      <c r="D74" s="13" t="s">
        <v>435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406.37177777777782</v>
      </c>
    </row>
    <row r="75" spans="1:56" ht="27.75" customHeight="1" x14ac:dyDescent="0.45">
      <c r="A75" s="3">
        <v>45873</v>
      </c>
      <c r="B75" s="14" t="s">
        <v>308</v>
      </c>
      <c r="C75" s="9" t="s">
        <v>107</v>
      </c>
      <c r="D75" s="13" t="s">
        <v>309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45922</v>
      </c>
      <c r="U75" s="11">
        <v>4000</v>
      </c>
      <c r="V75" s="10">
        <v>0</v>
      </c>
      <c r="W75" s="10">
        <v>4000</v>
      </c>
      <c r="X75" s="10">
        <v>4130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307</v>
      </c>
      <c r="AG75" s="1" t="s">
        <v>116</v>
      </c>
      <c r="AH75" s="1" t="s">
        <v>75</v>
      </c>
      <c r="AI75" s="1">
        <v>4</v>
      </c>
      <c r="AJ75" s="3">
        <v>45922</v>
      </c>
      <c r="AK75" s="3">
        <v>45918</v>
      </c>
      <c r="AL75" s="3">
        <v>45911</v>
      </c>
      <c r="AM75" s="3">
        <v>45919</v>
      </c>
      <c r="AN75" s="3">
        <v>45920</v>
      </c>
      <c r="AO75" s="3">
        <v>45921</v>
      </c>
      <c r="AP75" s="3">
        <v>45917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45892</v>
      </c>
      <c r="B76" s="14" t="s">
        <v>363</v>
      </c>
      <c r="C76" s="9" t="s">
        <v>79</v>
      </c>
      <c r="D76" s="13" t="s">
        <v>364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3227.07</v>
      </c>
      <c r="AB76" s="8">
        <v>3227.07</v>
      </c>
      <c r="AC76" s="8">
        <v>0</v>
      </c>
      <c r="AD76" s="8">
        <v>3227.07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45891</v>
      </c>
      <c r="B77" s="14" t="s">
        <v>389</v>
      </c>
      <c r="C77" s="9" t="s">
        <v>79</v>
      </c>
      <c r="D77" s="13" t="s">
        <v>390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0</v>
      </c>
      <c r="W77" s="10">
        <v>9000</v>
      </c>
      <c r="X77" s="10">
        <v>0</v>
      </c>
      <c r="Y77" s="10">
        <v>9450</v>
      </c>
      <c r="Z77" s="9" t="s">
        <v>80</v>
      </c>
      <c r="AA77" s="8">
        <v>9932.67</v>
      </c>
      <c r="AB77" s="8">
        <v>0</v>
      </c>
      <c r="AC77" s="8">
        <v>9932.67</v>
      </c>
      <c r="AD77" s="8">
        <v>0</v>
      </c>
      <c r="AE77" s="8">
        <v>9932.67</v>
      </c>
      <c r="AF77" s="8">
        <v>0</v>
      </c>
      <c r="AG77" s="1" t="s">
        <v>61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750.46839999999997</v>
      </c>
    </row>
    <row r="78" spans="1:56" ht="27.75" customHeight="1" x14ac:dyDescent="0.45">
      <c r="A78" s="3">
        <v>45891</v>
      </c>
      <c r="B78" s="14" t="s">
        <v>391</v>
      </c>
      <c r="C78" s="9" t="s">
        <v>79</v>
      </c>
      <c r="D78" s="13" t="s">
        <v>392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61</v>
      </c>
      <c r="AH78" s="1" t="s">
        <v>75</v>
      </c>
      <c r="AI78" s="1">
        <v>5</v>
      </c>
      <c r="AJ78" s="3">
        <v>45930</v>
      </c>
      <c r="AK78" s="3">
        <v>45925</v>
      </c>
      <c r="AL78" s="3">
        <v>45918</v>
      </c>
      <c r="AM78" s="3">
        <v>45926</v>
      </c>
      <c r="AN78" s="3">
        <v>45927</v>
      </c>
      <c r="AO78" s="3">
        <v>45928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333.54151111111111</v>
      </c>
    </row>
    <row r="79" spans="1:56" ht="27.75" customHeight="1" x14ac:dyDescent="0.45">
      <c r="A79" s="3">
        <v>45891</v>
      </c>
      <c r="B79" s="14" t="s">
        <v>393</v>
      </c>
      <c r="C79" s="9" t="s">
        <v>79</v>
      </c>
      <c r="D79" s="13" t="s">
        <v>394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45930</v>
      </c>
      <c r="U79" s="11">
        <v>9000</v>
      </c>
      <c r="V79" s="10">
        <v>0</v>
      </c>
      <c r="W79" s="10">
        <v>9000</v>
      </c>
      <c r="X79" s="10">
        <v>0</v>
      </c>
      <c r="Y79" s="10">
        <v>9450</v>
      </c>
      <c r="Z79" s="9" t="s">
        <v>80</v>
      </c>
      <c r="AA79" s="8">
        <v>9932.67</v>
      </c>
      <c r="AB79" s="8">
        <v>0</v>
      </c>
      <c r="AC79" s="8">
        <v>9932.67</v>
      </c>
      <c r="AD79" s="8">
        <v>0</v>
      </c>
      <c r="AE79" s="8">
        <v>9932.67</v>
      </c>
      <c r="AF79" s="8">
        <v>0</v>
      </c>
      <c r="AG79" s="1" t="s">
        <v>61</v>
      </c>
      <c r="AH79" s="1" t="s">
        <v>75</v>
      </c>
      <c r="AI79" s="1">
        <v>5</v>
      </c>
      <c r="AJ79" s="3">
        <v>45930</v>
      </c>
      <c r="AK79" s="3">
        <v>45925</v>
      </c>
      <c r="AL79" s="3">
        <v>45918</v>
      </c>
      <c r="AM79" s="3">
        <v>45926</v>
      </c>
      <c r="AN79" s="3">
        <v>45927</v>
      </c>
      <c r="AO79" s="3">
        <v>45928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750.46839999999997</v>
      </c>
    </row>
    <row r="80" spans="1:56" ht="27.75" customHeight="1" x14ac:dyDescent="0.45">
      <c r="A80" s="3" t="s">
        <v>135</v>
      </c>
      <c r="B80" s="14" t="s">
        <v>135</v>
      </c>
      <c r="C80" s="9" t="s">
        <v>139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45930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0</v>
      </c>
      <c r="AC80" s="8">
        <v>104775.00000000001</v>
      </c>
      <c r="AD80" s="8">
        <v>0</v>
      </c>
      <c r="AE80" s="8">
        <v>104775.00000000001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7916.333333333333</v>
      </c>
    </row>
    <row r="81" spans="1:56" ht="27.75" customHeight="1" x14ac:dyDescent="0.45">
      <c r="A81" s="3" t="s">
        <v>135</v>
      </c>
      <c r="B81" s="14" t="s">
        <v>135</v>
      </c>
      <c r="C81" s="9" t="s">
        <v>79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1667.7075555555555</v>
      </c>
    </row>
    <row r="82" spans="1:56" ht="27.75" customHeight="1" x14ac:dyDescent="0.45">
      <c r="A82" s="3" t="s">
        <v>135</v>
      </c>
      <c r="B82" s="14" t="s">
        <v>135</v>
      </c>
      <c r="C82" s="9" t="s">
        <v>97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45930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21513.800000000003</v>
      </c>
      <c r="AB82" s="8">
        <v>0</v>
      </c>
      <c r="AC82" s="8">
        <v>21513.800000000003</v>
      </c>
      <c r="AD82" s="8">
        <v>0</v>
      </c>
      <c r="AE82" s="8">
        <v>21513.800000000003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45930</v>
      </c>
      <c r="AK82" s="3">
        <v>45926</v>
      </c>
      <c r="AL82" s="3">
        <v>45919</v>
      </c>
      <c r="AM82" s="3">
        <v>45927</v>
      </c>
      <c r="AN82" s="3">
        <v>45928</v>
      </c>
      <c r="AO82" s="3">
        <v>45929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1625.4871111111113</v>
      </c>
    </row>
    <row r="83" spans="1:56" ht="27.75" customHeight="1" x14ac:dyDescent="0.45">
      <c r="A83" s="3">
        <v>45887</v>
      </c>
      <c r="B83" s="14" t="s">
        <v>345</v>
      </c>
      <c r="C83" s="9" t="s">
        <v>139</v>
      </c>
      <c r="D83" s="13" t="s">
        <v>224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104</v>
      </c>
      <c r="V83" s="10">
        <v>0</v>
      </c>
      <c r="W83" s="10">
        <v>104</v>
      </c>
      <c r="X83" s="10">
        <v>11230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45896</v>
      </c>
      <c r="B84" s="14" t="s">
        <v>395</v>
      </c>
      <c r="C84" s="9" t="s">
        <v>79</v>
      </c>
      <c r="D84" s="13" t="s">
        <v>310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115</v>
      </c>
      <c r="AH84" s="1" t="s">
        <v>75</v>
      </c>
      <c r="AI84" s="1">
        <v>5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250.15613333333337</v>
      </c>
    </row>
    <row r="85" spans="1:56" ht="27.75" customHeight="1" x14ac:dyDescent="0.45">
      <c r="A85" s="3">
        <v>45896</v>
      </c>
      <c r="B85" s="14" t="s">
        <v>396</v>
      </c>
      <c r="C85" s="9" t="s">
        <v>79</v>
      </c>
      <c r="D85" s="13" t="s">
        <v>397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115</v>
      </c>
      <c r="AH85" s="1" t="s">
        <v>75</v>
      </c>
      <c r="AI85" s="1">
        <v>5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667.08302222222221</v>
      </c>
    </row>
    <row r="86" spans="1:56" ht="27.75" customHeight="1" x14ac:dyDescent="0.45">
      <c r="A86" s="3">
        <v>45892</v>
      </c>
      <c r="B86" s="14" t="s">
        <v>365</v>
      </c>
      <c r="C86" s="9" t="s">
        <v>79</v>
      </c>
      <c r="D86" s="13" t="s">
        <v>220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116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500.31226666666674</v>
      </c>
    </row>
    <row r="87" spans="1:56" ht="27.75" customHeight="1" x14ac:dyDescent="0.45">
      <c r="A87" s="3">
        <v>45796</v>
      </c>
      <c r="B87" s="14" t="s">
        <v>258</v>
      </c>
      <c r="C87" s="9" t="s">
        <v>139</v>
      </c>
      <c r="D87" s="13" t="s">
        <v>145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240</v>
      </c>
      <c r="V87" s="10">
        <v>0</v>
      </c>
      <c r="W87" s="10">
        <v>240</v>
      </c>
      <c r="X87" s="10">
        <v>0</v>
      </c>
      <c r="Y87" s="10">
        <v>252</v>
      </c>
      <c r="Z87" s="9" t="s">
        <v>80</v>
      </c>
      <c r="AA87" s="8">
        <v>251.46</v>
      </c>
      <c r="AB87" s="8">
        <v>0</v>
      </c>
      <c r="AC87" s="8">
        <v>251.46</v>
      </c>
      <c r="AD87" s="8">
        <v>0</v>
      </c>
      <c r="AE87" s="8">
        <v>251.46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254</v>
      </c>
      <c r="AZ87" s="2">
        <v>0</v>
      </c>
      <c r="BA87" s="2">
        <v>0</v>
      </c>
      <c r="BB87" s="2">
        <v>0</v>
      </c>
      <c r="BC87" s="1" t="s">
        <v>104</v>
      </c>
      <c r="BD87" s="56">
        <v>18.999199999999998</v>
      </c>
    </row>
    <row r="88" spans="1:56" ht="27.75" customHeight="1" x14ac:dyDescent="0.45">
      <c r="A88" s="3">
        <v>45876</v>
      </c>
      <c r="B88" s="14" t="s">
        <v>328</v>
      </c>
      <c r="C88" s="9" t="s">
        <v>107</v>
      </c>
      <c r="D88" s="13" t="s">
        <v>314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45877</v>
      </c>
      <c r="B89" s="14" t="s">
        <v>318</v>
      </c>
      <c r="C89" s="9" t="s">
        <v>79</v>
      </c>
      <c r="D89" s="13" t="s">
        <v>319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7000</v>
      </c>
      <c r="V89" s="10">
        <v>0</v>
      </c>
      <c r="W89" s="10">
        <v>7000</v>
      </c>
      <c r="X89" s="10">
        <v>0</v>
      </c>
      <c r="Y89" s="10">
        <v>7350</v>
      </c>
      <c r="Z89" s="9" t="s">
        <v>80</v>
      </c>
      <c r="AA89" s="8">
        <v>7725.41</v>
      </c>
      <c r="AB89" s="8">
        <v>0</v>
      </c>
      <c r="AC89" s="8">
        <v>7725.41</v>
      </c>
      <c r="AD89" s="8">
        <v>0</v>
      </c>
      <c r="AE89" s="8">
        <v>7725.41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583.69764444444445</v>
      </c>
    </row>
    <row r="90" spans="1:56" ht="27.75" customHeight="1" x14ac:dyDescent="0.45">
      <c r="A90" s="3" t="s">
        <v>135</v>
      </c>
      <c r="B90" s="14" t="s">
        <v>135</v>
      </c>
      <c r="C90" s="9" t="s">
        <v>270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8338.5377777777776</v>
      </c>
    </row>
    <row r="91" spans="1:56" ht="27.75" customHeight="1" x14ac:dyDescent="0.45">
      <c r="A91" s="3">
        <v>45825</v>
      </c>
      <c r="B91" s="14" t="s">
        <v>269</v>
      </c>
      <c r="C91" s="9" t="s">
        <v>139</v>
      </c>
      <c r="D91" s="13" t="s">
        <v>239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246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894</v>
      </c>
      <c r="V91" s="10">
        <v>525</v>
      </c>
      <c r="W91" s="10">
        <v>369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45796</v>
      </c>
      <c r="B92" s="14" t="s">
        <v>257</v>
      </c>
      <c r="C92" s="9" t="s">
        <v>139</v>
      </c>
      <c r="D92" s="13" t="s">
        <v>253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302</v>
      </c>
      <c r="V92" s="10">
        <v>0</v>
      </c>
      <c r="W92" s="10">
        <v>302</v>
      </c>
      <c r="X92" s="10">
        <v>5300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45782</v>
      </c>
      <c r="B93" s="14" t="s">
        <v>249</v>
      </c>
      <c r="C93" s="9" t="s">
        <v>79</v>
      </c>
      <c r="D93" s="13" t="s">
        <v>243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134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416.92688888888887</v>
      </c>
    </row>
    <row r="94" spans="1:56" ht="27.75" customHeight="1" x14ac:dyDescent="0.45">
      <c r="A94" s="3">
        <v>45798</v>
      </c>
      <c r="B94" s="14" t="s">
        <v>263</v>
      </c>
      <c r="C94" s="9" t="s">
        <v>107</v>
      </c>
      <c r="D94" s="13" t="s">
        <v>261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134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416.92688888888887</v>
      </c>
    </row>
    <row r="95" spans="1:56" ht="27.75" customHeight="1" x14ac:dyDescent="0.45">
      <c r="A95" s="3">
        <v>45674</v>
      </c>
      <c r="B95" s="14" t="s">
        <v>226</v>
      </c>
      <c r="C95" s="9" t="s">
        <v>139</v>
      </c>
      <c r="D95" s="13" t="s">
        <v>225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196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152</v>
      </c>
      <c r="V95" s="10">
        <v>0</v>
      </c>
      <c r="W95" s="10">
        <v>152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5987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235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45611</v>
      </c>
      <c r="B96" s="14" t="s">
        <v>195</v>
      </c>
      <c r="C96" s="9" t="s">
        <v>139</v>
      </c>
      <c r="D96" s="13" t="s">
        <v>194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117</v>
      </c>
      <c r="V96" s="10">
        <v>0</v>
      </c>
      <c r="W96" s="10">
        <v>117</v>
      </c>
      <c r="X96" s="10">
        <v>10065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45523</v>
      </c>
      <c r="B97" s="14" t="s">
        <v>178</v>
      </c>
      <c r="C97" s="9" t="s">
        <v>139</v>
      </c>
      <c r="D97" s="13" t="s">
        <v>176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45523</v>
      </c>
      <c r="B98" s="14" t="s">
        <v>178</v>
      </c>
      <c r="C98" s="9" t="s">
        <v>139</v>
      </c>
      <c r="D98" s="13" t="s">
        <v>177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45799</v>
      </c>
      <c r="B99" s="14" t="s">
        <v>264</v>
      </c>
      <c r="C99" s="9" t="s">
        <v>259</v>
      </c>
      <c r="D99" s="13" t="s">
        <v>260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132</v>
      </c>
      <c r="U99" s="11">
        <v>4000</v>
      </c>
      <c r="V99" s="10">
        <v>2840</v>
      </c>
      <c r="W99" s="10">
        <v>1160</v>
      </c>
      <c r="X99" s="10">
        <v>8450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45799</v>
      </c>
      <c r="B100" s="14" t="s">
        <v>264</v>
      </c>
      <c r="C100" s="9" t="s">
        <v>259</v>
      </c>
      <c r="D100" s="13" t="s">
        <v>358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132</v>
      </c>
      <c r="U100" s="11">
        <v>4000</v>
      </c>
      <c r="V100" s="10">
        <v>2654</v>
      </c>
      <c r="W100" s="10">
        <v>1346</v>
      </c>
      <c r="X100" s="10">
        <v>4000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45741</v>
      </c>
      <c r="B101" s="14" t="s">
        <v>242</v>
      </c>
      <c r="C101" s="9" t="s">
        <v>107</v>
      </c>
      <c r="D101" s="13" t="s">
        <v>241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4000</v>
      </c>
      <c r="V101" s="10">
        <v>3867</v>
      </c>
      <c r="W101" s="10">
        <v>133</v>
      </c>
      <c r="X101" s="10">
        <v>4200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244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45720</v>
      </c>
      <c r="B102" s="14" t="s">
        <v>128</v>
      </c>
      <c r="C102" s="9" t="s">
        <v>107</v>
      </c>
      <c r="D102" s="13" t="s">
        <v>209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4000</v>
      </c>
      <c r="V102" s="10">
        <v>4010</v>
      </c>
      <c r="W102" s="10">
        <v>0</v>
      </c>
      <c r="X102" s="10">
        <v>4470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45720</v>
      </c>
      <c r="B103" s="14" t="s">
        <v>128</v>
      </c>
      <c r="C103" s="9" t="s">
        <v>107</v>
      </c>
      <c r="D103" s="13" t="s">
        <v>219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3065</v>
      </c>
      <c r="W103" s="10">
        <v>0</v>
      </c>
      <c r="X103" s="10">
        <v>3300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45541</v>
      </c>
      <c r="B104" s="14" t="s">
        <v>182</v>
      </c>
      <c r="C104" s="9" t="s">
        <v>107</v>
      </c>
      <c r="D104" s="13" t="s">
        <v>183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132</v>
      </c>
      <c r="U104" s="11">
        <v>3000</v>
      </c>
      <c r="V104" s="10">
        <v>3318</v>
      </c>
      <c r="W104" s="10">
        <v>0</v>
      </c>
      <c r="X104" s="10">
        <v>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184</v>
      </c>
      <c r="AG104" s="1" t="s">
        <v>61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 t="s">
        <v>222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45581</v>
      </c>
      <c r="B105" s="14" t="s">
        <v>187</v>
      </c>
      <c r="C105" s="9" t="s">
        <v>107</v>
      </c>
      <c r="D105" s="13" t="s">
        <v>188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132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132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80</v>
      </c>
      <c r="AA106" s="8">
        <v>469035.06650000007</v>
      </c>
      <c r="AB106" s="8">
        <v>105771.17000000001</v>
      </c>
      <c r="AC106" s="8">
        <v>363263.89650000009</v>
      </c>
      <c r="AD106" s="8">
        <v>13983.970000000001</v>
      </c>
      <c r="AE106" s="8">
        <v>455051.09650000004</v>
      </c>
      <c r="AF106" s="8" t="s">
        <v>58</v>
      </c>
      <c r="AG106" s="1" t="s">
        <v>115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 t="s">
        <v>135</v>
      </c>
      <c r="B107" s="14" t="s">
        <v>135</v>
      </c>
      <c r="C107" s="9" t="s">
        <v>270</v>
      </c>
      <c r="D107" s="13" t="s">
        <v>61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100000</v>
      </c>
      <c r="V107" s="10">
        <v>0</v>
      </c>
      <c r="W107" s="10">
        <v>100000</v>
      </c>
      <c r="X107" s="10">
        <v>0</v>
      </c>
      <c r="Y107" s="10">
        <v>105000</v>
      </c>
      <c r="Z107" s="9" t="s">
        <v>271</v>
      </c>
      <c r="AA107" s="8">
        <v>113157.00000000001</v>
      </c>
      <c r="AB107" s="8">
        <v>88878</v>
      </c>
      <c r="AC107" s="8">
        <v>24279.000000000015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74</v>
      </c>
      <c r="AI107" s="1">
        <v>2</v>
      </c>
      <c r="AJ107" s="3" t="s">
        <v>63</v>
      </c>
      <c r="AK107" s="3">
        <v>0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272</v>
      </c>
      <c r="BD107" s="56">
        <v>1912.6456666666681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82</v>
      </c>
      <c r="J108" s="9" t="s">
        <v>78</v>
      </c>
      <c r="K108" s="9">
        <v>2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271</v>
      </c>
      <c r="AA108" s="8">
        <v>113157.00000000001</v>
      </c>
      <c r="AB108" s="8">
        <v>88878</v>
      </c>
      <c r="AC108" s="8">
        <v>24279.000000000015</v>
      </c>
      <c r="AD108" s="8">
        <v>0</v>
      </c>
      <c r="AE108" s="8">
        <v>0</v>
      </c>
      <c r="AF108" s="8" t="s">
        <v>58</v>
      </c>
      <c r="AG108" s="1" t="s">
        <v>115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273</v>
      </c>
      <c r="BD108" s="56">
        <v>0</v>
      </c>
    </row>
    <row r="109" spans="1:56" ht="27.75" customHeight="1" x14ac:dyDescent="0.45">
      <c r="A109" s="3">
        <v>45896</v>
      </c>
      <c r="B109" s="14" t="s">
        <v>409</v>
      </c>
      <c r="C109" s="9" t="s">
        <v>73</v>
      </c>
      <c r="D109" s="13" t="s">
        <v>398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141</v>
      </c>
      <c r="T109" s="12">
        <v>45906</v>
      </c>
      <c r="U109" s="11">
        <v>5000</v>
      </c>
      <c r="V109" s="10">
        <v>5000</v>
      </c>
      <c r="W109" s="10">
        <v>0</v>
      </c>
      <c r="X109" s="10">
        <v>5470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74</v>
      </c>
      <c r="AI109" s="1">
        <v>2</v>
      </c>
      <c r="AJ109" s="3">
        <v>45906</v>
      </c>
      <c r="AK109" s="3">
        <v>0</v>
      </c>
      <c r="AL109" s="3">
        <v>45897</v>
      </c>
      <c r="AM109" s="3">
        <v>45904</v>
      </c>
      <c r="AN109" s="3">
        <v>45905</v>
      </c>
      <c r="AO109" s="3">
        <v>45905</v>
      </c>
      <c r="AP109" s="3">
        <v>45901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45896</v>
      </c>
      <c r="B110" s="14" t="s">
        <v>409</v>
      </c>
      <c r="C110" s="9" t="s">
        <v>73</v>
      </c>
      <c r="D110" s="13" t="s">
        <v>399</v>
      </c>
      <c r="E110" s="9">
        <v>20</v>
      </c>
      <c r="F110" s="9">
        <v>32</v>
      </c>
      <c r="G110" s="9" t="s">
        <v>60</v>
      </c>
      <c r="H110" s="9">
        <v>0</v>
      </c>
      <c r="I110" s="9">
        <v>72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141</v>
      </c>
      <c r="T110" s="12">
        <v>45906</v>
      </c>
      <c r="U110" s="11">
        <v>5000</v>
      </c>
      <c r="V110" s="10">
        <v>5000</v>
      </c>
      <c r="W110" s="10">
        <v>0</v>
      </c>
      <c r="X110" s="10">
        <v>5400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74</v>
      </c>
      <c r="AI110" s="1">
        <v>2</v>
      </c>
      <c r="AJ110" s="3">
        <v>45906</v>
      </c>
      <c r="AK110" s="3">
        <v>0</v>
      </c>
      <c r="AL110" s="3">
        <v>45897</v>
      </c>
      <c r="AM110" s="3">
        <v>45904</v>
      </c>
      <c r="AN110" s="3">
        <v>45905</v>
      </c>
      <c r="AO110" s="3">
        <v>45905</v>
      </c>
      <c r="AP110" s="3">
        <v>45901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45892</v>
      </c>
      <c r="B111" s="14" t="s">
        <v>366</v>
      </c>
      <c r="C111" s="9" t="s">
        <v>139</v>
      </c>
      <c r="D111" s="13" t="s">
        <v>367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45908</v>
      </c>
      <c r="U111" s="11">
        <v>10000</v>
      </c>
      <c r="V111" s="10">
        <v>1196</v>
      </c>
      <c r="W111" s="10">
        <v>8804</v>
      </c>
      <c r="X111" s="10">
        <v>10696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117</v>
      </c>
      <c r="AH111" s="1" t="s">
        <v>74</v>
      </c>
      <c r="AI111" s="1">
        <v>2</v>
      </c>
      <c r="AJ111" s="3">
        <v>45908</v>
      </c>
      <c r="AK111" s="3">
        <v>0</v>
      </c>
      <c r="AL111" s="3">
        <v>45899</v>
      </c>
      <c r="AM111" s="3">
        <v>45906</v>
      </c>
      <c r="AN111" s="3">
        <v>45907</v>
      </c>
      <c r="AO111" s="3">
        <v>45907</v>
      </c>
      <c r="AP111" s="3">
        <v>45903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45887</v>
      </c>
      <c r="B112" s="14" t="s">
        <v>347</v>
      </c>
      <c r="C112" s="9" t="s">
        <v>139</v>
      </c>
      <c r="D112" s="13" t="s">
        <v>332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45915</v>
      </c>
      <c r="U112" s="11">
        <v>9153</v>
      </c>
      <c r="V112" s="10">
        <v>0</v>
      </c>
      <c r="W112" s="10">
        <v>9153</v>
      </c>
      <c r="X112" s="10">
        <v>18825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210</v>
      </c>
      <c r="AG112" s="1" t="s">
        <v>117</v>
      </c>
      <c r="AH112" s="1" t="s">
        <v>74</v>
      </c>
      <c r="AI112" s="1">
        <v>2</v>
      </c>
      <c r="AJ112" s="3">
        <v>45915</v>
      </c>
      <c r="AK112" s="3">
        <v>0</v>
      </c>
      <c r="AL112" s="3">
        <v>45906</v>
      </c>
      <c r="AM112" s="3">
        <v>45913</v>
      </c>
      <c r="AN112" s="3">
        <v>45914</v>
      </c>
      <c r="AO112" s="3">
        <v>45914</v>
      </c>
      <c r="AP112" s="3">
        <v>45910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333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45887</v>
      </c>
      <c r="B113" s="14" t="s">
        <v>348</v>
      </c>
      <c r="C113" s="9" t="s">
        <v>139</v>
      </c>
      <c r="D113" s="13" t="s">
        <v>268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196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45919</v>
      </c>
      <c r="U113" s="11">
        <v>17360</v>
      </c>
      <c r="V113" s="10">
        <v>0</v>
      </c>
      <c r="W113" s="10">
        <v>17360</v>
      </c>
      <c r="X113" s="10">
        <v>40982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210</v>
      </c>
      <c r="AG113" s="1" t="s">
        <v>116</v>
      </c>
      <c r="AH113" s="1" t="s">
        <v>74</v>
      </c>
      <c r="AI113" s="1">
        <v>2</v>
      </c>
      <c r="AJ113" s="3">
        <v>45919</v>
      </c>
      <c r="AK113" s="3">
        <v>0</v>
      </c>
      <c r="AL113" s="3">
        <v>45910</v>
      </c>
      <c r="AM113" s="3">
        <v>45917</v>
      </c>
      <c r="AN113" s="3">
        <v>45918</v>
      </c>
      <c r="AO113" s="3">
        <v>45918</v>
      </c>
      <c r="AP113" s="3">
        <v>45914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334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45887</v>
      </c>
      <c r="B114" s="14" t="s">
        <v>348</v>
      </c>
      <c r="C114" s="9" t="s">
        <v>139</v>
      </c>
      <c r="D114" s="13" t="s">
        <v>268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196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45922</v>
      </c>
      <c r="U114" s="11">
        <v>30000</v>
      </c>
      <c r="V114" s="10">
        <v>0</v>
      </c>
      <c r="W114" s="10">
        <v>30000</v>
      </c>
      <c r="X114" s="10">
        <v>31000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210</v>
      </c>
      <c r="AG114" s="1" t="s">
        <v>61</v>
      </c>
      <c r="AH114" s="1" t="s">
        <v>74</v>
      </c>
      <c r="AI114" s="1">
        <v>2</v>
      </c>
      <c r="AJ114" s="3">
        <v>45922</v>
      </c>
      <c r="AK114" s="3">
        <v>0</v>
      </c>
      <c r="AL114" s="3">
        <v>45913</v>
      </c>
      <c r="AM114" s="3">
        <v>45920</v>
      </c>
      <c r="AN114" s="3">
        <v>45921</v>
      </c>
      <c r="AO114" s="3">
        <v>45921</v>
      </c>
      <c r="AP114" s="3">
        <v>45917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334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45887</v>
      </c>
      <c r="B115" s="14" t="s">
        <v>348</v>
      </c>
      <c r="C115" s="9" t="s">
        <v>139</v>
      </c>
      <c r="D115" s="13" t="s">
        <v>268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196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45926</v>
      </c>
      <c r="U115" s="11">
        <v>20000</v>
      </c>
      <c r="V115" s="10">
        <v>0</v>
      </c>
      <c r="W115" s="10">
        <v>20000</v>
      </c>
      <c r="X115" s="10">
        <v>20056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210</v>
      </c>
      <c r="AG115" s="1" t="s">
        <v>115</v>
      </c>
      <c r="AH115" s="1" t="s">
        <v>74</v>
      </c>
      <c r="AI115" s="1">
        <v>2</v>
      </c>
      <c r="AJ115" s="3">
        <v>45926</v>
      </c>
      <c r="AK115" s="3">
        <v>0</v>
      </c>
      <c r="AL115" s="3">
        <v>45917</v>
      </c>
      <c r="AM115" s="3">
        <v>45924</v>
      </c>
      <c r="AN115" s="3">
        <v>45925</v>
      </c>
      <c r="AO115" s="3">
        <v>45925</v>
      </c>
      <c r="AP115" s="3">
        <v>45921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334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45905</v>
      </c>
      <c r="B116" s="14" t="s">
        <v>128</v>
      </c>
      <c r="C116" s="9" t="s">
        <v>139</v>
      </c>
      <c r="D116" s="13" t="s">
        <v>332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196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45918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31432.500000000004</v>
      </c>
      <c r="AB116" s="8">
        <v>31432.500000000004</v>
      </c>
      <c r="AC116" s="8">
        <v>0</v>
      </c>
      <c r="AD116" s="8">
        <v>0</v>
      </c>
      <c r="AE116" s="8">
        <v>0</v>
      </c>
      <c r="AF116" s="8" t="s">
        <v>210</v>
      </c>
      <c r="AG116" s="1" t="s">
        <v>115</v>
      </c>
      <c r="AH116" s="1" t="s">
        <v>74</v>
      </c>
      <c r="AI116" s="1">
        <v>2</v>
      </c>
      <c r="AJ116" s="3">
        <v>45918</v>
      </c>
      <c r="AK116" s="3">
        <v>0</v>
      </c>
      <c r="AL116" s="3">
        <v>45909</v>
      </c>
      <c r="AM116" s="3">
        <v>45916</v>
      </c>
      <c r="AN116" s="3">
        <v>45917</v>
      </c>
      <c r="AO116" s="3">
        <v>45917</v>
      </c>
      <c r="AP116" s="3">
        <v>45913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468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 t="s">
        <v>135</v>
      </c>
      <c r="B117" s="14" t="s">
        <v>135</v>
      </c>
      <c r="C117" s="9" t="s">
        <v>139</v>
      </c>
      <c r="D117" s="13" t="s">
        <v>61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196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290000</v>
      </c>
      <c r="V117" s="10">
        <v>0</v>
      </c>
      <c r="W117" s="10">
        <v>290000</v>
      </c>
      <c r="X117" s="10">
        <v>0</v>
      </c>
      <c r="Y117" s="10">
        <v>304500</v>
      </c>
      <c r="Z117" s="9" t="s">
        <v>81</v>
      </c>
      <c r="AA117" s="8">
        <v>303847.5</v>
      </c>
      <c r="AB117" s="8">
        <v>59416</v>
      </c>
      <c r="AC117" s="8">
        <v>244431.5</v>
      </c>
      <c r="AD117" s="8">
        <v>0</v>
      </c>
      <c r="AE117" s="8">
        <v>0</v>
      </c>
      <c r="AF117" s="8" t="s">
        <v>210</v>
      </c>
      <c r="AG117" s="1" t="s">
        <v>115</v>
      </c>
      <c r="AH117" s="1" t="s">
        <v>74</v>
      </c>
      <c r="AI117" s="1">
        <v>2</v>
      </c>
      <c r="AJ117" s="3" t="s">
        <v>63</v>
      </c>
      <c r="AK117" s="3">
        <v>0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18685.430222222225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37</v>
      </c>
      <c r="G118" s="9">
        <v>0</v>
      </c>
      <c r="H118" s="9">
        <v>0</v>
      </c>
      <c r="I118" s="9">
        <v>80</v>
      </c>
      <c r="J118" s="9" t="s">
        <v>57</v>
      </c>
      <c r="K118" s="9">
        <v>3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81</v>
      </c>
      <c r="AA118" s="8">
        <v>335280</v>
      </c>
      <c r="AB118" s="8">
        <v>90848.5</v>
      </c>
      <c r="AC118" s="8">
        <v>244431.5</v>
      </c>
      <c r="AD118" s="8">
        <v>0</v>
      </c>
      <c r="AE118" s="8">
        <v>0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45903</v>
      </c>
      <c r="B119" s="14" t="s">
        <v>453</v>
      </c>
      <c r="C119" s="9" t="s">
        <v>441</v>
      </c>
      <c r="D119" s="13" t="s">
        <v>59</v>
      </c>
      <c r="E119" s="9">
        <v>21</v>
      </c>
      <c r="F119" s="9">
        <v>31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123</v>
      </c>
      <c r="T119" s="12">
        <v>45906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130</v>
      </c>
      <c r="AA119" s="8">
        <v>4540.25</v>
      </c>
      <c r="AB119" s="8">
        <v>4540.25</v>
      </c>
      <c r="AC119" s="8">
        <v>0</v>
      </c>
      <c r="AD119" s="8">
        <v>0</v>
      </c>
      <c r="AE119" s="8">
        <v>0</v>
      </c>
      <c r="AF119" s="8" t="s">
        <v>210</v>
      </c>
      <c r="AG119" s="1" t="s">
        <v>115</v>
      </c>
      <c r="AH119" s="1" t="s">
        <v>77</v>
      </c>
      <c r="AI119" s="1">
        <v>1</v>
      </c>
      <c r="AJ119" s="3">
        <v>45906</v>
      </c>
      <c r="AK119" s="3">
        <v>0</v>
      </c>
      <c r="AL119" s="3">
        <v>0</v>
      </c>
      <c r="AM119" s="3">
        <v>0</v>
      </c>
      <c r="AN119" s="3">
        <v>0</v>
      </c>
      <c r="AO119" s="3">
        <v>45905</v>
      </c>
      <c r="AP119" s="3">
        <v>45901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 t="s">
        <v>442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130</v>
      </c>
      <c r="AA120" s="8">
        <v>4540.25</v>
      </c>
      <c r="AB120" s="8">
        <v>4540.25</v>
      </c>
      <c r="AC120" s="8">
        <v>0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45">
      <c r="A121" s="3">
        <v>45892</v>
      </c>
      <c r="B121" s="14" t="s">
        <v>368</v>
      </c>
      <c r="C121" s="9" t="s">
        <v>79</v>
      </c>
      <c r="D121" s="13" t="s">
        <v>369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0</v>
      </c>
      <c r="Q121" s="10">
        <v>0</v>
      </c>
      <c r="R121" s="10">
        <v>0</v>
      </c>
      <c r="S121" s="9" t="s">
        <v>67</v>
      </c>
      <c r="T121" s="12">
        <v>45906</v>
      </c>
      <c r="U121" s="11">
        <v>3000</v>
      </c>
      <c r="V121" s="10">
        <v>3000</v>
      </c>
      <c r="W121" s="10">
        <v>0</v>
      </c>
      <c r="X121" s="10">
        <v>3100</v>
      </c>
      <c r="Y121" s="10">
        <v>0</v>
      </c>
      <c r="Z121" s="9" t="s">
        <v>120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>
        <v>45906</v>
      </c>
      <c r="AK121" s="3">
        <v>45902</v>
      </c>
      <c r="AL121" s="3">
        <v>45896</v>
      </c>
      <c r="AM121" s="3">
        <v>45903</v>
      </c>
      <c r="AN121" s="3">
        <v>45904</v>
      </c>
      <c r="AO121" s="3">
        <v>45904</v>
      </c>
      <c r="AP121" s="3">
        <v>45901</v>
      </c>
      <c r="AQ121" s="3">
        <v>45905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45876</v>
      </c>
      <c r="B122" s="14" t="s">
        <v>336</v>
      </c>
      <c r="C122" s="9" t="s">
        <v>107</v>
      </c>
      <c r="D122" s="13" t="s">
        <v>316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>
        <v>45926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>
        <v>45926</v>
      </c>
      <c r="AK122" s="3">
        <v>45922</v>
      </c>
      <c r="AL122" s="3">
        <v>45916</v>
      </c>
      <c r="AM122" s="3">
        <v>45923</v>
      </c>
      <c r="AN122" s="3">
        <v>45924</v>
      </c>
      <c r="AO122" s="3">
        <v>45924</v>
      </c>
      <c r="AP122" s="3">
        <v>45921</v>
      </c>
      <c r="AQ122" s="3">
        <v>45925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45631</v>
      </c>
      <c r="B123" s="14" t="s">
        <v>203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120</v>
      </c>
      <c r="AA123" s="8">
        <v>17211.04</v>
      </c>
      <c r="AB123" s="8">
        <v>17211.04</v>
      </c>
      <c r="AC123" s="8">
        <v>0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218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45631</v>
      </c>
      <c r="B124" s="14" t="s">
        <v>202</v>
      </c>
      <c r="C124" s="9" t="s">
        <v>109</v>
      </c>
      <c r="D124" s="13" t="s">
        <v>144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9000</v>
      </c>
      <c r="V124" s="10">
        <v>0</v>
      </c>
      <c r="W124" s="10">
        <v>9000</v>
      </c>
      <c r="X124" s="10">
        <v>0</v>
      </c>
      <c r="Y124" s="10">
        <v>9450</v>
      </c>
      <c r="Z124" s="9" t="s">
        <v>120</v>
      </c>
      <c r="AA124" s="8">
        <v>9681.2100000000009</v>
      </c>
      <c r="AB124" s="8">
        <v>9681.2100000000009</v>
      </c>
      <c r="AC124" s="8">
        <v>0</v>
      </c>
      <c r="AD124" s="8">
        <v>0</v>
      </c>
      <c r="AE124" s="8">
        <v>9681.2100000000009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217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45904</v>
      </c>
      <c r="B125" s="14" t="s">
        <v>443</v>
      </c>
      <c r="C125" s="9" t="s">
        <v>454</v>
      </c>
      <c r="D125" s="13" t="s">
        <v>445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45911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120</v>
      </c>
      <c r="AA125" s="8">
        <v>4638.0400000000009</v>
      </c>
      <c r="AB125" s="8">
        <v>0</v>
      </c>
      <c r="AC125" s="8">
        <v>4638.0400000000009</v>
      </c>
      <c r="AD125" s="8">
        <v>0</v>
      </c>
      <c r="AE125" s="8">
        <v>4638.0400000000009</v>
      </c>
      <c r="AF125" s="8">
        <v>0</v>
      </c>
      <c r="AG125" s="1" t="s">
        <v>116</v>
      </c>
      <c r="AH125" s="1" t="s">
        <v>68</v>
      </c>
      <c r="AI125" s="1">
        <v>4</v>
      </c>
      <c r="AJ125" s="3">
        <v>45911</v>
      </c>
      <c r="AK125" s="3">
        <v>45907</v>
      </c>
      <c r="AL125" s="3">
        <v>45901</v>
      </c>
      <c r="AM125" s="3">
        <v>45908</v>
      </c>
      <c r="AN125" s="3">
        <v>45909</v>
      </c>
      <c r="AO125" s="3">
        <v>45909</v>
      </c>
      <c r="AP125" s="3">
        <v>45906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333.53691653333334</v>
      </c>
    </row>
    <row r="126" spans="1:56" ht="27.75" customHeight="1" x14ac:dyDescent="0.45">
      <c r="A126" s="3" t="s">
        <v>135</v>
      </c>
      <c r="B126" s="14" t="s">
        <v>135</v>
      </c>
      <c r="C126" s="9" t="s">
        <v>111</v>
      </c>
      <c r="D126" s="13" t="s">
        <v>61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45925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120</v>
      </c>
      <c r="AA126" s="8">
        <v>107569.00000000001</v>
      </c>
      <c r="AB126" s="8">
        <v>107569.00000000001</v>
      </c>
      <c r="AC126" s="8">
        <v>0</v>
      </c>
      <c r="AD126" s="8">
        <v>107569.00000000001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>
        <v>45925</v>
      </c>
      <c r="AK126" s="3">
        <v>45921</v>
      </c>
      <c r="AL126" s="3">
        <v>45915</v>
      </c>
      <c r="AM126" s="3">
        <v>45922</v>
      </c>
      <c r="AN126" s="3">
        <v>45923</v>
      </c>
      <c r="AO126" s="3">
        <v>45923</v>
      </c>
      <c r="AP126" s="3">
        <v>45920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45896</v>
      </c>
      <c r="B127" s="14" t="s">
        <v>400</v>
      </c>
      <c r="C127" s="9" t="s">
        <v>107</v>
      </c>
      <c r="D127" s="13" t="s">
        <v>401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45896</v>
      </c>
      <c r="B128" s="14" t="s">
        <v>402</v>
      </c>
      <c r="C128" s="9" t="s">
        <v>107</v>
      </c>
      <c r="D128" s="13" t="s">
        <v>313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90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120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45896</v>
      </c>
      <c r="B129" s="14" t="s">
        <v>403</v>
      </c>
      <c r="C129" s="9" t="s">
        <v>107</v>
      </c>
      <c r="D129" s="13" t="s">
        <v>404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3310.89</v>
      </c>
      <c r="AB129" s="8">
        <v>3310.89</v>
      </c>
      <c r="AC129" s="8">
        <v>0</v>
      </c>
      <c r="AD129" s="8">
        <v>0</v>
      </c>
      <c r="AE129" s="8">
        <v>3310.89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45876</v>
      </c>
      <c r="B130" s="14" t="s">
        <v>335</v>
      </c>
      <c r="C130" s="9" t="s">
        <v>107</v>
      </c>
      <c r="D130" s="13" t="s">
        <v>315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0</v>
      </c>
      <c r="AE130" s="8">
        <v>3478.5300000000007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45876</v>
      </c>
      <c r="B131" s="14" t="s">
        <v>337</v>
      </c>
      <c r="C131" s="9" t="s">
        <v>107</v>
      </c>
      <c r="D131" s="13" t="s">
        <v>317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120</v>
      </c>
      <c r="AA131" s="8">
        <v>5797.55</v>
      </c>
      <c r="AB131" s="8">
        <v>5797.55</v>
      </c>
      <c r="AC131" s="8">
        <v>0</v>
      </c>
      <c r="AD131" s="8">
        <v>0</v>
      </c>
      <c r="AE131" s="8">
        <v>5797.55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109</v>
      </c>
      <c r="D132" s="13" t="s">
        <v>144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10756.900000000001</v>
      </c>
      <c r="AC132" s="8">
        <v>0</v>
      </c>
      <c r="AD132" s="8">
        <v>0</v>
      </c>
      <c r="AE132" s="8">
        <v>10756.900000000001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>
        <v>45854</v>
      </c>
      <c r="B133" s="14" t="s">
        <v>295</v>
      </c>
      <c r="C133" s="9" t="s">
        <v>79</v>
      </c>
      <c r="D133" s="13" t="s">
        <v>296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120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45854</v>
      </c>
      <c r="B134" s="14" t="s">
        <v>297</v>
      </c>
      <c r="C134" s="9" t="s">
        <v>79</v>
      </c>
      <c r="D134" s="13" t="s">
        <v>298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45826</v>
      </c>
      <c r="B135" s="14" t="s">
        <v>274</v>
      </c>
      <c r="C135" s="9" t="s">
        <v>107</v>
      </c>
      <c r="D135" s="13" t="s">
        <v>262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120</v>
      </c>
      <c r="AA135" s="8">
        <v>8310.3338999999996</v>
      </c>
      <c r="AB135" s="8">
        <v>8310.3338999999996</v>
      </c>
      <c r="AC135" s="8">
        <v>0</v>
      </c>
      <c r="AD135" s="8">
        <v>0</v>
      </c>
      <c r="AE135" s="8">
        <v>8310.3338999999996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45066</v>
      </c>
      <c r="B136" s="14" t="s">
        <v>126</v>
      </c>
      <c r="C136" s="9" t="s">
        <v>79</v>
      </c>
      <c r="D136" s="13" t="s">
        <v>125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120</v>
      </c>
      <c r="AA137" s="8">
        <v>195033.35390000005</v>
      </c>
      <c r="AB137" s="8">
        <v>190395.31390000004</v>
      </c>
      <c r="AC137" s="8">
        <v>4638.0400000000009</v>
      </c>
      <c r="AD137" s="8">
        <v>110879.89000000001</v>
      </c>
      <c r="AE137" s="8">
        <v>84153.463900000002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 t="s">
        <v>135</v>
      </c>
      <c r="B138" s="14" t="s">
        <v>135</v>
      </c>
      <c r="C138" s="9" t="s">
        <v>216</v>
      </c>
      <c r="D138" s="13" t="s">
        <v>216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221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123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8028</v>
      </c>
      <c r="AC139" s="8">
        <v>21728.100000000002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1624.1754749999998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37784.100000000006</v>
      </c>
      <c r="AC140" s="8">
        <v>21728.100000000002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45727</v>
      </c>
      <c r="B141" s="14" t="s">
        <v>240</v>
      </c>
      <c r="C141" s="9" t="s">
        <v>111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196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</v>
      </c>
      <c r="V141" s="10">
        <v>0</v>
      </c>
      <c r="W141" s="10">
        <v>1000</v>
      </c>
      <c r="X141" s="10">
        <v>0</v>
      </c>
      <c r="Y141" s="10">
        <v>0</v>
      </c>
      <c r="Z141" s="9" t="s">
        <v>213</v>
      </c>
      <c r="AA141" s="8">
        <v>1159.5100000000002</v>
      </c>
      <c r="AB141" s="8">
        <v>1159.5100000000002</v>
      </c>
      <c r="AC141" s="8">
        <v>0</v>
      </c>
      <c r="AD141" s="8">
        <v>1159.5100000000002</v>
      </c>
      <c r="AE141" s="8">
        <v>0</v>
      </c>
      <c r="AF141" s="8" t="s">
        <v>215</v>
      </c>
      <c r="AG141" s="1" t="s">
        <v>115</v>
      </c>
      <c r="AH141" s="1" t="s">
        <v>146</v>
      </c>
      <c r="AI141" s="1">
        <v>2</v>
      </c>
      <c r="AJ141" s="3" t="s">
        <v>63</v>
      </c>
      <c r="AK141" s="3" t="e">
        <v>#VALUE!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213</v>
      </c>
      <c r="AA142" s="8">
        <v>1159.5100000000002</v>
      </c>
      <c r="AB142" s="8">
        <v>1159.5100000000002</v>
      </c>
      <c r="AC142" s="8">
        <v>0</v>
      </c>
      <c r="AD142" s="8">
        <v>1159.5100000000002</v>
      </c>
      <c r="AE142" s="8">
        <v>0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214</v>
      </c>
      <c r="BD142" s="56">
        <v>0</v>
      </c>
    </row>
    <row r="143" spans="1:56" ht="27.75" customHeight="1" x14ac:dyDescent="0.45">
      <c r="A143" s="3">
        <v>45601</v>
      </c>
      <c r="B143" s="14" t="s">
        <v>193</v>
      </c>
      <c r="C143" s="9" t="s">
        <v>93</v>
      </c>
      <c r="D143" s="13" t="s">
        <v>142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3207.7128103679997</v>
      </c>
      <c r="Q143" s="10">
        <v>0</v>
      </c>
      <c r="R143" s="10">
        <v>3207.7128103679997</v>
      </c>
      <c r="S143" s="9" t="s">
        <v>299</v>
      </c>
      <c r="T143" s="12" t="s">
        <v>63</v>
      </c>
      <c r="U143" s="11">
        <v>100000</v>
      </c>
      <c r="V143" s="10">
        <v>1500</v>
      </c>
      <c r="W143" s="10">
        <v>98500</v>
      </c>
      <c r="X143" s="10">
        <v>0</v>
      </c>
      <c r="Y143" s="10">
        <v>103425</v>
      </c>
      <c r="Z143" s="9" t="s">
        <v>99</v>
      </c>
      <c r="AA143" s="8">
        <v>105955.465</v>
      </c>
      <c r="AB143" s="8">
        <v>13611</v>
      </c>
      <c r="AC143" s="8">
        <v>92344.464999999997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113</v>
      </c>
      <c r="BD143" s="56">
        <v>11829.65943262361</v>
      </c>
    </row>
    <row r="144" spans="1:56" ht="27.75" customHeight="1" x14ac:dyDescent="0.45">
      <c r="A144" s="3">
        <v>45601</v>
      </c>
      <c r="B144" s="14" t="s">
        <v>193</v>
      </c>
      <c r="C144" s="9" t="s">
        <v>93</v>
      </c>
      <c r="D144" s="13" t="s">
        <v>142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91</v>
      </c>
      <c r="M144" s="10">
        <v>24</v>
      </c>
      <c r="N144" s="9">
        <v>40</v>
      </c>
      <c r="O144" s="9">
        <v>55</v>
      </c>
      <c r="P144" s="10">
        <v>11003.203948644863</v>
      </c>
      <c r="Q144" s="10">
        <v>0</v>
      </c>
      <c r="R144" s="10">
        <v>11003.203948644863</v>
      </c>
      <c r="S144" s="9" t="s">
        <v>299</v>
      </c>
      <c r="T144" s="12" t="s">
        <v>63</v>
      </c>
      <c r="U144" s="11">
        <v>337878</v>
      </c>
      <c r="V144" s="10">
        <v>0</v>
      </c>
      <c r="W144" s="10">
        <v>337878</v>
      </c>
      <c r="X144" s="10">
        <v>0</v>
      </c>
      <c r="Y144" s="10">
        <v>354771.9</v>
      </c>
      <c r="Z144" s="9" t="s">
        <v>99</v>
      </c>
      <c r="AA144" s="8">
        <v>363451.98582000006</v>
      </c>
      <c r="AB144" s="8">
        <v>0</v>
      </c>
      <c r="AC144" s="8">
        <v>363451.98582000006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113</v>
      </c>
      <c r="BD144" s="56">
        <v>46559.511849046357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37</v>
      </c>
      <c r="G145" s="9">
        <v>0</v>
      </c>
      <c r="H145" s="9">
        <v>0</v>
      </c>
      <c r="I145" s="9">
        <v>128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99</v>
      </c>
      <c r="AA145" s="8">
        <v>469407.45082000003</v>
      </c>
      <c r="AB145" s="8">
        <v>13611</v>
      </c>
      <c r="AC145" s="8">
        <v>455796.45082000003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114</v>
      </c>
      <c r="BD145" s="56">
        <v>0</v>
      </c>
    </row>
    <row r="146" spans="1:56" ht="27.75" customHeight="1" x14ac:dyDescent="0.45">
      <c r="A146" s="3">
        <v>45894</v>
      </c>
      <c r="B146" s="14" t="s">
        <v>374</v>
      </c>
      <c r="C146" s="9" t="s">
        <v>137</v>
      </c>
      <c r="D146" s="13" t="s">
        <v>59</v>
      </c>
      <c r="E146" s="9">
        <v>26</v>
      </c>
      <c r="F146" s="9">
        <v>39</v>
      </c>
      <c r="G146" s="9" t="s">
        <v>60</v>
      </c>
      <c r="H146" s="9">
        <v>0</v>
      </c>
      <c r="I146" s="9">
        <v>93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123</v>
      </c>
      <c r="T146" s="12">
        <v>45910</v>
      </c>
      <c r="U146" s="11">
        <v>5000</v>
      </c>
      <c r="V146" s="10">
        <v>1800</v>
      </c>
      <c r="W146" s="10">
        <v>3200</v>
      </c>
      <c r="X146" s="10">
        <v>0</v>
      </c>
      <c r="Y146" s="10">
        <v>0</v>
      </c>
      <c r="Z146" s="9" t="s">
        <v>84</v>
      </c>
      <c r="AA146" s="8">
        <v>3621.0239999999999</v>
      </c>
      <c r="AB146" s="8">
        <v>3621.0239999999999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77</v>
      </c>
      <c r="AI146" s="1">
        <v>1</v>
      </c>
      <c r="AJ146" s="3">
        <v>45910</v>
      </c>
      <c r="AK146" s="3">
        <v>0</v>
      </c>
      <c r="AL146" s="3">
        <v>0</v>
      </c>
      <c r="AM146" s="3">
        <v>0</v>
      </c>
      <c r="AN146" s="3">
        <v>0</v>
      </c>
      <c r="AO146" s="3">
        <v>45909</v>
      </c>
      <c r="AP146" s="3">
        <v>45905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179</v>
      </c>
      <c r="D147" s="13" t="s">
        <v>61</v>
      </c>
      <c r="E147" s="9">
        <v>26</v>
      </c>
      <c r="F147" s="9">
        <v>41</v>
      </c>
      <c r="G147" s="9" t="s">
        <v>60</v>
      </c>
      <c r="H147" s="9">
        <v>0</v>
      </c>
      <c r="I147" s="9">
        <v>97</v>
      </c>
      <c r="J147" s="9" t="s">
        <v>57</v>
      </c>
      <c r="K147" s="9">
        <v>5</v>
      </c>
      <c r="L147" s="9" t="s">
        <v>91</v>
      </c>
      <c r="M147" s="10">
        <v>27</v>
      </c>
      <c r="N147" s="9">
        <v>43</v>
      </c>
      <c r="O147" s="9">
        <v>40</v>
      </c>
      <c r="P147" s="10">
        <v>229.14349009919997</v>
      </c>
      <c r="Q147" s="10">
        <v>0</v>
      </c>
      <c r="R147" s="10">
        <v>229.14349009919997</v>
      </c>
      <c r="S147" s="9" t="s">
        <v>185</v>
      </c>
      <c r="T147" s="12">
        <v>45930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84</v>
      </c>
      <c r="AA147" s="8">
        <v>9499.6</v>
      </c>
      <c r="AB147" s="8">
        <v>0</v>
      </c>
      <c r="AC147" s="8">
        <v>9499.6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72</v>
      </c>
      <c r="AI147" s="1">
        <v>3</v>
      </c>
      <c r="AJ147" s="3">
        <v>45930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45925</v>
      </c>
      <c r="AQ147" s="3">
        <v>45929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767.03992444444452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 t="s">
        <v>60</v>
      </c>
      <c r="H148" s="9">
        <v>0</v>
      </c>
      <c r="I148" s="9">
        <v>102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84</v>
      </c>
      <c r="AA148" s="8">
        <v>13120.624</v>
      </c>
      <c r="AB148" s="8">
        <v>3621.0239999999999</v>
      </c>
      <c r="AC148" s="8">
        <v>9499.6</v>
      </c>
      <c r="AD148" s="8">
        <v>0</v>
      </c>
      <c r="AE148" s="8">
        <v>0</v>
      </c>
      <c r="AF148" s="8" t="s">
        <v>58</v>
      </c>
      <c r="AG148" s="1" t="s">
        <v>115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45904</v>
      </c>
      <c r="B149" s="14" t="s">
        <v>455</v>
      </c>
      <c r="C149" s="9" t="s">
        <v>456</v>
      </c>
      <c r="D149" s="13" t="s">
        <v>457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140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458</v>
      </c>
      <c r="T149" s="12">
        <v>45912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459</v>
      </c>
      <c r="AA149" s="8">
        <v>12433.3</v>
      </c>
      <c r="AB149" s="8">
        <v>7225</v>
      </c>
      <c r="AC149" s="8">
        <v>5208.2999999999993</v>
      </c>
      <c r="AD149" s="8">
        <v>0</v>
      </c>
      <c r="AE149" s="8">
        <v>12433.3</v>
      </c>
      <c r="AF149" s="8" t="s">
        <v>460</v>
      </c>
      <c r="AG149" s="1" t="s">
        <v>115</v>
      </c>
      <c r="AH149" s="1" t="s">
        <v>75</v>
      </c>
      <c r="AI149" s="1">
        <v>4</v>
      </c>
      <c r="AJ149" s="3">
        <v>45912</v>
      </c>
      <c r="AK149" s="3">
        <v>45908</v>
      </c>
      <c r="AL149" s="3">
        <v>45901</v>
      </c>
      <c r="AM149" s="3">
        <v>45909</v>
      </c>
      <c r="AN149" s="3">
        <v>45910</v>
      </c>
      <c r="AO149" s="3">
        <v>45911</v>
      </c>
      <c r="AP149" s="3">
        <v>45907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450</v>
      </c>
      <c r="BD149" s="56">
        <v>467.9368199999999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100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459</v>
      </c>
      <c r="AA150" s="8">
        <v>12433.3</v>
      </c>
      <c r="AB150" s="8">
        <v>7225</v>
      </c>
      <c r="AC150" s="8">
        <v>5208.2999999999993</v>
      </c>
      <c r="AD150" s="8">
        <v>0</v>
      </c>
      <c r="AE150" s="8">
        <v>12433.3</v>
      </c>
      <c r="AF150" s="8" t="s">
        <v>58</v>
      </c>
      <c r="AG150" s="1" t="s">
        <v>118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450</v>
      </c>
      <c r="BD150" s="56">
        <v>0</v>
      </c>
    </row>
    <row r="151" spans="1:56" ht="27.75" customHeight="1" x14ac:dyDescent="0.45">
      <c r="A151" s="3" t="s">
        <v>135</v>
      </c>
      <c r="B151" s="14" t="s">
        <v>135</v>
      </c>
      <c r="C151" s="9" t="s">
        <v>109</v>
      </c>
      <c r="D151" s="13" t="s">
        <v>59</v>
      </c>
      <c r="E151" s="9">
        <v>26</v>
      </c>
      <c r="F151" s="9">
        <v>43</v>
      </c>
      <c r="G151" s="9" t="s">
        <v>60</v>
      </c>
      <c r="H151" s="9">
        <v>0</v>
      </c>
      <c r="I151" s="9">
        <v>116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45925</v>
      </c>
      <c r="U151" s="11">
        <v>10000</v>
      </c>
      <c r="V151" s="10">
        <v>0</v>
      </c>
      <c r="W151" s="10">
        <v>10000</v>
      </c>
      <c r="X151" s="10">
        <v>0</v>
      </c>
      <c r="Y151" s="10">
        <v>0</v>
      </c>
      <c r="Z151" s="9" t="s">
        <v>197</v>
      </c>
      <c r="AA151" s="8">
        <v>12433.3</v>
      </c>
      <c r="AB151" s="8">
        <v>12433.3</v>
      </c>
      <c r="AC151" s="8">
        <v>0</v>
      </c>
      <c r="AD151" s="8">
        <v>0</v>
      </c>
      <c r="AE151" s="8">
        <v>0</v>
      </c>
      <c r="AF151" s="8">
        <v>0</v>
      </c>
      <c r="AG151" s="1" t="s">
        <v>118</v>
      </c>
      <c r="AH151" s="1" t="s">
        <v>77</v>
      </c>
      <c r="AI151" s="1">
        <v>1</v>
      </c>
      <c r="AJ151" s="3">
        <v>45925</v>
      </c>
      <c r="AK151" s="3">
        <v>0</v>
      </c>
      <c r="AL151" s="3">
        <v>0</v>
      </c>
      <c r="AM151" s="3">
        <v>0</v>
      </c>
      <c r="AN151" s="3">
        <v>0</v>
      </c>
      <c r="AO151" s="3">
        <v>45924</v>
      </c>
      <c r="AP151" s="3">
        <v>45920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>
        <v>0</v>
      </c>
      <c r="H152" s="9">
        <v>0</v>
      </c>
      <c r="I152" s="9">
        <v>116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197</v>
      </c>
      <c r="AA152" s="8">
        <v>12433.3</v>
      </c>
      <c r="AB152" s="8">
        <v>12433.3</v>
      </c>
      <c r="AC152" s="8">
        <v>0</v>
      </c>
      <c r="AD152" s="8">
        <v>0</v>
      </c>
      <c r="AE152" s="8">
        <v>0</v>
      </c>
      <c r="AF152" s="8" t="s">
        <v>58</v>
      </c>
      <c r="AG152" s="1" t="s">
        <v>118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198</v>
      </c>
      <c r="BD152" s="56">
        <v>0</v>
      </c>
    </row>
    <row r="153" spans="1:56" ht="27.75" customHeight="1" x14ac:dyDescent="0.45">
      <c r="A153" s="3">
        <v>45901</v>
      </c>
      <c r="B153" s="14" t="s">
        <v>420</v>
      </c>
      <c r="C153" s="9" t="s">
        <v>109</v>
      </c>
      <c r="D153" s="13" t="s">
        <v>144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45908</v>
      </c>
      <c r="U153" s="11">
        <v>30000</v>
      </c>
      <c r="V153" s="10">
        <v>15000</v>
      </c>
      <c r="W153" s="10">
        <v>15000</v>
      </c>
      <c r="X153" s="10">
        <v>32730</v>
      </c>
      <c r="Y153" s="10">
        <v>0</v>
      </c>
      <c r="Z153" s="9" t="s">
        <v>88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75</v>
      </c>
      <c r="AI153" s="1">
        <v>4</v>
      </c>
      <c r="AJ153" s="3">
        <v>45908</v>
      </c>
      <c r="AK153" s="3">
        <v>45904</v>
      </c>
      <c r="AL153" s="3">
        <v>45897</v>
      </c>
      <c r="AM153" s="3">
        <v>45905</v>
      </c>
      <c r="AN153" s="3">
        <v>45906</v>
      </c>
      <c r="AO153" s="3">
        <v>45907</v>
      </c>
      <c r="AP153" s="3">
        <v>45903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 t="s">
        <v>436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>
        <v>45898</v>
      </c>
      <c r="B154" s="14" t="s">
        <v>413</v>
      </c>
      <c r="C154" s="9" t="s">
        <v>109</v>
      </c>
      <c r="D154" s="13" t="s">
        <v>59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45909</v>
      </c>
      <c r="U154" s="11">
        <v>15000</v>
      </c>
      <c r="V154" s="10">
        <v>10000</v>
      </c>
      <c r="W154" s="10">
        <v>5000</v>
      </c>
      <c r="X154" s="10">
        <v>0</v>
      </c>
      <c r="Y154" s="10">
        <v>0</v>
      </c>
      <c r="Z154" s="9" t="s">
        <v>88</v>
      </c>
      <c r="AA154" s="8">
        <v>6216.65</v>
      </c>
      <c r="AB154" s="8">
        <v>6216.65</v>
      </c>
      <c r="AC154" s="8">
        <v>0</v>
      </c>
      <c r="AD154" s="8">
        <v>6216.65</v>
      </c>
      <c r="AE154" s="8">
        <v>0</v>
      </c>
      <c r="AF154" s="8">
        <v>0</v>
      </c>
      <c r="AG154" s="1" t="s">
        <v>116</v>
      </c>
      <c r="AH154" s="1" t="s">
        <v>146</v>
      </c>
      <c r="AI154" s="1">
        <v>2</v>
      </c>
      <c r="AJ154" s="3">
        <v>45909</v>
      </c>
      <c r="AK154" s="3">
        <v>45907</v>
      </c>
      <c r="AL154" s="3">
        <v>0</v>
      </c>
      <c r="AM154" s="3">
        <v>0</v>
      </c>
      <c r="AN154" s="3">
        <v>0</v>
      </c>
      <c r="AO154" s="3">
        <v>45908</v>
      </c>
      <c r="AP154" s="3">
        <v>45904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143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45">
      <c r="A155" s="3">
        <v>45898</v>
      </c>
      <c r="B155" s="14" t="s">
        <v>414</v>
      </c>
      <c r="C155" s="9" t="s">
        <v>109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45917</v>
      </c>
      <c r="U155" s="11">
        <v>15000</v>
      </c>
      <c r="V155" s="10">
        <v>0</v>
      </c>
      <c r="W155" s="10">
        <v>15000</v>
      </c>
      <c r="X155" s="10">
        <v>0</v>
      </c>
      <c r="Y155" s="10">
        <v>0</v>
      </c>
      <c r="Z155" s="9" t="s">
        <v>88</v>
      </c>
      <c r="AA155" s="8">
        <v>18649.949999999997</v>
      </c>
      <c r="AB155" s="8">
        <v>18649.949999999997</v>
      </c>
      <c r="AC155" s="8">
        <v>0</v>
      </c>
      <c r="AD155" s="8">
        <v>0</v>
      </c>
      <c r="AE155" s="8">
        <v>18649.949999999997</v>
      </c>
      <c r="AF155" s="8">
        <v>0</v>
      </c>
      <c r="AG155" s="1" t="s">
        <v>115</v>
      </c>
      <c r="AH155" s="1" t="s">
        <v>146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45901</v>
      </c>
      <c r="B156" s="14" t="s">
        <v>421</v>
      </c>
      <c r="C156" s="9" t="s">
        <v>109</v>
      </c>
      <c r="D156" s="13" t="s">
        <v>144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45930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88</v>
      </c>
      <c r="AA156" s="8">
        <v>37299.899999999994</v>
      </c>
      <c r="AB156" s="8">
        <v>0</v>
      </c>
      <c r="AC156" s="8">
        <v>37299.899999999994</v>
      </c>
      <c r="AD156" s="8">
        <v>0</v>
      </c>
      <c r="AE156" s="8">
        <v>37299.899999999994</v>
      </c>
      <c r="AF156" s="8">
        <v>0</v>
      </c>
      <c r="AG156" s="1" t="s">
        <v>115</v>
      </c>
      <c r="AH156" s="1" t="s">
        <v>75</v>
      </c>
      <c r="AI156" s="1">
        <v>4</v>
      </c>
      <c r="AJ156" s="3">
        <v>45930</v>
      </c>
      <c r="AK156" s="3">
        <v>45926</v>
      </c>
      <c r="AL156" s="3">
        <v>45919</v>
      </c>
      <c r="AM156" s="3">
        <v>45927</v>
      </c>
      <c r="AN156" s="3">
        <v>45928</v>
      </c>
      <c r="AO156" s="3">
        <v>45929</v>
      </c>
      <c r="AP156" s="3">
        <v>45925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3846.8630200000002</v>
      </c>
    </row>
    <row r="157" spans="1:56" ht="27.75" customHeight="1" x14ac:dyDescent="0.45">
      <c r="A157" s="3">
        <v>45901</v>
      </c>
      <c r="B157" s="14" t="s">
        <v>422</v>
      </c>
      <c r="C157" s="9" t="s">
        <v>109</v>
      </c>
      <c r="D157" s="13" t="s">
        <v>144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45945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88</v>
      </c>
      <c r="AA157" s="8">
        <v>12433.3</v>
      </c>
      <c r="AB157" s="8">
        <v>0</v>
      </c>
      <c r="AC157" s="8">
        <v>12433.3</v>
      </c>
      <c r="AD157" s="8">
        <v>0</v>
      </c>
      <c r="AE157" s="8">
        <v>12433.3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45945</v>
      </c>
      <c r="AK157" s="3">
        <v>45941</v>
      </c>
      <c r="AL157" s="3">
        <v>45934</v>
      </c>
      <c r="AM157" s="3">
        <v>45942</v>
      </c>
      <c r="AN157" s="3">
        <v>45943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1282.2876733333333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74599.799999999988</v>
      </c>
      <c r="AB158" s="8">
        <v>24866.6</v>
      </c>
      <c r="AC158" s="8">
        <v>49733.2</v>
      </c>
      <c r="AD158" s="8">
        <v>6216.65</v>
      </c>
      <c r="AE158" s="8">
        <v>68383.149999999994</v>
      </c>
      <c r="AF158" s="8" t="s">
        <v>58</v>
      </c>
      <c r="AG158" s="1" t="s">
        <v>116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45895</v>
      </c>
      <c r="B159" s="14" t="s">
        <v>375</v>
      </c>
      <c r="C159" s="9" t="s">
        <v>147</v>
      </c>
      <c r="D159" s="13" t="s">
        <v>148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45909</v>
      </c>
      <c r="U159" s="11">
        <v>13000</v>
      </c>
      <c r="V159" s="10">
        <v>13000</v>
      </c>
      <c r="W159" s="10">
        <v>0</v>
      </c>
      <c r="X159" s="10">
        <v>53544</v>
      </c>
      <c r="Y159" s="10">
        <v>0</v>
      </c>
      <c r="Z159" s="9" t="s">
        <v>127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45909</v>
      </c>
      <c r="AK159" s="3">
        <v>0</v>
      </c>
      <c r="AL159" s="3">
        <v>45900</v>
      </c>
      <c r="AM159" s="3">
        <v>45907</v>
      </c>
      <c r="AN159" s="3">
        <v>45908</v>
      </c>
      <c r="AO159" s="3">
        <v>45908</v>
      </c>
      <c r="AP159" s="3">
        <v>45904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469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 t="s">
        <v>135</v>
      </c>
      <c r="B160" s="14" t="s">
        <v>135</v>
      </c>
      <c r="C160" s="9" t="s">
        <v>147</v>
      </c>
      <c r="D160" s="13" t="s">
        <v>148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45920</v>
      </c>
      <c r="U160" s="11">
        <v>50000</v>
      </c>
      <c r="V160" s="10">
        <v>0</v>
      </c>
      <c r="W160" s="10">
        <v>50000</v>
      </c>
      <c r="X160" s="10">
        <v>0</v>
      </c>
      <c r="Y160" s="10">
        <v>52500</v>
      </c>
      <c r="Z160" s="9" t="s">
        <v>127</v>
      </c>
      <c r="AA160" s="8">
        <v>59372.5</v>
      </c>
      <c r="AB160" s="8">
        <v>12130</v>
      </c>
      <c r="AC160" s="8">
        <v>47242.5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45920</v>
      </c>
      <c r="AK160" s="3">
        <v>0</v>
      </c>
      <c r="AL160" s="3">
        <v>45911</v>
      </c>
      <c r="AM160" s="3">
        <v>45918</v>
      </c>
      <c r="AN160" s="3">
        <v>45919</v>
      </c>
      <c r="AO160" s="3">
        <v>45919</v>
      </c>
      <c r="AP160" s="3">
        <v>45915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5309.5320833333335</v>
      </c>
    </row>
    <row r="161" spans="1:56" ht="27.75" customHeight="1" x14ac:dyDescent="0.45">
      <c r="A161" s="3" t="s">
        <v>135</v>
      </c>
      <c r="B161" s="14" t="s">
        <v>135</v>
      </c>
      <c r="C161" s="9" t="s">
        <v>109</v>
      </c>
      <c r="D161" s="13" t="s">
        <v>59</v>
      </c>
      <c r="E161" s="9">
        <v>28</v>
      </c>
      <c r="F161" s="9">
        <v>47</v>
      </c>
      <c r="G161" s="9" t="s">
        <v>60</v>
      </c>
      <c r="H161" s="9" t="s">
        <v>66</v>
      </c>
      <c r="I161" s="9">
        <v>180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45925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127</v>
      </c>
      <c r="AA161" s="8">
        <v>6775.4500000000007</v>
      </c>
      <c r="AB161" s="8">
        <v>0</v>
      </c>
      <c r="AC161" s="8">
        <v>6775.4500000000007</v>
      </c>
      <c r="AD161" s="8">
        <v>0</v>
      </c>
      <c r="AE161" s="8">
        <v>6775.4500000000007</v>
      </c>
      <c r="AF161" s="8">
        <v>0</v>
      </c>
      <c r="AG161" s="1">
        <v>0</v>
      </c>
      <c r="AH161" s="1" t="s">
        <v>146</v>
      </c>
      <c r="AI161" s="1">
        <v>2</v>
      </c>
      <c r="AJ161" s="3">
        <v>45925</v>
      </c>
      <c r="AK161" s="3">
        <v>45923</v>
      </c>
      <c r="AL161" s="3">
        <v>0</v>
      </c>
      <c r="AM161" s="3">
        <v>0</v>
      </c>
      <c r="AN161" s="3">
        <v>0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143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761.48529722222236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127</v>
      </c>
      <c r="AA162" s="8">
        <v>66147.95</v>
      </c>
      <c r="AB162" s="8">
        <v>12130</v>
      </c>
      <c r="AC162" s="8">
        <v>54017.95</v>
      </c>
      <c r="AD162" s="8">
        <v>0</v>
      </c>
      <c r="AE162" s="8">
        <v>6775.4500000000007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149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371C-F6B1-4723-88B4-4DD58F97E567}">
  <sheetPr>
    <tabColor rgb="FFFFFF00"/>
  </sheetPr>
  <dimension ref="A1:BD146"/>
  <sheetViews>
    <sheetView topLeftCell="A94" zoomScale="80" zoomScaleNormal="80" workbookViewId="0">
      <selection activeCell="Z111" sqref="Z1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45904</v>
      </c>
      <c r="E3" s="80" t="s">
        <v>52</v>
      </c>
      <c r="F3" s="80"/>
      <c r="G3" s="81">
        <v>10.01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119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2500</v>
      </c>
      <c r="AC8" s="8">
        <v>1202.0499999999997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73.512035555555556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735</v>
      </c>
      <c r="Y9" s="10">
        <v>4478.25</v>
      </c>
      <c r="Z9" s="9" t="s">
        <v>379</v>
      </c>
      <c r="AA9" s="8">
        <v>3315.7410825000002</v>
      </c>
      <c r="AB9" s="8">
        <v>0</v>
      </c>
      <c r="AC9" s="8">
        <v>3315.7410825000002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202.77598797866671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10719.841082499999</v>
      </c>
      <c r="AB11" s="8">
        <v>2500</v>
      </c>
      <c r="AC11" s="8">
        <v>8219.8410824999992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116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117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383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383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4500</v>
      </c>
      <c r="W28" s="10">
        <v>500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380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383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383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383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 t="s">
        <v>135</v>
      </c>
      <c r="B37" s="14" t="s">
        <v>135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45930</v>
      </c>
      <c r="U37" s="11">
        <v>270000</v>
      </c>
      <c r="V37" s="10">
        <v>0</v>
      </c>
      <c r="W37" s="10">
        <v>270000</v>
      </c>
      <c r="X37" s="10">
        <v>0</v>
      </c>
      <c r="Y37" s="10">
        <v>283500</v>
      </c>
      <c r="Z37" s="9" t="s">
        <v>172</v>
      </c>
      <c r="AA37" s="8">
        <v>252717.30000000002</v>
      </c>
      <c r="AB37" s="8">
        <v>42261</v>
      </c>
      <c r="AC37" s="8">
        <v>210456.30000000002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15852.503877333334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172</v>
      </c>
      <c r="AA38" s="8">
        <v>276117.05000000005</v>
      </c>
      <c r="AB38" s="8">
        <v>65660.75</v>
      </c>
      <c r="AC38" s="8">
        <v>210456.30000000002</v>
      </c>
      <c r="AD38" s="8">
        <v>0</v>
      </c>
      <c r="AE38" s="8">
        <v>0</v>
      </c>
      <c r="AF38" s="8" t="s">
        <v>58</v>
      </c>
      <c r="AG38" s="1" t="s">
        <v>115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7.75" customHeight="1" x14ac:dyDescent="0.45">
      <c r="A39" s="3">
        <v>45796</v>
      </c>
      <c r="B39" s="14" t="s">
        <v>255</v>
      </c>
      <c r="C39" s="9" t="s">
        <v>139</v>
      </c>
      <c r="D39" s="13" t="s">
        <v>250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196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108</v>
      </c>
      <c r="T39" s="12" t="s">
        <v>63</v>
      </c>
      <c r="U39" s="11">
        <v>503</v>
      </c>
      <c r="V39" s="10">
        <v>0</v>
      </c>
      <c r="W39" s="10">
        <v>503</v>
      </c>
      <c r="X39" s="10">
        <v>5250</v>
      </c>
      <c r="Y39" s="10">
        <v>0</v>
      </c>
      <c r="Z39" s="9" t="s">
        <v>112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115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191</v>
      </c>
      <c r="BD39" s="56">
        <v>0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112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</v>
      </c>
      <c r="AG40" s="1" t="s">
        <v>115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192</v>
      </c>
      <c r="BD40" s="56">
        <v>0</v>
      </c>
    </row>
    <row r="41" spans="1:56" ht="27.75" customHeight="1" x14ac:dyDescent="0.45">
      <c r="A41" s="3">
        <v>45887</v>
      </c>
      <c r="B41" s="14" t="s">
        <v>346</v>
      </c>
      <c r="C41" s="9" t="s">
        <v>139</v>
      </c>
      <c r="D41" s="13" t="s">
        <v>181</v>
      </c>
      <c r="E41" s="9">
        <v>20</v>
      </c>
      <c r="F41" s="9">
        <v>35</v>
      </c>
      <c r="G41" s="9" t="s">
        <v>60</v>
      </c>
      <c r="H41" s="9" t="s">
        <v>76</v>
      </c>
      <c r="I41" s="9">
        <v>97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45905</v>
      </c>
      <c r="U41" s="11">
        <v>5040</v>
      </c>
      <c r="V41" s="10">
        <v>5040</v>
      </c>
      <c r="W41" s="10">
        <v>0</v>
      </c>
      <c r="X41" s="10">
        <v>10200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388</v>
      </c>
      <c r="AG41" s="1" t="s">
        <v>115</v>
      </c>
      <c r="AH41" s="1" t="s">
        <v>75</v>
      </c>
      <c r="AI41" s="1">
        <v>4</v>
      </c>
      <c r="AJ41" s="3">
        <v>45905</v>
      </c>
      <c r="AK41" s="3">
        <v>45901</v>
      </c>
      <c r="AL41" s="3">
        <v>45894</v>
      </c>
      <c r="AM41" s="3">
        <v>45902</v>
      </c>
      <c r="AN41" s="3">
        <v>45903</v>
      </c>
      <c r="AO41" s="3">
        <v>45904</v>
      </c>
      <c r="AP41" s="3">
        <v>45900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134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45877</v>
      </c>
      <c r="B42" s="14" t="s">
        <v>318</v>
      </c>
      <c r="C42" s="9" t="s">
        <v>79</v>
      </c>
      <c r="D42" s="13" t="s">
        <v>319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45906</v>
      </c>
      <c r="U42" s="11">
        <v>3000</v>
      </c>
      <c r="V42" s="10">
        <v>3000</v>
      </c>
      <c r="W42" s="10">
        <v>0</v>
      </c>
      <c r="X42" s="10">
        <v>3300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45906</v>
      </c>
      <c r="AK42" s="3">
        <v>45902</v>
      </c>
      <c r="AL42" s="3">
        <v>45895</v>
      </c>
      <c r="AM42" s="3">
        <v>45903</v>
      </c>
      <c r="AN42" s="3">
        <v>45904</v>
      </c>
      <c r="AO42" s="3">
        <v>45905</v>
      </c>
      <c r="AP42" s="3">
        <v>45901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45892</v>
      </c>
      <c r="B43" s="14" t="s">
        <v>371</v>
      </c>
      <c r="C43" s="9" t="s">
        <v>355</v>
      </c>
      <c r="D43" s="13" t="s">
        <v>356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357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45905</v>
      </c>
      <c r="U43" s="11">
        <v>10000</v>
      </c>
      <c r="V43" s="10">
        <v>10000</v>
      </c>
      <c r="W43" s="10">
        <v>0</v>
      </c>
      <c r="X43" s="10">
        <v>10500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68</v>
      </c>
      <c r="AI43" s="1">
        <v>4</v>
      </c>
      <c r="AJ43" s="3">
        <v>45905</v>
      </c>
      <c r="AK43" s="3">
        <v>45901</v>
      </c>
      <c r="AL43" s="3">
        <v>45895</v>
      </c>
      <c r="AM43" s="3">
        <v>45902</v>
      </c>
      <c r="AN43" s="3">
        <v>45903</v>
      </c>
      <c r="AO43" s="3">
        <v>45903</v>
      </c>
      <c r="AP43" s="3">
        <v>45900</v>
      </c>
      <c r="AQ43" s="3">
        <v>45904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45850</v>
      </c>
      <c r="B44" s="14" t="s">
        <v>284</v>
      </c>
      <c r="C44" s="9" t="s">
        <v>107</v>
      </c>
      <c r="D44" s="13" t="s">
        <v>285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45906</v>
      </c>
      <c r="U44" s="11">
        <v>3000</v>
      </c>
      <c r="V44" s="10">
        <v>3000</v>
      </c>
      <c r="W44" s="10">
        <v>0</v>
      </c>
      <c r="X44" s="10">
        <v>3300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45906</v>
      </c>
      <c r="AK44" s="3">
        <v>45902</v>
      </c>
      <c r="AL44" s="3">
        <v>45895</v>
      </c>
      <c r="AM44" s="3">
        <v>45903</v>
      </c>
      <c r="AN44" s="3">
        <v>45904</v>
      </c>
      <c r="AO44" s="3">
        <v>45905</v>
      </c>
      <c r="AP44" s="3">
        <v>45901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 t="s">
        <v>427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45892</v>
      </c>
      <c r="B45" s="14" t="s">
        <v>360</v>
      </c>
      <c r="C45" s="9" t="s">
        <v>139</v>
      </c>
      <c r="D45" s="13" t="s">
        <v>329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640</v>
      </c>
      <c r="V45" s="10">
        <v>0</v>
      </c>
      <c r="W45" s="10">
        <v>640</v>
      </c>
      <c r="X45" s="10">
        <v>6000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370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45892</v>
      </c>
      <c r="B46" s="14" t="s">
        <v>362</v>
      </c>
      <c r="C46" s="9" t="s">
        <v>139</v>
      </c>
      <c r="D46" s="13" t="s">
        <v>131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45908</v>
      </c>
      <c r="U46" s="11">
        <v>1840</v>
      </c>
      <c r="V46" s="10">
        <v>80</v>
      </c>
      <c r="W46" s="10">
        <v>1760</v>
      </c>
      <c r="X46" s="10">
        <v>10650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116</v>
      </c>
      <c r="AH46" s="1" t="s">
        <v>75</v>
      </c>
      <c r="AI46" s="1">
        <v>4</v>
      </c>
      <c r="AJ46" s="3">
        <v>45908</v>
      </c>
      <c r="AK46" s="3">
        <v>45904</v>
      </c>
      <c r="AL46" s="3">
        <v>45897</v>
      </c>
      <c r="AM46" s="3">
        <v>45905</v>
      </c>
      <c r="AN46" s="3">
        <v>45906</v>
      </c>
      <c r="AO46" s="3">
        <v>45907</v>
      </c>
      <c r="AP46" s="3">
        <v>45903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45782</v>
      </c>
      <c r="B47" s="14" t="s">
        <v>249</v>
      </c>
      <c r="C47" s="9" t="s">
        <v>79</v>
      </c>
      <c r="D47" s="13" t="s">
        <v>243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438</v>
      </c>
      <c r="C48" s="9" t="s">
        <v>267</v>
      </c>
      <c r="D48" s="13" t="s">
        <v>428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45906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10756.900000000001</v>
      </c>
      <c r="AB48" s="8">
        <v>10756.900000000001</v>
      </c>
      <c r="AC48" s="8">
        <v>0</v>
      </c>
      <c r="AD48" s="8">
        <v>0</v>
      </c>
      <c r="AE48" s="8">
        <v>10756.900000000001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45906</v>
      </c>
      <c r="AK48" s="3">
        <v>45902</v>
      </c>
      <c r="AL48" s="3">
        <v>45895</v>
      </c>
      <c r="AM48" s="3">
        <v>45903</v>
      </c>
      <c r="AN48" s="3">
        <v>45904</v>
      </c>
      <c r="AO48" s="3">
        <v>45905</v>
      </c>
      <c r="AP48" s="3">
        <v>45901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439</v>
      </c>
      <c r="C49" s="9" t="s">
        <v>267</v>
      </c>
      <c r="D49" s="13" t="s">
        <v>429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45906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10756.900000000001</v>
      </c>
      <c r="AC49" s="8">
        <v>0</v>
      </c>
      <c r="AD49" s="8">
        <v>0</v>
      </c>
      <c r="AE49" s="8">
        <v>10756.900000000001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45906</v>
      </c>
      <c r="AK49" s="3">
        <v>45902</v>
      </c>
      <c r="AL49" s="3">
        <v>45895</v>
      </c>
      <c r="AM49" s="3">
        <v>45903</v>
      </c>
      <c r="AN49" s="3">
        <v>45904</v>
      </c>
      <c r="AO49" s="3">
        <v>45905</v>
      </c>
      <c r="AP49" s="3">
        <v>45901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45902</v>
      </c>
      <c r="B50" s="14" t="s">
        <v>438</v>
      </c>
      <c r="C50" s="9" t="s">
        <v>267</v>
      </c>
      <c r="D50" s="13" t="s">
        <v>428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45930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21513.800000000003</v>
      </c>
      <c r="AC50" s="8">
        <v>0</v>
      </c>
      <c r="AD50" s="8">
        <v>0</v>
      </c>
      <c r="AE50" s="8">
        <v>21513.800000000003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45930</v>
      </c>
      <c r="AK50" s="3">
        <v>45926</v>
      </c>
      <c r="AL50" s="3">
        <v>45919</v>
      </c>
      <c r="AM50" s="3">
        <v>45927</v>
      </c>
      <c r="AN50" s="3">
        <v>45928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45902</v>
      </c>
      <c r="B51" s="14" t="s">
        <v>439</v>
      </c>
      <c r="C51" s="9" t="s">
        <v>267</v>
      </c>
      <c r="D51" s="13" t="s">
        <v>429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45930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21513.800000000003</v>
      </c>
      <c r="AC51" s="8">
        <v>0</v>
      </c>
      <c r="AD51" s="8">
        <v>0</v>
      </c>
      <c r="AE51" s="8">
        <v>21513.800000000003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45930</v>
      </c>
      <c r="AK51" s="3">
        <v>45926</v>
      </c>
      <c r="AL51" s="3">
        <v>45919</v>
      </c>
      <c r="AM51" s="3">
        <v>45927</v>
      </c>
      <c r="AN51" s="3">
        <v>45928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45902</v>
      </c>
      <c r="B52" s="14" t="s">
        <v>438</v>
      </c>
      <c r="C52" s="9" t="s">
        <v>267</v>
      </c>
      <c r="D52" s="13" t="s">
        <v>430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45930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14096</v>
      </c>
      <c r="AC52" s="8">
        <v>7417.8000000000029</v>
      </c>
      <c r="AD52" s="8">
        <v>0</v>
      </c>
      <c r="AE52" s="8">
        <v>21513.800000000003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560.45600000000024</v>
      </c>
    </row>
    <row r="53" spans="1:56" ht="27.75" customHeight="1" x14ac:dyDescent="0.45">
      <c r="A53" s="3">
        <v>45902</v>
      </c>
      <c r="B53" s="14" t="s">
        <v>438</v>
      </c>
      <c r="C53" s="9" t="s">
        <v>267</v>
      </c>
      <c r="D53" s="13" t="s">
        <v>431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45930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45930</v>
      </c>
      <c r="AK53" s="3">
        <v>45926</v>
      </c>
      <c r="AL53" s="3">
        <v>45919</v>
      </c>
      <c r="AM53" s="3">
        <v>45927</v>
      </c>
      <c r="AN53" s="3">
        <v>45928</v>
      </c>
      <c r="AO53" s="3">
        <v>45929</v>
      </c>
      <c r="AP53" s="3">
        <v>45925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812.74355555555564</v>
      </c>
    </row>
    <row r="54" spans="1:56" ht="27.75" customHeight="1" x14ac:dyDescent="0.45">
      <c r="A54" s="3">
        <v>45902</v>
      </c>
      <c r="B54" s="14" t="s">
        <v>439</v>
      </c>
      <c r="C54" s="9" t="s">
        <v>267</v>
      </c>
      <c r="D54" s="13" t="s">
        <v>432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45930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80</v>
      </c>
      <c r="AA54" s="8">
        <v>10756.900000000001</v>
      </c>
      <c r="AB54" s="8">
        <v>0</v>
      </c>
      <c r="AC54" s="8">
        <v>10756.900000000001</v>
      </c>
      <c r="AD54" s="8">
        <v>0</v>
      </c>
      <c r="AE54" s="8">
        <v>10756.900000000001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812.74355555555564</v>
      </c>
    </row>
    <row r="55" spans="1:56" ht="27.75" customHeight="1" x14ac:dyDescent="0.45">
      <c r="A55" s="3">
        <v>45902</v>
      </c>
      <c r="B55" s="14" t="s">
        <v>440</v>
      </c>
      <c r="C55" s="9" t="s">
        <v>267</v>
      </c>
      <c r="D55" s="13" t="s">
        <v>433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10756.900000000001</v>
      </c>
      <c r="AB55" s="8">
        <v>0</v>
      </c>
      <c r="AC55" s="8">
        <v>10756.900000000001</v>
      </c>
      <c r="AD55" s="8">
        <v>0</v>
      </c>
      <c r="AE55" s="8">
        <v>10756.900000000001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812.74355555555564</v>
      </c>
    </row>
    <row r="56" spans="1:56" ht="27.75" customHeight="1" x14ac:dyDescent="0.45">
      <c r="A56" s="3">
        <v>45902</v>
      </c>
      <c r="B56" s="14" t="s">
        <v>440</v>
      </c>
      <c r="C56" s="9" t="s">
        <v>267</v>
      </c>
      <c r="D56" s="13" t="s">
        <v>434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5378.4500000000007</v>
      </c>
      <c r="AB56" s="8">
        <v>0</v>
      </c>
      <c r="AC56" s="8">
        <v>5378.4500000000007</v>
      </c>
      <c r="AD56" s="8">
        <v>0</v>
      </c>
      <c r="AE56" s="8">
        <v>5378.4500000000007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406.37177777777782</v>
      </c>
    </row>
    <row r="57" spans="1:56" ht="27.75" customHeight="1" x14ac:dyDescent="0.45">
      <c r="A57" s="3">
        <v>45902</v>
      </c>
      <c r="B57" s="14" t="s">
        <v>440</v>
      </c>
      <c r="C57" s="9" t="s">
        <v>267</v>
      </c>
      <c r="D57" s="13" t="s">
        <v>435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5378.4500000000007</v>
      </c>
      <c r="AB57" s="8">
        <v>0</v>
      </c>
      <c r="AC57" s="8">
        <v>5378.4500000000007</v>
      </c>
      <c r="AD57" s="8">
        <v>0</v>
      </c>
      <c r="AE57" s="8">
        <v>5378.4500000000007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406.37177777777782</v>
      </c>
    </row>
    <row r="58" spans="1:56" ht="27.75" customHeight="1" x14ac:dyDescent="0.45">
      <c r="A58" s="3">
        <v>45873</v>
      </c>
      <c r="B58" s="14" t="s">
        <v>308</v>
      </c>
      <c r="C58" s="9" t="s">
        <v>107</v>
      </c>
      <c r="D58" s="13" t="s">
        <v>309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45922</v>
      </c>
      <c r="U58" s="11">
        <v>4000</v>
      </c>
      <c r="V58" s="10">
        <v>0</v>
      </c>
      <c r="W58" s="10">
        <v>4000</v>
      </c>
      <c r="X58" s="10">
        <v>0</v>
      </c>
      <c r="Y58" s="10">
        <v>4200</v>
      </c>
      <c r="Z58" s="9" t="s">
        <v>80</v>
      </c>
      <c r="AA58" s="8">
        <v>4414.5199999999995</v>
      </c>
      <c r="AB58" s="8">
        <v>4414.5199999999995</v>
      </c>
      <c r="AC58" s="8">
        <v>0</v>
      </c>
      <c r="AD58" s="8">
        <v>4414.5199999999995</v>
      </c>
      <c r="AE58" s="8">
        <v>0</v>
      </c>
      <c r="AF58" s="8" t="s">
        <v>307</v>
      </c>
      <c r="AG58" s="1" t="s">
        <v>116</v>
      </c>
      <c r="AH58" s="1" t="s">
        <v>75</v>
      </c>
      <c r="AI58" s="1">
        <v>4</v>
      </c>
      <c r="AJ58" s="3">
        <v>45922</v>
      </c>
      <c r="AK58" s="3">
        <v>45918</v>
      </c>
      <c r="AL58" s="3">
        <v>45911</v>
      </c>
      <c r="AM58" s="3">
        <v>45919</v>
      </c>
      <c r="AN58" s="3">
        <v>45920</v>
      </c>
      <c r="AO58" s="3">
        <v>45921</v>
      </c>
      <c r="AP58" s="3">
        <v>45917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0</v>
      </c>
      <c r="Y60" s="10">
        <v>9450</v>
      </c>
      <c r="Z60" s="9" t="s">
        <v>80</v>
      </c>
      <c r="AA60" s="8">
        <v>9932.67</v>
      </c>
      <c r="AB60" s="8">
        <v>0</v>
      </c>
      <c r="AC60" s="8">
        <v>9932.67</v>
      </c>
      <c r="AD60" s="8">
        <v>0</v>
      </c>
      <c r="AE60" s="8">
        <v>9932.67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750.46839999999997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0</v>
      </c>
      <c r="AC61" s="8">
        <v>4414.5199999999995</v>
      </c>
      <c r="AD61" s="8">
        <v>0</v>
      </c>
      <c r="AE61" s="8">
        <v>4414.5199999999995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333.54151111111111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0</v>
      </c>
      <c r="W62" s="10">
        <v>9000</v>
      </c>
      <c r="X62" s="10">
        <v>0</v>
      </c>
      <c r="Y62" s="10">
        <v>9450</v>
      </c>
      <c r="Z62" s="9" t="s">
        <v>80</v>
      </c>
      <c r="AA62" s="8">
        <v>9932.67</v>
      </c>
      <c r="AB62" s="8">
        <v>0</v>
      </c>
      <c r="AC62" s="8">
        <v>9932.67</v>
      </c>
      <c r="AD62" s="8">
        <v>0</v>
      </c>
      <c r="AE62" s="8">
        <v>9932.67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750.46839999999997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>
        <v>45887</v>
      </c>
      <c r="B66" s="14" t="s">
        <v>345</v>
      </c>
      <c r="C66" s="9" t="s">
        <v>139</v>
      </c>
      <c r="D66" s="13" t="s">
        <v>224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 t="s">
        <v>63</v>
      </c>
      <c r="U66" s="11">
        <v>104</v>
      </c>
      <c r="V66" s="10">
        <v>0</v>
      </c>
      <c r="W66" s="10">
        <v>104</v>
      </c>
      <c r="X66" s="10">
        <v>11230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134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45896</v>
      </c>
      <c r="B67" s="14" t="s">
        <v>395</v>
      </c>
      <c r="C67" s="9" t="s">
        <v>79</v>
      </c>
      <c r="D67" s="13" t="s">
        <v>310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115</v>
      </c>
      <c r="AH67" s="1" t="s">
        <v>75</v>
      </c>
      <c r="AI67" s="1">
        <v>5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250.15613333333337</v>
      </c>
    </row>
    <row r="68" spans="1:56" ht="27.75" customHeight="1" x14ac:dyDescent="0.45">
      <c r="A68" s="3">
        <v>45896</v>
      </c>
      <c r="B68" s="14" t="s">
        <v>396</v>
      </c>
      <c r="C68" s="9" t="s">
        <v>79</v>
      </c>
      <c r="D68" s="13" t="s">
        <v>397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8000</v>
      </c>
      <c r="V68" s="10">
        <v>0</v>
      </c>
      <c r="W68" s="10">
        <v>8000</v>
      </c>
      <c r="X68" s="10">
        <v>0</v>
      </c>
      <c r="Y68" s="10">
        <v>8400</v>
      </c>
      <c r="Z68" s="9" t="s">
        <v>80</v>
      </c>
      <c r="AA68" s="8">
        <v>8829.0399999999991</v>
      </c>
      <c r="AB68" s="8">
        <v>0</v>
      </c>
      <c r="AC68" s="8">
        <v>8829.0399999999991</v>
      </c>
      <c r="AD68" s="8">
        <v>0</v>
      </c>
      <c r="AE68" s="8">
        <v>8829.0399999999991</v>
      </c>
      <c r="AF68" s="8">
        <v>0</v>
      </c>
      <c r="AG68" s="1" t="s">
        <v>115</v>
      </c>
      <c r="AH68" s="1" t="s">
        <v>75</v>
      </c>
      <c r="AI68" s="1">
        <v>5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667.08302222222221</v>
      </c>
    </row>
    <row r="69" spans="1:56" ht="27.75" customHeight="1" x14ac:dyDescent="0.45">
      <c r="A69" s="3">
        <v>45892</v>
      </c>
      <c r="B69" s="14" t="s">
        <v>365</v>
      </c>
      <c r="C69" s="9" t="s">
        <v>79</v>
      </c>
      <c r="D69" s="13" t="s">
        <v>220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500.31226666666674</v>
      </c>
    </row>
    <row r="70" spans="1:56" ht="27.75" customHeight="1" x14ac:dyDescent="0.45">
      <c r="A70" s="3">
        <v>45796</v>
      </c>
      <c r="B70" s="14" t="s">
        <v>258</v>
      </c>
      <c r="C70" s="9" t="s">
        <v>139</v>
      </c>
      <c r="D70" s="13" t="s">
        <v>145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240</v>
      </c>
      <c r="V70" s="10">
        <v>0</v>
      </c>
      <c r="W70" s="10">
        <v>240</v>
      </c>
      <c r="X70" s="10">
        <v>0</v>
      </c>
      <c r="Y70" s="10">
        <v>252</v>
      </c>
      <c r="Z70" s="9" t="s">
        <v>80</v>
      </c>
      <c r="AA70" s="8">
        <v>251.46</v>
      </c>
      <c r="AB70" s="8">
        <v>0</v>
      </c>
      <c r="AC70" s="8">
        <v>251.46</v>
      </c>
      <c r="AD70" s="8">
        <v>0</v>
      </c>
      <c r="AE70" s="8">
        <v>251.46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254</v>
      </c>
      <c r="AZ70" s="2">
        <v>0</v>
      </c>
      <c r="BA70" s="2">
        <v>0</v>
      </c>
      <c r="BB70" s="2">
        <v>0</v>
      </c>
      <c r="BC70" s="1" t="s">
        <v>104</v>
      </c>
      <c r="BD70" s="56">
        <v>18.999199999999998</v>
      </c>
    </row>
    <row r="71" spans="1:56" ht="27.75" customHeight="1" x14ac:dyDescent="0.45">
      <c r="A71" s="3">
        <v>45876</v>
      </c>
      <c r="B71" s="14" t="s">
        <v>328</v>
      </c>
      <c r="C71" s="9" t="s">
        <v>107</v>
      </c>
      <c r="D71" s="13" t="s">
        <v>314</v>
      </c>
      <c r="E71" s="9">
        <v>20</v>
      </c>
      <c r="F71" s="9">
        <v>40</v>
      </c>
      <c r="G71" s="9" t="s">
        <v>60</v>
      </c>
      <c r="H71" s="9" t="s">
        <v>66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3075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45877</v>
      </c>
      <c r="B72" s="14" t="s">
        <v>318</v>
      </c>
      <c r="C72" s="9" t="s">
        <v>79</v>
      </c>
      <c r="D72" s="13" t="s">
        <v>319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7000</v>
      </c>
      <c r="V72" s="10">
        <v>0</v>
      </c>
      <c r="W72" s="10">
        <v>7000</v>
      </c>
      <c r="X72" s="10">
        <v>0</v>
      </c>
      <c r="Y72" s="10">
        <v>7350</v>
      </c>
      <c r="Z72" s="9" t="s">
        <v>80</v>
      </c>
      <c r="AA72" s="8">
        <v>7725.41</v>
      </c>
      <c r="AB72" s="8">
        <v>0</v>
      </c>
      <c r="AC72" s="8">
        <v>7725.41</v>
      </c>
      <c r="AD72" s="8">
        <v>0</v>
      </c>
      <c r="AE72" s="8">
        <v>7725.41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583.69764444444445</v>
      </c>
    </row>
    <row r="73" spans="1:56" ht="27.75" customHeight="1" x14ac:dyDescent="0.45">
      <c r="A73" s="3" t="s">
        <v>135</v>
      </c>
      <c r="B73" s="14" t="s">
        <v>135</v>
      </c>
      <c r="C73" s="9" t="s">
        <v>270</v>
      </c>
      <c r="D73" s="13" t="s">
        <v>61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110363</v>
      </c>
      <c r="AB73" s="8">
        <v>0</v>
      </c>
      <c r="AC73" s="8">
        <v>110363</v>
      </c>
      <c r="AD73" s="8">
        <v>0</v>
      </c>
      <c r="AE73" s="8">
        <v>110363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8338.5377777777776</v>
      </c>
    </row>
    <row r="74" spans="1:56" ht="27.75" customHeight="1" x14ac:dyDescent="0.45">
      <c r="A74" s="3">
        <v>45825</v>
      </c>
      <c r="B74" s="14" t="s">
        <v>269</v>
      </c>
      <c r="C74" s="9" t="s">
        <v>139</v>
      </c>
      <c r="D74" s="13" t="s">
        <v>239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246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 t="s">
        <v>63</v>
      </c>
      <c r="U74" s="11">
        <v>894</v>
      </c>
      <c r="V74" s="10">
        <v>525</v>
      </c>
      <c r="W74" s="10">
        <v>369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45796</v>
      </c>
      <c r="B75" s="14" t="s">
        <v>256</v>
      </c>
      <c r="C75" s="9" t="s">
        <v>139</v>
      </c>
      <c r="D75" s="13" t="s">
        <v>251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366</v>
      </c>
      <c r="V75" s="10">
        <v>0</v>
      </c>
      <c r="W75" s="10">
        <v>366</v>
      </c>
      <c r="X75" s="10">
        <v>5113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45796</v>
      </c>
      <c r="B76" s="14" t="s">
        <v>257</v>
      </c>
      <c r="C76" s="9" t="s">
        <v>139</v>
      </c>
      <c r="D76" s="13" t="s">
        <v>253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302</v>
      </c>
      <c r="V76" s="10">
        <v>0</v>
      </c>
      <c r="W76" s="10">
        <v>302</v>
      </c>
      <c r="X76" s="10">
        <v>5300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45782</v>
      </c>
      <c r="B77" s="14" t="s">
        <v>249</v>
      </c>
      <c r="C77" s="9" t="s">
        <v>79</v>
      </c>
      <c r="D77" s="13" t="s">
        <v>243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416.92688888888887</v>
      </c>
    </row>
    <row r="78" spans="1:56" ht="27.75" customHeight="1" x14ac:dyDescent="0.45">
      <c r="A78" s="3">
        <v>45798</v>
      </c>
      <c r="B78" s="14" t="s">
        <v>263</v>
      </c>
      <c r="C78" s="9" t="s">
        <v>107</v>
      </c>
      <c r="D78" s="13" t="s">
        <v>261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416.92688888888887</v>
      </c>
    </row>
    <row r="79" spans="1:56" ht="27.75" customHeight="1" x14ac:dyDescent="0.45">
      <c r="A79" s="3">
        <v>45674</v>
      </c>
      <c r="B79" s="14" t="s">
        <v>226</v>
      </c>
      <c r="C79" s="9" t="s">
        <v>139</v>
      </c>
      <c r="D79" s="13" t="s">
        <v>225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196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152</v>
      </c>
      <c r="V79" s="10">
        <v>0</v>
      </c>
      <c r="W79" s="10">
        <v>152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5987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235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45611</v>
      </c>
      <c r="B80" s="14" t="s">
        <v>195</v>
      </c>
      <c r="C80" s="9" t="s">
        <v>139</v>
      </c>
      <c r="D80" s="13" t="s">
        <v>194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117</v>
      </c>
      <c r="V80" s="10">
        <v>0</v>
      </c>
      <c r="W80" s="10">
        <v>117</v>
      </c>
      <c r="X80" s="10">
        <v>10065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45523</v>
      </c>
      <c r="B81" s="14" t="s">
        <v>178</v>
      </c>
      <c r="C81" s="9" t="s">
        <v>139</v>
      </c>
      <c r="D81" s="13" t="s">
        <v>176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1260</v>
      </c>
      <c r="V81" s="10">
        <v>0</v>
      </c>
      <c r="W81" s="10">
        <v>1260</v>
      </c>
      <c r="X81" s="10">
        <v>11095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45523</v>
      </c>
      <c r="B82" s="14" t="s">
        <v>178</v>
      </c>
      <c r="C82" s="9" t="s">
        <v>139</v>
      </c>
      <c r="D82" s="13" t="s">
        <v>177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89</v>
      </c>
      <c r="V82" s="10">
        <v>0</v>
      </c>
      <c r="W82" s="10">
        <v>89</v>
      </c>
      <c r="X82" s="10">
        <v>11180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45799</v>
      </c>
      <c r="B83" s="14" t="s">
        <v>264</v>
      </c>
      <c r="C83" s="9" t="s">
        <v>259</v>
      </c>
      <c r="D83" s="13" t="s">
        <v>260</v>
      </c>
      <c r="E83" s="9">
        <v>20</v>
      </c>
      <c r="F83" s="9">
        <v>34</v>
      </c>
      <c r="G83" s="9" t="s">
        <v>60</v>
      </c>
      <c r="H83" s="9" t="s">
        <v>66</v>
      </c>
      <c r="I83" s="9">
        <v>95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132</v>
      </c>
      <c r="U83" s="11">
        <v>4000</v>
      </c>
      <c r="V83" s="10">
        <v>2840</v>
      </c>
      <c r="W83" s="10">
        <v>1160</v>
      </c>
      <c r="X83" s="10">
        <v>8450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210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45799</v>
      </c>
      <c r="B84" s="14" t="s">
        <v>264</v>
      </c>
      <c r="C84" s="9" t="s">
        <v>259</v>
      </c>
      <c r="D84" s="13" t="s">
        <v>358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132</v>
      </c>
      <c r="U84" s="11">
        <v>4000</v>
      </c>
      <c r="V84" s="10">
        <v>2654</v>
      </c>
      <c r="W84" s="10">
        <v>1346</v>
      </c>
      <c r="X84" s="10">
        <v>4000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210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45741</v>
      </c>
      <c r="B85" s="14" t="s">
        <v>242</v>
      </c>
      <c r="C85" s="9" t="s">
        <v>107</v>
      </c>
      <c r="D85" s="13" t="s">
        <v>241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4000</v>
      </c>
      <c r="V85" s="10">
        <v>3867</v>
      </c>
      <c r="W85" s="10">
        <v>133</v>
      </c>
      <c r="X85" s="10">
        <v>4200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244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45720</v>
      </c>
      <c r="B86" s="14" t="s">
        <v>128</v>
      </c>
      <c r="C86" s="9" t="s">
        <v>107</v>
      </c>
      <c r="D86" s="13" t="s">
        <v>209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132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45720</v>
      </c>
      <c r="B87" s="14" t="s">
        <v>128</v>
      </c>
      <c r="C87" s="9" t="s">
        <v>107</v>
      </c>
      <c r="D87" s="13" t="s">
        <v>219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132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45541</v>
      </c>
      <c r="B88" s="14" t="s">
        <v>182</v>
      </c>
      <c r="C88" s="9" t="s">
        <v>107</v>
      </c>
      <c r="D88" s="13" t="s">
        <v>183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184</v>
      </c>
      <c r="AG88" s="1" t="s">
        <v>61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222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45581</v>
      </c>
      <c r="B89" s="14" t="s">
        <v>187</v>
      </c>
      <c r="C89" s="9" t="s">
        <v>107</v>
      </c>
      <c r="D89" s="13" t="s">
        <v>188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3000</v>
      </c>
      <c r="V89" s="10">
        <v>3194</v>
      </c>
      <c r="W89" s="10">
        <v>0</v>
      </c>
      <c r="X89" s="10">
        <v>5632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38</v>
      </c>
      <c r="G90" s="9">
        <v>0</v>
      </c>
      <c r="H90" s="9">
        <v>0</v>
      </c>
      <c r="I90" s="9">
        <v>84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80</v>
      </c>
      <c r="AA90" s="8">
        <v>457503.53</v>
      </c>
      <c r="AB90" s="8">
        <v>86278.99000000002</v>
      </c>
      <c r="AC90" s="8">
        <v>371224.5400000001</v>
      </c>
      <c r="AD90" s="8">
        <v>7641.59</v>
      </c>
      <c r="AE90" s="8">
        <v>449861.94000000006</v>
      </c>
      <c r="AF90" s="8" t="s">
        <v>58</v>
      </c>
      <c r="AG90" s="1" t="s">
        <v>115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 t="s">
        <v>135</v>
      </c>
      <c r="B91" s="14" t="s">
        <v>135</v>
      </c>
      <c r="C91" s="9" t="s">
        <v>270</v>
      </c>
      <c r="D91" s="13" t="s">
        <v>61</v>
      </c>
      <c r="E91" s="9">
        <v>20</v>
      </c>
      <c r="F91" s="9">
        <v>39</v>
      </c>
      <c r="G91" s="9" t="s">
        <v>60</v>
      </c>
      <c r="H91" s="9">
        <v>0</v>
      </c>
      <c r="I91" s="9">
        <v>84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271</v>
      </c>
      <c r="AA91" s="8">
        <v>113157.00000000001</v>
      </c>
      <c r="AB91" s="8">
        <v>73689</v>
      </c>
      <c r="AC91" s="8">
        <v>39468.000000000015</v>
      </c>
      <c r="AD91" s="8">
        <v>0</v>
      </c>
      <c r="AE91" s="8">
        <v>0</v>
      </c>
      <c r="AF91" s="8">
        <v>0</v>
      </c>
      <c r="AG91" s="1" t="s">
        <v>115</v>
      </c>
      <c r="AH91" s="1" t="s">
        <v>74</v>
      </c>
      <c r="AI91" s="1">
        <v>2</v>
      </c>
      <c r="AJ91" s="3" t="s">
        <v>63</v>
      </c>
      <c r="AK91" s="3">
        <v>0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272</v>
      </c>
      <c r="BD91" s="56">
        <v>3109.2013333333348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38</v>
      </c>
      <c r="G92" s="9">
        <v>0</v>
      </c>
      <c r="H92" s="9">
        <v>0</v>
      </c>
      <c r="I92" s="9">
        <v>82</v>
      </c>
      <c r="J92" s="9" t="s">
        <v>78</v>
      </c>
      <c r="K92" s="9">
        <v>2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271</v>
      </c>
      <c r="AA92" s="8">
        <v>113157.00000000001</v>
      </c>
      <c r="AB92" s="8">
        <v>73689</v>
      </c>
      <c r="AC92" s="8">
        <v>39468.000000000015</v>
      </c>
      <c r="AD92" s="8">
        <v>0</v>
      </c>
      <c r="AE92" s="8">
        <v>0</v>
      </c>
      <c r="AF92" s="8" t="s">
        <v>58</v>
      </c>
      <c r="AG92" s="1" t="s">
        <v>115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273</v>
      </c>
      <c r="BD92" s="56">
        <v>0</v>
      </c>
    </row>
    <row r="93" spans="1:56" ht="27.75" customHeight="1" x14ac:dyDescent="0.45">
      <c r="A93" s="3">
        <v>45887</v>
      </c>
      <c r="B93" s="14" t="s">
        <v>348</v>
      </c>
      <c r="C93" s="9" t="s">
        <v>139</v>
      </c>
      <c r="D93" s="13" t="s">
        <v>268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45905</v>
      </c>
      <c r="U93" s="11">
        <v>6080</v>
      </c>
      <c r="V93" s="10">
        <v>6080</v>
      </c>
      <c r="W93" s="10">
        <v>0</v>
      </c>
      <c r="X93" s="10">
        <v>31160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117</v>
      </c>
      <c r="AH93" s="1" t="s">
        <v>74</v>
      </c>
      <c r="AI93" s="1">
        <v>2</v>
      </c>
      <c r="AJ93" s="3">
        <v>45905</v>
      </c>
      <c r="AK93" s="3">
        <v>0</v>
      </c>
      <c r="AL93" s="3">
        <v>45896</v>
      </c>
      <c r="AM93" s="3">
        <v>45903</v>
      </c>
      <c r="AN93" s="3">
        <v>45904</v>
      </c>
      <c r="AO93" s="3">
        <v>45904</v>
      </c>
      <c r="AP93" s="3">
        <v>45900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334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45896</v>
      </c>
      <c r="B94" s="14" t="s">
        <v>409</v>
      </c>
      <c r="C94" s="9" t="s">
        <v>73</v>
      </c>
      <c r="D94" s="13" t="s">
        <v>398</v>
      </c>
      <c r="E94" s="9">
        <v>20</v>
      </c>
      <c r="F94" s="9">
        <v>32</v>
      </c>
      <c r="G94" s="9" t="s">
        <v>60</v>
      </c>
      <c r="H94" s="9">
        <v>0</v>
      </c>
      <c r="I94" s="9">
        <v>72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141</v>
      </c>
      <c r="T94" s="12">
        <v>45906</v>
      </c>
      <c r="U94" s="11">
        <v>5000</v>
      </c>
      <c r="V94" s="10">
        <v>5000</v>
      </c>
      <c r="W94" s="10">
        <v>0</v>
      </c>
      <c r="X94" s="10">
        <v>5470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74</v>
      </c>
      <c r="AI94" s="1">
        <v>2</v>
      </c>
      <c r="AJ94" s="3">
        <v>45906</v>
      </c>
      <c r="AK94" s="3">
        <v>0</v>
      </c>
      <c r="AL94" s="3">
        <v>45897</v>
      </c>
      <c r="AM94" s="3">
        <v>45904</v>
      </c>
      <c r="AN94" s="3">
        <v>45905</v>
      </c>
      <c r="AO94" s="3">
        <v>45905</v>
      </c>
      <c r="AP94" s="3">
        <v>45901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45896</v>
      </c>
      <c r="B95" s="14" t="s">
        <v>409</v>
      </c>
      <c r="C95" s="9" t="s">
        <v>73</v>
      </c>
      <c r="D95" s="13" t="s">
        <v>399</v>
      </c>
      <c r="E95" s="9">
        <v>20</v>
      </c>
      <c r="F95" s="9">
        <v>32</v>
      </c>
      <c r="G95" s="9" t="s">
        <v>60</v>
      </c>
      <c r="H95" s="9">
        <v>0</v>
      </c>
      <c r="I95" s="9">
        <v>72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141</v>
      </c>
      <c r="T95" s="12">
        <v>45906</v>
      </c>
      <c r="U95" s="11">
        <v>5000</v>
      </c>
      <c r="V95" s="10">
        <v>5000</v>
      </c>
      <c r="W95" s="10">
        <v>0</v>
      </c>
      <c r="X95" s="10">
        <v>5400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74</v>
      </c>
      <c r="AI95" s="1">
        <v>2</v>
      </c>
      <c r="AJ95" s="3">
        <v>45906</v>
      </c>
      <c r="AK95" s="3">
        <v>0</v>
      </c>
      <c r="AL95" s="3">
        <v>45897</v>
      </c>
      <c r="AM95" s="3">
        <v>45904</v>
      </c>
      <c r="AN95" s="3">
        <v>45905</v>
      </c>
      <c r="AO95" s="3">
        <v>45905</v>
      </c>
      <c r="AP95" s="3">
        <v>45901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45892</v>
      </c>
      <c r="B96" s="14" t="s">
        <v>366</v>
      </c>
      <c r="C96" s="9" t="s">
        <v>139</v>
      </c>
      <c r="D96" s="13" t="s">
        <v>367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45908</v>
      </c>
      <c r="U96" s="11">
        <v>10000</v>
      </c>
      <c r="V96" s="10">
        <v>1196</v>
      </c>
      <c r="W96" s="10">
        <v>8804</v>
      </c>
      <c r="X96" s="10">
        <v>10696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117</v>
      </c>
      <c r="AH96" s="1" t="s">
        <v>74</v>
      </c>
      <c r="AI96" s="1">
        <v>2</v>
      </c>
      <c r="AJ96" s="3">
        <v>45908</v>
      </c>
      <c r="AK96" s="3">
        <v>0</v>
      </c>
      <c r="AL96" s="3">
        <v>45899</v>
      </c>
      <c r="AM96" s="3">
        <v>45906</v>
      </c>
      <c r="AN96" s="3">
        <v>45907</v>
      </c>
      <c r="AO96" s="3">
        <v>45907</v>
      </c>
      <c r="AP96" s="3">
        <v>45903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45887</v>
      </c>
      <c r="B97" s="14" t="s">
        <v>347</v>
      </c>
      <c r="C97" s="9" t="s">
        <v>139</v>
      </c>
      <c r="D97" s="13" t="s">
        <v>332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45915</v>
      </c>
      <c r="U97" s="11">
        <v>16374</v>
      </c>
      <c r="V97" s="10">
        <v>5040</v>
      </c>
      <c r="W97" s="10">
        <v>11334</v>
      </c>
      <c r="X97" s="10">
        <v>18825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119</v>
      </c>
      <c r="AH97" s="1" t="s">
        <v>74</v>
      </c>
      <c r="AI97" s="1">
        <v>2</v>
      </c>
      <c r="AJ97" s="3">
        <v>45915</v>
      </c>
      <c r="AK97" s="3">
        <v>0</v>
      </c>
      <c r="AL97" s="3">
        <v>45906</v>
      </c>
      <c r="AM97" s="3">
        <v>45913</v>
      </c>
      <c r="AN97" s="3">
        <v>45914</v>
      </c>
      <c r="AO97" s="3">
        <v>45914</v>
      </c>
      <c r="AP97" s="3">
        <v>45910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 t="s">
        <v>333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348</v>
      </c>
      <c r="C98" s="9" t="s">
        <v>139</v>
      </c>
      <c r="D98" s="13" t="s">
        <v>268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45919</v>
      </c>
      <c r="U98" s="11">
        <v>40000</v>
      </c>
      <c r="V98" s="10">
        <v>20000</v>
      </c>
      <c r="W98" s="10">
        <v>20000</v>
      </c>
      <c r="X98" s="10">
        <v>40982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61</v>
      </c>
      <c r="AH98" s="1" t="s">
        <v>74</v>
      </c>
      <c r="AI98" s="1">
        <v>2</v>
      </c>
      <c r="AJ98" s="3">
        <v>45919</v>
      </c>
      <c r="AK98" s="3">
        <v>0</v>
      </c>
      <c r="AL98" s="3">
        <v>45910</v>
      </c>
      <c r="AM98" s="3">
        <v>45917</v>
      </c>
      <c r="AN98" s="3">
        <v>45918</v>
      </c>
      <c r="AO98" s="3">
        <v>45918</v>
      </c>
      <c r="AP98" s="3">
        <v>45914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334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45922</v>
      </c>
      <c r="U99" s="11">
        <v>30000</v>
      </c>
      <c r="V99" s="10">
        <v>0</v>
      </c>
      <c r="W99" s="10">
        <v>30000</v>
      </c>
      <c r="X99" s="10">
        <v>31500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74</v>
      </c>
      <c r="AI99" s="1">
        <v>2</v>
      </c>
      <c r="AJ99" s="3">
        <v>45922</v>
      </c>
      <c r="AK99" s="3">
        <v>0</v>
      </c>
      <c r="AL99" s="3">
        <v>45913</v>
      </c>
      <c r="AM99" s="3">
        <v>45920</v>
      </c>
      <c r="AN99" s="3">
        <v>45921</v>
      </c>
      <c r="AO99" s="3">
        <v>45921</v>
      </c>
      <c r="AP99" s="3">
        <v>45917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45926</v>
      </c>
      <c r="U100" s="11">
        <v>20000</v>
      </c>
      <c r="V100" s="10">
        <v>0</v>
      </c>
      <c r="W100" s="10">
        <v>20000</v>
      </c>
      <c r="X100" s="10">
        <v>16526</v>
      </c>
      <c r="Y100" s="10">
        <v>3647.7000000000003</v>
      </c>
      <c r="Z100" s="9" t="s">
        <v>81</v>
      </c>
      <c r="AA100" s="8">
        <v>3821.8776750000006</v>
      </c>
      <c r="AB100" s="8">
        <v>3821.8776750000006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74</v>
      </c>
      <c r="AI100" s="1">
        <v>2</v>
      </c>
      <c r="AJ100" s="3">
        <v>45926</v>
      </c>
      <c r="AK100" s="3">
        <v>0</v>
      </c>
      <c r="AL100" s="3">
        <v>45917</v>
      </c>
      <c r="AM100" s="3">
        <v>45924</v>
      </c>
      <c r="AN100" s="3">
        <v>45925</v>
      </c>
      <c r="AO100" s="3">
        <v>45925</v>
      </c>
      <c r="AP100" s="3">
        <v>45921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139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67779</v>
      </c>
      <c r="AC101" s="8">
        <v>236068.5</v>
      </c>
      <c r="AD101" s="8">
        <v>0</v>
      </c>
      <c r="AE101" s="8">
        <v>0</v>
      </c>
      <c r="AF101" s="8" t="s">
        <v>210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18046.125333333333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307669.377675</v>
      </c>
      <c r="AB102" s="8">
        <v>71600.877674999996</v>
      </c>
      <c r="AC102" s="8">
        <v>236068.5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45903</v>
      </c>
      <c r="B103" s="14" t="s">
        <v>128</v>
      </c>
      <c r="C103" s="9" t="s">
        <v>441</v>
      </c>
      <c r="D103" s="13" t="s">
        <v>59</v>
      </c>
      <c r="E103" s="9">
        <v>21</v>
      </c>
      <c r="F103" s="9">
        <v>31</v>
      </c>
      <c r="G103" s="9" t="s">
        <v>60</v>
      </c>
      <c r="H103" s="9">
        <v>0</v>
      </c>
      <c r="I103" s="9">
        <v>60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123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0</v>
      </c>
      <c r="Z103" s="9" t="s">
        <v>130</v>
      </c>
      <c r="AA103" s="8">
        <v>4540.25</v>
      </c>
      <c r="AB103" s="8">
        <v>4540.25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77</v>
      </c>
      <c r="AI103" s="1">
        <v>1</v>
      </c>
      <c r="AJ103" s="3">
        <v>45906</v>
      </c>
      <c r="AK103" s="3">
        <v>0</v>
      </c>
      <c r="AL103" s="3">
        <v>0</v>
      </c>
      <c r="AM103" s="3">
        <v>0</v>
      </c>
      <c r="AN103" s="3">
        <v>0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 t="s">
        <v>442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130</v>
      </c>
      <c r="AA104" s="8">
        <v>4540.25</v>
      </c>
      <c r="AB104" s="8">
        <v>4540.25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45">
      <c r="A105" s="3">
        <v>45876</v>
      </c>
      <c r="B105" s="14" t="s">
        <v>324</v>
      </c>
      <c r="C105" s="9" t="s">
        <v>303</v>
      </c>
      <c r="D105" s="13" t="s">
        <v>311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45905</v>
      </c>
      <c r="U105" s="11">
        <v>20000</v>
      </c>
      <c r="V105" s="10">
        <v>20006</v>
      </c>
      <c r="W105" s="10">
        <v>0</v>
      </c>
      <c r="X105" s="10">
        <v>21000</v>
      </c>
      <c r="Y105" s="10">
        <v>0</v>
      </c>
      <c r="Z105" s="9" t="s">
        <v>120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45905</v>
      </c>
      <c r="AK105" s="3">
        <v>45901</v>
      </c>
      <c r="AL105" s="3">
        <v>45895</v>
      </c>
      <c r="AM105" s="3">
        <v>45902</v>
      </c>
      <c r="AN105" s="3">
        <v>45903</v>
      </c>
      <c r="AO105" s="3">
        <v>45903</v>
      </c>
      <c r="AP105" s="3">
        <v>45900</v>
      </c>
      <c r="AQ105" s="3">
        <v>45904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132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>
        <v>45876</v>
      </c>
      <c r="B106" s="14" t="s">
        <v>325</v>
      </c>
      <c r="C106" s="9" t="s">
        <v>303</v>
      </c>
      <c r="D106" s="13" t="s">
        <v>304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1.6065702062079996</v>
      </c>
      <c r="Q106" s="10">
        <v>0</v>
      </c>
      <c r="R106" s="10">
        <v>1.6065702062079996</v>
      </c>
      <c r="S106" s="9" t="s">
        <v>71</v>
      </c>
      <c r="T106" s="12">
        <v>45905</v>
      </c>
      <c r="U106" s="11">
        <v>10000</v>
      </c>
      <c r="V106" s="10">
        <v>9926</v>
      </c>
      <c r="W106" s="10">
        <v>74</v>
      </c>
      <c r="X106" s="10">
        <v>10500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45905</v>
      </c>
      <c r="AK106" s="3">
        <v>45901</v>
      </c>
      <c r="AL106" s="3">
        <v>45895</v>
      </c>
      <c r="AM106" s="3">
        <v>45902</v>
      </c>
      <c r="AN106" s="3">
        <v>45903</v>
      </c>
      <c r="AO106" s="3">
        <v>45903</v>
      </c>
      <c r="AP106" s="3">
        <v>45900</v>
      </c>
      <c r="AQ106" s="3">
        <v>45904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45892</v>
      </c>
      <c r="B107" s="14" t="s">
        <v>368</v>
      </c>
      <c r="C107" s="9" t="s">
        <v>79</v>
      </c>
      <c r="D107" s="13" t="s">
        <v>369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0</v>
      </c>
      <c r="Q107" s="10">
        <v>0</v>
      </c>
      <c r="R107" s="10">
        <v>0</v>
      </c>
      <c r="S107" s="9" t="s">
        <v>67</v>
      </c>
      <c r="T107" s="12">
        <v>45906</v>
      </c>
      <c r="U107" s="11">
        <v>3000</v>
      </c>
      <c r="V107" s="10">
        <v>3000</v>
      </c>
      <c r="W107" s="10">
        <v>0</v>
      </c>
      <c r="X107" s="10">
        <v>3100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45906</v>
      </c>
      <c r="AK107" s="3">
        <v>45902</v>
      </c>
      <c r="AL107" s="3">
        <v>45896</v>
      </c>
      <c r="AM107" s="3">
        <v>45903</v>
      </c>
      <c r="AN107" s="3">
        <v>45904</v>
      </c>
      <c r="AO107" s="3">
        <v>45904</v>
      </c>
      <c r="AP107" s="3">
        <v>45901</v>
      </c>
      <c r="AQ107" s="3">
        <v>45905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45876</v>
      </c>
      <c r="B108" s="14" t="s">
        <v>336</v>
      </c>
      <c r="C108" s="9" t="s">
        <v>107</v>
      </c>
      <c r="D108" s="13" t="s">
        <v>316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90</v>
      </c>
      <c r="M108" s="10">
        <v>22</v>
      </c>
      <c r="N108" s="9">
        <v>40</v>
      </c>
      <c r="O108" s="9">
        <v>40</v>
      </c>
      <c r="P108" s="10">
        <v>65.13122457599998</v>
      </c>
      <c r="Q108" s="10">
        <v>0</v>
      </c>
      <c r="R108" s="10">
        <v>65.13122457599998</v>
      </c>
      <c r="S108" s="9" t="s">
        <v>67</v>
      </c>
      <c r="T108" s="12">
        <v>45926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120</v>
      </c>
      <c r="AA108" s="8">
        <v>3310.89</v>
      </c>
      <c r="AB108" s="8">
        <v>3310.89</v>
      </c>
      <c r="AC108" s="8">
        <v>0</v>
      </c>
      <c r="AD108" s="8">
        <v>3310.89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45926</v>
      </c>
      <c r="AK108" s="3">
        <v>45922</v>
      </c>
      <c r="AL108" s="3">
        <v>45916</v>
      </c>
      <c r="AM108" s="3">
        <v>45923</v>
      </c>
      <c r="AN108" s="3">
        <v>45924</v>
      </c>
      <c r="AO108" s="3">
        <v>45924</v>
      </c>
      <c r="AP108" s="3">
        <v>45921</v>
      </c>
      <c r="AQ108" s="3">
        <v>45925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45631</v>
      </c>
      <c r="B109" s="14" t="s">
        <v>203</v>
      </c>
      <c r="C109" s="9" t="s">
        <v>109</v>
      </c>
      <c r="D109" s="13" t="s">
        <v>144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120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218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202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120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217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 t="s">
        <v>135</v>
      </c>
      <c r="B111" s="14" t="s">
        <v>443</v>
      </c>
      <c r="C111" s="9" t="s">
        <v>444</v>
      </c>
      <c r="D111" s="13" t="s">
        <v>445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45911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120</v>
      </c>
      <c r="AA111" s="8">
        <v>4000</v>
      </c>
      <c r="AB111" s="8">
        <v>4000</v>
      </c>
      <c r="AC111" s="8">
        <v>0</v>
      </c>
      <c r="AD111" s="8">
        <v>4000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45925</v>
      </c>
      <c r="AK111" s="3">
        <v>45921</v>
      </c>
      <c r="AL111" s="3">
        <v>45915</v>
      </c>
      <c r="AM111" s="3">
        <v>45922</v>
      </c>
      <c r="AN111" s="3">
        <v>45923</v>
      </c>
      <c r="AO111" s="3">
        <v>45923</v>
      </c>
      <c r="AP111" s="3">
        <v>45920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400</v>
      </c>
      <c r="C113" s="9" t="s">
        <v>107</v>
      </c>
      <c r="D113" s="13" t="s">
        <v>401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402</v>
      </c>
      <c r="C114" s="9" t="s">
        <v>107</v>
      </c>
      <c r="D114" s="13" t="s">
        <v>313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403</v>
      </c>
      <c r="C115" s="9" t="s">
        <v>107</v>
      </c>
      <c r="D115" s="13" t="s">
        <v>404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335</v>
      </c>
      <c r="C116" s="9" t="s">
        <v>107</v>
      </c>
      <c r="D116" s="13" t="s">
        <v>315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337</v>
      </c>
      <c r="C117" s="9" t="s">
        <v>107</v>
      </c>
      <c r="D117" s="13" t="s">
        <v>317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5398</v>
      </c>
      <c r="AC125" s="8">
        <v>24358.100000000002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1820.7679749999995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35154.100000000006</v>
      </c>
      <c r="AC126" s="8">
        <v>24358.100000000002</v>
      </c>
      <c r="AD126" s="8">
        <v>0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45727</v>
      </c>
      <c r="B127" s="14" t="s">
        <v>240</v>
      </c>
      <c r="C127" s="9" t="s">
        <v>111</v>
      </c>
      <c r="D127" s="13" t="s">
        <v>59</v>
      </c>
      <c r="E127" s="9">
        <v>23</v>
      </c>
      <c r="F127" s="9">
        <v>40</v>
      </c>
      <c r="G127" s="9" t="s">
        <v>60</v>
      </c>
      <c r="H127" s="9" t="s">
        <v>66</v>
      </c>
      <c r="I127" s="9">
        <v>125</v>
      </c>
      <c r="J127" s="9" t="s">
        <v>57</v>
      </c>
      <c r="K127" s="9">
        <v>5</v>
      </c>
      <c r="L127" s="9" t="s">
        <v>196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1000</v>
      </c>
      <c r="V127" s="10">
        <v>0</v>
      </c>
      <c r="W127" s="10">
        <v>1000</v>
      </c>
      <c r="X127" s="10">
        <v>0</v>
      </c>
      <c r="Y127" s="10">
        <v>0</v>
      </c>
      <c r="Z127" s="9" t="s">
        <v>213</v>
      </c>
      <c r="AA127" s="8">
        <v>1159.5100000000002</v>
      </c>
      <c r="AB127" s="8">
        <v>1159.5100000000002</v>
      </c>
      <c r="AC127" s="8">
        <v>0</v>
      </c>
      <c r="AD127" s="8">
        <v>1159.5100000000002</v>
      </c>
      <c r="AE127" s="8">
        <v>0</v>
      </c>
      <c r="AF127" s="8" t="s">
        <v>215</v>
      </c>
      <c r="AG127" s="1" t="s">
        <v>115</v>
      </c>
      <c r="AH127" s="1" t="s">
        <v>146</v>
      </c>
      <c r="AI127" s="1">
        <v>2</v>
      </c>
      <c r="AJ127" s="3" t="s">
        <v>63</v>
      </c>
      <c r="AK127" s="3" t="e">
        <v>#VALUE!</v>
      </c>
      <c r="AL127" s="3">
        <v>0</v>
      </c>
      <c r="AM127" s="3">
        <v>0</v>
      </c>
      <c r="AN127" s="3">
        <v>0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143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>
        <v>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213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214</v>
      </c>
      <c r="BD128" s="56">
        <v>0</v>
      </c>
    </row>
    <row r="129" spans="1:56" ht="27.75" customHeight="1" x14ac:dyDescent="0.45">
      <c r="A129" s="3">
        <v>45601</v>
      </c>
      <c r="B129" s="14" t="s">
        <v>193</v>
      </c>
      <c r="C129" s="9" t="s">
        <v>93</v>
      </c>
      <c r="D129" s="13" t="s">
        <v>142</v>
      </c>
      <c r="E129" s="9">
        <v>23</v>
      </c>
      <c r="F129" s="9">
        <v>37</v>
      </c>
      <c r="G129" s="9" t="s">
        <v>60</v>
      </c>
      <c r="H129" s="9">
        <v>0</v>
      </c>
      <c r="I129" s="9">
        <v>130</v>
      </c>
      <c r="J129" s="9" t="s">
        <v>57</v>
      </c>
      <c r="K129" s="9">
        <v>5</v>
      </c>
      <c r="L129" s="9" t="s">
        <v>91</v>
      </c>
      <c r="M129" s="10">
        <v>24</v>
      </c>
      <c r="N129" s="9">
        <v>40</v>
      </c>
      <c r="O129" s="9">
        <v>55</v>
      </c>
      <c r="P129" s="10">
        <v>3207.7128103679997</v>
      </c>
      <c r="Q129" s="10">
        <v>0</v>
      </c>
      <c r="R129" s="10">
        <v>3207.7128103679997</v>
      </c>
      <c r="S129" s="9" t="s">
        <v>299</v>
      </c>
      <c r="T129" s="12" t="s">
        <v>63</v>
      </c>
      <c r="U129" s="11">
        <v>100000</v>
      </c>
      <c r="V129" s="10">
        <v>1500</v>
      </c>
      <c r="W129" s="10">
        <v>98500</v>
      </c>
      <c r="X129" s="10">
        <v>0</v>
      </c>
      <c r="Y129" s="10">
        <v>103425</v>
      </c>
      <c r="Z129" s="9" t="s">
        <v>99</v>
      </c>
      <c r="AA129" s="8">
        <v>105955.465</v>
      </c>
      <c r="AB129" s="8">
        <v>7595</v>
      </c>
      <c r="AC129" s="8">
        <v>98360.464999999997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72</v>
      </c>
      <c r="AI129" s="1">
        <v>3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113</v>
      </c>
      <c r="BD129" s="56">
        <v>12600.330757068057</v>
      </c>
    </row>
    <row r="130" spans="1:56" ht="27.75" customHeight="1" x14ac:dyDescent="0.45">
      <c r="A130" s="3">
        <v>45601</v>
      </c>
      <c r="B130" s="14" t="s">
        <v>193</v>
      </c>
      <c r="C130" s="9" t="s">
        <v>93</v>
      </c>
      <c r="D130" s="13" t="s">
        <v>142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11003.203948644863</v>
      </c>
      <c r="Q130" s="10">
        <v>0</v>
      </c>
      <c r="R130" s="10">
        <v>11003.203948644863</v>
      </c>
      <c r="S130" s="9" t="s">
        <v>299</v>
      </c>
      <c r="T130" s="12" t="s">
        <v>63</v>
      </c>
      <c r="U130" s="11">
        <v>337878</v>
      </c>
      <c r="V130" s="10">
        <v>0</v>
      </c>
      <c r="W130" s="10">
        <v>337878</v>
      </c>
      <c r="X130" s="10">
        <v>0</v>
      </c>
      <c r="Y130" s="10">
        <v>354771.9</v>
      </c>
      <c r="Z130" s="9" t="s">
        <v>99</v>
      </c>
      <c r="AA130" s="8">
        <v>363451.98582000006</v>
      </c>
      <c r="AB130" s="8">
        <v>0</v>
      </c>
      <c r="AC130" s="8">
        <v>363451.98582000006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113</v>
      </c>
      <c r="BD130" s="56">
        <v>46559.511849046357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128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99</v>
      </c>
      <c r="AA131" s="8">
        <v>469407.45082000003</v>
      </c>
      <c r="AB131" s="8">
        <v>7595</v>
      </c>
      <c r="AC131" s="8">
        <v>461812.45082000003</v>
      </c>
      <c r="AD131" s="8">
        <v>0</v>
      </c>
      <c r="AE131" s="8">
        <v>0</v>
      </c>
      <c r="AF131" s="8" t="s">
        <v>58</v>
      </c>
      <c r="AG131" s="1" t="s">
        <v>115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114</v>
      </c>
      <c r="BD131" s="56">
        <v>0</v>
      </c>
    </row>
    <row r="132" spans="1:56" ht="27.75" customHeight="1" x14ac:dyDescent="0.45">
      <c r="A132" s="3">
        <v>45894</v>
      </c>
      <c r="B132" s="14" t="s">
        <v>374</v>
      </c>
      <c r="C132" s="9" t="s">
        <v>137</v>
      </c>
      <c r="D132" s="13" t="s">
        <v>59</v>
      </c>
      <c r="E132" s="9">
        <v>26</v>
      </c>
      <c r="F132" s="9">
        <v>39</v>
      </c>
      <c r="G132" s="9" t="s">
        <v>60</v>
      </c>
      <c r="H132" s="9">
        <v>0</v>
      </c>
      <c r="I132" s="9">
        <v>93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123</v>
      </c>
      <c r="T132" s="12">
        <v>45910</v>
      </c>
      <c r="U132" s="11">
        <v>5000</v>
      </c>
      <c r="V132" s="10">
        <v>1800</v>
      </c>
      <c r="W132" s="10">
        <v>3200</v>
      </c>
      <c r="X132" s="10">
        <v>0</v>
      </c>
      <c r="Y132" s="10">
        <v>0</v>
      </c>
      <c r="Z132" s="9" t="s">
        <v>84</v>
      </c>
      <c r="AA132" s="8">
        <v>3621.0239999999999</v>
      </c>
      <c r="AB132" s="8">
        <v>3621.0239999999999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45910</v>
      </c>
      <c r="AK132" s="3">
        <v>0</v>
      </c>
      <c r="AL132" s="3">
        <v>0</v>
      </c>
      <c r="AM132" s="3">
        <v>0</v>
      </c>
      <c r="AN132" s="3">
        <v>0</v>
      </c>
      <c r="AO132" s="3">
        <v>45909</v>
      </c>
      <c r="AP132" s="3">
        <v>45905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179</v>
      </c>
      <c r="D133" s="13" t="s">
        <v>61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229.14349009919997</v>
      </c>
      <c r="Q133" s="10">
        <v>0</v>
      </c>
      <c r="R133" s="10">
        <v>229.14349009919997</v>
      </c>
      <c r="S133" s="9" t="s">
        <v>185</v>
      </c>
      <c r="T133" s="12">
        <v>45930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84</v>
      </c>
      <c r="AA133" s="8">
        <v>9499.6</v>
      </c>
      <c r="AB133" s="8">
        <v>0</v>
      </c>
      <c r="AC133" s="8">
        <v>9499.6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>
        <v>45930</v>
      </c>
      <c r="AK133" s="3">
        <v>0</v>
      </c>
      <c r="AL133" s="3">
        <v>45920</v>
      </c>
      <c r="AM133" s="3">
        <v>45927</v>
      </c>
      <c r="AN133" s="3">
        <v>45928</v>
      </c>
      <c r="AO133" s="3">
        <v>45928</v>
      </c>
      <c r="AP133" s="3">
        <v>45925</v>
      </c>
      <c r="AQ133" s="3">
        <v>45929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767.03992444444452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13120.624</v>
      </c>
      <c r="AB134" s="8">
        <v>3621.0239999999999</v>
      </c>
      <c r="AC134" s="8">
        <v>9499.6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 t="s">
        <v>135</v>
      </c>
      <c r="B135" s="14" t="s">
        <v>135</v>
      </c>
      <c r="C135" s="9" t="s">
        <v>109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197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197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198</v>
      </c>
      <c r="BD136" s="56">
        <v>0</v>
      </c>
    </row>
    <row r="137" spans="1:56" ht="27.75" customHeight="1" x14ac:dyDescent="0.45">
      <c r="A137" s="3">
        <v>45901</v>
      </c>
      <c r="B137" s="14" t="s">
        <v>420</v>
      </c>
      <c r="C137" s="9" t="s">
        <v>109</v>
      </c>
      <c r="D137" s="13" t="s">
        <v>144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45908</v>
      </c>
      <c r="U137" s="11">
        <v>30000</v>
      </c>
      <c r="V137" s="10">
        <v>4000</v>
      </c>
      <c r="W137" s="10">
        <v>26000</v>
      </c>
      <c r="X137" s="10">
        <v>25240</v>
      </c>
      <c r="Y137" s="10">
        <v>4998</v>
      </c>
      <c r="Z137" s="9" t="s">
        <v>88</v>
      </c>
      <c r="AA137" s="8">
        <v>6214.1633400000001</v>
      </c>
      <c r="AB137" s="8">
        <v>6214.1633400000001</v>
      </c>
      <c r="AC137" s="8">
        <v>0</v>
      </c>
      <c r="AD137" s="8">
        <v>6214.1633400000001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436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45898</v>
      </c>
      <c r="B138" s="14" t="s">
        <v>413</v>
      </c>
      <c r="C138" s="9" t="s">
        <v>109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45909</v>
      </c>
      <c r="U138" s="11">
        <v>15000</v>
      </c>
      <c r="V138" s="10">
        <v>0</v>
      </c>
      <c r="W138" s="10">
        <v>15000</v>
      </c>
      <c r="X138" s="10">
        <v>0</v>
      </c>
      <c r="Y138" s="10">
        <v>0</v>
      </c>
      <c r="Z138" s="9" t="s">
        <v>88</v>
      </c>
      <c r="AA138" s="8">
        <v>18649.949999999997</v>
      </c>
      <c r="AB138" s="8">
        <v>18649.949999999997</v>
      </c>
      <c r="AC138" s="8">
        <v>0</v>
      </c>
      <c r="AD138" s="8">
        <v>8000</v>
      </c>
      <c r="AE138" s="8">
        <v>10649.949999999997</v>
      </c>
      <c r="AF138" s="8">
        <v>0</v>
      </c>
      <c r="AG138" s="1" t="s">
        <v>116</v>
      </c>
      <c r="AH138" s="1" t="s">
        <v>146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143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45898</v>
      </c>
      <c r="B139" s="14" t="s">
        <v>414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88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115</v>
      </c>
      <c r="AH139" s="1" t="s">
        <v>146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45901</v>
      </c>
      <c r="B140" s="14" t="s">
        <v>421</v>
      </c>
      <c r="C140" s="9" t="s">
        <v>109</v>
      </c>
      <c r="D140" s="13" t="s">
        <v>144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88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3846.8630200000002</v>
      </c>
    </row>
    <row r="141" spans="1:56" ht="27.75" customHeight="1" x14ac:dyDescent="0.45">
      <c r="A141" s="3">
        <v>45901</v>
      </c>
      <c r="B141" s="14" t="s">
        <v>422</v>
      </c>
      <c r="C141" s="9" t="s">
        <v>109</v>
      </c>
      <c r="D141" s="13" t="s">
        <v>144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88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117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1282.2876733333333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93247.26333999999</v>
      </c>
      <c r="AB142" s="8">
        <v>43514.063339999993</v>
      </c>
      <c r="AC142" s="8">
        <v>49733.2</v>
      </c>
      <c r="AD142" s="8">
        <v>14214.163339999999</v>
      </c>
      <c r="AE142" s="8">
        <v>79033.099999999991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45895</v>
      </c>
      <c r="B143" s="14" t="s">
        <v>375</v>
      </c>
      <c r="C143" s="9" t="s">
        <v>147</v>
      </c>
      <c r="D143" s="13" t="s">
        <v>148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3000</v>
      </c>
      <c r="W143" s="10">
        <v>10000</v>
      </c>
      <c r="X143" s="10">
        <v>53544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147</v>
      </c>
      <c r="D144" s="13" t="s">
        <v>148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10630</v>
      </c>
      <c r="AC144" s="8">
        <v>48742.5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5478.1154166666665</v>
      </c>
    </row>
    <row r="145" spans="1:56" ht="27.75" customHeight="1" x14ac:dyDescent="0.45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146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143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761.48529722222236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10630</v>
      </c>
      <c r="AC146" s="8">
        <v>55517.95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149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29C3-8943-4AD4-BC47-C1517939AAFB}">
  <sheetPr>
    <tabColor rgb="FFFFFF00"/>
  </sheetPr>
  <dimension ref="A1:BD156"/>
  <sheetViews>
    <sheetView topLeftCell="A5" zoomScale="80" zoomScaleNormal="80" workbookViewId="0">
      <selection activeCell="U16" sqref="U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45903</v>
      </c>
      <c r="E3" s="80" t="s">
        <v>52</v>
      </c>
      <c r="F3" s="80"/>
      <c r="G3" s="81">
        <v>10.28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116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424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735</v>
      </c>
      <c r="Y11" s="10">
        <v>4478.25</v>
      </c>
      <c r="Z11" s="9" t="s">
        <v>379</v>
      </c>
      <c r="AA11" s="8">
        <v>3315.7410825000002</v>
      </c>
      <c r="AB11" s="8">
        <v>0</v>
      </c>
      <c r="AC11" s="8">
        <v>3315.7410825000002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202.77598797866671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425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>
        <v>45925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10719.841082499999</v>
      </c>
      <c r="AB13" s="8">
        <v>0</v>
      </c>
      <c r="AC13" s="8">
        <v>10719.841082499999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426</v>
      </c>
      <c r="C16" s="9" t="s">
        <v>415</v>
      </c>
      <c r="D16" s="13" t="s">
        <v>416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417</v>
      </c>
      <c r="AA16" s="8">
        <v>3841.7500000000005</v>
      </c>
      <c r="AB16" s="8">
        <v>2000</v>
      </c>
      <c r="AC16" s="8">
        <v>1841.7500000000005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117.87200000000006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417</v>
      </c>
      <c r="AA17" s="8">
        <v>3841.7500000000005</v>
      </c>
      <c r="AB17" s="8">
        <v>2000</v>
      </c>
      <c r="AC17" s="8">
        <v>1841.7500000000005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418</v>
      </c>
      <c r="BD17" s="56">
        <v>0</v>
      </c>
    </row>
    <row r="18" spans="1:56" ht="27.75" customHeight="1" x14ac:dyDescent="0.45">
      <c r="A18" s="3">
        <v>45898</v>
      </c>
      <c r="B18" s="14" t="s">
        <v>407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408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115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5000</v>
      </c>
      <c r="W27" s="10">
        <v>0</v>
      </c>
      <c r="X27" s="10">
        <v>5500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10000</v>
      </c>
      <c r="W28" s="10">
        <v>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383</v>
      </c>
      <c r="C29" s="9" t="s">
        <v>73</v>
      </c>
      <c r="D29" s="13" t="s">
        <v>384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385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117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386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383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383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4500</v>
      </c>
      <c r="W38" s="10">
        <v>500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380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380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383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383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12401</v>
      </c>
      <c r="AC47" s="8">
        <v>240316.30000000002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18101.691788444445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290156.90000000002</v>
      </c>
      <c r="AB48" s="8">
        <v>49840.600000000006</v>
      </c>
      <c r="AC48" s="8">
        <v>240316.30000000002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45796</v>
      </c>
      <c r="B49" s="14" t="s">
        <v>255</v>
      </c>
      <c r="C49" s="9" t="s">
        <v>139</v>
      </c>
      <c r="D49" s="13" t="s">
        <v>250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 t="s">
        <v>63</v>
      </c>
      <c r="U49" s="11">
        <v>503</v>
      </c>
      <c r="V49" s="10">
        <v>0</v>
      </c>
      <c r="W49" s="10">
        <v>503</v>
      </c>
      <c r="X49" s="10">
        <v>5250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192</v>
      </c>
      <c r="BD50" s="56">
        <v>0</v>
      </c>
    </row>
    <row r="51" spans="1:56" ht="27.75" customHeight="1" x14ac:dyDescent="0.45">
      <c r="A51" s="3">
        <v>45887</v>
      </c>
      <c r="B51" s="14" t="s">
        <v>346</v>
      </c>
      <c r="C51" s="9" t="s">
        <v>139</v>
      </c>
      <c r="D51" s="13" t="s">
        <v>181</v>
      </c>
      <c r="E51" s="9">
        <v>20</v>
      </c>
      <c r="F51" s="9">
        <v>35</v>
      </c>
      <c r="G51" s="9" t="s">
        <v>60</v>
      </c>
      <c r="H51" s="9" t="s">
        <v>76</v>
      </c>
      <c r="I51" s="9">
        <v>97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5040</v>
      </c>
      <c r="W51" s="10">
        <v>0</v>
      </c>
      <c r="X51" s="10">
        <v>10200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388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134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45877</v>
      </c>
      <c r="B52" s="14" t="s">
        <v>318</v>
      </c>
      <c r="C52" s="9" t="s">
        <v>79</v>
      </c>
      <c r="D52" s="13" t="s">
        <v>319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45904</v>
      </c>
      <c r="U52" s="11">
        <v>3000</v>
      </c>
      <c r="V52" s="10">
        <v>3000</v>
      </c>
      <c r="W52" s="10">
        <v>0</v>
      </c>
      <c r="X52" s="10">
        <v>3300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45892</v>
      </c>
      <c r="B53" s="14" t="s">
        <v>371</v>
      </c>
      <c r="C53" s="9" t="s">
        <v>355</v>
      </c>
      <c r="D53" s="13" t="s">
        <v>356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357</v>
      </c>
      <c r="M53" s="10">
        <v>21</v>
      </c>
      <c r="N53" s="9">
        <v>33</v>
      </c>
      <c r="O53" s="9">
        <v>40</v>
      </c>
      <c r="P53" s="10">
        <v>0</v>
      </c>
      <c r="Q53" s="10">
        <v>0</v>
      </c>
      <c r="R53" s="10">
        <v>0</v>
      </c>
      <c r="S53" s="9" t="s">
        <v>71</v>
      </c>
      <c r="T53" s="12">
        <v>45905</v>
      </c>
      <c r="U53" s="11">
        <v>10000</v>
      </c>
      <c r="V53" s="10">
        <v>10000</v>
      </c>
      <c r="W53" s="10">
        <v>0</v>
      </c>
      <c r="X53" s="10">
        <v>10500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68</v>
      </c>
      <c r="AI53" s="1">
        <v>4</v>
      </c>
      <c r="AJ53" s="3">
        <v>45905</v>
      </c>
      <c r="AK53" s="3">
        <v>45901</v>
      </c>
      <c r="AL53" s="3">
        <v>45895</v>
      </c>
      <c r="AM53" s="3">
        <v>45902</v>
      </c>
      <c r="AN53" s="3">
        <v>45903</v>
      </c>
      <c r="AO53" s="3">
        <v>45903</v>
      </c>
      <c r="AP53" s="3">
        <v>45900</v>
      </c>
      <c r="AQ53" s="3">
        <v>45904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45850</v>
      </c>
      <c r="B54" s="14" t="s">
        <v>284</v>
      </c>
      <c r="C54" s="9" t="s">
        <v>107</v>
      </c>
      <c r="D54" s="13" t="s">
        <v>285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45905</v>
      </c>
      <c r="U54" s="11">
        <v>3000</v>
      </c>
      <c r="V54" s="10">
        <v>3000</v>
      </c>
      <c r="W54" s="10">
        <v>0</v>
      </c>
      <c r="X54" s="10">
        <v>3300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427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360</v>
      </c>
      <c r="C55" s="9" t="s">
        <v>139</v>
      </c>
      <c r="D55" s="13" t="s">
        <v>329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 t="s">
        <v>63</v>
      </c>
      <c r="U55" s="11">
        <v>640</v>
      </c>
      <c r="V55" s="10">
        <v>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370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45892</v>
      </c>
      <c r="B56" s="14" t="s">
        <v>362</v>
      </c>
      <c r="C56" s="9" t="s">
        <v>139</v>
      </c>
      <c r="D56" s="13" t="s">
        <v>131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45908</v>
      </c>
      <c r="U56" s="11">
        <v>1840</v>
      </c>
      <c r="V56" s="10">
        <v>80</v>
      </c>
      <c r="W56" s="10">
        <v>1760</v>
      </c>
      <c r="X56" s="10">
        <v>10650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45908</v>
      </c>
      <c r="AK56" s="3">
        <v>45904</v>
      </c>
      <c r="AL56" s="3">
        <v>45897</v>
      </c>
      <c r="AM56" s="3">
        <v>45905</v>
      </c>
      <c r="AN56" s="3">
        <v>45906</v>
      </c>
      <c r="AO56" s="3">
        <v>45907</v>
      </c>
      <c r="AP56" s="3">
        <v>45903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45782</v>
      </c>
      <c r="B57" s="14" t="s">
        <v>249</v>
      </c>
      <c r="C57" s="9" t="s">
        <v>79</v>
      </c>
      <c r="D57" s="13" t="s">
        <v>243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45909</v>
      </c>
      <c r="U57" s="11">
        <v>5000</v>
      </c>
      <c r="V57" s="10">
        <v>4473</v>
      </c>
      <c r="W57" s="10">
        <v>527</v>
      </c>
      <c r="X57" s="10">
        <v>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45909</v>
      </c>
      <c r="AK57" s="3">
        <v>45905</v>
      </c>
      <c r="AL57" s="3">
        <v>45898</v>
      </c>
      <c r="AM57" s="3">
        <v>45906</v>
      </c>
      <c r="AN57" s="3">
        <v>45907</v>
      </c>
      <c r="AO57" s="3">
        <v>45908</v>
      </c>
      <c r="AP57" s="3">
        <v>45904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128</v>
      </c>
      <c r="C58" s="9" t="s">
        <v>267</v>
      </c>
      <c r="D58" s="13" t="s">
        <v>428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45906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45906</v>
      </c>
      <c r="AK58" s="3">
        <v>45902</v>
      </c>
      <c r="AL58" s="3">
        <v>45895</v>
      </c>
      <c r="AM58" s="3">
        <v>45903</v>
      </c>
      <c r="AN58" s="3">
        <v>45904</v>
      </c>
      <c r="AO58" s="3">
        <v>45905</v>
      </c>
      <c r="AP58" s="3">
        <v>45901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128</v>
      </c>
      <c r="C59" s="9" t="s">
        <v>267</v>
      </c>
      <c r="D59" s="13" t="s">
        <v>429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45906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45906</v>
      </c>
      <c r="AK59" s="3">
        <v>45902</v>
      </c>
      <c r="AL59" s="3">
        <v>45895</v>
      </c>
      <c r="AM59" s="3">
        <v>45903</v>
      </c>
      <c r="AN59" s="3">
        <v>45904</v>
      </c>
      <c r="AO59" s="3">
        <v>45905</v>
      </c>
      <c r="AP59" s="3">
        <v>45901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128</v>
      </c>
      <c r="C60" s="9" t="s">
        <v>267</v>
      </c>
      <c r="D60" s="13" t="s">
        <v>428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21513.800000000003</v>
      </c>
      <c r="AB60" s="8">
        <v>2078</v>
      </c>
      <c r="AC60" s="8">
        <v>19435.800000000003</v>
      </c>
      <c r="AD60" s="8">
        <v>0</v>
      </c>
      <c r="AE60" s="8">
        <v>21513.800000000003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1468.4826666666668</v>
      </c>
    </row>
    <row r="61" spans="1:56" ht="27.75" customHeight="1" x14ac:dyDescent="0.45">
      <c r="A61" s="3">
        <v>45902</v>
      </c>
      <c r="B61" s="14" t="s">
        <v>128</v>
      </c>
      <c r="C61" s="9" t="s">
        <v>267</v>
      </c>
      <c r="D61" s="13" t="s">
        <v>429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6183</v>
      </c>
      <c r="AC61" s="8">
        <v>15330.800000000003</v>
      </c>
      <c r="AD61" s="8">
        <v>0</v>
      </c>
      <c r="AE61" s="8">
        <v>21513.800000000003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1158.3271111111112</v>
      </c>
    </row>
    <row r="62" spans="1:56" ht="27.75" customHeight="1" x14ac:dyDescent="0.45">
      <c r="A62" s="3">
        <v>45902</v>
      </c>
      <c r="B62" s="14" t="s">
        <v>128</v>
      </c>
      <c r="C62" s="9" t="s">
        <v>267</v>
      </c>
      <c r="D62" s="13" t="s">
        <v>430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21513.800000000003</v>
      </c>
      <c r="AB62" s="8">
        <v>0</v>
      </c>
      <c r="AC62" s="8">
        <v>21513.800000000003</v>
      </c>
      <c r="AD62" s="8">
        <v>0</v>
      </c>
      <c r="AE62" s="8">
        <v>21513.800000000003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1625.4871111111113</v>
      </c>
    </row>
    <row r="63" spans="1:56" ht="27.75" customHeight="1" x14ac:dyDescent="0.45">
      <c r="A63" s="3">
        <v>45902</v>
      </c>
      <c r="B63" s="14" t="s">
        <v>128</v>
      </c>
      <c r="C63" s="9" t="s">
        <v>267</v>
      </c>
      <c r="D63" s="13" t="s">
        <v>431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10756.900000000001</v>
      </c>
      <c r="AB63" s="8">
        <v>0</v>
      </c>
      <c r="AC63" s="8">
        <v>10756.900000000001</v>
      </c>
      <c r="AD63" s="8">
        <v>0</v>
      </c>
      <c r="AE63" s="8">
        <v>10756.900000000001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812.74355555555564</v>
      </c>
    </row>
    <row r="64" spans="1:56" ht="27.75" customHeight="1" x14ac:dyDescent="0.45">
      <c r="A64" s="3">
        <v>45902</v>
      </c>
      <c r="B64" s="14" t="s">
        <v>128</v>
      </c>
      <c r="C64" s="9" t="s">
        <v>267</v>
      </c>
      <c r="D64" s="13" t="s">
        <v>432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0</v>
      </c>
      <c r="AC64" s="8">
        <v>10756.900000000001</v>
      </c>
      <c r="AD64" s="8">
        <v>0</v>
      </c>
      <c r="AE64" s="8">
        <v>10756.900000000001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812.74355555555564</v>
      </c>
    </row>
    <row r="65" spans="1:56" ht="27.75" customHeight="1" x14ac:dyDescent="0.45">
      <c r="A65" s="3">
        <v>45902</v>
      </c>
      <c r="B65" s="14" t="s">
        <v>128</v>
      </c>
      <c r="C65" s="9" t="s">
        <v>267</v>
      </c>
      <c r="D65" s="13" t="s">
        <v>433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10756.900000000001</v>
      </c>
      <c r="AB65" s="8">
        <v>0</v>
      </c>
      <c r="AC65" s="8">
        <v>10756.900000000001</v>
      </c>
      <c r="AD65" s="8">
        <v>0</v>
      </c>
      <c r="AE65" s="8">
        <v>10756.900000000001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812.74355555555564</v>
      </c>
    </row>
    <row r="66" spans="1:56" ht="27.75" customHeight="1" x14ac:dyDescent="0.45">
      <c r="A66" s="3">
        <v>45902</v>
      </c>
      <c r="B66" s="14" t="s">
        <v>128</v>
      </c>
      <c r="C66" s="9" t="s">
        <v>267</v>
      </c>
      <c r="D66" s="13" t="s">
        <v>434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406.37177777777782</v>
      </c>
    </row>
    <row r="67" spans="1:56" ht="27.75" customHeight="1" x14ac:dyDescent="0.45">
      <c r="A67" s="3">
        <v>45902</v>
      </c>
      <c r="B67" s="14" t="s">
        <v>128</v>
      </c>
      <c r="C67" s="9" t="s">
        <v>267</v>
      </c>
      <c r="D67" s="13" t="s">
        <v>435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406.37177777777782</v>
      </c>
    </row>
    <row r="68" spans="1:56" ht="27.75" customHeight="1" x14ac:dyDescent="0.45">
      <c r="A68" s="3">
        <v>45873</v>
      </c>
      <c r="B68" s="14" t="s">
        <v>308</v>
      </c>
      <c r="C68" s="9" t="s">
        <v>107</v>
      </c>
      <c r="D68" s="13" t="s">
        <v>309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45922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80</v>
      </c>
      <c r="AA68" s="8">
        <v>4414.5199999999995</v>
      </c>
      <c r="AB68" s="8">
        <v>4414.5199999999995</v>
      </c>
      <c r="AC68" s="8">
        <v>0</v>
      </c>
      <c r="AD68" s="8">
        <v>0</v>
      </c>
      <c r="AE68" s="8">
        <v>4414.5199999999995</v>
      </c>
      <c r="AF68" s="8" t="s">
        <v>307</v>
      </c>
      <c r="AG68" s="1" t="s">
        <v>61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45925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45925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>
        <v>45892</v>
      </c>
      <c r="B72" s="14" t="s">
        <v>363</v>
      </c>
      <c r="C72" s="9" t="s">
        <v>79</v>
      </c>
      <c r="D72" s="13" t="s">
        <v>364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3227.07</v>
      </c>
      <c r="AB72" s="8">
        <v>3227.07</v>
      </c>
      <c r="AC72" s="8">
        <v>0</v>
      </c>
      <c r="AD72" s="8">
        <v>0</v>
      </c>
      <c r="AE72" s="8">
        <v>3227.07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389</v>
      </c>
      <c r="C73" s="9" t="s">
        <v>79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9932.67</v>
      </c>
      <c r="AC73" s="8">
        <v>0</v>
      </c>
      <c r="AD73" s="8">
        <v>0</v>
      </c>
      <c r="AE73" s="8">
        <v>9932.67</v>
      </c>
      <c r="AF73" s="8">
        <v>0</v>
      </c>
      <c r="AG73" s="1" t="s">
        <v>115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45891</v>
      </c>
      <c r="B74" s="14" t="s">
        <v>391</v>
      </c>
      <c r="C74" s="9" t="s">
        <v>79</v>
      </c>
      <c r="D74" s="13" t="s">
        <v>392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4414.5199999999995</v>
      </c>
      <c r="AC74" s="8">
        <v>0</v>
      </c>
      <c r="AD74" s="8">
        <v>0</v>
      </c>
      <c r="AE74" s="8">
        <v>4414.5199999999995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393</v>
      </c>
      <c r="C75" s="9" t="s">
        <v>79</v>
      </c>
      <c r="D75" s="13" t="s">
        <v>394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0</v>
      </c>
      <c r="W75" s="10">
        <v>9000</v>
      </c>
      <c r="X75" s="10">
        <v>0</v>
      </c>
      <c r="Y75" s="10">
        <v>9450</v>
      </c>
      <c r="Z75" s="9" t="s">
        <v>80</v>
      </c>
      <c r="AA75" s="8">
        <v>9932.67</v>
      </c>
      <c r="AB75" s="8">
        <v>5333</v>
      </c>
      <c r="AC75" s="8">
        <v>4599.67</v>
      </c>
      <c r="AD75" s="8">
        <v>0</v>
      </c>
      <c r="AE75" s="8">
        <v>9932.67</v>
      </c>
      <c r="AF75" s="8">
        <v>0</v>
      </c>
      <c r="AG75" s="1" t="s">
        <v>116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347.53062222222229</v>
      </c>
    </row>
    <row r="76" spans="1:56" ht="27.75" customHeight="1" x14ac:dyDescent="0.45">
      <c r="A76" s="3">
        <v>45887</v>
      </c>
      <c r="B76" s="14" t="s">
        <v>345</v>
      </c>
      <c r="C76" s="9" t="s">
        <v>139</v>
      </c>
      <c r="D76" s="13" t="s">
        <v>224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104</v>
      </c>
      <c r="V76" s="10">
        <v>0</v>
      </c>
      <c r="W76" s="10">
        <v>104</v>
      </c>
      <c r="X76" s="10">
        <v>11230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45896</v>
      </c>
      <c r="B77" s="14" t="s">
        <v>395</v>
      </c>
      <c r="C77" s="9" t="s">
        <v>79</v>
      </c>
      <c r="D77" s="13" t="s">
        <v>310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250.15613333333337</v>
      </c>
    </row>
    <row r="78" spans="1:56" ht="27.75" customHeight="1" x14ac:dyDescent="0.45">
      <c r="A78" s="3">
        <v>45896</v>
      </c>
      <c r="B78" s="14" t="s">
        <v>396</v>
      </c>
      <c r="C78" s="9" t="s">
        <v>79</v>
      </c>
      <c r="D78" s="13" t="s">
        <v>397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115</v>
      </c>
      <c r="AH78" s="1" t="s">
        <v>75</v>
      </c>
      <c r="AI78" s="1">
        <v>5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667.08302222222221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328</v>
      </c>
      <c r="C81" s="9" t="s">
        <v>107</v>
      </c>
      <c r="D81" s="13" t="s">
        <v>314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2840</v>
      </c>
      <c r="W93" s="10">
        <v>1160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358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2654</v>
      </c>
      <c r="W94" s="10">
        <v>1346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457503.53000000009</v>
      </c>
      <c r="AB100" s="8">
        <v>57096.579999999994</v>
      </c>
      <c r="AC100" s="8">
        <v>400406.95000000013</v>
      </c>
      <c r="AD100" s="8">
        <v>0</v>
      </c>
      <c r="AE100" s="8">
        <v>457503.53000000009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6080</v>
      </c>
      <c r="V103" s="10">
        <v>6080</v>
      </c>
      <c r="W103" s="10">
        <v>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119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398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409</v>
      </c>
      <c r="C105" s="9" t="s">
        <v>73</v>
      </c>
      <c r="D105" s="13" t="s">
        <v>399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366</v>
      </c>
      <c r="C106" s="9" t="s">
        <v>139</v>
      </c>
      <c r="D106" s="13" t="s">
        <v>367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6751</v>
      </c>
      <c r="Y106" s="10">
        <v>3411.4500000000003</v>
      </c>
      <c r="Z106" s="9" t="s">
        <v>81</v>
      </c>
      <c r="AA106" s="8">
        <v>3574.3467375000009</v>
      </c>
      <c r="AB106" s="8">
        <v>3574.3467375000009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347</v>
      </c>
      <c r="C107" s="9" t="s">
        <v>139</v>
      </c>
      <c r="D107" s="13" t="s">
        <v>332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16374</v>
      </c>
      <c r="V107" s="10">
        <v>5040</v>
      </c>
      <c r="W107" s="10">
        <v>11334</v>
      </c>
      <c r="X107" s="10">
        <v>18825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348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20000</v>
      </c>
      <c r="W108" s="10">
        <v>20000</v>
      </c>
      <c r="X108" s="10">
        <v>40982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334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119419</v>
      </c>
      <c r="AC111" s="8">
        <v>184428.5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14098.534222222223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364489.2967375</v>
      </c>
      <c r="AB112" s="8">
        <v>180060.7967375</v>
      </c>
      <c r="AC112" s="8">
        <v>184428.5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324</v>
      </c>
      <c r="C113" s="9" t="s">
        <v>303</v>
      </c>
      <c r="D113" s="13" t="s">
        <v>311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325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368</v>
      </c>
      <c r="C115" s="9" t="s">
        <v>79</v>
      </c>
      <c r="D115" s="13" t="s">
        <v>369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0</v>
      </c>
      <c r="Q115" s="10">
        <v>0</v>
      </c>
      <c r="R115" s="10">
        <v>0</v>
      </c>
      <c r="S115" s="9" t="s">
        <v>67</v>
      </c>
      <c r="T115" s="12">
        <v>45904</v>
      </c>
      <c r="U115" s="11">
        <v>3000</v>
      </c>
      <c r="V115" s="10">
        <v>3000</v>
      </c>
      <c r="W115" s="10">
        <v>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400</v>
      </c>
      <c r="C120" s="9" t="s">
        <v>107</v>
      </c>
      <c r="D120" s="13" t="s">
        <v>401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402</v>
      </c>
      <c r="C121" s="9" t="s">
        <v>107</v>
      </c>
      <c r="D121" s="13" t="s">
        <v>313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403</v>
      </c>
      <c r="C122" s="9" t="s">
        <v>107</v>
      </c>
      <c r="D122" s="13" t="s">
        <v>404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335</v>
      </c>
      <c r="C123" s="9" t="s">
        <v>107</v>
      </c>
      <c r="D123" s="13" t="s">
        <v>315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337</v>
      </c>
      <c r="C124" s="9" t="s">
        <v>107</v>
      </c>
      <c r="D124" s="13" t="s">
        <v>317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419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45909</v>
      </c>
      <c r="U134" s="11">
        <v>5000</v>
      </c>
      <c r="V134" s="10">
        <v>5000</v>
      </c>
      <c r="W134" s="10">
        <v>0</v>
      </c>
      <c r="X134" s="10">
        <v>0</v>
      </c>
      <c r="Y134" s="10">
        <v>0</v>
      </c>
      <c r="Z134" s="9" t="s">
        <v>411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312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412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412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45904</v>
      </c>
      <c r="U141" s="11">
        <v>5000</v>
      </c>
      <c r="V141" s="10">
        <v>1800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3621.0239999999999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45904</v>
      </c>
      <c r="AK141" s="3">
        <v>0</v>
      </c>
      <c r="AL141" s="3">
        <v>0</v>
      </c>
      <c r="AM141" s="3">
        <v>0</v>
      </c>
      <c r="AN141" s="3">
        <v>0</v>
      </c>
      <c r="AO141" s="3">
        <v>45903</v>
      </c>
      <c r="AP141" s="3">
        <v>45899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3621.0239999999999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>
        <v>45901</v>
      </c>
      <c r="B146" s="14" t="s">
        <v>420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30000</v>
      </c>
      <c r="V146" s="10">
        <v>0</v>
      </c>
      <c r="W146" s="10">
        <v>30000</v>
      </c>
      <c r="X146" s="10">
        <v>3250</v>
      </c>
      <c r="Y146" s="10">
        <v>28087.5</v>
      </c>
      <c r="Z146" s="9" t="s">
        <v>88</v>
      </c>
      <c r="AA146" s="8">
        <v>34922.031374999999</v>
      </c>
      <c r="AB146" s="8">
        <v>34922.031374999999</v>
      </c>
      <c r="AC146" s="8">
        <v>0</v>
      </c>
      <c r="AD146" s="8">
        <v>0</v>
      </c>
      <c r="AE146" s="8">
        <v>34922.031374999999</v>
      </c>
      <c r="AF146" s="8">
        <v>0</v>
      </c>
      <c r="AG146" s="1" t="s">
        <v>116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436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413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116</v>
      </c>
      <c r="AH147" s="1" t="s">
        <v>146</v>
      </c>
      <c r="AI147" s="1">
        <v>2</v>
      </c>
      <c r="AJ147" s="3">
        <v>45909</v>
      </c>
      <c r="AK147" s="3">
        <v>45907</v>
      </c>
      <c r="AL147" s="3">
        <v>0</v>
      </c>
      <c r="AM147" s="3">
        <v>0</v>
      </c>
      <c r="AN147" s="3">
        <v>0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414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146</v>
      </c>
      <c r="AI148" s="1">
        <v>2</v>
      </c>
      <c r="AJ148" s="3">
        <v>45917</v>
      </c>
      <c r="AK148" s="3">
        <v>45915</v>
      </c>
      <c r="AL148" s="3">
        <v>0</v>
      </c>
      <c r="AM148" s="3">
        <v>0</v>
      </c>
      <c r="AN148" s="3">
        <v>0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143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45901</v>
      </c>
      <c r="B149" s="14" t="s">
        <v>421</v>
      </c>
      <c r="C149" s="9" t="s">
        <v>109</v>
      </c>
      <c r="D149" s="13" t="s">
        <v>144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45930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88</v>
      </c>
      <c r="AA149" s="8">
        <v>37299.899999999994</v>
      </c>
      <c r="AB149" s="8">
        <v>0</v>
      </c>
      <c r="AC149" s="8">
        <v>37299.899999999994</v>
      </c>
      <c r="AD149" s="8">
        <v>0</v>
      </c>
      <c r="AE149" s="8">
        <v>37299.899999999994</v>
      </c>
      <c r="AF149" s="8">
        <v>0</v>
      </c>
      <c r="AG149" s="1" t="s">
        <v>115</v>
      </c>
      <c r="AH149" s="1" t="s">
        <v>75</v>
      </c>
      <c r="AI149" s="1">
        <v>4</v>
      </c>
      <c r="AJ149" s="3">
        <v>45930</v>
      </c>
      <c r="AK149" s="3">
        <v>45926</v>
      </c>
      <c r="AL149" s="3">
        <v>45919</v>
      </c>
      <c r="AM149" s="3">
        <v>45927</v>
      </c>
      <c r="AN149" s="3">
        <v>45928</v>
      </c>
      <c r="AO149" s="3">
        <v>45929</v>
      </c>
      <c r="AP149" s="3">
        <v>45925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3846.8630200000002</v>
      </c>
    </row>
    <row r="150" spans="1:56" ht="27.75" customHeight="1" x14ac:dyDescent="0.45">
      <c r="A150" s="3">
        <v>45901</v>
      </c>
      <c r="B150" s="14" t="s">
        <v>422</v>
      </c>
      <c r="C150" s="9" t="s">
        <v>109</v>
      </c>
      <c r="D150" s="13" t="s">
        <v>144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45945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88</v>
      </c>
      <c r="AA150" s="8">
        <v>12433.3</v>
      </c>
      <c r="AB150" s="8">
        <v>0</v>
      </c>
      <c r="AC150" s="8">
        <v>12433.3</v>
      </c>
      <c r="AD150" s="8">
        <v>0</v>
      </c>
      <c r="AE150" s="8">
        <v>12433.3</v>
      </c>
      <c r="AF150" s="8">
        <v>0</v>
      </c>
      <c r="AG150" s="1" t="s">
        <v>115</v>
      </c>
      <c r="AH150" s="1" t="s">
        <v>75</v>
      </c>
      <c r="AI150" s="1">
        <v>4</v>
      </c>
      <c r="AJ150" s="3">
        <v>45945</v>
      </c>
      <c r="AK150" s="3">
        <v>45941</v>
      </c>
      <c r="AL150" s="3">
        <v>45934</v>
      </c>
      <c r="AM150" s="3">
        <v>45942</v>
      </c>
      <c r="AN150" s="3">
        <v>45943</v>
      </c>
      <c r="AO150" s="3">
        <v>45944</v>
      </c>
      <c r="AP150" s="3">
        <v>45940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1282.2876733333333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121955.13137499998</v>
      </c>
      <c r="AB151" s="8">
        <v>72221.931374999986</v>
      </c>
      <c r="AC151" s="8">
        <v>49733.2</v>
      </c>
      <c r="AD151" s="8">
        <v>0</v>
      </c>
      <c r="AE151" s="8">
        <v>121955.13137499998</v>
      </c>
      <c r="AF151" s="8" t="s">
        <v>58</v>
      </c>
      <c r="AG151" s="1" t="s">
        <v>117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45857</v>
      </c>
      <c r="B152" s="14" t="s">
        <v>300</v>
      </c>
      <c r="C152" s="9" t="s">
        <v>147</v>
      </c>
      <c r="D152" s="13" t="s">
        <v>148</v>
      </c>
      <c r="E152" s="9">
        <v>28</v>
      </c>
      <c r="F152" s="9">
        <v>41</v>
      </c>
      <c r="G152" s="9" t="s">
        <v>60</v>
      </c>
      <c r="H152" s="9">
        <v>0</v>
      </c>
      <c r="I152" s="9">
        <v>120</v>
      </c>
      <c r="J152" s="9" t="s">
        <v>78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45909</v>
      </c>
      <c r="U152" s="11">
        <v>3000</v>
      </c>
      <c r="V152" s="10">
        <v>2841</v>
      </c>
      <c r="W152" s="10">
        <v>159</v>
      </c>
      <c r="X152" s="10">
        <v>34283</v>
      </c>
      <c r="Y152" s="10">
        <v>0</v>
      </c>
      <c r="Z152" s="9" t="s">
        <v>127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118</v>
      </c>
      <c r="AH152" s="1" t="s">
        <v>74</v>
      </c>
      <c r="AI152" s="1">
        <v>2</v>
      </c>
      <c r="AJ152" s="3">
        <v>45909</v>
      </c>
      <c r="AK152" s="3">
        <v>0</v>
      </c>
      <c r="AL152" s="3">
        <v>45900</v>
      </c>
      <c r="AM152" s="3">
        <v>45907</v>
      </c>
      <c r="AN152" s="3">
        <v>45908</v>
      </c>
      <c r="AO152" s="3">
        <v>45908</v>
      </c>
      <c r="AP152" s="3">
        <v>45904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7.75" customHeight="1" x14ac:dyDescent="0.45">
      <c r="A153" s="3">
        <v>45895</v>
      </c>
      <c r="B153" s="14" t="s">
        <v>375</v>
      </c>
      <c r="C153" s="9" t="s">
        <v>147</v>
      </c>
      <c r="D153" s="13" t="s">
        <v>148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45909</v>
      </c>
      <c r="U153" s="11">
        <v>50000</v>
      </c>
      <c r="V153" s="10">
        <v>30000</v>
      </c>
      <c r="W153" s="10">
        <v>20000</v>
      </c>
      <c r="X153" s="10">
        <v>53544</v>
      </c>
      <c r="Y153" s="10">
        <v>0</v>
      </c>
      <c r="Z153" s="9" t="s">
        <v>127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45909</v>
      </c>
      <c r="AK153" s="3">
        <v>0</v>
      </c>
      <c r="AL153" s="3">
        <v>45900</v>
      </c>
      <c r="AM153" s="3">
        <v>45907</v>
      </c>
      <c r="AN153" s="3">
        <v>45908</v>
      </c>
      <c r="AO153" s="3">
        <v>45908</v>
      </c>
      <c r="AP153" s="3">
        <v>45904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147</v>
      </c>
      <c r="D154" s="13" t="s">
        <v>148</v>
      </c>
      <c r="E154" s="9">
        <v>28</v>
      </c>
      <c r="F154" s="9">
        <v>41</v>
      </c>
      <c r="G154" s="9" t="s">
        <v>60</v>
      </c>
      <c r="H154" s="9">
        <v>0</v>
      </c>
      <c r="I154" s="9">
        <v>120</v>
      </c>
      <c r="J154" s="9" t="s">
        <v>78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45920</v>
      </c>
      <c r="U154" s="11">
        <v>50000</v>
      </c>
      <c r="V154" s="10">
        <v>0</v>
      </c>
      <c r="W154" s="10">
        <v>50000</v>
      </c>
      <c r="X154" s="10">
        <v>0</v>
      </c>
      <c r="Y154" s="10">
        <v>52500</v>
      </c>
      <c r="Z154" s="9" t="s">
        <v>127</v>
      </c>
      <c r="AA154" s="8">
        <v>59372.5</v>
      </c>
      <c r="AB154" s="8">
        <v>1490</v>
      </c>
      <c r="AC154" s="8">
        <v>57882.5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45920</v>
      </c>
      <c r="AK154" s="3">
        <v>0</v>
      </c>
      <c r="AL154" s="3">
        <v>45911</v>
      </c>
      <c r="AM154" s="3">
        <v>45918</v>
      </c>
      <c r="AN154" s="3">
        <v>45919</v>
      </c>
      <c r="AO154" s="3">
        <v>45919</v>
      </c>
      <c r="AP154" s="3">
        <v>45915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6505.3498611111108</v>
      </c>
    </row>
    <row r="155" spans="1:56" ht="27.75" customHeight="1" x14ac:dyDescent="0.45">
      <c r="A155" s="3" t="s">
        <v>135</v>
      </c>
      <c r="B155" s="14" t="s">
        <v>135</v>
      </c>
      <c r="C155" s="9" t="s">
        <v>109</v>
      </c>
      <c r="D155" s="13" t="s">
        <v>59</v>
      </c>
      <c r="E155" s="9">
        <v>28</v>
      </c>
      <c r="F155" s="9">
        <v>47</v>
      </c>
      <c r="G155" s="9" t="s">
        <v>60</v>
      </c>
      <c r="H155" s="9" t="s">
        <v>66</v>
      </c>
      <c r="I155" s="9">
        <v>180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45925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127</v>
      </c>
      <c r="AA155" s="8">
        <v>6775.4500000000007</v>
      </c>
      <c r="AB155" s="8">
        <v>6775.4500000000007</v>
      </c>
      <c r="AC155" s="8">
        <v>0</v>
      </c>
      <c r="AD155" s="8">
        <v>0</v>
      </c>
      <c r="AE155" s="8">
        <v>6775.4500000000007</v>
      </c>
      <c r="AF155" s="8">
        <v>0</v>
      </c>
      <c r="AG155" s="1">
        <v>0</v>
      </c>
      <c r="AH155" s="1" t="s">
        <v>146</v>
      </c>
      <c r="AI155" s="1">
        <v>2</v>
      </c>
      <c r="AJ155" s="3">
        <v>45925</v>
      </c>
      <c r="AK155" s="3">
        <v>45923</v>
      </c>
      <c r="AL155" s="3">
        <v>0</v>
      </c>
      <c r="AM155" s="3">
        <v>0</v>
      </c>
      <c r="AN155" s="3">
        <v>0</v>
      </c>
      <c r="AO155" s="3">
        <v>45924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28</v>
      </c>
      <c r="F156" s="9">
        <v>43</v>
      </c>
      <c r="G156" s="9">
        <v>0</v>
      </c>
      <c r="H156" s="9">
        <v>0</v>
      </c>
      <c r="I156" s="9">
        <v>130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127</v>
      </c>
      <c r="AA156" s="8">
        <v>66147.95</v>
      </c>
      <c r="AB156" s="8">
        <v>8265.4500000000007</v>
      </c>
      <c r="AC156" s="8">
        <v>57882.5</v>
      </c>
      <c r="AD156" s="8">
        <v>0</v>
      </c>
      <c r="AE156" s="8">
        <v>6775.4500000000007</v>
      </c>
      <c r="AF156" s="8" t="s">
        <v>58</v>
      </c>
      <c r="AG156" s="1">
        <v>0</v>
      </c>
      <c r="AH156" s="1">
        <v>0</v>
      </c>
      <c r="AI156" s="1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149</v>
      </c>
      <c r="BD156" s="56">
        <v>0</v>
      </c>
    </row>
  </sheetData>
  <autoFilter ref="A5:BD15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6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636A-3249-4789-8CE9-07AB613B6F20}">
  <sheetPr>
    <tabColor rgb="FFFFFF00"/>
  </sheetPr>
  <dimension ref="A1:BD148"/>
  <sheetViews>
    <sheetView zoomScale="80" zoomScaleNormal="80" workbookViewId="0">
      <selection activeCell="R19" sqref="R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45902</v>
      </c>
      <c r="E3" s="80" t="s">
        <v>52</v>
      </c>
      <c r="F3" s="80"/>
      <c r="G3" s="81">
        <v>10.01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128</v>
      </c>
      <c r="C16" s="9" t="s">
        <v>415</v>
      </c>
      <c r="D16" s="13" t="s">
        <v>416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417</v>
      </c>
      <c r="AA16" s="8">
        <v>3841.7500000000005</v>
      </c>
      <c r="AB16" s="8">
        <v>0</v>
      </c>
      <c r="AC16" s="8">
        <v>3841.7500000000005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245.8720000000001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417</v>
      </c>
      <c r="AA17" s="8">
        <v>3841.7500000000005</v>
      </c>
      <c r="AB17" s="8">
        <v>0</v>
      </c>
      <c r="AC17" s="8">
        <v>3841.7500000000005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418</v>
      </c>
      <c r="BD17" s="56">
        <v>0</v>
      </c>
    </row>
    <row r="18" spans="1:56" ht="27.75" customHeight="1" x14ac:dyDescent="0.45">
      <c r="A18" s="3">
        <v>45898</v>
      </c>
      <c r="B18" s="14" t="s">
        <v>407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408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117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117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1930</v>
      </c>
      <c r="Y26" s="10">
        <v>3223.5</v>
      </c>
      <c r="Z26" s="9" t="s">
        <v>172</v>
      </c>
      <c r="AA26" s="8">
        <v>3017.1637650000002</v>
      </c>
      <c r="AB26" s="8">
        <v>3017.1637650000002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6500</v>
      </c>
      <c r="W28" s="10">
        <v>3500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383</v>
      </c>
      <c r="C29" s="9" t="s">
        <v>73</v>
      </c>
      <c r="D29" s="13" t="s">
        <v>384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385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386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117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383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383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3000</v>
      </c>
      <c r="W38" s="10">
        <v>2000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380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380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383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383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180</v>
      </c>
      <c r="Y46" s="10">
        <v>5061</v>
      </c>
      <c r="Z46" s="9" t="s">
        <v>172</v>
      </c>
      <c r="AA46" s="8">
        <v>4737.0453900000002</v>
      </c>
      <c r="AB46" s="8">
        <v>4737.0453900000002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0</v>
      </c>
      <c r="AC47" s="8">
        <v>252717.30000000002</v>
      </c>
      <c r="AD47" s="8">
        <v>0</v>
      </c>
      <c r="AE47" s="8">
        <v>0</v>
      </c>
      <c r="AF47" s="8">
        <v>0</v>
      </c>
      <c r="AG47" s="1" t="s">
        <v>117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19035.790224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311950.95915500005</v>
      </c>
      <c r="AB48" s="8">
        <v>54553.709155000004</v>
      </c>
      <c r="AC48" s="8">
        <v>257397.25000000003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45887</v>
      </c>
      <c r="B49" s="14" t="s">
        <v>341</v>
      </c>
      <c r="C49" s="9" t="s">
        <v>139</v>
      </c>
      <c r="D49" s="13" t="s">
        <v>327</v>
      </c>
      <c r="E49" s="9">
        <v>19</v>
      </c>
      <c r="F49" s="9">
        <v>35</v>
      </c>
      <c r="G49" s="9" t="s">
        <v>60</v>
      </c>
      <c r="H49" s="9" t="s">
        <v>76</v>
      </c>
      <c r="I49" s="9">
        <v>102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45904</v>
      </c>
      <c r="U49" s="11">
        <v>5040</v>
      </c>
      <c r="V49" s="10">
        <v>3287</v>
      </c>
      <c r="W49" s="10">
        <v>1753</v>
      </c>
      <c r="X49" s="10">
        <v>5346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45904</v>
      </c>
      <c r="AK49" s="3">
        <v>45900</v>
      </c>
      <c r="AL49" s="3">
        <v>45893</v>
      </c>
      <c r="AM49" s="3">
        <v>45901</v>
      </c>
      <c r="AN49" s="3">
        <v>45902</v>
      </c>
      <c r="AO49" s="3">
        <v>45903</v>
      </c>
      <c r="AP49" s="3">
        <v>45899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373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45796</v>
      </c>
      <c r="B50" s="14" t="s">
        <v>255</v>
      </c>
      <c r="C50" s="9" t="s">
        <v>139</v>
      </c>
      <c r="D50" s="13" t="s">
        <v>250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196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191</v>
      </c>
      <c r="BD50" s="56">
        <v>0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192</v>
      </c>
      <c r="BD51" s="56">
        <v>0</v>
      </c>
    </row>
    <row r="52" spans="1:56" ht="27.75" customHeight="1" x14ac:dyDescent="0.45">
      <c r="A52" s="3">
        <v>45887</v>
      </c>
      <c r="B52" s="14" t="s">
        <v>346</v>
      </c>
      <c r="C52" s="9" t="s">
        <v>139</v>
      </c>
      <c r="D52" s="13" t="s">
        <v>181</v>
      </c>
      <c r="E52" s="9">
        <v>20</v>
      </c>
      <c r="F52" s="9">
        <v>35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45904</v>
      </c>
      <c r="U52" s="11">
        <v>5040</v>
      </c>
      <c r="V52" s="10">
        <v>5040</v>
      </c>
      <c r="W52" s="10">
        <v>0</v>
      </c>
      <c r="X52" s="10">
        <v>10200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388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134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45877</v>
      </c>
      <c r="B53" s="14" t="s">
        <v>318</v>
      </c>
      <c r="C53" s="9" t="s">
        <v>79</v>
      </c>
      <c r="D53" s="13" t="s">
        <v>319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45904</v>
      </c>
      <c r="U53" s="11">
        <v>3000</v>
      </c>
      <c r="V53" s="10">
        <v>3000</v>
      </c>
      <c r="W53" s="10">
        <v>0</v>
      </c>
      <c r="X53" s="10">
        <v>3300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45904</v>
      </c>
      <c r="AK53" s="3">
        <v>45900</v>
      </c>
      <c r="AL53" s="3">
        <v>45893</v>
      </c>
      <c r="AM53" s="3">
        <v>45901</v>
      </c>
      <c r="AN53" s="3">
        <v>45902</v>
      </c>
      <c r="AO53" s="3">
        <v>45903</v>
      </c>
      <c r="AP53" s="3">
        <v>45899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45892</v>
      </c>
      <c r="B54" s="14" t="s">
        <v>360</v>
      </c>
      <c r="C54" s="9" t="s">
        <v>139</v>
      </c>
      <c r="D54" s="13" t="s">
        <v>361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45905</v>
      </c>
      <c r="U54" s="11">
        <v>5040</v>
      </c>
      <c r="V54" s="10">
        <v>5040</v>
      </c>
      <c r="W54" s="10">
        <v>0</v>
      </c>
      <c r="X54" s="10">
        <v>6100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371</v>
      </c>
      <c r="C55" s="9" t="s">
        <v>355</v>
      </c>
      <c r="D55" s="13" t="s">
        <v>356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357</v>
      </c>
      <c r="M55" s="10">
        <v>21</v>
      </c>
      <c r="N55" s="9">
        <v>33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45905</v>
      </c>
      <c r="U55" s="11">
        <v>10000</v>
      </c>
      <c r="V55" s="10">
        <v>10000</v>
      </c>
      <c r="W55" s="10">
        <v>0</v>
      </c>
      <c r="X55" s="10">
        <v>10500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68</v>
      </c>
      <c r="AI55" s="1">
        <v>4</v>
      </c>
      <c r="AJ55" s="3">
        <v>45905</v>
      </c>
      <c r="AK55" s="3">
        <v>45901</v>
      </c>
      <c r="AL55" s="3">
        <v>45895</v>
      </c>
      <c r="AM55" s="3">
        <v>45902</v>
      </c>
      <c r="AN55" s="3">
        <v>45903</v>
      </c>
      <c r="AO55" s="3">
        <v>45903</v>
      </c>
      <c r="AP55" s="3">
        <v>45900</v>
      </c>
      <c r="AQ55" s="3">
        <v>45904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45905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0</v>
      </c>
      <c r="AE56" s="8">
        <v>3310.89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45905</v>
      </c>
      <c r="AK56" s="3">
        <v>45901</v>
      </c>
      <c r="AL56" s="3">
        <v>45894</v>
      </c>
      <c r="AM56" s="3">
        <v>45902</v>
      </c>
      <c r="AN56" s="3">
        <v>45903</v>
      </c>
      <c r="AO56" s="3">
        <v>45904</v>
      </c>
      <c r="AP56" s="3">
        <v>45900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45892</v>
      </c>
      <c r="B57" s="14" t="s">
        <v>360</v>
      </c>
      <c r="C57" s="9" t="s">
        <v>139</v>
      </c>
      <c r="D57" s="13" t="s">
        <v>329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45908</v>
      </c>
      <c r="U57" s="11">
        <v>5040</v>
      </c>
      <c r="V57" s="10">
        <v>4400</v>
      </c>
      <c r="W57" s="10">
        <v>640</v>
      </c>
      <c r="X57" s="10">
        <v>6000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45908</v>
      </c>
      <c r="AK57" s="3">
        <v>45904</v>
      </c>
      <c r="AL57" s="3">
        <v>45897</v>
      </c>
      <c r="AM57" s="3">
        <v>45905</v>
      </c>
      <c r="AN57" s="3">
        <v>45906</v>
      </c>
      <c r="AO57" s="3">
        <v>45907</v>
      </c>
      <c r="AP57" s="3">
        <v>45903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 t="s">
        <v>370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45892</v>
      </c>
      <c r="B58" s="14" t="s">
        <v>362</v>
      </c>
      <c r="C58" s="9" t="s">
        <v>139</v>
      </c>
      <c r="D58" s="13" t="s">
        <v>131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45908</v>
      </c>
      <c r="U58" s="11">
        <v>1800</v>
      </c>
      <c r="V58" s="10">
        <v>0</v>
      </c>
      <c r="W58" s="10">
        <v>1800</v>
      </c>
      <c r="X58" s="10">
        <v>10650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45908</v>
      </c>
      <c r="AK58" s="3">
        <v>45904</v>
      </c>
      <c r="AL58" s="3">
        <v>45897</v>
      </c>
      <c r="AM58" s="3">
        <v>45905</v>
      </c>
      <c r="AN58" s="3">
        <v>45906</v>
      </c>
      <c r="AO58" s="3">
        <v>45907</v>
      </c>
      <c r="AP58" s="3">
        <v>45903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45782</v>
      </c>
      <c r="B59" s="14" t="s">
        <v>249</v>
      </c>
      <c r="C59" s="9" t="s">
        <v>79</v>
      </c>
      <c r="D59" s="13" t="s">
        <v>243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45909</v>
      </c>
      <c r="U59" s="11">
        <v>5000</v>
      </c>
      <c r="V59" s="10">
        <v>4473</v>
      </c>
      <c r="W59" s="10">
        <v>527</v>
      </c>
      <c r="X59" s="10">
        <v>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61</v>
      </c>
      <c r="AH59" s="1" t="s">
        <v>75</v>
      </c>
      <c r="AI59" s="1">
        <v>4</v>
      </c>
      <c r="AJ59" s="3">
        <v>45909</v>
      </c>
      <c r="AK59" s="3">
        <v>45905</v>
      </c>
      <c r="AL59" s="3">
        <v>45898</v>
      </c>
      <c r="AM59" s="3">
        <v>45906</v>
      </c>
      <c r="AN59" s="3">
        <v>45907</v>
      </c>
      <c r="AO59" s="3">
        <v>45908</v>
      </c>
      <c r="AP59" s="3">
        <v>45904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45896</v>
      </c>
      <c r="B60" s="14" t="s">
        <v>387</v>
      </c>
      <c r="C60" s="9" t="s">
        <v>139</v>
      </c>
      <c r="D60" s="13" t="s">
        <v>252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45910</v>
      </c>
      <c r="U60" s="11">
        <v>5040</v>
      </c>
      <c r="V60" s="10">
        <v>0</v>
      </c>
      <c r="W60" s="10">
        <v>5040</v>
      </c>
      <c r="X60" s="10">
        <v>6182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4</v>
      </c>
      <c r="AJ60" s="3">
        <v>45910</v>
      </c>
      <c r="AK60" s="3">
        <v>45906</v>
      </c>
      <c r="AL60" s="3">
        <v>45899</v>
      </c>
      <c r="AM60" s="3">
        <v>45907</v>
      </c>
      <c r="AN60" s="3">
        <v>45908</v>
      </c>
      <c r="AO60" s="3">
        <v>45909</v>
      </c>
      <c r="AP60" s="3">
        <v>45905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45873</v>
      </c>
      <c r="B61" s="14" t="s">
        <v>308</v>
      </c>
      <c r="C61" s="9" t="s">
        <v>107</v>
      </c>
      <c r="D61" s="13" t="s">
        <v>309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45922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4414.5199999999995</v>
      </c>
      <c r="AC61" s="8">
        <v>0</v>
      </c>
      <c r="AD61" s="8">
        <v>0</v>
      </c>
      <c r="AE61" s="8">
        <v>4414.5199999999995</v>
      </c>
      <c r="AF61" s="8" t="s">
        <v>307</v>
      </c>
      <c r="AG61" s="1" t="s">
        <v>61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 t="s">
        <v>135</v>
      </c>
      <c r="B62" s="14" t="s">
        <v>135</v>
      </c>
      <c r="C62" s="9" t="s">
        <v>139</v>
      </c>
      <c r="D62" s="13" t="s">
        <v>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45925</v>
      </c>
      <c r="U62" s="11">
        <v>100000</v>
      </c>
      <c r="V62" s="10">
        <v>0</v>
      </c>
      <c r="W62" s="10">
        <v>100000</v>
      </c>
      <c r="X62" s="10">
        <v>0</v>
      </c>
      <c r="Y62" s="10">
        <v>105000</v>
      </c>
      <c r="Z62" s="9" t="s">
        <v>80</v>
      </c>
      <c r="AA62" s="8">
        <v>104775.00000000001</v>
      </c>
      <c r="AB62" s="8">
        <v>0</v>
      </c>
      <c r="AC62" s="8">
        <v>104775.00000000001</v>
      </c>
      <c r="AD62" s="8">
        <v>0</v>
      </c>
      <c r="AE62" s="8">
        <v>104775.00000000001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45925</v>
      </c>
      <c r="AK62" s="3">
        <v>45921</v>
      </c>
      <c r="AL62" s="3">
        <v>45914</v>
      </c>
      <c r="AM62" s="3">
        <v>45922</v>
      </c>
      <c r="AN62" s="3">
        <v>45923</v>
      </c>
      <c r="AO62" s="3">
        <v>45924</v>
      </c>
      <c r="AP62" s="3">
        <v>45920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7916.333333333333</v>
      </c>
    </row>
    <row r="63" spans="1:56" ht="27.75" customHeight="1" x14ac:dyDescent="0.45">
      <c r="A63" s="3" t="s">
        <v>135</v>
      </c>
      <c r="B63" s="14" t="s">
        <v>135</v>
      </c>
      <c r="C63" s="9" t="s">
        <v>79</v>
      </c>
      <c r="D63" s="13" t="s">
        <v>61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45925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80</v>
      </c>
      <c r="AA63" s="8">
        <v>22072.6</v>
      </c>
      <c r="AB63" s="8">
        <v>0</v>
      </c>
      <c r="AC63" s="8">
        <v>22072.6</v>
      </c>
      <c r="AD63" s="8">
        <v>0</v>
      </c>
      <c r="AE63" s="8">
        <v>22072.6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45925</v>
      </c>
      <c r="AK63" s="3">
        <v>45921</v>
      </c>
      <c r="AL63" s="3">
        <v>45914</v>
      </c>
      <c r="AM63" s="3">
        <v>45922</v>
      </c>
      <c r="AN63" s="3">
        <v>45923</v>
      </c>
      <c r="AO63" s="3">
        <v>45924</v>
      </c>
      <c r="AP63" s="3">
        <v>45920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1667.7075555555555</v>
      </c>
    </row>
    <row r="64" spans="1:56" ht="27.75" customHeight="1" x14ac:dyDescent="0.45">
      <c r="A64" s="3" t="s">
        <v>135</v>
      </c>
      <c r="B64" s="14" t="s">
        <v>135</v>
      </c>
      <c r="C64" s="9" t="s">
        <v>97</v>
      </c>
      <c r="D64" s="13" t="s">
        <v>61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45925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21513.800000000003</v>
      </c>
      <c r="AB64" s="8">
        <v>0</v>
      </c>
      <c r="AC64" s="8">
        <v>21513.800000000003</v>
      </c>
      <c r="AD64" s="8">
        <v>0</v>
      </c>
      <c r="AE64" s="8">
        <v>21513.800000000003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45925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1625.4871111111113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0</v>
      </c>
      <c r="AE65" s="8">
        <v>3227.07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9932.67</v>
      </c>
      <c r="AC66" s="8">
        <v>0</v>
      </c>
      <c r="AD66" s="8">
        <v>0</v>
      </c>
      <c r="AE66" s="8">
        <v>9932.67</v>
      </c>
      <c r="AF66" s="8">
        <v>0</v>
      </c>
      <c r="AG66" s="1" t="s">
        <v>115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4414.5199999999995</v>
      </c>
      <c r="AC67" s="8">
        <v>0</v>
      </c>
      <c r="AD67" s="8">
        <v>0</v>
      </c>
      <c r="AE67" s="8">
        <v>4414.5199999999995</v>
      </c>
      <c r="AF67" s="8">
        <v>0</v>
      </c>
      <c r="AG67" s="1" t="s">
        <v>116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5333</v>
      </c>
      <c r="AC68" s="8">
        <v>4599.67</v>
      </c>
      <c r="AD68" s="8">
        <v>0</v>
      </c>
      <c r="AE68" s="8">
        <v>9932.67</v>
      </c>
      <c r="AF68" s="8">
        <v>0</v>
      </c>
      <c r="AG68" s="1" t="s">
        <v>116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347.53062222222229</v>
      </c>
    </row>
    <row r="69" spans="1:56" ht="27.75" customHeight="1" x14ac:dyDescent="0.45">
      <c r="A69" s="3">
        <v>45887</v>
      </c>
      <c r="B69" s="14" t="s">
        <v>345</v>
      </c>
      <c r="C69" s="9" t="s">
        <v>139</v>
      </c>
      <c r="D69" s="13" t="s">
        <v>224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395</v>
      </c>
      <c r="C70" s="9" t="s">
        <v>79</v>
      </c>
      <c r="D70" s="13" t="s">
        <v>310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115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250.15613333333337</v>
      </c>
    </row>
    <row r="71" spans="1:56" ht="27.75" customHeight="1" x14ac:dyDescent="0.45">
      <c r="A71" s="3">
        <v>45896</v>
      </c>
      <c r="B71" s="14" t="s">
        <v>396</v>
      </c>
      <c r="C71" s="9" t="s">
        <v>79</v>
      </c>
      <c r="D71" s="13" t="s">
        <v>397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8000</v>
      </c>
      <c r="V71" s="10">
        <v>0</v>
      </c>
      <c r="W71" s="10">
        <v>8000</v>
      </c>
      <c r="X71" s="10">
        <v>0</v>
      </c>
      <c r="Y71" s="10">
        <v>8400</v>
      </c>
      <c r="Z71" s="9" t="s">
        <v>80</v>
      </c>
      <c r="AA71" s="8">
        <v>8829.0399999999991</v>
      </c>
      <c r="AB71" s="8">
        <v>0</v>
      </c>
      <c r="AC71" s="8">
        <v>8829.0399999999991</v>
      </c>
      <c r="AD71" s="8">
        <v>0</v>
      </c>
      <c r="AE71" s="8">
        <v>8829.0399999999991</v>
      </c>
      <c r="AF71" s="8">
        <v>0</v>
      </c>
      <c r="AG71" s="1" t="s">
        <v>115</v>
      </c>
      <c r="AH71" s="1" t="s">
        <v>75</v>
      </c>
      <c r="AI71" s="1">
        <v>5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667.08302222222221</v>
      </c>
    </row>
    <row r="72" spans="1:56" ht="27.75" customHeight="1" x14ac:dyDescent="0.45">
      <c r="A72" s="3">
        <v>45892</v>
      </c>
      <c r="B72" s="14" t="s">
        <v>365</v>
      </c>
      <c r="C72" s="9" t="s">
        <v>79</v>
      </c>
      <c r="D72" s="13" t="s">
        <v>220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0</v>
      </c>
      <c r="AC72" s="8">
        <v>6621.78</v>
      </c>
      <c r="AD72" s="8">
        <v>0</v>
      </c>
      <c r="AE72" s="8">
        <v>6621.78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500.31226666666674</v>
      </c>
    </row>
    <row r="73" spans="1:56" ht="27.75" customHeight="1" x14ac:dyDescent="0.45">
      <c r="A73" s="3">
        <v>45796</v>
      </c>
      <c r="B73" s="14" t="s">
        <v>258</v>
      </c>
      <c r="C73" s="9" t="s">
        <v>139</v>
      </c>
      <c r="D73" s="13" t="s">
        <v>145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 t="s">
        <v>63</v>
      </c>
      <c r="U73" s="11">
        <v>240</v>
      </c>
      <c r="V73" s="10">
        <v>0</v>
      </c>
      <c r="W73" s="10">
        <v>240</v>
      </c>
      <c r="X73" s="10">
        <v>0</v>
      </c>
      <c r="Y73" s="10">
        <v>252</v>
      </c>
      <c r="Z73" s="9" t="s">
        <v>80</v>
      </c>
      <c r="AA73" s="8">
        <v>251.46</v>
      </c>
      <c r="AB73" s="8">
        <v>0</v>
      </c>
      <c r="AC73" s="8">
        <v>251.46</v>
      </c>
      <c r="AD73" s="8">
        <v>0</v>
      </c>
      <c r="AE73" s="8">
        <v>251.46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254</v>
      </c>
      <c r="AZ73" s="2">
        <v>0</v>
      </c>
      <c r="BA73" s="2">
        <v>0</v>
      </c>
      <c r="BB73" s="2">
        <v>0</v>
      </c>
      <c r="BC73" s="1" t="s">
        <v>104</v>
      </c>
      <c r="BD73" s="56">
        <v>18.999199999999998</v>
      </c>
    </row>
    <row r="74" spans="1:56" ht="27.75" customHeight="1" x14ac:dyDescent="0.45">
      <c r="A74" s="3">
        <v>45876</v>
      </c>
      <c r="B74" s="14" t="s">
        <v>328</v>
      </c>
      <c r="C74" s="9" t="s">
        <v>107</v>
      </c>
      <c r="D74" s="13" t="s">
        <v>314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3075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45877</v>
      </c>
      <c r="B75" s="14" t="s">
        <v>318</v>
      </c>
      <c r="C75" s="9" t="s">
        <v>79</v>
      </c>
      <c r="D75" s="13" t="s">
        <v>319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7000</v>
      </c>
      <c r="V75" s="10">
        <v>0</v>
      </c>
      <c r="W75" s="10">
        <v>7000</v>
      </c>
      <c r="X75" s="10">
        <v>0</v>
      </c>
      <c r="Y75" s="10">
        <v>7350</v>
      </c>
      <c r="Z75" s="9" t="s">
        <v>80</v>
      </c>
      <c r="AA75" s="8">
        <v>7725.41</v>
      </c>
      <c r="AB75" s="8">
        <v>0</v>
      </c>
      <c r="AC75" s="8">
        <v>7725.41</v>
      </c>
      <c r="AD75" s="8">
        <v>0</v>
      </c>
      <c r="AE75" s="8">
        <v>7725.41</v>
      </c>
      <c r="AF75" s="8">
        <v>0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583.69764444444445</v>
      </c>
    </row>
    <row r="76" spans="1:56" ht="27.75" customHeight="1" x14ac:dyDescent="0.45">
      <c r="A76" s="3" t="s">
        <v>135</v>
      </c>
      <c r="B76" s="14" t="s">
        <v>135</v>
      </c>
      <c r="C76" s="9" t="s">
        <v>270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 t="s">
        <v>63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110363</v>
      </c>
      <c r="AB76" s="8">
        <v>0</v>
      </c>
      <c r="AC76" s="8">
        <v>110363</v>
      </c>
      <c r="AD76" s="8">
        <v>0</v>
      </c>
      <c r="AE76" s="8">
        <v>110363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8338.5377777777776</v>
      </c>
    </row>
    <row r="77" spans="1:56" ht="27.75" customHeight="1" x14ac:dyDescent="0.45">
      <c r="A77" s="3">
        <v>45825</v>
      </c>
      <c r="B77" s="14" t="s">
        <v>269</v>
      </c>
      <c r="C77" s="9" t="s">
        <v>139</v>
      </c>
      <c r="D77" s="13" t="s">
        <v>239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246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894</v>
      </c>
      <c r="V77" s="10">
        <v>525</v>
      </c>
      <c r="W77" s="10">
        <v>369</v>
      </c>
      <c r="X77" s="10">
        <v>6000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45796</v>
      </c>
      <c r="B78" s="14" t="s">
        <v>256</v>
      </c>
      <c r="C78" s="9" t="s">
        <v>139</v>
      </c>
      <c r="D78" s="13" t="s">
        <v>251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366</v>
      </c>
      <c r="V78" s="10">
        <v>0</v>
      </c>
      <c r="W78" s="10">
        <v>366</v>
      </c>
      <c r="X78" s="10">
        <v>5113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45796</v>
      </c>
      <c r="B79" s="14" t="s">
        <v>257</v>
      </c>
      <c r="C79" s="9" t="s">
        <v>139</v>
      </c>
      <c r="D79" s="13" t="s">
        <v>253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302</v>
      </c>
      <c r="V79" s="10">
        <v>0</v>
      </c>
      <c r="W79" s="10">
        <v>302</v>
      </c>
      <c r="X79" s="10">
        <v>5300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45782</v>
      </c>
      <c r="B80" s="14" t="s">
        <v>249</v>
      </c>
      <c r="C80" s="9" t="s">
        <v>79</v>
      </c>
      <c r="D80" s="13" t="s">
        <v>243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416.92688888888887</v>
      </c>
    </row>
    <row r="81" spans="1:56" ht="27.75" customHeight="1" x14ac:dyDescent="0.45">
      <c r="A81" s="3">
        <v>45798</v>
      </c>
      <c r="B81" s="14" t="s">
        <v>263</v>
      </c>
      <c r="C81" s="9" t="s">
        <v>107</v>
      </c>
      <c r="D81" s="13" t="s">
        <v>261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45674</v>
      </c>
      <c r="B82" s="14" t="s">
        <v>226</v>
      </c>
      <c r="C82" s="9" t="s">
        <v>139</v>
      </c>
      <c r="D82" s="13" t="s">
        <v>225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196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152</v>
      </c>
      <c r="V82" s="10">
        <v>0</v>
      </c>
      <c r="W82" s="10">
        <v>152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5987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235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45611</v>
      </c>
      <c r="B83" s="14" t="s">
        <v>195</v>
      </c>
      <c r="C83" s="9" t="s">
        <v>139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117</v>
      </c>
      <c r="V83" s="10">
        <v>0</v>
      </c>
      <c r="W83" s="10">
        <v>117</v>
      </c>
      <c r="X83" s="10">
        <v>10065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45523</v>
      </c>
      <c r="B84" s="14" t="s">
        <v>178</v>
      </c>
      <c r="C84" s="9" t="s">
        <v>139</v>
      </c>
      <c r="D84" s="13" t="s">
        <v>176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1260</v>
      </c>
      <c r="V84" s="10">
        <v>0</v>
      </c>
      <c r="W84" s="10">
        <v>1260</v>
      </c>
      <c r="X84" s="10">
        <v>11095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89</v>
      </c>
      <c r="V85" s="10">
        <v>0</v>
      </c>
      <c r="W85" s="10">
        <v>89</v>
      </c>
      <c r="X85" s="10">
        <v>11180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45799</v>
      </c>
      <c r="B86" s="14" t="s">
        <v>264</v>
      </c>
      <c r="C86" s="9" t="s">
        <v>259</v>
      </c>
      <c r="D86" s="13" t="s">
        <v>260</v>
      </c>
      <c r="E86" s="9">
        <v>20</v>
      </c>
      <c r="F86" s="9">
        <v>34</v>
      </c>
      <c r="G86" s="9" t="s">
        <v>60</v>
      </c>
      <c r="H86" s="9" t="s">
        <v>66</v>
      </c>
      <c r="I86" s="9">
        <v>95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 t="s">
        <v>132</v>
      </c>
      <c r="U86" s="11">
        <v>4000</v>
      </c>
      <c r="V86" s="10">
        <v>2840</v>
      </c>
      <c r="W86" s="10">
        <v>1160</v>
      </c>
      <c r="X86" s="10">
        <v>8450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210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358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2654</v>
      </c>
      <c r="W87" s="10">
        <v>1346</v>
      </c>
      <c r="X87" s="10">
        <v>4000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45741</v>
      </c>
      <c r="B88" s="14" t="s">
        <v>242</v>
      </c>
      <c r="C88" s="9" t="s">
        <v>107</v>
      </c>
      <c r="D88" s="13" t="s">
        <v>241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4000</v>
      </c>
      <c r="V88" s="10">
        <v>3867</v>
      </c>
      <c r="W88" s="10">
        <v>133</v>
      </c>
      <c r="X88" s="10">
        <v>4200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244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45720</v>
      </c>
      <c r="B89" s="14" t="s">
        <v>128</v>
      </c>
      <c r="C89" s="9" t="s">
        <v>107</v>
      </c>
      <c r="D89" s="13" t="s">
        <v>209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219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45541</v>
      </c>
      <c r="B91" s="14" t="s">
        <v>182</v>
      </c>
      <c r="C91" s="9" t="s">
        <v>107</v>
      </c>
      <c r="D91" s="13" t="s">
        <v>183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184</v>
      </c>
      <c r="AG91" s="1" t="s">
        <v>61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222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45581</v>
      </c>
      <c r="B92" s="14" t="s">
        <v>187</v>
      </c>
      <c r="C92" s="9" t="s">
        <v>107</v>
      </c>
      <c r="D92" s="13" t="s">
        <v>188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3194</v>
      </c>
      <c r="W92" s="10">
        <v>0</v>
      </c>
      <c r="X92" s="10">
        <v>5632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84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80</v>
      </c>
      <c r="AA93" s="8">
        <v>331731.62000000011</v>
      </c>
      <c r="AB93" s="8">
        <v>30632.670000000002</v>
      </c>
      <c r="AC93" s="8">
        <v>301098.95000000007</v>
      </c>
      <c r="AD93" s="8">
        <v>0</v>
      </c>
      <c r="AE93" s="8">
        <v>331731.62000000011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 t="s">
        <v>135</v>
      </c>
      <c r="B94" s="14" t="s">
        <v>135</v>
      </c>
      <c r="C94" s="9" t="s">
        <v>270</v>
      </c>
      <c r="D94" s="13" t="s">
        <v>61</v>
      </c>
      <c r="E94" s="9">
        <v>20</v>
      </c>
      <c r="F94" s="9">
        <v>39</v>
      </c>
      <c r="G94" s="9" t="s">
        <v>60</v>
      </c>
      <c r="H94" s="9">
        <v>0</v>
      </c>
      <c r="I94" s="9">
        <v>84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100000</v>
      </c>
      <c r="V94" s="10">
        <v>0</v>
      </c>
      <c r="W94" s="10">
        <v>100000</v>
      </c>
      <c r="X94" s="10">
        <v>0</v>
      </c>
      <c r="Y94" s="10">
        <v>105000</v>
      </c>
      <c r="Z94" s="9" t="s">
        <v>271</v>
      </c>
      <c r="AA94" s="8">
        <v>113157.00000000001</v>
      </c>
      <c r="AB94" s="8">
        <v>0</v>
      </c>
      <c r="AC94" s="8">
        <v>113157.00000000001</v>
      </c>
      <c r="AD94" s="8">
        <v>0</v>
      </c>
      <c r="AE94" s="8">
        <v>0</v>
      </c>
      <c r="AF94" s="8">
        <v>0</v>
      </c>
      <c r="AG94" s="1" t="s">
        <v>115</v>
      </c>
      <c r="AH94" s="1" t="s">
        <v>74</v>
      </c>
      <c r="AI94" s="1">
        <v>2</v>
      </c>
      <c r="AJ94" s="3" t="s">
        <v>63</v>
      </c>
      <c r="AK94" s="3">
        <v>0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272</v>
      </c>
      <c r="BD94" s="56">
        <v>8914.2570000000014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82</v>
      </c>
      <c r="J95" s="9" t="s">
        <v>78</v>
      </c>
      <c r="K95" s="9">
        <v>2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271</v>
      </c>
      <c r="AA95" s="8">
        <v>113157.00000000001</v>
      </c>
      <c r="AB95" s="8">
        <v>0</v>
      </c>
      <c r="AC95" s="8">
        <v>113157.00000000001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273</v>
      </c>
      <c r="BD95" s="56">
        <v>0</v>
      </c>
    </row>
    <row r="96" spans="1:56" ht="27.75" customHeight="1" x14ac:dyDescent="0.45">
      <c r="A96" s="3">
        <v>45887</v>
      </c>
      <c r="B96" s="14" t="s">
        <v>348</v>
      </c>
      <c r="C96" s="9" t="s">
        <v>139</v>
      </c>
      <c r="D96" s="13" t="s">
        <v>268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45904</v>
      </c>
      <c r="U96" s="11">
        <v>6080</v>
      </c>
      <c r="V96" s="10">
        <v>6080</v>
      </c>
      <c r="W96" s="10">
        <v>0</v>
      </c>
      <c r="X96" s="10">
        <v>31160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116</v>
      </c>
      <c r="AH96" s="1" t="s">
        <v>74</v>
      </c>
      <c r="AI96" s="1">
        <v>2</v>
      </c>
      <c r="AJ96" s="3">
        <v>45904</v>
      </c>
      <c r="AK96" s="3">
        <v>0</v>
      </c>
      <c r="AL96" s="3">
        <v>45895</v>
      </c>
      <c r="AM96" s="3">
        <v>45902</v>
      </c>
      <c r="AN96" s="3">
        <v>45903</v>
      </c>
      <c r="AO96" s="3">
        <v>45903</v>
      </c>
      <c r="AP96" s="3">
        <v>45899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334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409</v>
      </c>
      <c r="C97" s="9" t="s">
        <v>73</v>
      </c>
      <c r="D97" s="13" t="s">
        <v>398</v>
      </c>
      <c r="E97" s="9">
        <v>20</v>
      </c>
      <c r="F97" s="9">
        <v>32</v>
      </c>
      <c r="G97" s="9" t="s">
        <v>60</v>
      </c>
      <c r="H97" s="9">
        <v>0</v>
      </c>
      <c r="I97" s="9">
        <v>72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141</v>
      </c>
      <c r="T97" s="12">
        <v>45906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4679.9500000000007</v>
      </c>
      <c r="AB97" s="8">
        <v>4679.9500000000007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74</v>
      </c>
      <c r="AI97" s="1">
        <v>2</v>
      </c>
      <c r="AJ97" s="3">
        <v>45906</v>
      </c>
      <c r="AK97" s="3">
        <v>0</v>
      </c>
      <c r="AL97" s="3">
        <v>45897</v>
      </c>
      <c r="AM97" s="3">
        <v>45904</v>
      </c>
      <c r="AN97" s="3">
        <v>45905</v>
      </c>
      <c r="AO97" s="3">
        <v>45905</v>
      </c>
      <c r="AP97" s="3">
        <v>45901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45896</v>
      </c>
      <c r="B98" s="14" t="s">
        <v>409</v>
      </c>
      <c r="C98" s="9" t="s">
        <v>73</v>
      </c>
      <c r="D98" s="13" t="s">
        <v>399</v>
      </c>
      <c r="E98" s="9">
        <v>20</v>
      </c>
      <c r="F98" s="9">
        <v>32</v>
      </c>
      <c r="G98" s="9" t="s">
        <v>60</v>
      </c>
      <c r="H98" s="9">
        <v>0</v>
      </c>
      <c r="I98" s="9">
        <v>72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141</v>
      </c>
      <c r="T98" s="12">
        <v>45906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4679.9500000000007</v>
      </c>
      <c r="AB98" s="8">
        <v>4679.9500000000007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74</v>
      </c>
      <c r="AI98" s="1">
        <v>2</v>
      </c>
      <c r="AJ98" s="3">
        <v>45906</v>
      </c>
      <c r="AK98" s="3">
        <v>0</v>
      </c>
      <c r="AL98" s="3">
        <v>45897</v>
      </c>
      <c r="AM98" s="3">
        <v>45904</v>
      </c>
      <c r="AN98" s="3">
        <v>45905</v>
      </c>
      <c r="AO98" s="3">
        <v>45905</v>
      </c>
      <c r="AP98" s="3">
        <v>45901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45892</v>
      </c>
      <c r="B99" s="14" t="s">
        <v>366</v>
      </c>
      <c r="C99" s="9" t="s">
        <v>139</v>
      </c>
      <c r="D99" s="13" t="s">
        <v>367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45908</v>
      </c>
      <c r="U99" s="11">
        <v>10000</v>
      </c>
      <c r="V99" s="10">
        <v>1196</v>
      </c>
      <c r="W99" s="10">
        <v>8804</v>
      </c>
      <c r="X99" s="10">
        <v>0</v>
      </c>
      <c r="Y99" s="10">
        <v>9244.2000000000007</v>
      </c>
      <c r="Z99" s="9" t="s">
        <v>81</v>
      </c>
      <c r="AA99" s="8">
        <v>9224.3909999999996</v>
      </c>
      <c r="AB99" s="8">
        <v>9224.3909999999996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45908</v>
      </c>
      <c r="AK99" s="3">
        <v>0</v>
      </c>
      <c r="AL99" s="3">
        <v>45899</v>
      </c>
      <c r="AM99" s="3">
        <v>45906</v>
      </c>
      <c r="AN99" s="3">
        <v>45907</v>
      </c>
      <c r="AO99" s="3">
        <v>45907</v>
      </c>
      <c r="AP99" s="3">
        <v>45903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347</v>
      </c>
      <c r="C100" s="9" t="s">
        <v>139</v>
      </c>
      <c r="D100" s="13" t="s">
        <v>332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45915</v>
      </c>
      <c r="U100" s="11">
        <v>16374</v>
      </c>
      <c r="V100" s="10">
        <v>5040</v>
      </c>
      <c r="W100" s="10">
        <v>11334</v>
      </c>
      <c r="X100" s="10">
        <v>2543</v>
      </c>
      <c r="Y100" s="10">
        <v>11900.7</v>
      </c>
      <c r="Z100" s="9" t="s">
        <v>81</v>
      </c>
      <c r="AA100" s="8">
        <v>11875.1985</v>
      </c>
      <c r="AB100" s="8">
        <v>11875.1985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116</v>
      </c>
      <c r="AH100" s="1" t="s">
        <v>74</v>
      </c>
      <c r="AI100" s="1">
        <v>2</v>
      </c>
      <c r="AJ100" s="3">
        <v>45915</v>
      </c>
      <c r="AK100" s="3">
        <v>0</v>
      </c>
      <c r="AL100" s="3">
        <v>45906</v>
      </c>
      <c r="AM100" s="3">
        <v>45913</v>
      </c>
      <c r="AN100" s="3">
        <v>45914</v>
      </c>
      <c r="AO100" s="3">
        <v>45914</v>
      </c>
      <c r="AP100" s="3">
        <v>45910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333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45919</v>
      </c>
      <c r="U101" s="11">
        <v>40000</v>
      </c>
      <c r="V101" s="10">
        <v>10000</v>
      </c>
      <c r="W101" s="10">
        <v>30000</v>
      </c>
      <c r="X101" s="10">
        <v>13341</v>
      </c>
      <c r="Y101" s="10">
        <v>27991.95</v>
      </c>
      <c r="Z101" s="9" t="s">
        <v>81</v>
      </c>
      <c r="AA101" s="8">
        <v>29328.565612500006</v>
      </c>
      <c r="AB101" s="8">
        <v>29328.565612500006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45919</v>
      </c>
      <c r="AK101" s="3">
        <v>0</v>
      </c>
      <c r="AL101" s="3">
        <v>45910</v>
      </c>
      <c r="AM101" s="3">
        <v>45917</v>
      </c>
      <c r="AN101" s="3">
        <v>45918</v>
      </c>
      <c r="AO101" s="3">
        <v>45918</v>
      </c>
      <c r="AP101" s="3">
        <v>45914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45887</v>
      </c>
      <c r="B102" s="14" t="s">
        <v>348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45922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81</v>
      </c>
      <c r="AA102" s="8">
        <v>31432.500000000004</v>
      </c>
      <c r="AB102" s="8">
        <v>31432.500000000004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45922</v>
      </c>
      <c r="AK102" s="3">
        <v>0</v>
      </c>
      <c r="AL102" s="3">
        <v>45913</v>
      </c>
      <c r="AM102" s="3">
        <v>45920</v>
      </c>
      <c r="AN102" s="3">
        <v>45921</v>
      </c>
      <c r="AO102" s="3">
        <v>45921</v>
      </c>
      <c r="AP102" s="3">
        <v>45917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334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45926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20955</v>
      </c>
      <c r="AB103" s="8">
        <v>20955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45926</v>
      </c>
      <c r="AK103" s="3">
        <v>0</v>
      </c>
      <c r="AL103" s="3">
        <v>45917</v>
      </c>
      <c r="AM103" s="3">
        <v>45924</v>
      </c>
      <c r="AN103" s="3">
        <v>45925</v>
      </c>
      <c r="AO103" s="3">
        <v>45925</v>
      </c>
      <c r="AP103" s="3">
        <v>45921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99274</v>
      </c>
      <c r="AC104" s="8">
        <v>204573.5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15638.507555555556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416023.05511249998</v>
      </c>
      <c r="AB105" s="8">
        <v>211449.55511250001</v>
      </c>
      <c r="AC105" s="8">
        <v>204573.5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324</v>
      </c>
      <c r="C106" s="9" t="s">
        <v>303</v>
      </c>
      <c r="D106" s="13" t="s">
        <v>311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0</v>
      </c>
      <c r="Q106" s="10">
        <v>0</v>
      </c>
      <c r="R106" s="10">
        <v>0</v>
      </c>
      <c r="S106" s="9" t="s">
        <v>71</v>
      </c>
      <c r="T106" s="12">
        <v>45904</v>
      </c>
      <c r="U106" s="11">
        <v>20000</v>
      </c>
      <c r="V106" s="10">
        <v>20006</v>
      </c>
      <c r="W106" s="10">
        <v>0</v>
      </c>
      <c r="X106" s="10">
        <v>21000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45904</v>
      </c>
      <c r="AK106" s="3">
        <v>45900</v>
      </c>
      <c r="AL106" s="3">
        <v>45894</v>
      </c>
      <c r="AM106" s="3">
        <v>45901</v>
      </c>
      <c r="AN106" s="3">
        <v>45902</v>
      </c>
      <c r="AO106" s="3">
        <v>45902</v>
      </c>
      <c r="AP106" s="3">
        <v>45899</v>
      </c>
      <c r="AQ106" s="3">
        <v>45903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325</v>
      </c>
      <c r="C107" s="9" t="s">
        <v>303</v>
      </c>
      <c r="D107" s="13" t="s">
        <v>304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1.6065702062079996</v>
      </c>
      <c r="Q107" s="10">
        <v>0</v>
      </c>
      <c r="R107" s="10">
        <v>1.6065702062079996</v>
      </c>
      <c r="S107" s="9" t="s">
        <v>71</v>
      </c>
      <c r="T107" s="12">
        <v>45904</v>
      </c>
      <c r="U107" s="11">
        <v>10000</v>
      </c>
      <c r="V107" s="10">
        <v>9926</v>
      </c>
      <c r="W107" s="10">
        <v>74</v>
      </c>
      <c r="X107" s="10">
        <v>10500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45904</v>
      </c>
      <c r="AK107" s="3">
        <v>45900</v>
      </c>
      <c r="AL107" s="3">
        <v>45894</v>
      </c>
      <c r="AM107" s="3">
        <v>45901</v>
      </c>
      <c r="AN107" s="3">
        <v>45902</v>
      </c>
      <c r="AO107" s="3">
        <v>45902</v>
      </c>
      <c r="AP107" s="3">
        <v>45899</v>
      </c>
      <c r="AQ107" s="3">
        <v>45903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132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45892</v>
      </c>
      <c r="B108" s="14" t="s">
        <v>368</v>
      </c>
      <c r="C108" s="9" t="s">
        <v>79</v>
      </c>
      <c r="D108" s="13" t="s">
        <v>369</v>
      </c>
      <c r="E108" s="9">
        <v>21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42</v>
      </c>
      <c r="O108" s="9">
        <v>40</v>
      </c>
      <c r="P108" s="10">
        <v>0</v>
      </c>
      <c r="Q108" s="10">
        <v>0</v>
      </c>
      <c r="R108" s="10">
        <v>0</v>
      </c>
      <c r="S108" s="9" t="s">
        <v>67</v>
      </c>
      <c r="T108" s="12">
        <v>45904</v>
      </c>
      <c r="U108" s="11">
        <v>3000</v>
      </c>
      <c r="V108" s="10">
        <v>3000</v>
      </c>
      <c r="W108" s="10">
        <v>0</v>
      </c>
      <c r="X108" s="10">
        <v>3100</v>
      </c>
      <c r="Y108" s="10">
        <v>0</v>
      </c>
      <c r="Z108" s="9" t="s">
        <v>120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45904</v>
      </c>
      <c r="AK108" s="3">
        <v>45900</v>
      </c>
      <c r="AL108" s="3">
        <v>45894</v>
      </c>
      <c r="AM108" s="3">
        <v>45901</v>
      </c>
      <c r="AN108" s="3">
        <v>45902</v>
      </c>
      <c r="AO108" s="3">
        <v>45902</v>
      </c>
      <c r="AP108" s="3">
        <v>45899</v>
      </c>
      <c r="AQ108" s="3">
        <v>45903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45876</v>
      </c>
      <c r="B109" s="14" t="s">
        <v>336</v>
      </c>
      <c r="C109" s="9" t="s">
        <v>107</v>
      </c>
      <c r="D109" s="13" t="s">
        <v>316</v>
      </c>
      <c r="E109" s="9">
        <v>21</v>
      </c>
      <c r="F109" s="9">
        <v>38</v>
      </c>
      <c r="G109" s="9" t="s">
        <v>60</v>
      </c>
      <c r="H109" s="9" t="s">
        <v>66</v>
      </c>
      <c r="I109" s="9">
        <v>102</v>
      </c>
      <c r="J109" s="9" t="s">
        <v>57</v>
      </c>
      <c r="K109" s="9">
        <v>5</v>
      </c>
      <c r="L109" s="9" t="s">
        <v>90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>
        <v>45926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45926</v>
      </c>
      <c r="AK109" s="3">
        <v>45922</v>
      </c>
      <c r="AL109" s="3">
        <v>45916</v>
      </c>
      <c r="AM109" s="3">
        <v>45923</v>
      </c>
      <c r="AN109" s="3">
        <v>45924</v>
      </c>
      <c r="AO109" s="3">
        <v>45924</v>
      </c>
      <c r="AP109" s="3">
        <v>45921</v>
      </c>
      <c r="AQ109" s="3">
        <v>45925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203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45908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120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45908</v>
      </c>
      <c r="AK110" s="3">
        <v>45904</v>
      </c>
      <c r="AL110" s="3">
        <v>45898</v>
      </c>
      <c r="AM110" s="3">
        <v>45905</v>
      </c>
      <c r="AN110" s="3">
        <v>45906</v>
      </c>
      <c r="AO110" s="3">
        <v>45906</v>
      </c>
      <c r="AP110" s="3">
        <v>45903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218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45631</v>
      </c>
      <c r="B111" s="14" t="s">
        <v>202</v>
      </c>
      <c r="C111" s="9" t="s">
        <v>109</v>
      </c>
      <c r="D111" s="13" t="s">
        <v>144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120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217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400</v>
      </c>
      <c r="C113" s="9" t="s">
        <v>107</v>
      </c>
      <c r="D113" s="13" t="s">
        <v>401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402</v>
      </c>
      <c r="C114" s="9" t="s">
        <v>107</v>
      </c>
      <c r="D114" s="13" t="s">
        <v>313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403</v>
      </c>
      <c r="C115" s="9" t="s">
        <v>107</v>
      </c>
      <c r="D115" s="13" t="s">
        <v>404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335</v>
      </c>
      <c r="C116" s="9" t="s">
        <v>107</v>
      </c>
      <c r="D116" s="13" t="s">
        <v>315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337</v>
      </c>
      <c r="C117" s="9" t="s">
        <v>107</v>
      </c>
      <c r="D117" s="13" t="s">
        <v>317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27294</v>
      </c>
      <c r="AC124" s="8">
        <v>2462.1000000000022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184.04197500000012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0</v>
      </c>
      <c r="AC125" s="8">
        <v>29756.100000000002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2224.2684750000003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27294</v>
      </c>
      <c r="AC126" s="8">
        <v>32218.200000000004</v>
      </c>
      <c r="AD126" s="8">
        <v>0</v>
      </c>
      <c r="AE126" s="8">
        <v>0</v>
      </c>
      <c r="AF126" s="8" t="s">
        <v>58</v>
      </c>
      <c r="AG126" s="1" t="s">
        <v>118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45901</v>
      </c>
      <c r="B127" s="14" t="s">
        <v>419</v>
      </c>
      <c r="C127" s="9" t="s">
        <v>147</v>
      </c>
      <c r="D127" s="13" t="s">
        <v>59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45909</v>
      </c>
      <c r="U127" s="11">
        <v>5000</v>
      </c>
      <c r="V127" s="10">
        <v>5000</v>
      </c>
      <c r="W127" s="10">
        <v>0</v>
      </c>
      <c r="X127" s="10">
        <v>0</v>
      </c>
      <c r="Y127" s="10">
        <v>0</v>
      </c>
      <c r="Z127" s="9" t="s">
        <v>411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312</v>
      </c>
      <c r="AI127" s="1">
        <v>2</v>
      </c>
      <c r="AJ127" s="3">
        <v>45909</v>
      </c>
      <c r="AK127" s="3">
        <v>0</v>
      </c>
      <c r="AL127" s="3">
        <v>0</v>
      </c>
      <c r="AM127" s="3">
        <v>0</v>
      </c>
      <c r="AN127" s="3">
        <v>0</v>
      </c>
      <c r="AO127" s="3">
        <v>45907</v>
      </c>
      <c r="AP127" s="3">
        <v>45904</v>
      </c>
      <c r="AQ127" s="3">
        <v>45908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412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411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412</v>
      </c>
      <c r="BD128" s="56">
        <v>0</v>
      </c>
    </row>
    <row r="129" spans="1:56" ht="27.75" customHeight="1" x14ac:dyDescent="0.45">
      <c r="A129" s="3">
        <v>45727</v>
      </c>
      <c r="B129" s="14" t="s">
        <v>240</v>
      </c>
      <c r="C129" s="9" t="s">
        <v>111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 t="s">
        <v>196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1000</v>
      </c>
      <c r="V129" s="10">
        <v>0</v>
      </c>
      <c r="W129" s="10">
        <v>1000</v>
      </c>
      <c r="X129" s="10">
        <v>0</v>
      </c>
      <c r="Y129" s="10">
        <v>0</v>
      </c>
      <c r="Z129" s="9" t="s">
        <v>213</v>
      </c>
      <c r="AA129" s="8">
        <v>1159.5100000000002</v>
      </c>
      <c r="AB129" s="8">
        <v>1159.5100000000002</v>
      </c>
      <c r="AC129" s="8">
        <v>0</v>
      </c>
      <c r="AD129" s="8">
        <v>1159.5100000000002</v>
      </c>
      <c r="AE129" s="8">
        <v>0</v>
      </c>
      <c r="AF129" s="8" t="s">
        <v>215</v>
      </c>
      <c r="AG129" s="1" t="s">
        <v>115</v>
      </c>
      <c r="AH129" s="1" t="s">
        <v>146</v>
      </c>
      <c r="AI129" s="1">
        <v>2</v>
      </c>
      <c r="AJ129" s="3" t="s">
        <v>63</v>
      </c>
      <c r="AK129" s="3" t="e">
        <v>#VALUE!</v>
      </c>
      <c r="AL129" s="3">
        <v>0</v>
      </c>
      <c r="AM129" s="3">
        <v>0</v>
      </c>
      <c r="AN129" s="3">
        <v>0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143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213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58</v>
      </c>
      <c r="AG130" s="1" t="s">
        <v>115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214</v>
      </c>
      <c r="BD130" s="56">
        <v>0</v>
      </c>
    </row>
    <row r="131" spans="1:56" ht="27.75" customHeight="1" x14ac:dyDescent="0.45">
      <c r="A131" s="3">
        <v>45601</v>
      </c>
      <c r="B131" s="14" t="s">
        <v>193</v>
      </c>
      <c r="C131" s="9" t="s">
        <v>93</v>
      </c>
      <c r="D131" s="13" t="s">
        <v>142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3207.7128103679997</v>
      </c>
      <c r="Q131" s="10">
        <v>0</v>
      </c>
      <c r="R131" s="10">
        <v>3207.7128103679997</v>
      </c>
      <c r="S131" s="9" t="s">
        <v>299</v>
      </c>
      <c r="T131" s="12" t="s">
        <v>63</v>
      </c>
      <c r="U131" s="11">
        <v>100000</v>
      </c>
      <c r="V131" s="10">
        <v>1500</v>
      </c>
      <c r="W131" s="10">
        <v>98500</v>
      </c>
      <c r="X131" s="10">
        <v>0</v>
      </c>
      <c r="Y131" s="10">
        <v>103425</v>
      </c>
      <c r="Z131" s="9" t="s">
        <v>99</v>
      </c>
      <c r="AA131" s="8">
        <v>105955.465</v>
      </c>
      <c r="AB131" s="8">
        <v>7595</v>
      </c>
      <c r="AC131" s="8">
        <v>98360.464999999997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113</v>
      </c>
      <c r="BD131" s="56">
        <v>12600.330757068057</v>
      </c>
    </row>
    <row r="132" spans="1:56" ht="27.75" customHeight="1" x14ac:dyDescent="0.45">
      <c r="A132" s="3">
        <v>45601</v>
      </c>
      <c r="B132" s="14" t="s">
        <v>193</v>
      </c>
      <c r="C132" s="9" t="s">
        <v>93</v>
      </c>
      <c r="D132" s="13" t="s">
        <v>142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11003.203948644863</v>
      </c>
      <c r="Q132" s="10">
        <v>0</v>
      </c>
      <c r="R132" s="10">
        <v>11003.203948644863</v>
      </c>
      <c r="S132" s="9" t="s">
        <v>299</v>
      </c>
      <c r="T132" s="12" t="s">
        <v>63</v>
      </c>
      <c r="U132" s="11">
        <v>337878</v>
      </c>
      <c r="V132" s="10">
        <v>0</v>
      </c>
      <c r="W132" s="10">
        <v>337878</v>
      </c>
      <c r="X132" s="10">
        <v>0</v>
      </c>
      <c r="Y132" s="10">
        <v>354771.9</v>
      </c>
      <c r="Z132" s="9" t="s">
        <v>99</v>
      </c>
      <c r="AA132" s="8">
        <v>363451.98582000006</v>
      </c>
      <c r="AB132" s="8">
        <v>0</v>
      </c>
      <c r="AC132" s="8">
        <v>363451.98582000006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 t="s">
        <v>63</v>
      </c>
      <c r="AK132" s="3">
        <v>0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113</v>
      </c>
      <c r="BD132" s="56">
        <v>46559.511849046357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37</v>
      </c>
      <c r="G133" s="9">
        <v>0</v>
      </c>
      <c r="H133" s="9">
        <v>0</v>
      </c>
      <c r="I133" s="9">
        <v>128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99</v>
      </c>
      <c r="AA133" s="8">
        <v>469407.45082000003</v>
      </c>
      <c r="AB133" s="8">
        <v>7595</v>
      </c>
      <c r="AC133" s="8">
        <v>461812.45082000003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114</v>
      </c>
      <c r="BD133" s="56">
        <v>0</v>
      </c>
    </row>
    <row r="134" spans="1:56" ht="27.75" customHeight="1" x14ac:dyDescent="0.45">
      <c r="A134" s="3">
        <v>45894</v>
      </c>
      <c r="B134" s="14" t="s">
        <v>374</v>
      </c>
      <c r="C134" s="9" t="s">
        <v>137</v>
      </c>
      <c r="D134" s="13" t="s">
        <v>59</v>
      </c>
      <c r="E134" s="9">
        <v>26</v>
      </c>
      <c r="F134" s="9">
        <v>39</v>
      </c>
      <c r="G134" s="9" t="s">
        <v>60</v>
      </c>
      <c r="H134" s="9">
        <v>0</v>
      </c>
      <c r="I134" s="9">
        <v>93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123</v>
      </c>
      <c r="T134" s="12">
        <v>45904</v>
      </c>
      <c r="U134" s="11">
        <v>10000</v>
      </c>
      <c r="V134" s="10">
        <v>6800</v>
      </c>
      <c r="W134" s="10">
        <v>3200</v>
      </c>
      <c r="X134" s="10">
        <v>0</v>
      </c>
      <c r="Y134" s="10">
        <v>0</v>
      </c>
      <c r="Z134" s="9" t="s">
        <v>84</v>
      </c>
      <c r="AA134" s="8">
        <v>3621.0239999999999</v>
      </c>
      <c r="AB134" s="8">
        <v>2000</v>
      </c>
      <c r="AC134" s="8">
        <v>1621.0239999999999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77</v>
      </c>
      <c r="AI134" s="1">
        <v>1</v>
      </c>
      <c r="AJ134" s="3">
        <v>45904</v>
      </c>
      <c r="AK134" s="3">
        <v>0</v>
      </c>
      <c r="AL134" s="3">
        <v>0</v>
      </c>
      <c r="AM134" s="3">
        <v>0</v>
      </c>
      <c r="AN134" s="3">
        <v>0</v>
      </c>
      <c r="AO134" s="3">
        <v>45903</v>
      </c>
      <c r="AP134" s="3">
        <v>45899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130.8886823111111</v>
      </c>
    </row>
    <row r="135" spans="1:56" ht="27.75" customHeight="1" x14ac:dyDescent="0.45">
      <c r="A135" s="3" t="s">
        <v>135</v>
      </c>
      <c r="B135" s="14" t="s">
        <v>135</v>
      </c>
      <c r="C135" s="9" t="s">
        <v>179</v>
      </c>
      <c r="D135" s="13" t="s">
        <v>61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27</v>
      </c>
      <c r="N135" s="9">
        <v>43</v>
      </c>
      <c r="O135" s="9">
        <v>40</v>
      </c>
      <c r="P135" s="10">
        <v>229.14349009919997</v>
      </c>
      <c r="Q135" s="10">
        <v>0</v>
      </c>
      <c r="R135" s="10">
        <v>229.14349009919997</v>
      </c>
      <c r="S135" s="9" t="s">
        <v>185</v>
      </c>
      <c r="T135" s="12">
        <v>45930</v>
      </c>
      <c r="U135" s="11">
        <v>8000</v>
      </c>
      <c r="V135" s="10">
        <v>0</v>
      </c>
      <c r="W135" s="10">
        <v>8000</v>
      </c>
      <c r="X135" s="10">
        <v>0</v>
      </c>
      <c r="Y135" s="10">
        <v>8400</v>
      </c>
      <c r="Z135" s="9" t="s">
        <v>84</v>
      </c>
      <c r="AA135" s="8">
        <v>9499.6</v>
      </c>
      <c r="AB135" s="8">
        <v>0</v>
      </c>
      <c r="AC135" s="8">
        <v>9499.6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72</v>
      </c>
      <c r="AI135" s="1">
        <v>3</v>
      </c>
      <c r="AJ135" s="3">
        <v>45930</v>
      </c>
      <c r="AK135" s="3">
        <v>0</v>
      </c>
      <c r="AL135" s="3">
        <v>45920</v>
      </c>
      <c r="AM135" s="3">
        <v>45927</v>
      </c>
      <c r="AN135" s="3">
        <v>45928</v>
      </c>
      <c r="AO135" s="3">
        <v>45928</v>
      </c>
      <c r="AP135" s="3">
        <v>45925</v>
      </c>
      <c r="AQ135" s="3">
        <v>45929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767.03992444444452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 t="s">
        <v>60</v>
      </c>
      <c r="H136" s="9">
        <v>0</v>
      </c>
      <c r="I136" s="9">
        <v>102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84</v>
      </c>
      <c r="AA136" s="8">
        <v>13120.624</v>
      </c>
      <c r="AB136" s="8">
        <v>2000</v>
      </c>
      <c r="AC136" s="8">
        <v>11120.624</v>
      </c>
      <c r="AD136" s="8">
        <v>0</v>
      </c>
      <c r="AE136" s="8">
        <v>0</v>
      </c>
      <c r="AF136" s="8" t="s">
        <v>58</v>
      </c>
      <c r="AG136" s="1" t="s">
        <v>115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197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197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198</v>
      </c>
      <c r="BD138" s="56">
        <v>0</v>
      </c>
    </row>
    <row r="139" spans="1:56" ht="27.75" customHeight="1" x14ac:dyDescent="0.45">
      <c r="A139" s="3">
        <v>45901</v>
      </c>
      <c r="B139" s="14" t="s">
        <v>420</v>
      </c>
      <c r="C139" s="9" t="s">
        <v>109</v>
      </c>
      <c r="D139" s="13" t="s">
        <v>144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45908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88</v>
      </c>
      <c r="AA139" s="8">
        <v>37299.899999999994</v>
      </c>
      <c r="AB139" s="8">
        <v>37299.899999999994</v>
      </c>
      <c r="AC139" s="8">
        <v>0</v>
      </c>
      <c r="AD139" s="8">
        <v>0</v>
      </c>
      <c r="AE139" s="8">
        <v>37299.899999999994</v>
      </c>
      <c r="AF139" s="8">
        <v>0</v>
      </c>
      <c r="AG139" s="1" t="s">
        <v>116</v>
      </c>
      <c r="AH139" s="1" t="s">
        <v>75</v>
      </c>
      <c r="AI139" s="1">
        <v>4</v>
      </c>
      <c r="AJ139" s="3">
        <v>45908</v>
      </c>
      <c r="AK139" s="3">
        <v>45904</v>
      </c>
      <c r="AL139" s="3">
        <v>45897</v>
      </c>
      <c r="AM139" s="3">
        <v>45905</v>
      </c>
      <c r="AN139" s="3">
        <v>45906</v>
      </c>
      <c r="AO139" s="3">
        <v>45907</v>
      </c>
      <c r="AP139" s="3">
        <v>45903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45898</v>
      </c>
      <c r="B140" s="14" t="s">
        <v>413</v>
      </c>
      <c r="C140" s="9" t="s">
        <v>109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45909</v>
      </c>
      <c r="U140" s="11">
        <v>15000</v>
      </c>
      <c r="V140" s="10">
        <v>0</v>
      </c>
      <c r="W140" s="10">
        <v>15000</v>
      </c>
      <c r="X140" s="10">
        <v>0</v>
      </c>
      <c r="Y140" s="10">
        <v>0</v>
      </c>
      <c r="Z140" s="9" t="s">
        <v>88</v>
      </c>
      <c r="AA140" s="8">
        <v>18649.949999999997</v>
      </c>
      <c r="AB140" s="8">
        <v>18649.949999999997</v>
      </c>
      <c r="AC140" s="8">
        <v>0</v>
      </c>
      <c r="AD140" s="8">
        <v>0</v>
      </c>
      <c r="AE140" s="8">
        <v>18649.949999999997</v>
      </c>
      <c r="AF140" s="8">
        <v>0</v>
      </c>
      <c r="AG140" s="1" t="s">
        <v>116</v>
      </c>
      <c r="AH140" s="1" t="s">
        <v>146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143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45898</v>
      </c>
      <c r="B141" s="14" t="s">
        <v>414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88</v>
      </c>
      <c r="AA141" s="8">
        <v>18649.949999999997</v>
      </c>
      <c r="AB141" s="8">
        <v>18649.949999999997</v>
      </c>
      <c r="AC141" s="8">
        <v>0</v>
      </c>
      <c r="AD141" s="8">
        <v>0</v>
      </c>
      <c r="AE141" s="8">
        <v>18649.949999999997</v>
      </c>
      <c r="AF141" s="8">
        <v>0</v>
      </c>
      <c r="AG141" s="1" t="s">
        <v>115</v>
      </c>
      <c r="AH141" s="1" t="s">
        <v>146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45901</v>
      </c>
      <c r="B142" s="14" t="s">
        <v>421</v>
      </c>
      <c r="C142" s="9" t="s">
        <v>109</v>
      </c>
      <c r="D142" s="13" t="s">
        <v>144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45930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88</v>
      </c>
      <c r="AA142" s="8">
        <v>37299.899999999994</v>
      </c>
      <c r="AB142" s="8">
        <v>0</v>
      </c>
      <c r="AC142" s="8">
        <v>37299.899999999994</v>
      </c>
      <c r="AD142" s="8">
        <v>0</v>
      </c>
      <c r="AE142" s="8">
        <v>37299.899999999994</v>
      </c>
      <c r="AF142" s="8">
        <v>0</v>
      </c>
      <c r="AG142" s="1" t="s">
        <v>115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3846.8630200000002</v>
      </c>
    </row>
    <row r="143" spans="1:56" ht="27.75" customHeight="1" x14ac:dyDescent="0.45">
      <c r="A143" s="3">
        <v>45901</v>
      </c>
      <c r="B143" s="14" t="s">
        <v>422</v>
      </c>
      <c r="C143" s="9" t="s">
        <v>109</v>
      </c>
      <c r="D143" s="13" t="s">
        <v>144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88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115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1282.2876733333333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88</v>
      </c>
      <c r="AA144" s="8">
        <v>124332.99999999999</v>
      </c>
      <c r="AB144" s="8">
        <v>74599.799999999988</v>
      </c>
      <c r="AC144" s="8">
        <v>49733.2</v>
      </c>
      <c r="AD144" s="8">
        <v>0</v>
      </c>
      <c r="AE144" s="8">
        <v>124332.99999999999</v>
      </c>
      <c r="AF144" s="8" t="s">
        <v>58</v>
      </c>
      <c r="AG144" s="1" t="s">
        <v>117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45857</v>
      </c>
      <c r="B145" s="14" t="s">
        <v>300</v>
      </c>
      <c r="C145" s="9" t="s">
        <v>147</v>
      </c>
      <c r="D145" s="13" t="s">
        <v>148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45909</v>
      </c>
      <c r="U145" s="11">
        <v>3000</v>
      </c>
      <c r="V145" s="10">
        <v>2841</v>
      </c>
      <c r="W145" s="10">
        <v>159</v>
      </c>
      <c r="X145" s="10">
        <v>34283</v>
      </c>
      <c r="Y145" s="10">
        <v>0</v>
      </c>
      <c r="Z145" s="9" t="s">
        <v>127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45909</v>
      </c>
      <c r="AK145" s="3">
        <v>0</v>
      </c>
      <c r="AL145" s="3">
        <v>45900</v>
      </c>
      <c r="AM145" s="3">
        <v>45907</v>
      </c>
      <c r="AN145" s="3">
        <v>45908</v>
      </c>
      <c r="AO145" s="3">
        <v>45908</v>
      </c>
      <c r="AP145" s="3">
        <v>45904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45895</v>
      </c>
      <c r="B146" s="14" t="s">
        <v>375</v>
      </c>
      <c r="C146" s="9" t="s">
        <v>147</v>
      </c>
      <c r="D146" s="13" t="s">
        <v>148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45909</v>
      </c>
      <c r="U146" s="11">
        <v>50000</v>
      </c>
      <c r="V146" s="10">
        <v>10000</v>
      </c>
      <c r="W146" s="10">
        <v>40000</v>
      </c>
      <c r="X146" s="10">
        <v>49535</v>
      </c>
      <c r="Y146" s="10">
        <v>488.25</v>
      </c>
      <c r="Z146" s="9" t="s">
        <v>127</v>
      </c>
      <c r="AA146" s="8">
        <v>579.77246250000007</v>
      </c>
      <c r="AB146" s="8">
        <v>579.77246250000007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45909</v>
      </c>
      <c r="AK146" s="3">
        <v>0</v>
      </c>
      <c r="AL146" s="3">
        <v>45900</v>
      </c>
      <c r="AM146" s="3">
        <v>45907</v>
      </c>
      <c r="AN146" s="3">
        <v>45908</v>
      </c>
      <c r="AO146" s="3">
        <v>45908</v>
      </c>
      <c r="AP146" s="3">
        <v>45904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127</v>
      </c>
      <c r="AA147" s="8">
        <v>6775.4500000000007</v>
      </c>
      <c r="AB147" s="8">
        <v>6775.4500000000007</v>
      </c>
      <c r="AC147" s="8">
        <v>0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146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127</v>
      </c>
      <c r="AA148" s="8">
        <v>7355.2224625000008</v>
      </c>
      <c r="AB148" s="8">
        <v>7355.2224625000008</v>
      </c>
      <c r="AC148" s="8">
        <v>0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149</v>
      </c>
      <c r="BD148" s="56">
        <v>0</v>
      </c>
    </row>
  </sheetData>
  <autoFilter ref="A5:BD14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8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E40F-AE33-4C2D-B7C9-B68054113280}">
  <sheetPr>
    <tabColor rgb="FFFFFF00"/>
  </sheetPr>
  <dimension ref="A1:BD153"/>
  <sheetViews>
    <sheetView topLeftCell="A5" zoomScale="80" zoomScaleNormal="80" workbookViewId="0">
      <selection activeCell="T9" sqref="T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45901</v>
      </c>
      <c r="E3" s="80" t="s">
        <v>52</v>
      </c>
      <c r="F3" s="80"/>
      <c r="G3" s="81">
        <v>11.09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381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326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380</v>
      </c>
      <c r="C28" s="9" t="s">
        <v>73</v>
      </c>
      <c r="D28" s="13" t="s">
        <v>382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383</v>
      </c>
      <c r="C31" s="9" t="s">
        <v>73</v>
      </c>
      <c r="D31" s="13" t="s">
        <v>384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383</v>
      </c>
      <c r="C32" s="9" t="s">
        <v>73</v>
      </c>
      <c r="D32" s="13" t="s">
        <v>385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380</v>
      </c>
      <c r="C36" s="9" t="s">
        <v>73</v>
      </c>
      <c r="D36" s="13" t="s">
        <v>386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380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383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383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380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380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383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383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341</v>
      </c>
      <c r="C51" s="9" t="s">
        <v>139</v>
      </c>
      <c r="D51" s="13" t="s">
        <v>327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373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45887</v>
      </c>
      <c r="B54" s="14" t="s">
        <v>344</v>
      </c>
      <c r="C54" s="9" t="s">
        <v>139</v>
      </c>
      <c r="D54" s="13" t="s">
        <v>306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45902</v>
      </c>
      <c r="U54" s="11">
        <v>5040</v>
      </c>
      <c r="V54" s="10">
        <v>5760</v>
      </c>
      <c r="W54" s="10">
        <v>0</v>
      </c>
      <c r="X54" s="10">
        <v>6055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45902</v>
      </c>
      <c r="AK54" s="3">
        <v>45898</v>
      </c>
      <c r="AL54" s="3">
        <v>45891</v>
      </c>
      <c r="AM54" s="3">
        <v>45899</v>
      </c>
      <c r="AN54" s="3">
        <v>45900</v>
      </c>
      <c r="AO54" s="3">
        <v>45901</v>
      </c>
      <c r="AP54" s="3">
        <v>45897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134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45887</v>
      </c>
      <c r="B55" s="14" t="s">
        <v>345</v>
      </c>
      <c r="C55" s="9" t="s">
        <v>139</v>
      </c>
      <c r="D55" s="13" t="s">
        <v>331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45902</v>
      </c>
      <c r="U55" s="11">
        <v>5040</v>
      </c>
      <c r="V55" s="10">
        <v>2300</v>
      </c>
      <c r="W55" s="10">
        <v>2740</v>
      </c>
      <c r="X55" s="10">
        <v>6300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45902</v>
      </c>
      <c r="AK55" s="3">
        <v>45898</v>
      </c>
      <c r="AL55" s="3">
        <v>45891</v>
      </c>
      <c r="AM55" s="3">
        <v>45899</v>
      </c>
      <c r="AN55" s="3">
        <v>45900</v>
      </c>
      <c r="AO55" s="3">
        <v>45901</v>
      </c>
      <c r="AP55" s="3">
        <v>45897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134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343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6326</v>
      </c>
      <c r="W56" s="10">
        <v>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45887</v>
      </c>
      <c r="B57" s="14" t="s">
        <v>346</v>
      </c>
      <c r="C57" s="9" t="s">
        <v>139</v>
      </c>
      <c r="D57" s="13" t="s">
        <v>181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45904</v>
      </c>
      <c r="U57" s="11">
        <v>5040</v>
      </c>
      <c r="V57" s="10">
        <v>0</v>
      </c>
      <c r="W57" s="10">
        <v>5040</v>
      </c>
      <c r="X57" s="10">
        <v>10200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388</v>
      </c>
      <c r="AG57" s="1" t="s">
        <v>115</v>
      </c>
      <c r="AH57" s="1" t="s">
        <v>75</v>
      </c>
      <c r="AI57" s="1">
        <v>4</v>
      </c>
      <c r="AJ57" s="3">
        <v>45904</v>
      </c>
      <c r="AK57" s="3">
        <v>45900</v>
      </c>
      <c r="AL57" s="3">
        <v>45893</v>
      </c>
      <c r="AM57" s="3">
        <v>45901</v>
      </c>
      <c r="AN57" s="3">
        <v>45902</v>
      </c>
      <c r="AO57" s="3">
        <v>45903</v>
      </c>
      <c r="AP57" s="3">
        <v>45899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134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45877</v>
      </c>
      <c r="B58" s="14" t="s">
        <v>318</v>
      </c>
      <c r="C58" s="9" t="s">
        <v>79</v>
      </c>
      <c r="D58" s="13" t="s">
        <v>319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45904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80</v>
      </c>
      <c r="AA58" s="8">
        <v>3310.89</v>
      </c>
      <c r="AB58" s="8">
        <v>3310.89</v>
      </c>
      <c r="AC58" s="8">
        <v>0</v>
      </c>
      <c r="AD58" s="8">
        <v>3310.89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45904</v>
      </c>
      <c r="AK58" s="3">
        <v>45900</v>
      </c>
      <c r="AL58" s="3">
        <v>45893</v>
      </c>
      <c r="AM58" s="3">
        <v>45901</v>
      </c>
      <c r="AN58" s="3">
        <v>45902</v>
      </c>
      <c r="AO58" s="3">
        <v>45903</v>
      </c>
      <c r="AP58" s="3">
        <v>45899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360</v>
      </c>
      <c r="C59" s="9" t="s">
        <v>139</v>
      </c>
      <c r="D59" s="13" t="s">
        <v>361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45905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45905</v>
      </c>
      <c r="AK59" s="3">
        <v>45901</v>
      </c>
      <c r="AL59" s="3">
        <v>45894</v>
      </c>
      <c r="AM59" s="3">
        <v>45902</v>
      </c>
      <c r="AN59" s="3">
        <v>45903</v>
      </c>
      <c r="AO59" s="3">
        <v>45904</v>
      </c>
      <c r="AP59" s="3">
        <v>45900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45892</v>
      </c>
      <c r="B60" s="14" t="s">
        <v>371</v>
      </c>
      <c r="C60" s="9" t="s">
        <v>355</v>
      </c>
      <c r="D60" s="13" t="s">
        <v>356</v>
      </c>
      <c r="E60" s="9">
        <v>20</v>
      </c>
      <c r="F60" s="9">
        <v>30</v>
      </c>
      <c r="G60" s="9" t="s">
        <v>60</v>
      </c>
      <c r="H60" s="9" t="s">
        <v>66</v>
      </c>
      <c r="I60" s="9">
        <v>80</v>
      </c>
      <c r="J60" s="9" t="s">
        <v>57</v>
      </c>
      <c r="K60" s="9">
        <v>5</v>
      </c>
      <c r="L60" s="9" t="s">
        <v>357</v>
      </c>
      <c r="M60" s="10">
        <v>21</v>
      </c>
      <c r="N60" s="9">
        <v>33</v>
      </c>
      <c r="O60" s="9">
        <v>40</v>
      </c>
      <c r="P60" s="10">
        <v>0</v>
      </c>
      <c r="Q60" s="10">
        <v>0</v>
      </c>
      <c r="R60" s="10">
        <v>0</v>
      </c>
      <c r="S60" s="9" t="s">
        <v>71</v>
      </c>
      <c r="T60" s="12">
        <v>45905</v>
      </c>
      <c r="U60" s="11">
        <v>10000</v>
      </c>
      <c r="V60" s="10">
        <v>10000</v>
      </c>
      <c r="W60" s="10">
        <v>0</v>
      </c>
      <c r="X60" s="10">
        <v>10500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68</v>
      </c>
      <c r="AI60" s="1">
        <v>4</v>
      </c>
      <c r="AJ60" s="3">
        <v>45905</v>
      </c>
      <c r="AK60" s="3">
        <v>45901</v>
      </c>
      <c r="AL60" s="3">
        <v>45895</v>
      </c>
      <c r="AM60" s="3">
        <v>45902</v>
      </c>
      <c r="AN60" s="3">
        <v>45903</v>
      </c>
      <c r="AO60" s="3">
        <v>45903</v>
      </c>
      <c r="AP60" s="3">
        <v>45900</v>
      </c>
      <c r="AQ60" s="3">
        <v>45904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45850</v>
      </c>
      <c r="B61" s="14" t="s">
        <v>284</v>
      </c>
      <c r="C61" s="9" t="s">
        <v>107</v>
      </c>
      <c r="D61" s="13" t="s">
        <v>285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45905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0</v>
      </c>
      <c r="AE61" s="8">
        <v>3310.89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45905</v>
      </c>
      <c r="AK61" s="3">
        <v>45901</v>
      </c>
      <c r="AL61" s="3">
        <v>45894</v>
      </c>
      <c r="AM61" s="3">
        <v>45902</v>
      </c>
      <c r="AN61" s="3">
        <v>45903</v>
      </c>
      <c r="AO61" s="3">
        <v>45904</v>
      </c>
      <c r="AP61" s="3">
        <v>45900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45908</v>
      </c>
      <c r="U62" s="11">
        <v>5040</v>
      </c>
      <c r="V62" s="10">
        <v>4400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45908</v>
      </c>
      <c r="AK62" s="3">
        <v>45904</v>
      </c>
      <c r="AL62" s="3">
        <v>45897</v>
      </c>
      <c r="AM62" s="3">
        <v>45905</v>
      </c>
      <c r="AN62" s="3">
        <v>45906</v>
      </c>
      <c r="AO62" s="3">
        <v>45907</v>
      </c>
      <c r="AP62" s="3">
        <v>45903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45908</v>
      </c>
      <c r="U63" s="11">
        <v>10000</v>
      </c>
      <c r="V63" s="10">
        <v>8200</v>
      </c>
      <c r="W63" s="10">
        <v>1800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45908</v>
      </c>
      <c r="AK63" s="3">
        <v>45904</v>
      </c>
      <c r="AL63" s="3">
        <v>45897</v>
      </c>
      <c r="AM63" s="3">
        <v>45905</v>
      </c>
      <c r="AN63" s="3">
        <v>45906</v>
      </c>
      <c r="AO63" s="3">
        <v>45907</v>
      </c>
      <c r="AP63" s="3">
        <v>45903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0</v>
      </c>
      <c r="W64" s="10">
        <v>5000</v>
      </c>
      <c r="X64" s="10">
        <v>3635</v>
      </c>
      <c r="Y64" s="10">
        <v>1433.25</v>
      </c>
      <c r="Z64" s="9" t="s">
        <v>80</v>
      </c>
      <c r="AA64" s="8">
        <v>1581.7776974999997</v>
      </c>
      <c r="AB64" s="8">
        <v>1581.7776974999997</v>
      </c>
      <c r="AC64" s="8">
        <v>0</v>
      </c>
      <c r="AD64" s="8">
        <v>1581.7776974999997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387</v>
      </c>
      <c r="C65" s="9" t="s">
        <v>139</v>
      </c>
      <c r="D65" s="13" t="s">
        <v>330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7646</v>
      </c>
      <c r="W65" s="10">
        <v>0</v>
      </c>
      <c r="X65" s="10">
        <v>6178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45896</v>
      </c>
      <c r="B66" s="14" t="s">
        <v>387</v>
      </c>
      <c r="C66" s="9" t="s">
        <v>139</v>
      </c>
      <c r="D66" s="13" t="s">
        <v>252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45910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80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45910</v>
      </c>
      <c r="AK66" s="3">
        <v>45906</v>
      </c>
      <c r="AL66" s="3">
        <v>45899</v>
      </c>
      <c r="AM66" s="3">
        <v>45907</v>
      </c>
      <c r="AN66" s="3">
        <v>45908</v>
      </c>
      <c r="AO66" s="3">
        <v>45909</v>
      </c>
      <c r="AP66" s="3">
        <v>45905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45873</v>
      </c>
      <c r="B67" s="14" t="s">
        <v>308</v>
      </c>
      <c r="C67" s="9" t="s">
        <v>107</v>
      </c>
      <c r="D67" s="13" t="s">
        <v>309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45922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 t="s">
        <v>307</v>
      </c>
      <c r="AG67" s="1" t="s">
        <v>61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333.54151111111111</v>
      </c>
    </row>
    <row r="68" spans="1:56" ht="27.75" customHeight="1" x14ac:dyDescent="0.45">
      <c r="A68" s="3" t="s">
        <v>135</v>
      </c>
      <c r="B68" s="14" t="s">
        <v>135</v>
      </c>
      <c r="C68" s="9" t="s">
        <v>139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45925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7916.333333333333</v>
      </c>
    </row>
    <row r="69" spans="1:56" ht="27.75" customHeight="1" x14ac:dyDescent="0.45">
      <c r="A69" s="3" t="s">
        <v>135</v>
      </c>
      <c r="B69" s="14" t="s">
        <v>135</v>
      </c>
      <c r="C69" s="9" t="s">
        <v>79</v>
      </c>
      <c r="D69" s="13" t="s">
        <v>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22072.6</v>
      </c>
      <c r="AB69" s="8">
        <v>0</v>
      </c>
      <c r="AC69" s="8">
        <v>22072.6</v>
      </c>
      <c r="AD69" s="8">
        <v>0</v>
      </c>
      <c r="AE69" s="8">
        <v>22072.6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1667.7075555555555</v>
      </c>
    </row>
    <row r="70" spans="1:56" ht="27.75" customHeight="1" x14ac:dyDescent="0.45">
      <c r="A70" s="3" t="s">
        <v>135</v>
      </c>
      <c r="B70" s="14" t="s">
        <v>135</v>
      </c>
      <c r="C70" s="9" t="s">
        <v>97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0</v>
      </c>
      <c r="AC70" s="8">
        <v>21513.800000000003</v>
      </c>
      <c r="AD70" s="8">
        <v>0</v>
      </c>
      <c r="AE70" s="8">
        <v>21513.800000000003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1625.4871111111113</v>
      </c>
    </row>
    <row r="71" spans="1:56" ht="27.75" customHeight="1" x14ac:dyDescent="0.45">
      <c r="A71" s="3">
        <v>45892</v>
      </c>
      <c r="B71" s="14" t="s">
        <v>363</v>
      </c>
      <c r="C71" s="9" t="s">
        <v>79</v>
      </c>
      <c r="D71" s="13" t="s">
        <v>364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3227.07</v>
      </c>
      <c r="AB71" s="8">
        <v>0</v>
      </c>
      <c r="AC71" s="8">
        <v>3227.07</v>
      </c>
      <c r="AD71" s="8">
        <v>0</v>
      </c>
      <c r="AE71" s="8">
        <v>3227.07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243.82306666666665</v>
      </c>
    </row>
    <row r="72" spans="1:56" ht="27.75" customHeight="1" x14ac:dyDescent="0.45">
      <c r="A72" s="3">
        <v>45891</v>
      </c>
      <c r="B72" s="14" t="s">
        <v>389</v>
      </c>
      <c r="C72" s="9" t="s">
        <v>79</v>
      </c>
      <c r="D72" s="13" t="s">
        <v>390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9000</v>
      </c>
      <c r="V72" s="10">
        <v>0</v>
      </c>
      <c r="W72" s="10">
        <v>9000</v>
      </c>
      <c r="X72" s="10">
        <v>0</v>
      </c>
      <c r="Y72" s="10">
        <v>9450</v>
      </c>
      <c r="Z72" s="9" t="s">
        <v>80</v>
      </c>
      <c r="AA72" s="8">
        <v>9932.67</v>
      </c>
      <c r="AB72" s="8">
        <v>0</v>
      </c>
      <c r="AC72" s="8">
        <v>9932.67</v>
      </c>
      <c r="AD72" s="8">
        <v>0</v>
      </c>
      <c r="AE72" s="8">
        <v>9932.67</v>
      </c>
      <c r="AF72" s="8">
        <v>0</v>
      </c>
      <c r="AG72" s="1" t="s">
        <v>115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750.46839999999997</v>
      </c>
    </row>
    <row r="73" spans="1:56" ht="27.75" customHeight="1" x14ac:dyDescent="0.45">
      <c r="A73" s="3">
        <v>45891</v>
      </c>
      <c r="B73" s="14" t="s">
        <v>391</v>
      </c>
      <c r="C73" s="9" t="s">
        <v>79</v>
      </c>
      <c r="D73" s="13" t="s">
        <v>392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80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>
        <v>0</v>
      </c>
      <c r="AG73" s="1" t="s">
        <v>116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333.54151111111111</v>
      </c>
    </row>
    <row r="74" spans="1:56" ht="27.75" customHeight="1" x14ac:dyDescent="0.45">
      <c r="A74" s="3">
        <v>45891</v>
      </c>
      <c r="B74" s="14" t="s">
        <v>393</v>
      </c>
      <c r="C74" s="9" t="s">
        <v>79</v>
      </c>
      <c r="D74" s="13" t="s">
        <v>394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9000</v>
      </c>
      <c r="V74" s="10">
        <v>0</v>
      </c>
      <c r="W74" s="10">
        <v>9000</v>
      </c>
      <c r="X74" s="10">
        <v>0</v>
      </c>
      <c r="Y74" s="10">
        <v>9450</v>
      </c>
      <c r="Z74" s="9" t="s">
        <v>80</v>
      </c>
      <c r="AA74" s="8">
        <v>9932.67</v>
      </c>
      <c r="AB74" s="8">
        <v>0</v>
      </c>
      <c r="AC74" s="8">
        <v>9932.67</v>
      </c>
      <c r="AD74" s="8">
        <v>0</v>
      </c>
      <c r="AE74" s="8">
        <v>9932.67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750.46839999999997</v>
      </c>
    </row>
    <row r="75" spans="1:56" ht="27.75" customHeight="1" x14ac:dyDescent="0.45">
      <c r="A75" s="3">
        <v>45887</v>
      </c>
      <c r="B75" s="14" t="s">
        <v>345</v>
      </c>
      <c r="C75" s="9" t="s">
        <v>139</v>
      </c>
      <c r="D75" s="13" t="s">
        <v>224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104</v>
      </c>
      <c r="V75" s="10">
        <v>0</v>
      </c>
      <c r="W75" s="10">
        <v>104</v>
      </c>
      <c r="X75" s="10">
        <v>11230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45896</v>
      </c>
      <c r="B76" s="14" t="s">
        <v>395</v>
      </c>
      <c r="C76" s="9" t="s">
        <v>79</v>
      </c>
      <c r="D76" s="13" t="s">
        <v>310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115</v>
      </c>
      <c r="AH76" s="1" t="s">
        <v>75</v>
      </c>
      <c r="AI76" s="1">
        <v>5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250.15613333333337</v>
      </c>
    </row>
    <row r="77" spans="1:56" ht="27.75" customHeight="1" x14ac:dyDescent="0.45">
      <c r="A77" s="3">
        <v>45896</v>
      </c>
      <c r="B77" s="14" t="s">
        <v>396</v>
      </c>
      <c r="C77" s="9" t="s">
        <v>79</v>
      </c>
      <c r="D77" s="13" t="s">
        <v>397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8000</v>
      </c>
      <c r="V77" s="10">
        <v>0</v>
      </c>
      <c r="W77" s="10">
        <v>8000</v>
      </c>
      <c r="X77" s="10">
        <v>0</v>
      </c>
      <c r="Y77" s="10">
        <v>8400</v>
      </c>
      <c r="Z77" s="9" t="s">
        <v>80</v>
      </c>
      <c r="AA77" s="8">
        <v>8829.0399999999991</v>
      </c>
      <c r="AB77" s="8">
        <v>0</v>
      </c>
      <c r="AC77" s="8">
        <v>8829.0399999999991</v>
      </c>
      <c r="AD77" s="8">
        <v>0</v>
      </c>
      <c r="AE77" s="8">
        <v>8829.0399999999991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667.08302222222221</v>
      </c>
    </row>
    <row r="78" spans="1:56" ht="27.75" customHeight="1" x14ac:dyDescent="0.45">
      <c r="A78" s="3">
        <v>45892</v>
      </c>
      <c r="B78" s="14" t="s">
        <v>365</v>
      </c>
      <c r="C78" s="9" t="s">
        <v>79</v>
      </c>
      <c r="D78" s="13" t="s">
        <v>220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6000</v>
      </c>
      <c r="V78" s="10">
        <v>0</v>
      </c>
      <c r="W78" s="10">
        <v>6000</v>
      </c>
      <c r="X78" s="10">
        <v>0</v>
      </c>
      <c r="Y78" s="10">
        <v>6300</v>
      </c>
      <c r="Z78" s="9" t="s">
        <v>80</v>
      </c>
      <c r="AA78" s="8">
        <v>6621.78</v>
      </c>
      <c r="AB78" s="8">
        <v>0</v>
      </c>
      <c r="AC78" s="8">
        <v>6621.78</v>
      </c>
      <c r="AD78" s="8">
        <v>0</v>
      </c>
      <c r="AE78" s="8">
        <v>6621.78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500.31226666666674</v>
      </c>
    </row>
    <row r="79" spans="1:56" ht="27.75" customHeight="1" x14ac:dyDescent="0.45">
      <c r="A79" s="3">
        <v>45796</v>
      </c>
      <c r="B79" s="14" t="s">
        <v>258</v>
      </c>
      <c r="C79" s="9" t="s">
        <v>139</v>
      </c>
      <c r="D79" s="13" t="s">
        <v>145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240</v>
      </c>
      <c r="V79" s="10">
        <v>0</v>
      </c>
      <c r="W79" s="10">
        <v>240</v>
      </c>
      <c r="X79" s="10">
        <v>0</v>
      </c>
      <c r="Y79" s="10">
        <v>252</v>
      </c>
      <c r="Z79" s="9" t="s">
        <v>80</v>
      </c>
      <c r="AA79" s="8">
        <v>251.46</v>
      </c>
      <c r="AB79" s="8">
        <v>0</v>
      </c>
      <c r="AC79" s="8">
        <v>251.46</v>
      </c>
      <c r="AD79" s="8">
        <v>0</v>
      </c>
      <c r="AE79" s="8">
        <v>251.46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254</v>
      </c>
      <c r="AZ79" s="2">
        <v>0</v>
      </c>
      <c r="BA79" s="2">
        <v>0</v>
      </c>
      <c r="BB79" s="2">
        <v>0</v>
      </c>
      <c r="BC79" s="1" t="s">
        <v>104</v>
      </c>
      <c r="BD79" s="56">
        <v>18.999199999999998</v>
      </c>
    </row>
    <row r="80" spans="1:56" ht="27.75" customHeight="1" x14ac:dyDescent="0.45">
      <c r="A80" s="3">
        <v>45876</v>
      </c>
      <c r="B80" s="14" t="s">
        <v>328</v>
      </c>
      <c r="C80" s="9" t="s">
        <v>107</v>
      </c>
      <c r="D80" s="13" t="s">
        <v>314</v>
      </c>
      <c r="E80" s="9">
        <v>20</v>
      </c>
      <c r="F80" s="9">
        <v>40</v>
      </c>
      <c r="G80" s="9" t="s">
        <v>60</v>
      </c>
      <c r="H80" s="9" t="s">
        <v>66</v>
      </c>
      <c r="I80" s="9">
        <v>108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3075</v>
      </c>
      <c r="W80" s="10">
        <v>0</v>
      </c>
      <c r="X80" s="10">
        <v>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45877</v>
      </c>
      <c r="B81" s="14" t="s">
        <v>318</v>
      </c>
      <c r="C81" s="9" t="s">
        <v>79</v>
      </c>
      <c r="D81" s="13" t="s">
        <v>319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7000</v>
      </c>
      <c r="V81" s="10">
        <v>0</v>
      </c>
      <c r="W81" s="10">
        <v>7000</v>
      </c>
      <c r="X81" s="10">
        <v>0</v>
      </c>
      <c r="Y81" s="10">
        <v>7350</v>
      </c>
      <c r="Z81" s="9" t="s">
        <v>80</v>
      </c>
      <c r="AA81" s="8">
        <v>7725.41</v>
      </c>
      <c r="AB81" s="8">
        <v>0</v>
      </c>
      <c r="AC81" s="8">
        <v>7725.41</v>
      </c>
      <c r="AD81" s="8">
        <v>0</v>
      </c>
      <c r="AE81" s="8">
        <v>7725.41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583.69764444444445</v>
      </c>
    </row>
    <row r="82" spans="1:56" ht="27.75" customHeight="1" x14ac:dyDescent="0.45">
      <c r="A82" s="3" t="s">
        <v>135</v>
      </c>
      <c r="B82" s="14" t="s">
        <v>135</v>
      </c>
      <c r="C82" s="9" t="s">
        <v>270</v>
      </c>
      <c r="D82" s="13" t="s">
        <v>61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110363</v>
      </c>
      <c r="AB82" s="8">
        <v>0</v>
      </c>
      <c r="AC82" s="8">
        <v>110363</v>
      </c>
      <c r="AD82" s="8">
        <v>0</v>
      </c>
      <c r="AE82" s="8">
        <v>110363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8338.5377777777776</v>
      </c>
    </row>
    <row r="83" spans="1:56" ht="27.75" customHeight="1" x14ac:dyDescent="0.45">
      <c r="A83" s="3">
        <v>45825</v>
      </c>
      <c r="B83" s="14" t="s">
        <v>269</v>
      </c>
      <c r="C83" s="9" t="s">
        <v>139</v>
      </c>
      <c r="D83" s="13" t="s">
        <v>239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246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894</v>
      </c>
      <c r="V83" s="10">
        <v>525</v>
      </c>
      <c r="W83" s="10">
        <v>369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45796</v>
      </c>
      <c r="B84" s="14" t="s">
        <v>256</v>
      </c>
      <c r="C84" s="9" t="s">
        <v>139</v>
      </c>
      <c r="D84" s="13" t="s">
        <v>251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257</v>
      </c>
      <c r="C85" s="9" t="s">
        <v>139</v>
      </c>
      <c r="D85" s="13" t="s">
        <v>253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45782</v>
      </c>
      <c r="B86" s="14" t="s">
        <v>249</v>
      </c>
      <c r="C86" s="9" t="s">
        <v>79</v>
      </c>
      <c r="D86" s="13" t="s">
        <v>243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416.92688888888887</v>
      </c>
    </row>
    <row r="87" spans="1:56" ht="27.75" customHeight="1" x14ac:dyDescent="0.45">
      <c r="A87" s="3">
        <v>45798</v>
      </c>
      <c r="B87" s="14" t="s">
        <v>263</v>
      </c>
      <c r="C87" s="9" t="s">
        <v>107</v>
      </c>
      <c r="D87" s="13" t="s">
        <v>261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45674</v>
      </c>
      <c r="B88" s="14" t="s">
        <v>226</v>
      </c>
      <c r="C88" s="9" t="s">
        <v>139</v>
      </c>
      <c r="D88" s="13" t="s">
        <v>225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196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152</v>
      </c>
      <c r="V88" s="10">
        <v>0</v>
      </c>
      <c r="W88" s="10">
        <v>152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5987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235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45611</v>
      </c>
      <c r="B89" s="14" t="s">
        <v>195</v>
      </c>
      <c r="C89" s="9" t="s">
        <v>139</v>
      </c>
      <c r="D89" s="13" t="s">
        <v>194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117</v>
      </c>
      <c r="V89" s="10">
        <v>0</v>
      </c>
      <c r="W89" s="10">
        <v>117</v>
      </c>
      <c r="X89" s="10">
        <v>10065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45523</v>
      </c>
      <c r="B90" s="14" t="s">
        <v>178</v>
      </c>
      <c r="C90" s="9" t="s">
        <v>139</v>
      </c>
      <c r="D90" s="13" t="s">
        <v>176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1260</v>
      </c>
      <c r="V90" s="10">
        <v>0</v>
      </c>
      <c r="W90" s="10">
        <v>1260</v>
      </c>
      <c r="X90" s="10">
        <v>11095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</v>
      </c>
      <c r="V91" s="10">
        <v>0</v>
      </c>
      <c r="W91" s="10">
        <v>89</v>
      </c>
      <c r="X91" s="10">
        <v>11180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45799</v>
      </c>
      <c r="B92" s="14" t="s">
        <v>264</v>
      </c>
      <c r="C92" s="9" t="s">
        <v>259</v>
      </c>
      <c r="D92" s="13" t="s">
        <v>260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132</v>
      </c>
      <c r="U92" s="11">
        <v>4000</v>
      </c>
      <c r="V92" s="10">
        <v>2840</v>
      </c>
      <c r="W92" s="10">
        <v>1160</v>
      </c>
      <c r="X92" s="10">
        <v>8450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358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2654</v>
      </c>
      <c r="W93" s="10">
        <v>1346</v>
      </c>
      <c r="X93" s="10">
        <v>4000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45741</v>
      </c>
      <c r="B94" s="14" t="s">
        <v>242</v>
      </c>
      <c r="C94" s="9" t="s">
        <v>107</v>
      </c>
      <c r="D94" s="13" t="s">
        <v>241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4000</v>
      </c>
      <c r="V94" s="10">
        <v>3867</v>
      </c>
      <c r="W94" s="10">
        <v>133</v>
      </c>
      <c r="X94" s="10">
        <v>4200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244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45720</v>
      </c>
      <c r="B95" s="14" t="s">
        <v>128</v>
      </c>
      <c r="C95" s="9" t="s">
        <v>107</v>
      </c>
      <c r="D95" s="13" t="s">
        <v>209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219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45541</v>
      </c>
      <c r="B97" s="14" t="s">
        <v>182</v>
      </c>
      <c r="C97" s="9" t="s">
        <v>107</v>
      </c>
      <c r="D97" s="13" t="s">
        <v>183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184</v>
      </c>
      <c r="AG97" s="1" t="s">
        <v>61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222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45581</v>
      </c>
      <c r="B98" s="14" t="s">
        <v>187</v>
      </c>
      <c r="C98" s="9" t="s">
        <v>107</v>
      </c>
      <c r="D98" s="13" t="s">
        <v>188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80</v>
      </c>
      <c r="AA99" s="8">
        <v>347185.60769750015</v>
      </c>
      <c r="AB99" s="8">
        <v>18764.8776975</v>
      </c>
      <c r="AC99" s="8">
        <v>328420.7300000001</v>
      </c>
      <c r="AD99" s="8">
        <v>4892.6676974999991</v>
      </c>
      <c r="AE99" s="8">
        <v>342292.94000000006</v>
      </c>
      <c r="AF99" s="8" t="s">
        <v>58</v>
      </c>
      <c r="AG99" s="1" t="s">
        <v>115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 t="s">
        <v>135</v>
      </c>
      <c r="B100" s="14" t="s">
        <v>135</v>
      </c>
      <c r="C100" s="9" t="s">
        <v>270</v>
      </c>
      <c r="D100" s="13" t="s">
        <v>61</v>
      </c>
      <c r="E100" s="9">
        <v>20</v>
      </c>
      <c r="F100" s="9">
        <v>39</v>
      </c>
      <c r="G100" s="9" t="s">
        <v>60</v>
      </c>
      <c r="H100" s="9">
        <v>0</v>
      </c>
      <c r="I100" s="9">
        <v>84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271</v>
      </c>
      <c r="AA100" s="8">
        <v>113157.00000000001</v>
      </c>
      <c r="AB100" s="8">
        <v>0</v>
      </c>
      <c r="AC100" s="8">
        <v>113157.00000000001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74</v>
      </c>
      <c r="AI100" s="1">
        <v>2</v>
      </c>
      <c r="AJ100" s="3" t="s">
        <v>63</v>
      </c>
      <c r="AK100" s="3">
        <v>0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272</v>
      </c>
      <c r="BD100" s="56">
        <v>8914.2570000000014</v>
      </c>
    </row>
    <row r="101" spans="1:56" ht="27.7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38</v>
      </c>
      <c r="G101" s="9">
        <v>0</v>
      </c>
      <c r="H101" s="9">
        <v>0</v>
      </c>
      <c r="I101" s="9">
        <v>82</v>
      </c>
      <c r="J101" s="9" t="s">
        <v>78</v>
      </c>
      <c r="K101" s="9">
        <v>2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 t="s">
        <v>58</v>
      </c>
      <c r="AG101" s="1" t="s">
        <v>116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273</v>
      </c>
      <c r="BD101" s="56">
        <v>0</v>
      </c>
    </row>
    <row r="102" spans="1:56" ht="27.75" customHeight="1" x14ac:dyDescent="0.45">
      <c r="A102" s="3">
        <v>45887</v>
      </c>
      <c r="B102" s="14" t="s">
        <v>348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45904</v>
      </c>
      <c r="U102" s="11">
        <v>29680</v>
      </c>
      <c r="V102" s="10">
        <v>24160</v>
      </c>
      <c r="W102" s="10">
        <v>5520</v>
      </c>
      <c r="X102" s="10">
        <v>31160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45904</v>
      </c>
      <c r="AK102" s="3">
        <v>0</v>
      </c>
      <c r="AL102" s="3">
        <v>45895</v>
      </c>
      <c r="AM102" s="3">
        <v>45902</v>
      </c>
      <c r="AN102" s="3">
        <v>45903</v>
      </c>
      <c r="AO102" s="3">
        <v>45903</v>
      </c>
      <c r="AP102" s="3">
        <v>45899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334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45896</v>
      </c>
      <c r="B103" s="14" t="s">
        <v>409</v>
      </c>
      <c r="C103" s="9" t="s">
        <v>73</v>
      </c>
      <c r="D103" s="13" t="s">
        <v>398</v>
      </c>
      <c r="E103" s="9">
        <v>20</v>
      </c>
      <c r="F103" s="9">
        <v>32</v>
      </c>
      <c r="G103" s="9" t="s">
        <v>60</v>
      </c>
      <c r="H103" s="9">
        <v>0</v>
      </c>
      <c r="I103" s="9">
        <v>72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141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4679.9500000000007</v>
      </c>
      <c r="AB103" s="8">
        <v>4679.9500000000007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74</v>
      </c>
      <c r="AI103" s="1">
        <v>2</v>
      </c>
      <c r="AJ103" s="3">
        <v>45906</v>
      </c>
      <c r="AK103" s="3">
        <v>0</v>
      </c>
      <c r="AL103" s="3">
        <v>45897</v>
      </c>
      <c r="AM103" s="3">
        <v>45904</v>
      </c>
      <c r="AN103" s="3">
        <v>45905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399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45887</v>
      </c>
      <c r="B105" s="14" t="s">
        <v>347</v>
      </c>
      <c r="C105" s="9" t="s">
        <v>139</v>
      </c>
      <c r="D105" s="13" t="s">
        <v>332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196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45908</v>
      </c>
      <c r="U105" s="11">
        <v>18134</v>
      </c>
      <c r="V105" s="10">
        <v>18134</v>
      </c>
      <c r="W105" s="10">
        <v>0</v>
      </c>
      <c r="X105" s="10">
        <v>33397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210</v>
      </c>
      <c r="AG105" s="1" t="s">
        <v>119</v>
      </c>
      <c r="AH105" s="1" t="s">
        <v>74</v>
      </c>
      <c r="AI105" s="1">
        <v>2</v>
      </c>
      <c r="AJ105" s="3">
        <v>45908</v>
      </c>
      <c r="AK105" s="3">
        <v>0</v>
      </c>
      <c r="AL105" s="3">
        <v>45899</v>
      </c>
      <c r="AM105" s="3">
        <v>45906</v>
      </c>
      <c r="AN105" s="3">
        <v>45907</v>
      </c>
      <c r="AO105" s="3">
        <v>45907</v>
      </c>
      <c r="AP105" s="3">
        <v>45903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333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366</v>
      </c>
      <c r="C106" s="9" t="s">
        <v>139</v>
      </c>
      <c r="D106" s="13" t="s">
        <v>367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0</v>
      </c>
      <c r="Y106" s="10">
        <v>9244.2000000000007</v>
      </c>
      <c r="Z106" s="9" t="s">
        <v>81</v>
      </c>
      <c r="AA106" s="8">
        <v>9224.3909999999996</v>
      </c>
      <c r="AB106" s="8">
        <v>9224.3909999999996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347</v>
      </c>
      <c r="C107" s="9" t="s">
        <v>139</v>
      </c>
      <c r="D107" s="13" t="s">
        <v>332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20000</v>
      </c>
      <c r="V107" s="10">
        <v>8666</v>
      </c>
      <c r="W107" s="10">
        <v>11334</v>
      </c>
      <c r="X107" s="10">
        <v>0</v>
      </c>
      <c r="Y107" s="10">
        <v>11900.7</v>
      </c>
      <c r="Z107" s="9" t="s">
        <v>81</v>
      </c>
      <c r="AA107" s="8">
        <v>11875.1985</v>
      </c>
      <c r="AB107" s="8">
        <v>11875.1985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348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0</v>
      </c>
      <c r="W108" s="10">
        <v>40000</v>
      </c>
      <c r="X108" s="10">
        <v>6888</v>
      </c>
      <c r="Y108" s="10">
        <v>34767.599999999999</v>
      </c>
      <c r="Z108" s="9" t="s">
        <v>81</v>
      </c>
      <c r="AA108" s="8">
        <v>36427.752899999999</v>
      </c>
      <c r="AB108" s="8">
        <v>36427.752899999999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334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49926</v>
      </c>
      <c r="AC111" s="8">
        <v>253921.5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19410.887999999999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423122.24239999999</v>
      </c>
      <c r="AB112" s="8">
        <v>169200.74239999999</v>
      </c>
      <c r="AC112" s="8">
        <v>253921.5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324</v>
      </c>
      <c r="C113" s="9" t="s">
        <v>303</v>
      </c>
      <c r="D113" s="13" t="s">
        <v>311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325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368</v>
      </c>
      <c r="C115" s="9" t="s">
        <v>79</v>
      </c>
      <c r="D115" s="13" t="s">
        <v>369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67</v>
      </c>
      <c r="T115" s="12">
        <v>45904</v>
      </c>
      <c r="U115" s="11">
        <v>3000</v>
      </c>
      <c r="V115" s="10">
        <v>0</v>
      </c>
      <c r="W115" s="10">
        <v>3000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400</v>
      </c>
      <c r="C120" s="9" t="s">
        <v>107</v>
      </c>
      <c r="D120" s="13" t="s">
        <v>401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402</v>
      </c>
      <c r="C121" s="9" t="s">
        <v>107</v>
      </c>
      <c r="D121" s="13" t="s">
        <v>313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403</v>
      </c>
      <c r="C122" s="9" t="s">
        <v>107</v>
      </c>
      <c r="D122" s="13" t="s">
        <v>404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335</v>
      </c>
      <c r="C123" s="9" t="s">
        <v>107</v>
      </c>
      <c r="D123" s="13" t="s">
        <v>315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337</v>
      </c>
      <c r="C124" s="9" t="s">
        <v>107</v>
      </c>
      <c r="D124" s="13" t="s">
        <v>317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128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118.42040831999999</v>
      </c>
      <c r="Q134" s="10">
        <v>0</v>
      </c>
      <c r="R134" s="10">
        <v>118.42040831999999</v>
      </c>
      <c r="S134" s="9" t="s">
        <v>71</v>
      </c>
      <c r="T134" s="12">
        <v>45909</v>
      </c>
      <c r="U134" s="11">
        <v>5000</v>
      </c>
      <c r="V134" s="10">
        <v>0</v>
      </c>
      <c r="W134" s="10">
        <v>5000</v>
      </c>
      <c r="X134" s="10">
        <v>0</v>
      </c>
      <c r="Y134" s="10">
        <v>0</v>
      </c>
      <c r="Z134" s="9" t="s">
        <v>411</v>
      </c>
      <c r="AA134" s="8">
        <v>5378.4500000000007</v>
      </c>
      <c r="AB134" s="8">
        <v>5378.4500000000007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312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412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412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413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414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45909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45909</v>
      </c>
      <c r="AK150" s="3">
        <v>0</v>
      </c>
      <c r="AL150" s="3">
        <v>45900</v>
      </c>
      <c r="AM150" s="3">
        <v>45907</v>
      </c>
      <c r="AN150" s="3">
        <v>45908</v>
      </c>
      <c r="AO150" s="3">
        <v>45908</v>
      </c>
      <c r="AP150" s="3">
        <v>45904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375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45909</v>
      </c>
      <c r="U151" s="11">
        <v>50000</v>
      </c>
      <c r="V151" s="10">
        <v>0</v>
      </c>
      <c r="W151" s="10">
        <v>50000</v>
      </c>
      <c r="X151" s="10">
        <v>23920</v>
      </c>
      <c r="Y151" s="10">
        <v>27384</v>
      </c>
      <c r="Z151" s="9" t="s">
        <v>127</v>
      </c>
      <c r="AA151" s="8">
        <v>32517.130800000003</v>
      </c>
      <c r="AB151" s="8">
        <v>32517.130800000003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45909</v>
      </c>
      <c r="AK151" s="3">
        <v>0</v>
      </c>
      <c r="AL151" s="3">
        <v>45900</v>
      </c>
      <c r="AM151" s="3">
        <v>45907</v>
      </c>
      <c r="AN151" s="3">
        <v>45908</v>
      </c>
      <c r="AO151" s="3">
        <v>45908</v>
      </c>
      <c r="AP151" s="3">
        <v>45904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39292.580800000003</v>
      </c>
      <c r="AB153" s="8">
        <v>36442.130799999999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A23D-0ADB-477E-B7ED-1BFF04D3CA82}">
  <sheetPr>
    <tabColor rgb="FFFFFF00"/>
  </sheetPr>
  <dimension ref="A1:BD153"/>
  <sheetViews>
    <sheetView topLeftCell="A5" zoomScale="80" zoomScaleNormal="80" workbookViewId="0">
      <selection activeCell="E9" sqref="E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45899</v>
      </c>
      <c r="E3" s="80" t="s">
        <v>52</v>
      </c>
      <c r="F3" s="80"/>
      <c r="G3" s="81">
        <v>11.3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381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326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380</v>
      </c>
      <c r="C28" s="9" t="s">
        <v>73</v>
      </c>
      <c r="D28" s="13" t="s">
        <v>382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383</v>
      </c>
      <c r="C31" s="9" t="s">
        <v>73</v>
      </c>
      <c r="D31" s="13" t="s">
        <v>384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383</v>
      </c>
      <c r="C32" s="9" t="s">
        <v>73</v>
      </c>
      <c r="D32" s="13" t="s">
        <v>385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380</v>
      </c>
      <c r="C36" s="9" t="s">
        <v>73</v>
      </c>
      <c r="D36" s="13" t="s">
        <v>386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380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383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383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380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380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383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383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341</v>
      </c>
      <c r="C51" s="9" t="s">
        <v>139</v>
      </c>
      <c r="D51" s="13" t="s">
        <v>327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373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45891</v>
      </c>
      <c r="B54" s="14" t="s">
        <v>350</v>
      </c>
      <c r="C54" s="9" t="s">
        <v>351</v>
      </c>
      <c r="D54" s="13" t="s">
        <v>352</v>
      </c>
      <c r="E54" s="9">
        <v>20</v>
      </c>
      <c r="F54" s="9">
        <v>37</v>
      </c>
      <c r="G54" s="9" t="s">
        <v>60</v>
      </c>
      <c r="H54" s="9" t="s">
        <v>66</v>
      </c>
      <c r="I54" s="9">
        <v>97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45904</v>
      </c>
      <c r="U54" s="11">
        <v>8000</v>
      </c>
      <c r="V54" s="10">
        <v>8072</v>
      </c>
      <c r="W54" s="10">
        <v>0</v>
      </c>
      <c r="X54" s="10">
        <v>8400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353</v>
      </c>
      <c r="AG54" s="1" t="s">
        <v>115</v>
      </c>
      <c r="AH54" s="1" t="s">
        <v>75</v>
      </c>
      <c r="AI54" s="1">
        <v>4</v>
      </c>
      <c r="AJ54" s="3">
        <v>45904</v>
      </c>
      <c r="AK54" s="3">
        <v>45900</v>
      </c>
      <c r="AL54" s="3">
        <v>45893</v>
      </c>
      <c r="AM54" s="3">
        <v>45901</v>
      </c>
      <c r="AN54" s="3">
        <v>45902</v>
      </c>
      <c r="AO54" s="3">
        <v>45903</v>
      </c>
      <c r="AP54" s="3">
        <v>45899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360</v>
      </c>
      <c r="C55" s="9" t="s">
        <v>139</v>
      </c>
      <c r="D55" s="13" t="s">
        <v>329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45908</v>
      </c>
      <c r="U55" s="11">
        <v>5040</v>
      </c>
      <c r="V55" s="10">
        <v>4400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45908</v>
      </c>
      <c r="AK55" s="3">
        <v>45904</v>
      </c>
      <c r="AL55" s="3">
        <v>45897</v>
      </c>
      <c r="AM55" s="3">
        <v>45905</v>
      </c>
      <c r="AN55" s="3">
        <v>45906</v>
      </c>
      <c r="AO55" s="3">
        <v>45907</v>
      </c>
      <c r="AP55" s="3">
        <v>45903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 t="s">
        <v>370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343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0</v>
      </c>
      <c r="W56" s="10">
        <v>5080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45896</v>
      </c>
      <c r="B57" s="14" t="s">
        <v>387</v>
      </c>
      <c r="C57" s="9" t="s">
        <v>139</v>
      </c>
      <c r="D57" s="13" t="s">
        <v>330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45910</v>
      </c>
      <c r="U57" s="11">
        <v>5040</v>
      </c>
      <c r="V57" s="10">
        <v>5040</v>
      </c>
      <c r="W57" s="10">
        <v>0</v>
      </c>
      <c r="X57" s="10">
        <v>6178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45910</v>
      </c>
      <c r="AK57" s="3">
        <v>45906</v>
      </c>
      <c r="AL57" s="3">
        <v>45899</v>
      </c>
      <c r="AM57" s="3">
        <v>45907</v>
      </c>
      <c r="AN57" s="3">
        <v>45908</v>
      </c>
      <c r="AO57" s="3">
        <v>45909</v>
      </c>
      <c r="AP57" s="3">
        <v>45905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45887</v>
      </c>
      <c r="B58" s="14" t="s">
        <v>344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45901</v>
      </c>
      <c r="U58" s="11">
        <v>5040</v>
      </c>
      <c r="V58" s="10">
        <v>343</v>
      </c>
      <c r="W58" s="10">
        <v>4697</v>
      </c>
      <c r="X58" s="10">
        <v>6055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45901</v>
      </c>
      <c r="AK58" s="3">
        <v>45897</v>
      </c>
      <c r="AL58" s="3">
        <v>45890</v>
      </c>
      <c r="AM58" s="3">
        <v>45898</v>
      </c>
      <c r="AN58" s="3">
        <v>45899</v>
      </c>
      <c r="AO58" s="3">
        <v>45900</v>
      </c>
      <c r="AP58" s="3">
        <v>45896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134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45887</v>
      </c>
      <c r="B59" s="14" t="s">
        <v>345</v>
      </c>
      <c r="C59" s="9" t="s">
        <v>139</v>
      </c>
      <c r="D59" s="13" t="s">
        <v>224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 t="s">
        <v>63</v>
      </c>
      <c r="U59" s="11">
        <v>104</v>
      </c>
      <c r="V59" s="10">
        <v>0</v>
      </c>
      <c r="W59" s="10">
        <v>104</v>
      </c>
      <c r="X59" s="10">
        <v>11230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45887</v>
      </c>
      <c r="B60" s="14" t="s">
        <v>345</v>
      </c>
      <c r="C60" s="9" t="s">
        <v>139</v>
      </c>
      <c r="D60" s="13" t="s">
        <v>331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45901</v>
      </c>
      <c r="U60" s="11">
        <v>5040</v>
      </c>
      <c r="V60" s="10">
        <v>2300</v>
      </c>
      <c r="W60" s="10">
        <v>2740</v>
      </c>
      <c r="X60" s="10">
        <v>6300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45901</v>
      </c>
      <c r="AK60" s="3">
        <v>45897</v>
      </c>
      <c r="AL60" s="3">
        <v>45890</v>
      </c>
      <c r="AM60" s="3">
        <v>45898</v>
      </c>
      <c r="AN60" s="3">
        <v>45899</v>
      </c>
      <c r="AO60" s="3">
        <v>45900</v>
      </c>
      <c r="AP60" s="3">
        <v>45896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134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45887</v>
      </c>
      <c r="B61" s="14" t="s">
        <v>346</v>
      </c>
      <c r="C61" s="9" t="s">
        <v>139</v>
      </c>
      <c r="D61" s="13" t="s">
        <v>181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45904</v>
      </c>
      <c r="U61" s="11">
        <v>5040</v>
      </c>
      <c r="V61" s="10">
        <v>0</v>
      </c>
      <c r="W61" s="10">
        <v>5040</v>
      </c>
      <c r="X61" s="10">
        <v>10200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388</v>
      </c>
      <c r="AG61" s="1" t="s">
        <v>116</v>
      </c>
      <c r="AH61" s="1" t="s">
        <v>75</v>
      </c>
      <c r="AI61" s="1">
        <v>4</v>
      </c>
      <c r="AJ61" s="3">
        <v>45904</v>
      </c>
      <c r="AK61" s="3">
        <v>45900</v>
      </c>
      <c r="AL61" s="3">
        <v>45893</v>
      </c>
      <c r="AM61" s="3">
        <v>45901</v>
      </c>
      <c r="AN61" s="3">
        <v>45902</v>
      </c>
      <c r="AO61" s="3">
        <v>45903</v>
      </c>
      <c r="AP61" s="3">
        <v>45899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134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45877</v>
      </c>
      <c r="B62" s="14" t="s">
        <v>318</v>
      </c>
      <c r="C62" s="9" t="s">
        <v>79</v>
      </c>
      <c r="D62" s="13" t="s">
        <v>319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45904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45904</v>
      </c>
      <c r="AK62" s="3">
        <v>45900</v>
      </c>
      <c r="AL62" s="3">
        <v>45893</v>
      </c>
      <c r="AM62" s="3">
        <v>45901</v>
      </c>
      <c r="AN62" s="3">
        <v>45902</v>
      </c>
      <c r="AO62" s="3">
        <v>45903</v>
      </c>
      <c r="AP62" s="3">
        <v>45899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45782</v>
      </c>
      <c r="B63" s="14" t="s">
        <v>249</v>
      </c>
      <c r="C63" s="9" t="s">
        <v>79</v>
      </c>
      <c r="D63" s="13" t="s">
        <v>243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45909</v>
      </c>
      <c r="U63" s="11">
        <v>5000</v>
      </c>
      <c r="V63" s="10">
        <v>0</v>
      </c>
      <c r="W63" s="10">
        <v>5000</v>
      </c>
      <c r="X63" s="10">
        <v>3635</v>
      </c>
      <c r="Y63" s="10">
        <v>1433.25</v>
      </c>
      <c r="Z63" s="9" t="s">
        <v>80</v>
      </c>
      <c r="AA63" s="8">
        <v>1581.7776974999997</v>
      </c>
      <c r="AB63" s="8">
        <v>1581.7776974999997</v>
      </c>
      <c r="AC63" s="8">
        <v>0</v>
      </c>
      <c r="AD63" s="8">
        <v>1581.7776974999997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45909</v>
      </c>
      <c r="AK63" s="3">
        <v>45905</v>
      </c>
      <c r="AL63" s="3">
        <v>45898</v>
      </c>
      <c r="AM63" s="3">
        <v>45906</v>
      </c>
      <c r="AN63" s="3">
        <v>45907</v>
      </c>
      <c r="AO63" s="3">
        <v>45908</v>
      </c>
      <c r="AP63" s="3">
        <v>45904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134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45892</v>
      </c>
      <c r="B64" s="14" t="s">
        <v>360</v>
      </c>
      <c r="C64" s="9" t="s">
        <v>139</v>
      </c>
      <c r="D64" s="13" t="s">
        <v>361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45905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80</v>
      </c>
      <c r="AA64" s="8">
        <v>5280.6600000000008</v>
      </c>
      <c r="AB64" s="8">
        <v>5280.6600000000008</v>
      </c>
      <c r="AC64" s="8">
        <v>0</v>
      </c>
      <c r="AD64" s="8">
        <v>0</v>
      </c>
      <c r="AE64" s="8">
        <v>5280.6600000000008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45905</v>
      </c>
      <c r="AK64" s="3">
        <v>45901</v>
      </c>
      <c r="AL64" s="3">
        <v>45894</v>
      </c>
      <c r="AM64" s="3">
        <v>45902</v>
      </c>
      <c r="AN64" s="3">
        <v>45903</v>
      </c>
      <c r="AO64" s="3">
        <v>45904</v>
      </c>
      <c r="AP64" s="3">
        <v>45900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387</v>
      </c>
      <c r="C65" s="9" t="s">
        <v>139</v>
      </c>
      <c r="D65" s="13" t="s">
        <v>252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45892</v>
      </c>
      <c r="B66" s="14" t="s">
        <v>371</v>
      </c>
      <c r="C66" s="9" t="s">
        <v>355</v>
      </c>
      <c r="D66" s="13" t="s">
        <v>356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357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45905</v>
      </c>
      <c r="U66" s="11">
        <v>10000</v>
      </c>
      <c r="V66" s="10">
        <v>10000</v>
      </c>
      <c r="W66" s="10">
        <v>0</v>
      </c>
      <c r="X66" s="10">
        <v>10500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68</v>
      </c>
      <c r="AI66" s="1">
        <v>4</v>
      </c>
      <c r="AJ66" s="3">
        <v>45905</v>
      </c>
      <c r="AK66" s="3">
        <v>45901</v>
      </c>
      <c r="AL66" s="3">
        <v>45895</v>
      </c>
      <c r="AM66" s="3">
        <v>45902</v>
      </c>
      <c r="AN66" s="3">
        <v>45903</v>
      </c>
      <c r="AO66" s="3">
        <v>45903</v>
      </c>
      <c r="AP66" s="3">
        <v>45900</v>
      </c>
      <c r="AQ66" s="3">
        <v>45904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45850</v>
      </c>
      <c r="B67" s="14" t="s">
        <v>284</v>
      </c>
      <c r="C67" s="9" t="s">
        <v>107</v>
      </c>
      <c r="D67" s="13" t="s">
        <v>285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45905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45905</v>
      </c>
      <c r="AK67" s="3">
        <v>45901</v>
      </c>
      <c r="AL67" s="3">
        <v>45894</v>
      </c>
      <c r="AM67" s="3">
        <v>45902</v>
      </c>
      <c r="AN67" s="3">
        <v>45903</v>
      </c>
      <c r="AO67" s="3">
        <v>45904</v>
      </c>
      <c r="AP67" s="3">
        <v>45900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362</v>
      </c>
      <c r="C68" s="9" t="s">
        <v>139</v>
      </c>
      <c r="D68" s="13" t="s">
        <v>131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45908</v>
      </c>
      <c r="U68" s="11">
        <v>10000</v>
      </c>
      <c r="V68" s="10">
        <v>5040</v>
      </c>
      <c r="W68" s="10">
        <v>4960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45908</v>
      </c>
      <c r="AK68" s="3">
        <v>45904</v>
      </c>
      <c r="AL68" s="3">
        <v>45897</v>
      </c>
      <c r="AM68" s="3">
        <v>45905</v>
      </c>
      <c r="AN68" s="3">
        <v>45906</v>
      </c>
      <c r="AO68" s="3">
        <v>45907</v>
      </c>
      <c r="AP68" s="3">
        <v>45903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45873</v>
      </c>
      <c r="B69" s="14" t="s">
        <v>308</v>
      </c>
      <c r="C69" s="9" t="s">
        <v>107</v>
      </c>
      <c r="D69" s="13" t="s">
        <v>309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45922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0</v>
      </c>
      <c r="AC69" s="8">
        <v>4414.5199999999995</v>
      </c>
      <c r="AD69" s="8">
        <v>0</v>
      </c>
      <c r="AE69" s="8">
        <v>4414.5199999999995</v>
      </c>
      <c r="AF69" s="8" t="s">
        <v>307</v>
      </c>
      <c r="AG69" s="1" t="s">
        <v>116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333.54151111111111</v>
      </c>
    </row>
    <row r="70" spans="1:56" ht="27.75" customHeight="1" x14ac:dyDescent="0.45">
      <c r="A70" s="3">
        <v>45892</v>
      </c>
      <c r="B70" s="14" t="s">
        <v>363</v>
      </c>
      <c r="C70" s="9" t="s">
        <v>79</v>
      </c>
      <c r="D70" s="13" t="s">
        <v>364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3227.07</v>
      </c>
      <c r="AB70" s="8">
        <v>0</v>
      </c>
      <c r="AC70" s="8">
        <v>3227.07</v>
      </c>
      <c r="AD70" s="8">
        <v>0</v>
      </c>
      <c r="AE70" s="8">
        <v>3227.07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243.82306666666665</v>
      </c>
    </row>
    <row r="71" spans="1:56" ht="27.75" customHeight="1" x14ac:dyDescent="0.45">
      <c r="A71" s="3">
        <v>45891</v>
      </c>
      <c r="B71" s="14" t="s">
        <v>389</v>
      </c>
      <c r="C71" s="9" t="s">
        <v>79</v>
      </c>
      <c r="D71" s="13" t="s">
        <v>390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0</v>
      </c>
      <c r="W71" s="10">
        <v>9000</v>
      </c>
      <c r="X71" s="10">
        <v>0</v>
      </c>
      <c r="Y71" s="10">
        <v>9450</v>
      </c>
      <c r="Z71" s="9" t="s">
        <v>80</v>
      </c>
      <c r="AA71" s="8">
        <v>9932.67</v>
      </c>
      <c r="AB71" s="8">
        <v>0</v>
      </c>
      <c r="AC71" s="8">
        <v>9932.67</v>
      </c>
      <c r="AD71" s="8">
        <v>0</v>
      </c>
      <c r="AE71" s="8">
        <v>9932.67</v>
      </c>
      <c r="AF71" s="8">
        <v>0</v>
      </c>
      <c r="AG71" s="1" t="s">
        <v>116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750.46839999999997</v>
      </c>
    </row>
    <row r="72" spans="1:56" ht="27.75" customHeight="1" x14ac:dyDescent="0.45">
      <c r="A72" s="3">
        <v>45891</v>
      </c>
      <c r="B72" s="14" t="s">
        <v>391</v>
      </c>
      <c r="C72" s="9" t="s">
        <v>79</v>
      </c>
      <c r="D72" s="13" t="s">
        <v>392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116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333.54151111111111</v>
      </c>
    </row>
    <row r="73" spans="1:56" ht="27.75" customHeight="1" x14ac:dyDescent="0.45">
      <c r="A73" s="3">
        <v>45891</v>
      </c>
      <c r="B73" s="14" t="s">
        <v>393</v>
      </c>
      <c r="C73" s="9" t="s">
        <v>79</v>
      </c>
      <c r="D73" s="13" t="s">
        <v>394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0</v>
      </c>
      <c r="AC73" s="8">
        <v>9932.67</v>
      </c>
      <c r="AD73" s="8">
        <v>0</v>
      </c>
      <c r="AE73" s="8">
        <v>9932.67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750.46839999999997</v>
      </c>
    </row>
    <row r="74" spans="1:56" ht="27.75" customHeight="1" x14ac:dyDescent="0.45">
      <c r="A74" s="3">
        <v>45896</v>
      </c>
      <c r="B74" s="14" t="s">
        <v>395</v>
      </c>
      <c r="C74" s="9" t="s">
        <v>79</v>
      </c>
      <c r="D74" s="13" t="s">
        <v>310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61</v>
      </c>
      <c r="AH74" s="1" t="s">
        <v>75</v>
      </c>
      <c r="AI74" s="1">
        <v>5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45896</v>
      </c>
      <c r="B75" s="14" t="s">
        <v>396</v>
      </c>
      <c r="C75" s="9" t="s">
        <v>79</v>
      </c>
      <c r="D75" s="13" t="s">
        <v>397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0</v>
      </c>
      <c r="AC75" s="8">
        <v>8829.0399999999991</v>
      </c>
      <c r="AD75" s="8">
        <v>0</v>
      </c>
      <c r="AE75" s="8">
        <v>8829.0399999999991</v>
      </c>
      <c r="AF75" s="8">
        <v>0</v>
      </c>
      <c r="AG75" s="1" t="s">
        <v>61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667.08302222222221</v>
      </c>
    </row>
    <row r="76" spans="1:56" ht="27.75" customHeight="1" x14ac:dyDescent="0.45">
      <c r="A76" s="3" t="s">
        <v>135</v>
      </c>
      <c r="B76" s="14" t="s">
        <v>135</v>
      </c>
      <c r="C76" s="9" t="s">
        <v>139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45925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0</v>
      </c>
      <c r="AC76" s="8">
        <v>104775.00000000001</v>
      </c>
      <c r="AD76" s="8">
        <v>0</v>
      </c>
      <c r="AE76" s="8">
        <v>104775.00000000001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45925</v>
      </c>
      <c r="AK76" s="3">
        <v>45921</v>
      </c>
      <c r="AL76" s="3">
        <v>45914</v>
      </c>
      <c r="AM76" s="3">
        <v>45922</v>
      </c>
      <c r="AN76" s="3">
        <v>45923</v>
      </c>
      <c r="AO76" s="3">
        <v>45924</v>
      </c>
      <c r="AP76" s="3">
        <v>45920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7916.333333333333</v>
      </c>
    </row>
    <row r="77" spans="1:56" ht="27.75" customHeight="1" x14ac:dyDescent="0.45">
      <c r="A77" s="3" t="s">
        <v>135</v>
      </c>
      <c r="B77" s="14" t="s">
        <v>135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45925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45925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1667.7075555555555</v>
      </c>
    </row>
    <row r="78" spans="1:56" ht="27.75" customHeight="1" x14ac:dyDescent="0.45">
      <c r="A78" s="3" t="s">
        <v>135</v>
      </c>
      <c r="B78" s="14" t="s">
        <v>135</v>
      </c>
      <c r="C78" s="9" t="s">
        <v>97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45925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0</v>
      </c>
      <c r="AC78" s="8">
        <v>21513.800000000003</v>
      </c>
      <c r="AD78" s="8">
        <v>0</v>
      </c>
      <c r="AE78" s="8">
        <v>21513.800000000003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45925</v>
      </c>
      <c r="AK78" s="3">
        <v>45921</v>
      </c>
      <c r="AL78" s="3">
        <v>45914</v>
      </c>
      <c r="AM78" s="3">
        <v>45922</v>
      </c>
      <c r="AN78" s="3">
        <v>45923</v>
      </c>
      <c r="AO78" s="3">
        <v>45924</v>
      </c>
      <c r="AP78" s="3">
        <v>45920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1625.4871111111113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328</v>
      </c>
      <c r="C81" s="9" t="s">
        <v>107</v>
      </c>
      <c r="D81" s="13" t="s">
        <v>314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3840</v>
      </c>
      <c r="W93" s="10">
        <v>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358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4154</v>
      </c>
      <c r="W94" s="10">
        <v>0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347185.60769750003</v>
      </c>
      <c r="AB100" s="8">
        <v>18764.8776975</v>
      </c>
      <c r="AC100" s="8">
        <v>328420.7300000001</v>
      </c>
      <c r="AD100" s="8">
        <v>4892.6676974999991</v>
      </c>
      <c r="AE100" s="8">
        <v>342292.94000000006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29680</v>
      </c>
      <c r="V103" s="10">
        <v>24160</v>
      </c>
      <c r="W103" s="10">
        <v>5520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398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409</v>
      </c>
      <c r="C105" s="9" t="s">
        <v>73</v>
      </c>
      <c r="D105" s="13" t="s">
        <v>399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4679.9500000000007</v>
      </c>
      <c r="AB105" s="8">
        <v>4679.9500000000007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45887</v>
      </c>
      <c r="B106" s="14" t="s">
        <v>347</v>
      </c>
      <c r="C106" s="9" t="s">
        <v>139</v>
      </c>
      <c r="D106" s="13" t="s">
        <v>332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18134</v>
      </c>
      <c r="V106" s="10">
        <v>18134</v>
      </c>
      <c r="W106" s="10">
        <v>0</v>
      </c>
      <c r="X106" s="10">
        <v>33397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119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333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45892</v>
      </c>
      <c r="B107" s="14" t="s">
        <v>366</v>
      </c>
      <c r="C107" s="9" t="s">
        <v>139</v>
      </c>
      <c r="D107" s="13" t="s">
        <v>367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45908</v>
      </c>
      <c r="U107" s="11">
        <v>10000</v>
      </c>
      <c r="V107" s="10">
        <v>1196</v>
      </c>
      <c r="W107" s="10">
        <v>8804</v>
      </c>
      <c r="X107" s="10">
        <v>0</v>
      </c>
      <c r="Y107" s="10">
        <v>9244.2000000000007</v>
      </c>
      <c r="Z107" s="9" t="s">
        <v>81</v>
      </c>
      <c r="AA107" s="8">
        <v>9224.3909999999996</v>
      </c>
      <c r="AB107" s="8">
        <v>9224.3909999999996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45908</v>
      </c>
      <c r="AK107" s="3">
        <v>0</v>
      </c>
      <c r="AL107" s="3">
        <v>45899</v>
      </c>
      <c r="AM107" s="3">
        <v>45906</v>
      </c>
      <c r="AN107" s="3">
        <v>45907</v>
      </c>
      <c r="AO107" s="3">
        <v>45907</v>
      </c>
      <c r="AP107" s="3">
        <v>45903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347</v>
      </c>
      <c r="C108" s="9" t="s">
        <v>139</v>
      </c>
      <c r="D108" s="13" t="s">
        <v>332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45915</v>
      </c>
      <c r="U108" s="11">
        <v>20000</v>
      </c>
      <c r="V108" s="10">
        <v>7066</v>
      </c>
      <c r="W108" s="10">
        <v>12934</v>
      </c>
      <c r="X108" s="10">
        <v>0</v>
      </c>
      <c r="Y108" s="10">
        <v>13580.7</v>
      </c>
      <c r="Z108" s="9" t="s">
        <v>81</v>
      </c>
      <c r="AA108" s="8">
        <v>13551.598500000002</v>
      </c>
      <c r="AB108" s="8">
        <v>13551.598500000002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116</v>
      </c>
      <c r="AH108" s="1" t="s">
        <v>74</v>
      </c>
      <c r="AI108" s="1">
        <v>2</v>
      </c>
      <c r="AJ108" s="3">
        <v>45915</v>
      </c>
      <c r="AK108" s="3">
        <v>0</v>
      </c>
      <c r="AL108" s="3">
        <v>45906</v>
      </c>
      <c r="AM108" s="3">
        <v>45913</v>
      </c>
      <c r="AN108" s="3">
        <v>45914</v>
      </c>
      <c r="AO108" s="3">
        <v>45914</v>
      </c>
      <c r="AP108" s="3">
        <v>45910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333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45919</v>
      </c>
      <c r="U109" s="11">
        <v>40000</v>
      </c>
      <c r="V109" s="10">
        <v>0</v>
      </c>
      <c r="W109" s="10">
        <v>40000</v>
      </c>
      <c r="X109" s="10">
        <v>6888</v>
      </c>
      <c r="Y109" s="10">
        <v>34767.599999999999</v>
      </c>
      <c r="Z109" s="9" t="s">
        <v>81</v>
      </c>
      <c r="AA109" s="8">
        <v>36427.752899999999</v>
      </c>
      <c r="AB109" s="8">
        <v>36427.752899999999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61</v>
      </c>
      <c r="AH109" s="1" t="s">
        <v>74</v>
      </c>
      <c r="AI109" s="1">
        <v>2</v>
      </c>
      <c r="AJ109" s="3">
        <v>45919</v>
      </c>
      <c r="AK109" s="3">
        <v>0</v>
      </c>
      <c r="AL109" s="3">
        <v>45910</v>
      </c>
      <c r="AM109" s="3">
        <v>45917</v>
      </c>
      <c r="AN109" s="3">
        <v>45918</v>
      </c>
      <c r="AO109" s="3">
        <v>45918</v>
      </c>
      <c r="AP109" s="3">
        <v>45914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45922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81</v>
      </c>
      <c r="AA110" s="8">
        <v>31432.500000000004</v>
      </c>
      <c r="AB110" s="8">
        <v>31432.500000000004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45922</v>
      </c>
      <c r="AK110" s="3">
        <v>0</v>
      </c>
      <c r="AL110" s="3">
        <v>45913</v>
      </c>
      <c r="AM110" s="3">
        <v>45920</v>
      </c>
      <c r="AN110" s="3">
        <v>45921</v>
      </c>
      <c r="AO110" s="3">
        <v>45921</v>
      </c>
      <c r="AP110" s="3">
        <v>45917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45887</v>
      </c>
      <c r="B111" s="14" t="s">
        <v>348</v>
      </c>
      <c r="C111" s="9" t="s">
        <v>139</v>
      </c>
      <c r="D111" s="13" t="s">
        <v>268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45926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20955</v>
      </c>
      <c r="AB111" s="8">
        <v>20955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>
        <v>45926</v>
      </c>
      <c r="AK111" s="3">
        <v>0</v>
      </c>
      <c r="AL111" s="3">
        <v>45917</v>
      </c>
      <c r="AM111" s="3">
        <v>45924</v>
      </c>
      <c r="AN111" s="3">
        <v>45925</v>
      </c>
      <c r="AO111" s="3">
        <v>45925</v>
      </c>
      <c r="AP111" s="3">
        <v>45921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334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139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290000</v>
      </c>
      <c r="V112" s="10">
        <v>0</v>
      </c>
      <c r="W112" s="10">
        <v>290000</v>
      </c>
      <c r="X112" s="10">
        <v>0</v>
      </c>
      <c r="Y112" s="10">
        <v>304500</v>
      </c>
      <c r="Z112" s="9" t="s">
        <v>81</v>
      </c>
      <c r="AA112" s="8">
        <v>303847.5</v>
      </c>
      <c r="AB112" s="8">
        <v>49926</v>
      </c>
      <c r="AC112" s="8">
        <v>253921.5</v>
      </c>
      <c r="AD112" s="8">
        <v>0</v>
      </c>
      <c r="AE112" s="8">
        <v>0</v>
      </c>
      <c r="AF112" s="8" t="s">
        <v>210</v>
      </c>
      <c r="AG112" s="1" t="s">
        <v>115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19410.887999999999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424798.64240000001</v>
      </c>
      <c r="AB113" s="8">
        <v>170877.14240000001</v>
      </c>
      <c r="AC113" s="8">
        <v>253921.5</v>
      </c>
      <c r="AD113" s="8">
        <v>0</v>
      </c>
      <c r="AE113" s="8">
        <v>0</v>
      </c>
      <c r="AF113" s="8" t="s">
        <v>58</v>
      </c>
      <c r="AG113" s="1" t="s">
        <v>115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45876</v>
      </c>
      <c r="B114" s="14" t="s">
        <v>324</v>
      </c>
      <c r="C114" s="9" t="s">
        <v>303</v>
      </c>
      <c r="D114" s="13" t="s">
        <v>311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45904</v>
      </c>
      <c r="U114" s="11">
        <v>20000</v>
      </c>
      <c r="V114" s="10">
        <v>20006</v>
      </c>
      <c r="W114" s="10">
        <v>0</v>
      </c>
      <c r="X114" s="10">
        <v>21000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325</v>
      </c>
      <c r="C115" s="9" t="s">
        <v>303</v>
      </c>
      <c r="D115" s="13" t="s">
        <v>304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1.6065702062079996</v>
      </c>
      <c r="Q115" s="10">
        <v>0</v>
      </c>
      <c r="R115" s="10">
        <v>1.6065702062079996</v>
      </c>
      <c r="S115" s="9" t="s">
        <v>71</v>
      </c>
      <c r="T115" s="12">
        <v>45904</v>
      </c>
      <c r="U115" s="11">
        <v>10000</v>
      </c>
      <c r="V115" s="10">
        <v>9926</v>
      </c>
      <c r="W115" s="10">
        <v>74</v>
      </c>
      <c r="X115" s="10">
        <v>10500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132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45892</v>
      </c>
      <c r="B116" s="14" t="s">
        <v>368</v>
      </c>
      <c r="C116" s="9" t="s">
        <v>79</v>
      </c>
      <c r="D116" s="13" t="s">
        <v>369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67</v>
      </c>
      <c r="T116" s="12">
        <v>45904</v>
      </c>
      <c r="U116" s="11">
        <v>3000</v>
      </c>
      <c r="V116" s="10">
        <v>0</v>
      </c>
      <c r="W116" s="10">
        <v>3000</v>
      </c>
      <c r="X116" s="10">
        <v>3100</v>
      </c>
      <c r="Y116" s="10">
        <v>0</v>
      </c>
      <c r="Z116" s="9" t="s">
        <v>120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45904</v>
      </c>
      <c r="AK116" s="3">
        <v>45900</v>
      </c>
      <c r="AL116" s="3">
        <v>45894</v>
      </c>
      <c r="AM116" s="3">
        <v>45901</v>
      </c>
      <c r="AN116" s="3">
        <v>45902</v>
      </c>
      <c r="AO116" s="3">
        <v>45902</v>
      </c>
      <c r="AP116" s="3">
        <v>45899</v>
      </c>
      <c r="AQ116" s="3">
        <v>45903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336</v>
      </c>
      <c r="C117" s="9" t="s">
        <v>107</v>
      </c>
      <c r="D117" s="13" t="s">
        <v>316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>
        <v>45926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45926</v>
      </c>
      <c r="AK117" s="3">
        <v>45922</v>
      </c>
      <c r="AL117" s="3">
        <v>45916</v>
      </c>
      <c r="AM117" s="3">
        <v>45923</v>
      </c>
      <c r="AN117" s="3">
        <v>45924</v>
      </c>
      <c r="AO117" s="3">
        <v>45924</v>
      </c>
      <c r="AP117" s="3">
        <v>45921</v>
      </c>
      <c r="AQ117" s="3">
        <v>45925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203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45908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120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45908</v>
      </c>
      <c r="AK118" s="3">
        <v>45904</v>
      </c>
      <c r="AL118" s="3">
        <v>45898</v>
      </c>
      <c r="AM118" s="3">
        <v>45905</v>
      </c>
      <c r="AN118" s="3">
        <v>45906</v>
      </c>
      <c r="AO118" s="3">
        <v>45906</v>
      </c>
      <c r="AP118" s="3">
        <v>45903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218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45631</v>
      </c>
      <c r="B119" s="14" t="s">
        <v>202</v>
      </c>
      <c r="C119" s="9" t="s">
        <v>109</v>
      </c>
      <c r="D119" s="13" t="s">
        <v>144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9000</v>
      </c>
      <c r="V119" s="10">
        <v>0</v>
      </c>
      <c r="W119" s="10">
        <v>9000</v>
      </c>
      <c r="X119" s="10">
        <v>0</v>
      </c>
      <c r="Y119" s="10">
        <v>9450</v>
      </c>
      <c r="Z119" s="9" t="s">
        <v>120</v>
      </c>
      <c r="AA119" s="8">
        <v>9681.2100000000009</v>
      </c>
      <c r="AB119" s="8">
        <v>9681.2100000000009</v>
      </c>
      <c r="AC119" s="8">
        <v>0</v>
      </c>
      <c r="AD119" s="8">
        <v>0</v>
      </c>
      <c r="AE119" s="8">
        <v>9681.2100000000009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217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 t="s">
        <v>135</v>
      </c>
      <c r="B120" s="14" t="s">
        <v>135</v>
      </c>
      <c r="C120" s="9" t="s">
        <v>111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45925</v>
      </c>
      <c r="U120" s="11">
        <v>100000</v>
      </c>
      <c r="V120" s="10">
        <v>0</v>
      </c>
      <c r="W120" s="10">
        <v>100000</v>
      </c>
      <c r="X120" s="10">
        <v>0</v>
      </c>
      <c r="Y120" s="10">
        <v>105000</v>
      </c>
      <c r="Z120" s="9" t="s">
        <v>120</v>
      </c>
      <c r="AA120" s="8">
        <v>107569.00000000001</v>
      </c>
      <c r="AB120" s="8">
        <v>107569.00000000001</v>
      </c>
      <c r="AC120" s="8">
        <v>0</v>
      </c>
      <c r="AD120" s="8">
        <v>107569.00000000001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45925</v>
      </c>
      <c r="AK120" s="3">
        <v>45921</v>
      </c>
      <c r="AL120" s="3">
        <v>45915</v>
      </c>
      <c r="AM120" s="3">
        <v>45922</v>
      </c>
      <c r="AN120" s="3">
        <v>45923</v>
      </c>
      <c r="AO120" s="3">
        <v>45923</v>
      </c>
      <c r="AP120" s="3">
        <v>45920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400</v>
      </c>
      <c r="C121" s="9" t="s">
        <v>107</v>
      </c>
      <c r="D121" s="13" t="s">
        <v>401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402</v>
      </c>
      <c r="C122" s="9" t="s">
        <v>107</v>
      </c>
      <c r="D122" s="13" t="s">
        <v>313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45896</v>
      </c>
      <c r="B123" s="14" t="s">
        <v>403</v>
      </c>
      <c r="C123" s="9" t="s">
        <v>107</v>
      </c>
      <c r="D123" s="13" t="s">
        <v>404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3310.89</v>
      </c>
      <c r="AB123" s="8">
        <v>3310.89</v>
      </c>
      <c r="AC123" s="8">
        <v>0</v>
      </c>
      <c r="AD123" s="8">
        <v>0</v>
      </c>
      <c r="AE123" s="8">
        <v>3310.89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335</v>
      </c>
      <c r="C124" s="9" t="s">
        <v>107</v>
      </c>
      <c r="D124" s="13" t="s">
        <v>315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71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3478.5300000000007</v>
      </c>
      <c r="AB124" s="8">
        <v>3478.5300000000007</v>
      </c>
      <c r="AC124" s="8">
        <v>0</v>
      </c>
      <c r="AD124" s="8">
        <v>0</v>
      </c>
      <c r="AE124" s="8">
        <v>3478.5300000000007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45876</v>
      </c>
      <c r="B125" s="14" t="s">
        <v>337</v>
      </c>
      <c r="C125" s="9" t="s">
        <v>107</v>
      </c>
      <c r="D125" s="13" t="s">
        <v>317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42</v>
      </c>
      <c r="O125" s="9">
        <v>40</v>
      </c>
      <c r="P125" s="10">
        <v>113.97964300799998</v>
      </c>
      <c r="Q125" s="10">
        <v>0</v>
      </c>
      <c r="R125" s="10">
        <v>113.97964300799998</v>
      </c>
      <c r="S125" s="9" t="s">
        <v>71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120</v>
      </c>
      <c r="AA125" s="8">
        <v>5797.55</v>
      </c>
      <c r="AB125" s="8">
        <v>5797.55</v>
      </c>
      <c r="AC125" s="8">
        <v>0</v>
      </c>
      <c r="AD125" s="8">
        <v>0</v>
      </c>
      <c r="AE125" s="8">
        <v>5797.55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 t="s">
        <v>135</v>
      </c>
      <c r="B126" s="14" t="s">
        <v>135</v>
      </c>
      <c r="C126" s="9" t="s">
        <v>109</v>
      </c>
      <c r="D126" s="13" t="s">
        <v>144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120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10756.900000000001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295</v>
      </c>
      <c r="C127" s="9" t="s">
        <v>79</v>
      </c>
      <c r="D127" s="13" t="s">
        <v>296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45854</v>
      </c>
      <c r="B128" s="14" t="s">
        <v>297</v>
      </c>
      <c r="C128" s="9" t="s">
        <v>79</v>
      </c>
      <c r="D128" s="13" t="s">
        <v>298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3310.89</v>
      </c>
      <c r="AC128" s="8">
        <v>0</v>
      </c>
      <c r="AD128" s="8">
        <v>0</v>
      </c>
      <c r="AE128" s="8">
        <v>3310.89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45826</v>
      </c>
      <c r="B129" s="14" t="s">
        <v>274</v>
      </c>
      <c r="C129" s="9" t="s">
        <v>107</v>
      </c>
      <c r="D129" s="13" t="s">
        <v>262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163.47937368575995</v>
      </c>
      <c r="Q129" s="10">
        <v>0</v>
      </c>
      <c r="R129" s="10">
        <v>163.47937368575995</v>
      </c>
      <c r="S129" s="9" t="s">
        <v>67</v>
      </c>
      <c r="T129" s="12" t="s">
        <v>63</v>
      </c>
      <c r="U129" s="11">
        <v>8000</v>
      </c>
      <c r="V129" s="10">
        <v>470</v>
      </c>
      <c r="W129" s="10">
        <v>7530</v>
      </c>
      <c r="X129" s="10">
        <v>0</v>
      </c>
      <c r="Y129" s="10">
        <v>7906.5</v>
      </c>
      <c r="Z129" s="9" t="s">
        <v>120</v>
      </c>
      <c r="AA129" s="8">
        <v>8310.3338999999996</v>
      </c>
      <c r="AB129" s="8">
        <v>8310.3338999999996</v>
      </c>
      <c r="AC129" s="8">
        <v>0</v>
      </c>
      <c r="AD129" s="8">
        <v>0</v>
      </c>
      <c r="AE129" s="8">
        <v>8310.3338999999996</v>
      </c>
      <c r="AF129" s="8">
        <v>0</v>
      </c>
      <c r="AG129" s="1" t="s">
        <v>115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45066</v>
      </c>
      <c r="B130" s="14" t="s">
        <v>126</v>
      </c>
      <c r="C130" s="9" t="s">
        <v>79</v>
      </c>
      <c r="D130" s="13" t="s">
        <v>125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118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>
        <v>0</v>
      </c>
      <c r="H131" s="9">
        <v>0</v>
      </c>
      <c r="I131" s="9">
        <v>74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 t="s">
        <v>82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120</v>
      </c>
      <c r="AA131" s="8">
        <v>190395.31390000004</v>
      </c>
      <c r="AB131" s="8">
        <v>190395.31390000004</v>
      </c>
      <c r="AC131" s="8">
        <v>0</v>
      </c>
      <c r="AD131" s="8">
        <v>110879.89000000001</v>
      </c>
      <c r="AE131" s="8">
        <v>79515.423899999994</v>
      </c>
      <c r="AF131" s="8" t="s">
        <v>58</v>
      </c>
      <c r="AG131" s="1" t="s">
        <v>116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45898</v>
      </c>
      <c r="B132" s="14" t="s">
        <v>128</v>
      </c>
      <c r="C132" s="9" t="s">
        <v>410</v>
      </c>
      <c r="D132" s="13" t="s">
        <v>59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45901</v>
      </c>
      <c r="U132" s="11">
        <v>10000</v>
      </c>
      <c r="V132" s="10">
        <v>0</v>
      </c>
      <c r="W132" s="10">
        <v>10000</v>
      </c>
      <c r="X132" s="10">
        <v>0</v>
      </c>
      <c r="Y132" s="10">
        <v>0</v>
      </c>
      <c r="Z132" s="9" t="s">
        <v>83</v>
      </c>
      <c r="AA132" s="8">
        <v>9918.7000000000007</v>
      </c>
      <c r="AB132" s="8">
        <v>9918.7000000000007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45901</v>
      </c>
      <c r="AK132" s="3">
        <v>0</v>
      </c>
      <c r="AL132" s="3">
        <v>0</v>
      </c>
      <c r="AM132" s="3">
        <v>0</v>
      </c>
      <c r="AN132" s="3">
        <v>0</v>
      </c>
      <c r="AO132" s="3">
        <v>45900</v>
      </c>
      <c r="AP132" s="3">
        <v>45896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216</v>
      </c>
      <c r="D133" s="13" t="s">
        <v>216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45930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83</v>
      </c>
      <c r="AA133" s="8">
        <v>29756.100000000002</v>
      </c>
      <c r="AB133" s="8">
        <v>27294</v>
      </c>
      <c r="AC133" s="8">
        <v>2462.1000000000022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45930</v>
      </c>
      <c r="AK133" s="3">
        <v>0</v>
      </c>
      <c r="AL133" s="3">
        <v>45921</v>
      </c>
      <c r="AM133" s="3">
        <v>45928</v>
      </c>
      <c r="AN133" s="3">
        <v>45929</v>
      </c>
      <c r="AO133" s="3">
        <v>45929</v>
      </c>
      <c r="AP133" s="3">
        <v>45925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184.04197500000012</v>
      </c>
    </row>
    <row r="134" spans="1:56" ht="27.75" customHeight="1" x14ac:dyDescent="0.45">
      <c r="A134" s="3" t="s">
        <v>135</v>
      </c>
      <c r="B134" s="14" t="s">
        <v>135</v>
      </c>
      <c r="C134" s="9" t="s">
        <v>221</v>
      </c>
      <c r="D134" s="13" t="s">
        <v>61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37</v>
      </c>
      <c r="O134" s="9">
        <v>50</v>
      </c>
      <c r="P134" s="10">
        <v>821.54158271999995</v>
      </c>
      <c r="Q134" s="10">
        <v>0</v>
      </c>
      <c r="R134" s="10">
        <v>821.54158271999995</v>
      </c>
      <c r="S134" s="9" t="s">
        <v>123</v>
      </c>
      <c r="T134" s="12">
        <v>45930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83</v>
      </c>
      <c r="AA134" s="8">
        <v>29756.100000000002</v>
      </c>
      <c r="AB134" s="8">
        <v>0</v>
      </c>
      <c r="AC134" s="8">
        <v>29756.100000000002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>
        <v>45930</v>
      </c>
      <c r="AK134" s="3">
        <v>0</v>
      </c>
      <c r="AL134" s="3">
        <v>45920</v>
      </c>
      <c r="AM134" s="3">
        <v>45927</v>
      </c>
      <c r="AN134" s="3">
        <v>45928</v>
      </c>
      <c r="AO134" s="3">
        <v>45928</v>
      </c>
      <c r="AP134" s="3">
        <v>45925</v>
      </c>
      <c r="AQ134" s="3">
        <v>45929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2224.2684750000003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83</v>
      </c>
      <c r="AA135" s="8">
        <v>69430.900000000009</v>
      </c>
      <c r="AB135" s="8">
        <v>37212.699999999997</v>
      </c>
      <c r="AC135" s="8">
        <v>32218.200000000004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128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128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375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45916</v>
      </c>
      <c r="U151" s="11">
        <v>50000</v>
      </c>
      <c r="V151" s="10">
        <v>0</v>
      </c>
      <c r="W151" s="10">
        <v>50000</v>
      </c>
      <c r="X151" s="10">
        <v>22570</v>
      </c>
      <c r="Y151" s="10">
        <v>28801.5</v>
      </c>
      <c r="Z151" s="9" t="s">
        <v>127</v>
      </c>
      <c r="AA151" s="8">
        <v>34200.341175000001</v>
      </c>
      <c r="AB151" s="8">
        <v>34200.341175000001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45916</v>
      </c>
      <c r="AK151" s="3">
        <v>0</v>
      </c>
      <c r="AL151" s="3">
        <v>45907</v>
      </c>
      <c r="AM151" s="3">
        <v>45914</v>
      </c>
      <c r="AN151" s="3">
        <v>45915</v>
      </c>
      <c r="AO151" s="3">
        <v>45915</v>
      </c>
      <c r="AP151" s="3">
        <v>45911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40975.791175000006</v>
      </c>
      <c r="AB153" s="8">
        <v>38125.341175000001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19</vt:i4>
      </vt:variant>
      <vt:variant>
        <vt:lpstr>ช่วงที่มีชื่อ</vt:lpstr>
      </vt:variant>
      <vt:variant>
        <vt:i4>7</vt:i4>
      </vt:variant>
    </vt:vector>
  </HeadingPairs>
  <TitlesOfParts>
    <vt:vector size="26" baseType="lpstr">
      <vt:lpstr>Linkสูตรออร์เดอร์  (2)</vt:lpstr>
      <vt:lpstr>9(Order+FC)</vt:lpstr>
      <vt:lpstr>9(Order)</vt:lpstr>
      <vt:lpstr>9(Order)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ค้างทอ2-9-68</vt:lpstr>
      <vt:lpstr>9-9-68</vt:lpstr>
      <vt:lpstr>8-9-68</vt:lpstr>
      <vt:lpstr>6-9-68</vt:lpstr>
      <vt:lpstr>5-9-68</vt:lpstr>
      <vt:lpstr>4-9-68</vt:lpstr>
      <vt:lpstr>3-9-68</vt:lpstr>
      <vt:lpstr>2-9-68</vt:lpstr>
      <vt:lpstr>1-9-68</vt:lpstr>
      <vt:lpstr>30-8-68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'9(Fc) แยกลูกค้า'!Print_Area</vt:lpstr>
      <vt:lpstr>'9(Order)'!Print_Area</vt:lpstr>
      <vt:lpstr>'9(Order)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2025-08-15T02:00:29Z</cp:lastPrinted>
  <dcterms:created xsi:type="dcterms:W3CDTF">2015-02-27T04:16:25Z</dcterms:created>
  <dcterms:modified xsi:type="dcterms:W3CDTF">2025-09-09T02:59:39Z</dcterms:modified>
</cp:coreProperties>
</file>